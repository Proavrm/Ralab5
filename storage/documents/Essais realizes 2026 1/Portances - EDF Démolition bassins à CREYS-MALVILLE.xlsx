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Nucléaire\RA P09A\Portances\"/>
    </mc:Choice>
  </mc:AlternateContent>
  <xr:revisionPtr revIDLastSave="0" documentId="13_ncr:1_{E9E00ADB-D8A7-45D3-8F86-C748AC7B8AC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120226 sous dallage" sheetId="4" r:id="rId1"/>
    <sheet name="120226 CDF" sheetId="3" r:id="rId2"/>
    <sheet name="120226 CDF espace vert" sheetId="1" r:id="rId3"/>
  </sheets>
  <definedNames>
    <definedName name="_xlnm.Print_Area" localSheetId="1">'120226 CDF'!$A$1:$Z$61</definedName>
    <definedName name="_xlnm.Print_Area" localSheetId="2">'120226 CDF espace vert'!$A$1:$Z$61</definedName>
    <definedName name="_xlnm.Print_Area" localSheetId="0">'120226 sous dallage'!$A$1:$Z$61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4" l="1"/>
  <c r="H48" i="4"/>
  <c r="H47" i="4"/>
  <c r="H49" i="3"/>
  <c r="H48" i="3"/>
  <c r="H47" i="3"/>
  <c r="H49" i="1"/>
  <c r="H48" i="1"/>
  <c r="H47" i="1"/>
</calcChain>
</file>

<file path=xl/sharedStrings.xml><?xml version="1.0" encoding="utf-8"?>
<sst xmlns="http://schemas.openxmlformats.org/spreadsheetml/2006/main" count="162" uniqueCount="56">
  <si>
    <t>COMPTE RENDU D'ESSAIS</t>
  </si>
  <si>
    <t>PORTANCES DES PLATES-FORMES DYNAPLAQUE 
(NF P 94-117-2 d'octobre 2004)</t>
  </si>
  <si>
    <t>PLD N°</t>
  </si>
  <si>
    <t>RA P09A</t>
  </si>
  <si>
    <t>12/02/2026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</si>
  <si>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</si>
  <si>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</si>
  <si>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</si>
  <si>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</si>
  <si>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</si>
  <si>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</si>
  <si>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</si>
  <si>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</si>
  <si>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</si>
  <si>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</si>
  <si>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Grave alluvionnaire</t>
  </si>
  <si>
    <t>Date de(s) essai(s) :</t>
  </si>
  <si>
    <t>Météo :</t>
  </si>
  <si>
    <t>Pluie</t>
  </si>
  <si>
    <t>Partie de l'ouvrage :</t>
  </si>
  <si>
    <t>CDF</t>
  </si>
  <si>
    <t>Plan de situation :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</si>
  <si>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</si>
  <si>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</si>
  <si>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</si>
  <si>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</si>
  <si>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</si>
  <si>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</si>
  <si>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</si>
  <si>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</si>
  <si>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</si>
  <si>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</si>
  <si>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</si>
  <si>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</si>
  <si>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</si>
  <si>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</si>
  <si>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</si>
  <si>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</si>
  <si>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</si>
  <si>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</si>
  <si>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</si>
  <si>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</si>
  <si>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</si>
  <si>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</si>
  <si>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F. MONTET</t>
  </si>
  <si>
    <t>Conforme</t>
  </si>
  <si>
    <t>Fonction</t>
  </si>
  <si>
    <t>Technicien de laboratoire</t>
  </si>
  <si>
    <t>6/</t>
  </si>
  <si>
    <t>COMMENTAIRES</t>
  </si>
  <si>
    <t>Visa</t>
  </si>
  <si>
    <t>EDF Démolition bassins à CREYS-MALVILLE</t>
  </si>
  <si>
    <t xml:space="preserve">CDF </t>
  </si>
  <si>
    <t>Oui</t>
  </si>
  <si>
    <t>Pour information</t>
  </si>
  <si>
    <t>Sous dallage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</si>
</sst>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18" xfId="0" applyNumberFormat="1" applyFont="1" applyBorder="1" applyAlignment="1">
      <alignment horizontal="center" vertic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8" xfId="0" applyFont="1" applyBorder="1" applyAlignment="1" applyProtection="1">
      <alignment horizontal="center"/>
      <protection locked="0"/>
    </xf>
    <xf numFmtId="164" fontId="6" fillId="0" borderId="32" xfId="0" applyNumberFormat="1" applyFont="1" applyBorder="1" applyAlignment="1">
      <alignment horizontal="center" vertical="center"/>
    </xf>
    <xf numFmtId="0" fontId="7" fillId="0" borderId="21" xfId="0" applyFont="1" applyBorder="1"/>
    <xf numFmtId="0" fontId="7" fillId="0" borderId="22" xfId="0" applyFont="1" applyBorder="1"/>
    <xf numFmtId="164" fontId="6" fillId="0" borderId="33" xfId="0" applyNumberFormat="1" applyFont="1" applyBorder="1" applyAlignment="1">
      <alignment horizontal="center" vertical="top"/>
    </xf>
    <xf numFmtId="0" fontId="7" fillId="0" borderId="24" xfId="0" applyFont="1" applyBorder="1" applyAlignment="1">
      <alignment vertical="top"/>
    </xf>
    <xf numFmtId="0" fontId="7" fillId="0" borderId="25" xfId="0" applyFont="1" applyBorder="1" applyAlignment="1">
      <alignment vertical="top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3131AF2-7192-4EA7-9B0C-B719F4F9D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331DB31-860A-4CA8-9BBD-9F843014F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A130-FE5A-4AD9-B7F5-A4E424B99F9E}">
  <sheetPr>
    <pageSetUpPr fitToPage="1"/>
  </sheetPr>
  <dimension ref="A1:AA68"/>
  <sheetViews>
    <sheetView topLeftCell="A44" workbookViewId="0">
      <selection activeCell="T15" sqref="T15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66" t="s">
        <v>51</v>
      </c>
      <c r="V1" s="67"/>
      <c r="W1" s="67"/>
      <c r="X1" s="67"/>
      <c r="Y1" s="67"/>
      <c r="Z1" s="68"/>
    </row>
    <row r="2" spans="1:26" ht="12.75" customHeight="1" x14ac:dyDescent="0.25">
      <c r="A2" s="116"/>
      <c r="B2" s="117"/>
      <c r="C2" s="117"/>
      <c r="D2" s="117"/>
      <c r="E2" s="117"/>
      <c r="F2" s="118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69"/>
      <c r="V2" s="70"/>
      <c r="W2" s="70"/>
      <c r="X2" s="70"/>
      <c r="Y2" s="70"/>
      <c r="Z2" s="71"/>
    </row>
    <row r="3" spans="1:26" ht="12.75" customHeight="1" x14ac:dyDescent="0.25">
      <c r="A3" s="116"/>
      <c r="B3" s="117"/>
      <c r="C3" s="117"/>
      <c r="D3" s="117"/>
      <c r="E3" s="117"/>
      <c r="F3" s="118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69"/>
      <c r="V3" s="70"/>
      <c r="W3" s="70"/>
      <c r="X3" s="70"/>
      <c r="Y3" s="70"/>
      <c r="Z3" s="71"/>
    </row>
    <row r="4" spans="1:26" ht="12.75" customHeight="1" x14ac:dyDescent="0.25">
      <c r="A4" s="116"/>
      <c r="B4" s="117"/>
      <c r="C4" s="117"/>
      <c r="D4" s="117"/>
      <c r="E4" s="117"/>
      <c r="F4" s="118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69"/>
      <c r="V4" s="70"/>
      <c r="W4" s="70"/>
      <c r="X4" s="70"/>
      <c r="Y4" s="70"/>
      <c r="Z4" s="71"/>
    </row>
    <row r="5" spans="1:26" ht="12.75" customHeight="1" x14ac:dyDescent="0.25">
      <c r="A5" s="116"/>
      <c r="B5" s="117"/>
      <c r="C5" s="117"/>
      <c r="D5" s="117"/>
      <c r="E5" s="117"/>
      <c r="F5" s="118"/>
      <c r="G5" s="128" t="s">
        <v>2</v>
      </c>
      <c r="H5" s="129"/>
      <c r="I5" s="133">
        <v>3</v>
      </c>
      <c r="J5" s="133"/>
      <c r="K5" s="134"/>
      <c r="L5" s="136" t="s">
        <v>3</v>
      </c>
      <c r="M5" s="137"/>
      <c r="N5" s="137"/>
      <c r="O5" s="138"/>
      <c r="P5" s="139" t="s">
        <v>4</v>
      </c>
      <c r="Q5" s="140"/>
      <c r="R5" s="140"/>
      <c r="S5" s="140"/>
      <c r="T5" s="141"/>
      <c r="U5" s="69"/>
      <c r="V5" s="70"/>
      <c r="W5" s="70"/>
      <c r="X5" s="70"/>
      <c r="Y5" s="70"/>
      <c r="Z5" s="71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5</v>
      </c>
      <c r="J6" s="135"/>
      <c r="K6" s="135"/>
      <c r="L6" s="135" t="s">
        <v>6</v>
      </c>
      <c r="M6" s="135"/>
      <c r="N6" s="135"/>
      <c r="O6" s="135"/>
      <c r="P6" s="135" t="s">
        <v>7</v>
      </c>
      <c r="Q6" s="135"/>
      <c r="R6" s="135"/>
      <c r="S6" s="135"/>
      <c r="T6" s="142"/>
      <c r="U6" s="72"/>
      <c r="V6" s="73"/>
      <c r="W6" s="73"/>
      <c r="X6" s="73"/>
      <c r="Y6" s="73"/>
      <c r="Z6" s="74"/>
    </row>
    <row r="7" spans="1:26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2" t="s">
        <v>12</v>
      </c>
      <c r="C10" s="112"/>
      <c r="D10" s="112"/>
      <c r="E10" s="112"/>
      <c r="F10" s="112"/>
      <c r="G10" s="112"/>
      <c r="H10" s="132" t="s">
        <v>13</v>
      </c>
      <c r="I10" s="132"/>
      <c r="J10" s="132"/>
      <c r="K10" s="132"/>
      <c r="L10" s="132"/>
      <c r="M10" s="132"/>
      <c r="N10" s="112" t="s">
        <v>14</v>
      </c>
      <c r="O10" s="112"/>
      <c r="P10" s="112"/>
      <c r="Q10" s="112"/>
      <c r="R10" s="112"/>
      <c r="S10" s="90" t="s">
        <v>15</v>
      </c>
      <c r="T10" s="90"/>
      <c r="U10" s="90"/>
      <c r="V10" s="90"/>
      <c r="W10" s="90"/>
      <c r="X10" s="90"/>
      <c r="Y10" s="90"/>
      <c r="Z10" s="12"/>
    </row>
    <row r="11" spans="1:26" ht="15.9" customHeight="1" x14ac:dyDescent="0.25">
      <c r="A11" s="9"/>
      <c r="B11" s="112" t="s">
        <v>16</v>
      </c>
      <c r="C11" s="112"/>
      <c r="D11" s="112"/>
      <c r="E11" s="112"/>
      <c r="F11" s="112"/>
      <c r="G11" s="112"/>
      <c r="H11" s="132" t="s">
        <v>4</v>
      </c>
      <c r="I11" s="132"/>
      <c r="J11" s="132"/>
      <c r="K11" s="132"/>
      <c r="L11" s="132"/>
      <c r="M11" s="132"/>
      <c r="N11" s="112" t="s">
        <v>17</v>
      </c>
      <c r="O11" s="112"/>
      <c r="P11" s="112"/>
      <c r="Q11" s="112"/>
      <c r="R11" s="112"/>
      <c r="S11" s="90" t="s">
        <v>18</v>
      </c>
      <c r="T11" s="90"/>
      <c r="U11" s="90"/>
      <c r="V11" s="90"/>
      <c r="W11" s="90"/>
      <c r="X11" s="90"/>
      <c r="Y11" s="90"/>
      <c r="Z11" s="12"/>
    </row>
    <row r="12" spans="1:26" ht="15.9" customHeight="1" x14ac:dyDescent="0.25">
      <c r="A12" s="9"/>
      <c r="B12" s="112" t="s">
        <v>19</v>
      </c>
      <c r="C12" s="112"/>
      <c r="D12" s="112"/>
      <c r="E12" s="112"/>
      <c r="F12" s="112"/>
      <c r="G12" s="112"/>
      <c r="H12" s="132" t="s">
        <v>55</v>
      </c>
      <c r="I12" s="132"/>
      <c r="J12" s="132"/>
      <c r="K12" s="132"/>
      <c r="L12" s="132"/>
      <c r="M12" s="132"/>
      <c r="N12" s="112" t="s">
        <v>21</v>
      </c>
      <c r="O12" s="112"/>
      <c r="P12" s="112"/>
      <c r="Q12" s="112"/>
      <c r="R12" s="112"/>
      <c r="S12" s="90" t="s">
        <v>53</v>
      </c>
      <c r="T12" s="90"/>
      <c r="U12" s="90"/>
      <c r="V12" s="90"/>
      <c r="W12" s="90"/>
      <c r="X12" s="90"/>
      <c r="Y12" s="9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1" t="s">
        <v>24</v>
      </c>
      <c r="C17" s="111"/>
      <c r="D17" s="111"/>
      <c r="E17" s="111"/>
      <c r="F17" s="111"/>
      <c r="G17" s="111"/>
      <c r="H17" s="11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28"/>
    </row>
    <row r="18" spans="1:26" s="17" customFormat="1" ht="15" customHeight="1" x14ac:dyDescent="0.25">
      <c r="A18" s="24"/>
      <c r="B18" s="111" t="s">
        <v>25</v>
      </c>
      <c r="C18" s="111"/>
      <c r="D18" s="111"/>
      <c r="E18" s="111"/>
      <c r="F18" s="111"/>
      <c r="G18" s="111"/>
      <c r="H18" s="111"/>
      <c r="I18" s="164" t="s">
        <v>26</v>
      </c>
      <c r="J18" s="164"/>
      <c r="K18" s="27"/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76" t="s">
        <v>30</v>
      </c>
      <c r="K21" s="176"/>
      <c r="L21" s="176"/>
      <c r="M21" s="176"/>
      <c r="N21" s="176"/>
      <c r="O21" s="176"/>
      <c r="P21" s="17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4" t="s">
        <v>31</v>
      </c>
      <c r="C23" s="91" t="s">
        <v>32</v>
      </c>
      <c r="D23" s="91"/>
      <c r="E23" s="91"/>
      <c r="F23" s="91"/>
      <c r="G23" s="92"/>
      <c r="H23" s="171" t="s">
        <v>33</v>
      </c>
      <c r="I23" s="172"/>
      <c r="J23" s="173"/>
      <c r="K23" s="91" t="s">
        <v>34</v>
      </c>
      <c r="L23" s="91"/>
      <c r="M23" s="91"/>
      <c r="N23" s="91"/>
      <c r="O23" s="91"/>
      <c r="P23" s="92"/>
      <c r="Z23" s="11"/>
    </row>
    <row r="24" spans="1:26" ht="15.75" customHeight="1" x14ac:dyDescent="0.25">
      <c r="A24" s="9"/>
      <c r="B24" s="175"/>
      <c r="C24" s="93"/>
      <c r="D24" s="93"/>
      <c r="E24" s="93"/>
      <c r="F24" s="93"/>
      <c r="G24" s="94"/>
      <c r="H24" s="168" t="s">
        <v>35</v>
      </c>
      <c r="I24" s="169"/>
      <c r="J24" s="170"/>
      <c r="K24" s="93"/>
      <c r="L24" s="93"/>
      <c r="M24" s="93"/>
      <c r="N24" s="93"/>
      <c r="O24" s="93"/>
      <c r="P24" s="94"/>
      <c r="Z24" s="11"/>
    </row>
    <row r="25" spans="1:26" ht="19.5" customHeight="1" x14ac:dyDescent="0.25">
      <c r="A25" s="9"/>
      <c r="B25" s="45">
        <v>1</v>
      </c>
      <c r="C25" s="75"/>
      <c r="D25" s="76"/>
      <c r="E25" s="76"/>
      <c r="F25" s="76"/>
      <c r="G25" s="77"/>
      <c r="H25" s="165">
        <v>64</v>
      </c>
      <c r="I25" s="166"/>
      <c r="J25" s="167"/>
      <c r="K25" s="75"/>
      <c r="L25" s="76"/>
      <c r="M25" s="76"/>
      <c r="N25" s="76"/>
      <c r="O25" s="76"/>
      <c r="P25" s="77"/>
      <c r="Z25" s="11"/>
    </row>
    <row r="26" spans="1:26" ht="19.5" customHeight="1" x14ac:dyDescent="0.25">
      <c r="A26" s="9"/>
      <c r="B26" s="45">
        <v>2</v>
      </c>
      <c r="C26" s="75"/>
      <c r="D26" s="76"/>
      <c r="E26" s="76"/>
      <c r="F26" s="76"/>
      <c r="G26" s="77"/>
      <c r="H26" s="165">
        <v>54</v>
      </c>
      <c r="I26" s="166"/>
      <c r="J26" s="167"/>
      <c r="K26" s="75"/>
      <c r="L26" s="76"/>
      <c r="M26" s="76"/>
      <c r="N26" s="76"/>
      <c r="O26" s="76"/>
      <c r="P26" s="77"/>
      <c r="Z26" s="11"/>
    </row>
    <row r="27" spans="1:26" ht="19.5" customHeight="1" x14ac:dyDescent="0.25">
      <c r="A27" s="9"/>
      <c r="B27" s="45">
        <v>3</v>
      </c>
      <c r="C27" s="75"/>
      <c r="D27" s="76"/>
      <c r="E27" s="76"/>
      <c r="F27" s="76"/>
      <c r="G27" s="77"/>
      <c r="H27" s="165">
        <v>57</v>
      </c>
      <c r="I27" s="166"/>
      <c r="J27" s="167"/>
      <c r="K27" s="75"/>
      <c r="L27" s="76"/>
      <c r="M27" s="76"/>
      <c r="N27" s="76"/>
      <c r="O27" s="76"/>
      <c r="P27" s="77"/>
      <c r="Z27" s="11"/>
    </row>
    <row r="28" spans="1:26" ht="19.5" customHeight="1" x14ac:dyDescent="0.25">
      <c r="A28" s="9"/>
      <c r="B28" s="45"/>
      <c r="C28" s="75"/>
      <c r="D28" s="76"/>
      <c r="E28" s="76"/>
      <c r="F28" s="76"/>
      <c r="G28" s="77"/>
      <c r="H28" s="165"/>
      <c r="I28" s="166"/>
      <c r="J28" s="167"/>
      <c r="K28" s="75"/>
      <c r="L28" s="76"/>
      <c r="M28" s="76"/>
      <c r="N28" s="76"/>
      <c r="O28" s="76"/>
      <c r="P28" s="77"/>
      <c r="Z28" s="11"/>
    </row>
    <row r="29" spans="1:26" ht="19.5" customHeight="1" x14ac:dyDescent="0.25">
      <c r="A29" s="9"/>
      <c r="B29" s="45"/>
      <c r="C29" s="75"/>
      <c r="D29" s="76"/>
      <c r="E29" s="76"/>
      <c r="F29" s="76"/>
      <c r="G29" s="77"/>
      <c r="H29" s="165"/>
      <c r="I29" s="166"/>
      <c r="J29" s="167"/>
      <c r="K29" s="75"/>
      <c r="L29" s="76"/>
      <c r="M29" s="76"/>
      <c r="N29" s="76"/>
      <c r="O29" s="76"/>
      <c r="P29" s="77"/>
      <c r="Z29" s="11"/>
    </row>
    <row r="30" spans="1:26" ht="19.5" customHeight="1" x14ac:dyDescent="0.25">
      <c r="A30" s="9"/>
      <c r="B30" s="45"/>
      <c r="C30" s="75"/>
      <c r="D30" s="76"/>
      <c r="E30" s="76"/>
      <c r="F30" s="76"/>
      <c r="G30" s="77"/>
      <c r="H30" s="165"/>
      <c r="I30" s="166"/>
      <c r="J30" s="167"/>
      <c r="K30" s="75"/>
      <c r="L30" s="76"/>
      <c r="M30" s="76"/>
      <c r="N30" s="76"/>
      <c r="O30" s="76"/>
      <c r="P30" s="77"/>
      <c r="Z30" s="11"/>
    </row>
    <row r="31" spans="1:26" ht="19.5" customHeight="1" x14ac:dyDescent="0.25">
      <c r="A31" s="9"/>
      <c r="B31" s="45"/>
      <c r="C31" s="75"/>
      <c r="D31" s="76"/>
      <c r="E31" s="76"/>
      <c r="F31" s="76"/>
      <c r="G31" s="77"/>
      <c r="H31" s="165"/>
      <c r="I31" s="166"/>
      <c r="J31" s="167"/>
      <c r="K31" s="75"/>
      <c r="L31" s="76"/>
      <c r="M31" s="76"/>
      <c r="N31" s="76"/>
      <c r="O31" s="76"/>
      <c r="P31" s="77"/>
      <c r="Z31" s="11"/>
    </row>
    <row r="32" spans="1:26" ht="19.5" customHeight="1" x14ac:dyDescent="0.25">
      <c r="A32" s="9"/>
      <c r="B32" s="45"/>
      <c r="C32" s="75"/>
      <c r="D32" s="76"/>
      <c r="E32" s="76"/>
      <c r="F32" s="76"/>
      <c r="G32" s="77"/>
      <c r="H32" s="165"/>
      <c r="I32" s="166"/>
      <c r="J32" s="167"/>
      <c r="K32" s="75"/>
      <c r="L32" s="76"/>
      <c r="M32" s="76"/>
      <c r="N32" s="76"/>
      <c r="O32" s="76"/>
      <c r="P32" s="77"/>
      <c r="Z32" s="11"/>
    </row>
    <row r="33" spans="1:26" ht="19.5" customHeight="1" x14ac:dyDescent="0.25">
      <c r="A33" s="9"/>
      <c r="B33" s="45"/>
      <c r="C33" s="75"/>
      <c r="D33" s="76"/>
      <c r="E33" s="76"/>
      <c r="F33" s="76"/>
      <c r="G33" s="77"/>
      <c r="H33" s="165"/>
      <c r="I33" s="166"/>
      <c r="J33" s="167"/>
      <c r="K33" s="75"/>
      <c r="L33" s="76"/>
      <c r="M33" s="76"/>
      <c r="N33" s="76"/>
      <c r="O33" s="76"/>
      <c r="P33" s="77"/>
      <c r="Z33" s="11"/>
    </row>
    <row r="34" spans="1:26" ht="19.5" customHeight="1" x14ac:dyDescent="0.25">
      <c r="A34" s="9"/>
      <c r="B34" s="45"/>
      <c r="C34" s="75"/>
      <c r="D34" s="76"/>
      <c r="E34" s="76"/>
      <c r="F34" s="76"/>
      <c r="G34" s="77"/>
      <c r="H34" s="165"/>
      <c r="I34" s="166"/>
      <c r="J34" s="167"/>
      <c r="K34" s="75"/>
      <c r="L34" s="76"/>
      <c r="M34" s="76"/>
      <c r="N34" s="76"/>
      <c r="O34" s="76"/>
      <c r="P34" s="77"/>
      <c r="Z34" s="11"/>
    </row>
    <row r="35" spans="1:26" ht="19.5" customHeight="1" x14ac:dyDescent="0.25">
      <c r="A35" s="9"/>
      <c r="B35" s="45"/>
      <c r="C35" s="75"/>
      <c r="D35" s="76"/>
      <c r="E35" s="76"/>
      <c r="F35" s="76"/>
      <c r="G35" s="77"/>
      <c r="H35" s="165"/>
      <c r="I35" s="166"/>
      <c r="J35" s="167"/>
      <c r="K35" s="75"/>
      <c r="L35" s="76"/>
      <c r="M35" s="76"/>
      <c r="N35" s="76"/>
      <c r="O35" s="76"/>
      <c r="P35" s="77"/>
      <c r="Z35" s="11"/>
    </row>
    <row r="36" spans="1:26" ht="19.5" customHeight="1" x14ac:dyDescent="0.25">
      <c r="A36" s="9"/>
      <c r="B36" s="45"/>
      <c r="C36" s="75"/>
      <c r="D36" s="76"/>
      <c r="E36" s="76"/>
      <c r="F36" s="76"/>
      <c r="G36" s="77"/>
      <c r="H36" s="165"/>
      <c r="I36" s="166"/>
      <c r="J36" s="167"/>
      <c r="K36" s="75"/>
      <c r="L36" s="76"/>
      <c r="M36" s="76"/>
      <c r="N36" s="76"/>
      <c r="O36" s="76"/>
      <c r="P36" s="77"/>
      <c r="Z36" s="11"/>
    </row>
    <row r="37" spans="1:26" ht="19.5" customHeight="1" x14ac:dyDescent="0.25">
      <c r="A37" s="9"/>
      <c r="B37" s="45"/>
      <c r="C37" s="75"/>
      <c r="D37" s="76"/>
      <c r="E37" s="76"/>
      <c r="F37" s="76"/>
      <c r="G37" s="77"/>
      <c r="H37" s="165"/>
      <c r="I37" s="166"/>
      <c r="J37" s="167"/>
      <c r="K37" s="75"/>
      <c r="L37" s="76"/>
      <c r="M37" s="76"/>
      <c r="N37" s="76"/>
      <c r="O37" s="76"/>
      <c r="P37" s="77"/>
      <c r="Z37" s="11"/>
    </row>
    <row r="38" spans="1:26" ht="19.5" customHeight="1" x14ac:dyDescent="0.25">
      <c r="A38" s="9"/>
      <c r="B38" s="45"/>
      <c r="C38" s="75"/>
      <c r="D38" s="76"/>
      <c r="E38" s="76"/>
      <c r="F38" s="76"/>
      <c r="G38" s="77"/>
      <c r="H38" s="165"/>
      <c r="I38" s="166"/>
      <c r="J38" s="167"/>
      <c r="K38" s="75"/>
      <c r="L38" s="76"/>
      <c r="M38" s="76"/>
      <c r="N38" s="76"/>
      <c r="O38" s="76"/>
      <c r="P38" s="77"/>
      <c r="Z38" s="11"/>
    </row>
    <row r="39" spans="1:26" ht="19.5" customHeight="1" x14ac:dyDescent="0.25">
      <c r="A39" s="9"/>
      <c r="B39" s="45"/>
      <c r="C39" s="75"/>
      <c r="D39" s="76"/>
      <c r="E39" s="76"/>
      <c r="F39" s="76"/>
      <c r="G39" s="77"/>
      <c r="H39" s="165"/>
      <c r="I39" s="166"/>
      <c r="J39" s="167"/>
      <c r="K39" s="75"/>
      <c r="L39" s="76"/>
      <c r="M39" s="76"/>
      <c r="N39" s="76"/>
      <c r="O39" s="76"/>
      <c r="P39" s="77"/>
      <c r="Z39" s="11"/>
    </row>
    <row r="40" spans="1:26" ht="19.5" customHeight="1" x14ac:dyDescent="0.25">
      <c r="A40" s="9"/>
      <c r="B40" s="45"/>
      <c r="C40" s="75"/>
      <c r="D40" s="76"/>
      <c r="E40" s="76"/>
      <c r="F40" s="76"/>
      <c r="G40" s="77"/>
      <c r="H40" s="165"/>
      <c r="I40" s="166"/>
      <c r="J40" s="167"/>
      <c r="K40" s="75"/>
      <c r="L40" s="76"/>
      <c r="M40" s="76"/>
      <c r="N40" s="76"/>
      <c r="O40" s="76"/>
      <c r="P40" s="77"/>
      <c r="Z40" s="11"/>
    </row>
    <row r="41" spans="1:26" ht="19.5" customHeight="1" x14ac:dyDescent="0.25">
      <c r="A41" s="9"/>
      <c r="B41" s="45"/>
      <c r="C41" s="75"/>
      <c r="D41" s="76"/>
      <c r="E41" s="76"/>
      <c r="F41" s="76"/>
      <c r="G41" s="77"/>
      <c r="H41" s="165"/>
      <c r="I41" s="166"/>
      <c r="J41" s="167"/>
      <c r="K41" s="75"/>
      <c r="L41" s="76"/>
      <c r="M41" s="76"/>
      <c r="N41" s="76"/>
      <c r="O41" s="76"/>
      <c r="P41" s="77"/>
      <c r="Z41" s="11"/>
    </row>
    <row r="42" spans="1:26" ht="19.5" customHeight="1" x14ac:dyDescent="0.25">
      <c r="A42" s="9"/>
      <c r="B42" s="45"/>
      <c r="C42" s="75"/>
      <c r="D42" s="76"/>
      <c r="E42" s="76"/>
      <c r="F42" s="76"/>
      <c r="G42" s="77"/>
      <c r="H42" s="165"/>
      <c r="I42" s="166"/>
      <c r="J42" s="167"/>
      <c r="K42" s="75"/>
      <c r="L42" s="76"/>
      <c r="M42" s="76"/>
      <c r="N42" s="76"/>
      <c r="O42" s="76"/>
      <c r="P42" s="77"/>
      <c r="Z42" s="11"/>
    </row>
    <row r="43" spans="1:26" ht="19.5" customHeight="1" x14ac:dyDescent="0.25">
      <c r="A43" s="9"/>
      <c r="B43" s="45"/>
      <c r="C43" s="75"/>
      <c r="D43" s="76"/>
      <c r="E43" s="76"/>
      <c r="F43" s="76"/>
      <c r="G43" s="77"/>
      <c r="H43" s="165"/>
      <c r="I43" s="166"/>
      <c r="J43" s="167"/>
      <c r="K43" s="75"/>
      <c r="L43" s="76"/>
      <c r="M43" s="76"/>
      <c r="N43" s="76"/>
      <c r="O43" s="76"/>
      <c r="P43" s="77"/>
      <c r="Z43" s="11"/>
    </row>
    <row r="44" spans="1:26" ht="19.5" customHeight="1" x14ac:dyDescent="0.25">
      <c r="A44" s="9"/>
      <c r="B44" s="45"/>
      <c r="C44" s="75"/>
      <c r="D44" s="76"/>
      <c r="E44" s="76"/>
      <c r="F44" s="76"/>
      <c r="G44" s="77"/>
      <c r="H44" s="165"/>
      <c r="I44" s="166"/>
      <c r="J44" s="167"/>
      <c r="K44" s="75"/>
      <c r="L44" s="76"/>
      <c r="M44" s="76"/>
      <c r="N44" s="76"/>
      <c r="O44" s="76"/>
      <c r="P44" s="77"/>
      <c r="Z44" s="11"/>
    </row>
    <row r="45" spans="1:26" ht="19.5" customHeight="1" x14ac:dyDescent="0.25">
      <c r="A45" s="9"/>
      <c r="B45" s="45"/>
      <c r="C45" s="75"/>
      <c r="D45" s="76"/>
      <c r="E45" s="76"/>
      <c r="F45" s="76"/>
      <c r="G45" s="77"/>
      <c r="H45" s="165"/>
      <c r="I45" s="166"/>
      <c r="J45" s="167"/>
      <c r="K45" s="75"/>
      <c r="L45" s="76"/>
      <c r="M45" s="76"/>
      <c r="N45" s="76"/>
      <c r="O45" s="76"/>
      <c r="P45" s="77"/>
      <c r="Z45" s="11"/>
    </row>
    <row r="46" spans="1:26" s="1" customFormat="1" ht="19.5" customHeight="1" thickBot="1" x14ac:dyDescent="0.3">
      <c r="A46" s="9"/>
      <c r="B46" s="46"/>
      <c r="C46" s="100"/>
      <c r="D46" s="100"/>
      <c r="E46" s="100"/>
      <c r="F46" s="100"/>
      <c r="G46" s="101"/>
      <c r="H46" s="96"/>
      <c r="I46" s="97"/>
      <c r="J46" s="98"/>
      <c r="K46" s="99"/>
      <c r="L46" s="100"/>
      <c r="M46" s="100"/>
      <c r="N46" s="100"/>
      <c r="O46" s="100"/>
      <c r="P46" s="101"/>
      <c r="Z46" s="11"/>
    </row>
    <row r="47" spans="1:26" s="1" customFormat="1" ht="15.75" customHeight="1" x14ac:dyDescent="0.25">
      <c r="A47" s="9"/>
      <c r="B47" s="183" t="s">
        <v>36</v>
      </c>
      <c r="C47" s="184"/>
      <c r="D47" s="184"/>
      <c r="E47" s="184"/>
      <c r="F47" s="184"/>
      <c r="G47" s="185"/>
      <c r="H47" s="105">
        <f>AVERAGE(H25:J46)</f>
        <v>58.333333333333336</v>
      </c>
      <c r="I47" s="106"/>
      <c r="J47" s="107"/>
      <c r="K47" s="84"/>
      <c r="L47" s="85"/>
      <c r="M47" s="78" t="s">
        <v>37</v>
      </c>
      <c r="N47" s="78"/>
      <c r="O47" s="78"/>
      <c r="P47" s="79"/>
      <c r="Z47" s="11"/>
    </row>
    <row r="48" spans="1:26" s="1" customFormat="1" ht="15.75" customHeight="1" x14ac:dyDescent="0.25">
      <c r="A48" s="9"/>
      <c r="B48" s="177" t="s">
        <v>38</v>
      </c>
      <c r="C48" s="178"/>
      <c r="D48" s="178"/>
      <c r="E48" s="178"/>
      <c r="F48" s="178"/>
      <c r="G48" s="179"/>
      <c r="H48" s="108">
        <f>IF(COUNTIF(H25:J46,"*&lt;20*"),"&lt;20",MIN(H25:J46))</f>
        <v>54</v>
      </c>
      <c r="I48" s="109"/>
      <c r="J48" s="110"/>
      <c r="K48" s="86"/>
      <c r="L48" s="87"/>
      <c r="M48" s="80"/>
      <c r="N48" s="80"/>
      <c r="O48" s="80"/>
      <c r="P48" s="81"/>
      <c r="Z48" s="11"/>
    </row>
    <row r="49" spans="1:26" s="1" customFormat="1" ht="15.75" customHeight="1" thickBot="1" x14ac:dyDescent="0.3">
      <c r="A49" s="9"/>
      <c r="B49" s="180" t="s">
        <v>39</v>
      </c>
      <c r="C49" s="181"/>
      <c r="D49" s="181"/>
      <c r="E49" s="181"/>
      <c r="F49" s="181"/>
      <c r="G49" s="182"/>
      <c r="H49" s="102">
        <f>IF(COUNTIF(H25:J46,"*&gt;250*"),"&gt;250",MAX(H25:J46))</f>
        <v>64</v>
      </c>
      <c r="I49" s="103"/>
      <c r="J49" s="104"/>
      <c r="K49" s="88"/>
      <c r="L49" s="89"/>
      <c r="M49" s="82"/>
      <c r="N49" s="82"/>
      <c r="O49" s="82"/>
      <c r="P49" s="83"/>
      <c r="Z49" s="11"/>
    </row>
    <row r="50" spans="1:26" s="1" customFormat="1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s="1" customFormat="1" ht="12.75" customHeight="1" x14ac:dyDescent="0.25">
      <c r="A51" s="36"/>
      <c r="B51" s="37"/>
    </row>
    <row r="52" spans="1:26" s="17" customFormat="1" ht="15.6" customHeight="1" x14ac:dyDescent="0.25">
      <c r="A52" s="48" t="s">
        <v>40</v>
      </c>
      <c r="B52" s="5" t="s">
        <v>41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55" t="s">
        <v>42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7"/>
      <c r="R53" s="149" t="s">
        <v>43</v>
      </c>
      <c r="S53" s="150"/>
      <c r="T53" s="151"/>
      <c r="U53" s="186" t="s">
        <v>44</v>
      </c>
      <c r="V53" s="187"/>
      <c r="W53" s="187"/>
      <c r="X53" s="188"/>
      <c r="Y53" s="188"/>
      <c r="Z53" s="189"/>
    </row>
    <row r="54" spans="1:26" s="17" customFormat="1" ht="15.6" customHeight="1" x14ac:dyDescent="0.25">
      <c r="A54" s="158" t="s">
        <v>54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60"/>
      <c r="R54" s="149" t="s">
        <v>46</v>
      </c>
      <c r="S54" s="150"/>
      <c r="T54" s="151"/>
      <c r="U54" s="190" t="s">
        <v>47</v>
      </c>
      <c r="V54" s="191"/>
      <c r="W54" s="191"/>
      <c r="X54" s="192"/>
      <c r="Y54" s="192"/>
      <c r="Z54" s="193"/>
    </row>
    <row r="55" spans="1:26" s="17" customFormat="1" ht="15.6" customHeight="1" x14ac:dyDescent="0.25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49"/>
      <c r="S55" s="150"/>
      <c r="T55" s="151"/>
      <c r="U55" s="194"/>
      <c r="V55" s="80"/>
      <c r="W55" s="80"/>
      <c r="X55" s="195"/>
      <c r="Y55" s="195"/>
      <c r="Z55" s="196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49"/>
      <c r="S56" s="150"/>
      <c r="T56" s="151"/>
      <c r="U56" s="197"/>
      <c r="V56" s="198"/>
      <c r="W56" s="198"/>
      <c r="X56" s="199"/>
      <c r="Y56" s="199"/>
      <c r="Z56" s="200"/>
    </row>
    <row r="57" spans="1:26" s="17" customFormat="1" ht="15.6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5"/>
      <c r="R57" s="149" t="s">
        <v>50</v>
      </c>
      <c r="S57" s="150"/>
      <c r="T57" s="151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5"/>
      <c r="R58" s="149"/>
      <c r="S58" s="150"/>
      <c r="T58" s="151"/>
      <c r="U58" s="61"/>
      <c r="V58" s="80"/>
      <c r="W58" s="80"/>
      <c r="X58" s="80"/>
      <c r="Y58" s="80"/>
      <c r="Z58" s="62"/>
    </row>
    <row r="59" spans="1:26" s="17" customFormat="1" ht="15.6" customHeight="1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5"/>
      <c r="R59" s="149"/>
      <c r="S59" s="150"/>
      <c r="T59" s="151"/>
      <c r="U59" s="61"/>
      <c r="V59" s="80"/>
      <c r="W59" s="80"/>
      <c r="X59" s="80"/>
      <c r="Y59" s="80"/>
      <c r="Z59" s="62"/>
    </row>
    <row r="60" spans="1:26" s="17" customFormat="1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52"/>
      <c r="S60" s="153"/>
      <c r="T60" s="154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s="1" customFormat="1" ht="12.75" customHeight="1" x14ac:dyDescent="0.25"/>
    <row r="64" spans="1:26" s="1" customFormat="1" ht="12.75" customHeight="1" x14ac:dyDescent="0.25"/>
    <row r="65" s="1" customFormat="1" ht="12.75" customHeight="1" x14ac:dyDescent="0.25"/>
    <row r="66" s="1" customFormat="1" ht="12.75" customHeight="1" x14ac:dyDescent="0.25"/>
    <row r="67" s="1" customFormat="1" ht="12.75" customHeight="1" x14ac:dyDescent="0.25"/>
    <row r="68" s="1" customFormat="1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6:G46"/>
    <mergeCell ref="H46:J46"/>
    <mergeCell ref="K46:P46"/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11B4-DF46-4403-81C9-0D4A1DC803DE}">
  <sheetPr>
    <pageSetUpPr fitToPage="1"/>
  </sheetPr>
  <dimension ref="A1:AA68"/>
  <sheetViews>
    <sheetView tabSelected="1" topLeftCell="A44" workbookViewId="0">
      <selection activeCell="T41" sqref="T4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66" t="s">
        <v>51</v>
      </c>
      <c r="V1" s="67"/>
      <c r="W1" s="67"/>
      <c r="X1" s="67"/>
      <c r="Y1" s="67"/>
      <c r="Z1" s="68"/>
    </row>
    <row r="2" spans="1:26" ht="12.75" customHeight="1" x14ac:dyDescent="0.25">
      <c r="A2" s="116"/>
      <c r="B2" s="117"/>
      <c r="C2" s="117"/>
      <c r="D2" s="117"/>
      <c r="E2" s="117"/>
      <c r="F2" s="118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69"/>
      <c r="V2" s="70"/>
      <c r="W2" s="70"/>
      <c r="X2" s="70"/>
      <c r="Y2" s="70"/>
      <c r="Z2" s="71"/>
    </row>
    <row r="3" spans="1:26" ht="12.75" customHeight="1" x14ac:dyDescent="0.25">
      <c r="A3" s="116"/>
      <c r="B3" s="117"/>
      <c r="C3" s="117"/>
      <c r="D3" s="117"/>
      <c r="E3" s="117"/>
      <c r="F3" s="118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69"/>
      <c r="V3" s="70"/>
      <c r="W3" s="70"/>
      <c r="X3" s="70"/>
      <c r="Y3" s="70"/>
      <c r="Z3" s="71"/>
    </row>
    <row r="4" spans="1:26" ht="12.75" customHeight="1" x14ac:dyDescent="0.25">
      <c r="A4" s="116"/>
      <c r="B4" s="117"/>
      <c r="C4" s="117"/>
      <c r="D4" s="117"/>
      <c r="E4" s="117"/>
      <c r="F4" s="118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69"/>
      <c r="V4" s="70"/>
      <c r="W4" s="70"/>
      <c r="X4" s="70"/>
      <c r="Y4" s="70"/>
      <c r="Z4" s="71"/>
    </row>
    <row r="5" spans="1:26" ht="12.75" customHeight="1" x14ac:dyDescent="0.25">
      <c r="A5" s="116"/>
      <c r="B5" s="117"/>
      <c r="C5" s="117"/>
      <c r="D5" s="117"/>
      <c r="E5" s="117"/>
      <c r="F5" s="118"/>
      <c r="G5" s="128" t="s">
        <v>2</v>
      </c>
      <c r="H5" s="129"/>
      <c r="I5" s="133">
        <v>2</v>
      </c>
      <c r="J5" s="133"/>
      <c r="K5" s="134"/>
      <c r="L5" s="136" t="s">
        <v>3</v>
      </c>
      <c r="M5" s="137"/>
      <c r="N5" s="137"/>
      <c r="O5" s="138"/>
      <c r="P5" s="139" t="s">
        <v>4</v>
      </c>
      <c r="Q5" s="140"/>
      <c r="R5" s="140"/>
      <c r="S5" s="140"/>
      <c r="T5" s="141"/>
      <c r="U5" s="69"/>
      <c r="V5" s="70"/>
      <c r="W5" s="70"/>
      <c r="X5" s="70"/>
      <c r="Y5" s="70"/>
      <c r="Z5" s="71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5</v>
      </c>
      <c r="J6" s="135"/>
      <c r="K6" s="135"/>
      <c r="L6" s="135" t="s">
        <v>6</v>
      </c>
      <c r="M6" s="135"/>
      <c r="N6" s="135"/>
      <c r="O6" s="135"/>
      <c r="P6" s="135" t="s">
        <v>7</v>
      </c>
      <c r="Q6" s="135"/>
      <c r="R6" s="135"/>
      <c r="S6" s="135"/>
      <c r="T6" s="142"/>
      <c r="U6" s="72"/>
      <c r="V6" s="73"/>
      <c r="W6" s="73"/>
      <c r="X6" s="73"/>
      <c r="Y6" s="73"/>
      <c r="Z6" s="74"/>
    </row>
    <row r="7" spans="1:26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2" t="s">
        <v>12</v>
      </c>
      <c r="C10" s="112"/>
      <c r="D10" s="112"/>
      <c r="E10" s="112"/>
      <c r="F10" s="112"/>
      <c r="G10" s="112"/>
      <c r="H10" s="132" t="s">
        <v>13</v>
      </c>
      <c r="I10" s="132"/>
      <c r="J10" s="132"/>
      <c r="K10" s="132"/>
      <c r="L10" s="132"/>
      <c r="M10" s="132"/>
      <c r="N10" s="112" t="s">
        <v>14</v>
      </c>
      <c r="O10" s="112"/>
      <c r="P10" s="112"/>
      <c r="Q10" s="112"/>
      <c r="R10" s="112"/>
      <c r="S10" s="90" t="s">
        <v>15</v>
      </c>
      <c r="T10" s="90"/>
      <c r="U10" s="90"/>
      <c r="V10" s="90"/>
      <c r="W10" s="90"/>
      <c r="X10" s="90"/>
      <c r="Y10" s="90"/>
      <c r="Z10" s="12"/>
    </row>
    <row r="11" spans="1:26" ht="15.9" customHeight="1" x14ac:dyDescent="0.25">
      <c r="A11" s="9"/>
      <c r="B11" s="112" t="s">
        <v>16</v>
      </c>
      <c r="C11" s="112"/>
      <c r="D11" s="112"/>
      <c r="E11" s="112"/>
      <c r="F11" s="112"/>
      <c r="G11" s="112"/>
      <c r="H11" s="132" t="s">
        <v>4</v>
      </c>
      <c r="I11" s="132"/>
      <c r="J11" s="132"/>
      <c r="K11" s="132"/>
      <c r="L11" s="132"/>
      <c r="M11" s="132"/>
      <c r="N11" s="112" t="s">
        <v>17</v>
      </c>
      <c r="O11" s="112"/>
      <c r="P11" s="112"/>
      <c r="Q11" s="112"/>
      <c r="R11" s="112"/>
      <c r="S11" s="90" t="s">
        <v>18</v>
      </c>
      <c r="T11" s="90"/>
      <c r="U11" s="90"/>
      <c r="V11" s="90"/>
      <c r="W11" s="90"/>
      <c r="X11" s="90"/>
      <c r="Y11" s="90"/>
      <c r="Z11" s="12"/>
    </row>
    <row r="12" spans="1:26" ht="15.9" customHeight="1" x14ac:dyDescent="0.25">
      <c r="A12" s="9"/>
      <c r="B12" s="112" t="s">
        <v>19</v>
      </c>
      <c r="C12" s="112"/>
      <c r="D12" s="112"/>
      <c r="E12" s="112"/>
      <c r="F12" s="112"/>
      <c r="G12" s="112"/>
      <c r="H12" s="132" t="s">
        <v>20</v>
      </c>
      <c r="I12" s="132"/>
      <c r="J12" s="132"/>
      <c r="K12" s="132"/>
      <c r="L12" s="132"/>
      <c r="M12" s="132"/>
      <c r="N12" s="112" t="s">
        <v>21</v>
      </c>
      <c r="O12" s="112"/>
      <c r="P12" s="112"/>
      <c r="Q12" s="112"/>
      <c r="R12" s="112"/>
      <c r="S12" s="90" t="s">
        <v>53</v>
      </c>
      <c r="T12" s="90"/>
      <c r="U12" s="90"/>
      <c r="V12" s="90"/>
      <c r="W12" s="90"/>
      <c r="X12" s="90"/>
      <c r="Y12" s="9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1" t="s">
        <v>24</v>
      </c>
      <c r="C17" s="111"/>
      <c r="D17" s="111"/>
      <c r="E17" s="111"/>
      <c r="F17" s="111"/>
      <c r="G17" s="111"/>
      <c r="H17" s="11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28"/>
    </row>
    <row r="18" spans="1:26" s="17" customFormat="1" ht="15" customHeight="1" x14ac:dyDescent="0.25">
      <c r="A18" s="24"/>
      <c r="B18" s="111" t="s">
        <v>25</v>
      </c>
      <c r="C18" s="111"/>
      <c r="D18" s="111"/>
      <c r="E18" s="111"/>
      <c r="F18" s="111"/>
      <c r="G18" s="111"/>
      <c r="H18" s="111"/>
      <c r="I18" s="164" t="s">
        <v>26</v>
      </c>
      <c r="J18" s="164"/>
      <c r="K18" s="27">
        <v>80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76" t="s">
        <v>30</v>
      </c>
      <c r="K21" s="176"/>
      <c r="L21" s="176"/>
      <c r="M21" s="176"/>
      <c r="N21" s="176"/>
      <c r="O21" s="176"/>
      <c r="P21" s="17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4" t="s">
        <v>31</v>
      </c>
      <c r="C23" s="91" t="s">
        <v>32</v>
      </c>
      <c r="D23" s="91"/>
      <c r="E23" s="91"/>
      <c r="F23" s="91"/>
      <c r="G23" s="92"/>
      <c r="H23" s="171" t="s">
        <v>33</v>
      </c>
      <c r="I23" s="172"/>
      <c r="J23" s="173"/>
      <c r="K23" s="91" t="s">
        <v>34</v>
      </c>
      <c r="L23" s="91"/>
      <c r="M23" s="91"/>
      <c r="N23" s="91"/>
      <c r="O23" s="91"/>
      <c r="P23" s="92"/>
      <c r="Z23" s="11"/>
    </row>
    <row r="24" spans="1:26" ht="15.75" customHeight="1" x14ac:dyDescent="0.25">
      <c r="A24" s="9"/>
      <c r="B24" s="175"/>
      <c r="C24" s="93"/>
      <c r="D24" s="93"/>
      <c r="E24" s="93"/>
      <c r="F24" s="93"/>
      <c r="G24" s="94"/>
      <c r="H24" s="168" t="s">
        <v>35</v>
      </c>
      <c r="I24" s="169"/>
      <c r="J24" s="170"/>
      <c r="K24" s="93"/>
      <c r="L24" s="93"/>
      <c r="M24" s="93"/>
      <c r="N24" s="93"/>
      <c r="O24" s="93"/>
      <c r="P24" s="94"/>
      <c r="Z24" s="11"/>
    </row>
    <row r="25" spans="1:26" ht="19.5" customHeight="1" x14ac:dyDescent="0.25">
      <c r="A25" s="9"/>
      <c r="B25" s="45">
        <v>1</v>
      </c>
      <c r="C25" s="75"/>
      <c r="D25" s="76"/>
      <c r="E25" s="76"/>
      <c r="F25" s="76"/>
      <c r="G25" s="77"/>
      <c r="H25" s="165">
        <v>103</v>
      </c>
      <c r="I25" s="166"/>
      <c r="J25" s="167"/>
      <c r="K25" s="75"/>
      <c r="L25" s="76"/>
      <c r="M25" s="76"/>
      <c r="N25" s="76"/>
      <c r="O25" s="76"/>
      <c r="P25" s="77"/>
      <c r="Z25" s="11"/>
    </row>
    <row r="26" spans="1:26" ht="19.5" customHeight="1" x14ac:dyDescent="0.25">
      <c r="A26" s="9"/>
      <c r="B26" s="45">
        <v>2</v>
      </c>
      <c r="C26" s="75"/>
      <c r="D26" s="76"/>
      <c r="E26" s="76"/>
      <c r="F26" s="76"/>
      <c r="G26" s="77"/>
      <c r="H26" s="165">
        <v>109</v>
      </c>
      <c r="I26" s="166"/>
      <c r="J26" s="167"/>
      <c r="K26" s="75"/>
      <c r="L26" s="76"/>
      <c r="M26" s="76"/>
      <c r="N26" s="76"/>
      <c r="O26" s="76"/>
      <c r="P26" s="77"/>
      <c r="Z26" s="11"/>
    </row>
    <row r="27" spans="1:26" ht="19.5" customHeight="1" x14ac:dyDescent="0.25">
      <c r="A27" s="9"/>
      <c r="B27" s="45">
        <v>3</v>
      </c>
      <c r="C27" s="75"/>
      <c r="D27" s="76"/>
      <c r="E27" s="76"/>
      <c r="F27" s="76"/>
      <c r="G27" s="77"/>
      <c r="H27" s="165">
        <v>99</v>
      </c>
      <c r="I27" s="166"/>
      <c r="J27" s="167"/>
      <c r="K27" s="75"/>
      <c r="L27" s="76"/>
      <c r="M27" s="76"/>
      <c r="N27" s="76"/>
      <c r="O27" s="76"/>
      <c r="P27" s="77"/>
      <c r="Z27" s="11"/>
    </row>
    <row r="28" spans="1:26" ht="19.5" customHeight="1" x14ac:dyDescent="0.25">
      <c r="A28" s="9"/>
      <c r="B28" s="45">
        <v>4</v>
      </c>
      <c r="C28" s="75"/>
      <c r="D28" s="76"/>
      <c r="E28" s="76"/>
      <c r="F28" s="76"/>
      <c r="G28" s="77"/>
      <c r="H28" s="165">
        <v>100</v>
      </c>
      <c r="I28" s="166"/>
      <c r="J28" s="167"/>
      <c r="K28" s="75"/>
      <c r="L28" s="76"/>
      <c r="M28" s="76"/>
      <c r="N28" s="76"/>
      <c r="O28" s="76"/>
      <c r="P28" s="77"/>
      <c r="Z28" s="11"/>
    </row>
    <row r="29" spans="1:26" ht="19.5" customHeight="1" x14ac:dyDescent="0.25">
      <c r="A29" s="9"/>
      <c r="B29" s="45">
        <v>5</v>
      </c>
      <c r="C29" s="75"/>
      <c r="D29" s="76"/>
      <c r="E29" s="76"/>
      <c r="F29" s="76"/>
      <c r="G29" s="77"/>
      <c r="H29" s="165">
        <v>94</v>
      </c>
      <c r="I29" s="166"/>
      <c r="J29" s="167"/>
      <c r="K29" s="75"/>
      <c r="L29" s="76"/>
      <c r="M29" s="76"/>
      <c r="N29" s="76"/>
      <c r="O29" s="76"/>
      <c r="P29" s="77"/>
      <c r="Z29" s="11"/>
    </row>
    <row r="30" spans="1:26" ht="19.5" customHeight="1" x14ac:dyDescent="0.25">
      <c r="A30" s="9"/>
      <c r="B30" s="45">
        <v>6</v>
      </c>
      <c r="C30" s="75"/>
      <c r="D30" s="76"/>
      <c r="E30" s="76"/>
      <c r="F30" s="76"/>
      <c r="G30" s="77"/>
      <c r="H30" s="165">
        <v>95</v>
      </c>
      <c r="I30" s="166"/>
      <c r="J30" s="167"/>
      <c r="K30" s="75"/>
      <c r="L30" s="76"/>
      <c r="M30" s="76"/>
      <c r="N30" s="76"/>
      <c r="O30" s="76"/>
      <c r="P30" s="77"/>
      <c r="Z30" s="11"/>
    </row>
    <row r="31" spans="1:26" ht="19.5" customHeight="1" x14ac:dyDescent="0.25">
      <c r="A31" s="9"/>
      <c r="B31" s="45">
        <v>7</v>
      </c>
      <c r="C31" s="75"/>
      <c r="D31" s="76"/>
      <c r="E31" s="76"/>
      <c r="F31" s="76"/>
      <c r="G31" s="77"/>
      <c r="H31" s="165">
        <v>97</v>
      </c>
      <c r="I31" s="166"/>
      <c r="J31" s="167"/>
      <c r="K31" s="75"/>
      <c r="L31" s="76"/>
      <c r="M31" s="76"/>
      <c r="N31" s="76"/>
      <c r="O31" s="76"/>
      <c r="P31" s="77"/>
      <c r="Z31" s="11"/>
    </row>
    <row r="32" spans="1:26" ht="19.5" customHeight="1" x14ac:dyDescent="0.25">
      <c r="A32" s="9"/>
      <c r="B32" s="45">
        <v>8</v>
      </c>
      <c r="C32" s="75"/>
      <c r="D32" s="76"/>
      <c r="E32" s="76"/>
      <c r="F32" s="76"/>
      <c r="G32" s="77"/>
      <c r="H32" s="165">
        <v>101</v>
      </c>
      <c r="I32" s="166"/>
      <c r="J32" s="167"/>
      <c r="K32" s="75"/>
      <c r="L32" s="76"/>
      <c r="M32" s="76"/>
      <c r="N32" s="76"/>
      <c r="O32" s="76"/>
      <c r="P32" s="77"/>
      <c r="Z32" s="11"/>
    </row>
    <row r="33" spans="1:26" ht="19.5" customHeight="1" x14ac:dyDescent="0.25">
      <c r="A33" s="9"/>
      <c r="B33" s="45">
        <v>9</v>
      </c>
      <c r="C33" s="75"/>
      <c r="D33" s="76"/>
      <c r="E33" s="76"/>
      <c r="F33" s="76"/>
      <c r="G33" s="77"/>
      <c r="H33" s="165">
        <v>148</v>
      </c>
      <c r="I33" s="166"/>
      <c r="J33" s="167"/>
      <c r="K33" s="75"/>
      <c r="L33" s="76"/>
      <c r="M33" s="76"/>
      <c r="N33" s="76"/>
      <c r="O33" s="76"/>
      <c r="P33" s="77"/>
      <c r="Z33" s="11"/>
    </row>
    <row r="34" spans="1:26" ht="19.5" customHeight="1" x14ac:dyDescent="0.25">
      <c r="A34" s="9"/>
      <c r="B34" s="45"/>
      <c r="C34" s="75"/>
      <c r="D34" s="76"/>
      <c r="E34" s="76"/>
      <c r="F34" s="76"/>
      <c r="G34" s="77"/>
      <c r="H34" s="165"/>
      <c r="I34" s="166"/>
      <c r="J34" s="167"/>
      <c r="K34" s="75"/>
      <c r="L34" s="76"/>
      <c r="M34" s="76"/>
      <c r="N34" s="76"/>
      <c r="O34" s="76"/>
      <c r="P34" s="77"/>
      <c r="Z34" s="11"/>
    </row>
    <row r="35" spans="1:26" ht="19.5" customHeight="1" x14ac:dyDescent="0.25">
      <c r="A35" s="9"/>
      <c r="B35" s="45"/>
      <c r="C35" s="75"/>
      <c r="D35" s="76"/>
      <c r="E35" s="76"/>
      <c r="F35" s="76"/>
      <c r="G35" s="77"/>
      <c r="H35" s="165"/>
      <c r="I35" s="166"/>
      <c r="J35" s="167"/>
      <c r="K35" s="75"/>
      <c r="L35" s="76"/>
      <c r="M35" s="76"/>
      <c r="N35" s="76"/>
      <c r="O35" s="76"/>
      <c r="P35" s="77"/>
      <c r="Z35" s="11"/>
    </row>
    <row r="36" spans="1:26" ht="19.5" customHeight="1" x14ac:dyDescent="0.25">
      <c r="A36" s="9"/>
      <c r="B36" s="45"/>
      <c r="C36" s="75"/>
      <c r="D36" s="76"/>
      <c r="E36" s="76"/>
      <c r="F36" s="76"/>
      <c r="G36" s="77"/>
      <c r="H36" s="165"/>
      <c r="I36" s="166"/>
      <c r="J36" s="167"/>
      <c r="K36" s="75"/>
      <c r="L36" s="76"/>
      <c r="M36" s="76"/>
      <c r="N36" s="76"/>
      <c r="O36" s="76"/>
      <c r="P36" s="77"/>
      <c r="Z36" s="11"/>
    </row>
    <row r="37" spans="1:26" ht="19.5" customHeight="1" x14ac:dyDescent="0.25">
      <c r="A37" s="9"/>
      <c r="B37" s="45"/>
      <c r="C37" s="75"/>
      <c r="D37" s="76"/>
      <c r="E37" s="76"/>
      <c r="F37" s="76"/>
      <c r="G37" s="77"/>
      <c r="H37" s="165"/>
      <c r="I37" s="166"/>
      <c r="J37" s="167"/>
      <c r="K37" s="75"/>
      <c r="L37" s="76"/>
      <c r="M37" s="76"/>
      <c r="N37" s="76"/>
      <c r="O37" s="76"/>
      <c r="P37" s="77"/>
      <c r="Z37" s="11"/>
    </row>
    <row r="38" spans="1:26" ht="19.5" customHeight="1" x14ac:dyDescent="0.25">
      <c r="A38" s="9"/>
      <c r="B38" s="45"/>
      <c r="C38" s="75"/>
      <c r="D38" s="76"/>
      <c r="E38" s="76"/>
      <c r="F38" s="76"/>
      <c r="G38" s="77"/>
      <c r="H38" s="165"/>
      <c r="I38" s="166"/>
      <c r="J38" s="167"/>
      <c r="K38" s="75"/>
      <c r="L38" s="76"/>
      <c r="M38" s="76"/>
      <c r="N38" s="76"/>
      <c r="O38" s="76"/>
      <c r="P38" s="77"/>
      <c r="Z38" s="11"/>
    </row>
    <row r="39" spans="1:26" ht="19.5" customHeight="1" x14ac:dyDescent="0.25">
      <c r="A39" s="9"/>
      <c r="B39" s="45"/>
      <c r="C39" s="75"/>
      <c r="D39" s="76"/>
      <c r="E39" s="76"/>
      <c r="F39" s="76"/>
      <c r="G39" s="77"/>
      <c r="H39" s="165"/>
      <c r="I39" s="166"/>
      <c r="J39" s="167"/>
      <c r="K39" s="75"/>
      <c r="L39" s="76"/>
      <c r="M39" s="76"/>
      <c r="N39" s="76"/>
      <c r="O39" s="76"/>
      <c r="P39" s="77"/>
      <c r="Z39" s="11"/>
    </row>
    <row r="40" spans="1:26" ht="19.5" customHeight="1" x14ac:dyDescent="0.25">
      <c r="A40" s="9"/>
      <c r="B40" s="45"/>
      <c r="C40" s="75"/>
      <c r="D40" s="76"/>
      <c r="E40" s="76"/>
      <c r="F40" s="76"/>
      <c r="G40" s="77"/>
      <c r="H40" s="165"/>
      <c r="I40" s="166"/>
      <c r="J40" s="167"/>
      <c r="K40" s="75"/>
      <c r="L40" s="76"/>
      <c r="M40" s="76"/>
      <c r="N40" s="76"/>
      <c r="O40" s="76"/>
      <c r="P40" s="77"/>
      <c r="Z40" s="11"/>
    </row>
    <row r="41" spans="1:26" ht="19.5" customHeight="1" x14ac:dyDescent="0.25">
      <c r="A41" s="9"/>
      <c r="B41" s="45"/>
      <c r="C41" s="75"/>
      <c r="D41" s="76"/>
      <c r="E41" s="76"/>
      <c r="F41" s="76"/>
      <c r="G41" s="77"/>
      <c r="H41" s="165"/>
      <c r="I41" s="166"/>
      <c r="J41" s="167"/>
      <c r="K41" s="75"/>
      <c r="L41" s="76"/>
      <c r="M41" s="76"/>
      <c r="N41" s="76"/>
      <c r="O41" s="76"/>
      <c r="P41" s="77"/>
      <c r="Z41" s="11"/>
    </row>
    <row r="42" spans="1:26" ht="19.5" customHeight="1" x14ac:dyDescent="0.25">
      <c r="A42" s="9"/>
      <c r="B42" s="45"/>
      <c r="C42" s="75"/>
      <c r="D42" s="76"/>
      <c r="E42" s="76"/>
      <c r="F42" s="76"/>
      <c r="G42" s="77"/>
      <c r="H42" s="165"/>
      <c r="I42" s="166"/>
      <c r="J42" s="167"/>
      <c r="K42" s="75"/>
      <c r="L42" s="76"/>
      <c r="M42" s="76"/>
      <c r="N42" s="76"/>
      <c r="O42" s="76"/>
      <c r="P42" s="77"/>
      <c r="Z42" s="11"/>
    </row>
    <row r="43" spans="1:26" ht="19.5" customHeight="1" x14ac:dyDescent="0.25">
      <c r="A43" s="9"/>
      <c r="B43" s="45"/>
      <c r="C43" s="75"/>
      <c r="D43" s="76"/>
      <c r="E43" s="76"/>
      <c r="F43" s="76"/>
      <c r="G43" s="77"/>
      <c r="H43" s="165"/>
      <c r="I43" s="166"/>
      <c r="J43" s="167"/>
      <c r="K43" s="75"/>
      <c r="L43" s="76"/>
      <c r="M43" s="76"/>
      <c r="N43" s="76"/>
      <c r="O43" s="76"/>
      <c r="P43" s="77"/>
      <c r="Z43" s="11"/>
    </row>
    <row r="44" spans="1:26" ht="19.5" customHeight="1" x14ac:dyDescent="0.25">
      <c r="A44" s="9"/>
      <c r="B44" s="45"/>
      <c r="C44" s="75"/>
      <c r="D44" s="76"/>
      <c r="E44" s="76"/>
      <c r="F44" s="76"/>
      <c r="G44" s="77"/>
      <c r="H44" s="165"/>
      <c r="I44" s="166"/>
      <c r="J44" s="167"/>
      <c r="K44" s="75"/>
      <c r="L44" s="76"/>
      <c r="M44" s="76"/>
      <c r="N44" s="76"/>
      <c r="O44" s="76"/>
      <c r="P44" s="77"/>
      <c r="Z44" s="11"/>
    </row>
    <row r="45" spans="1:26" ht="19.5" customHeight="1" x14ac:dyDescent="0.25">
      <c r="A45" s="9"/>
      <c r="B45" s="45"/>
      <c r="C45" s="75"/>
      <c r="D45" s="76"/>
      <c r="E45" s="76"/>
      <c r="F45" s="76"/>
      <c r="G45" s="77"/>
      <c r="H45" s="165"/>
      <c r="I45" s="166"/>
      <c r="J45" s="167"/>
      <c r="K45" s="75"/>
      <c r="L45" s="76"/>
      <c r="M45" s="76"/>
      <c r="N45" s="76"/>
      <c r="O45" s="76"/>
      <c r="P45" s="77"/>
      <c r="Z45" s="11"/>
    </row>
    <row r="46" spans="1:26" s="1" customFormat="1" ht="19.5" customHeight="1" thickBot="1" x14ac:dyDescent="0.3">
      <c r="A46" s="9"/>
      <c r="B46" s="46"/>
      <c r="C46" s="100"/>
      <c r="D46" s="100"/>
      <c r="E46" s="100"/>
      <c r="F46" s="100"/>
      <c r="G46" s="101"/>
      <c r="H46" s="96"/>
      <c r="I46" s="97"/>
      <c r="J46" s="98"/>
      <c r="K46" s="99"/>
      <c r="L46" s="100"/>
      <c r="M46" s="100"/>
      <c r="N46" s="100"/>
      <c r="O46" s="100"/>
      <c r="P46" s="101"/>
      <c r="Z46" s="11"/>
    </row>
    <row r="47" spans="1:26" s="1" customFormat="1" ht="15.75" customHeight="1" x14ac:dyDescent="0.25">
      <c r="A47" s="9"/>
      <c r="B47" s="183" t="s">
        <v>36</v>
      </c>
      <c r="C47" s="184"/>
      <c r="D47" s="184"/>
      <c r="E47" s="184"/>
      <c r="F47" s="184"/>
      <c r="G47" s="185"/>
      <c r="H47" s="105">
        <f>AVERAGE(H25:J46)</f>
        <v>105.11111111111111</v>
      </c>
      <c r="I47" s="106"/>
      <c r="J47" s="107"/>
      <c r="K47" s="84">
        <v>100</v>
      </c>
      <c r="L47" s="85"/>
      <c r="M47" s="78" t="s">
        <v>37</v>
      </c>
      <c r="N47" s="78"/>
      <c r="O47" s="78"/>
      <c r="P47" s="79"/>
      <c r="Z47" s="11"/>
    </row>
    <row r="48" spans="1:26" s="1" customFormat="1" ht="15.75" customHeight="1" x14ac:dyDescent="0.25">
      <c r="A48" s="9"/>
      <c r="B48" s="177" t="s">
        <v>38</v>
      </c>
      <c r="C48" s="178"/>
      <c r="D48" s="178"/>
      <c r="E48" s="178"/>
      <c r="F48" s="178"/>
      <c r="G48" s="179"/>
      <c r="H48" s="108">
        <f>IF(COUNTIF(H25:J46,"*&lt;20*"),"&lt;20",MIN(H25:J46))</f>
        <v>94</v>
      </c>
      <c r="I48" s="109"/>
      <c r="J48" s="110"/>
      <c r="K48" s="86"/>
      <c r="L48" s="87"/>
      <c r="M48" s="80"/>
      <c r="N48" s="80"/>
      <c r="O48" s="80"/>
      <c r="P48" s="81"/>
      <c r="Z48" s="11"/>
    </row>
    <row r="49" spans="1:26" s="1" customFormat="1" ht="15.75" customHeight="1" thickBot="1" x14ac:dyDescent="0.3">
      <c r="A49" s="9"/>
      <c r="B49" s="180" t="s">
        <v>39</v>
      </c>
      <c r="C49" s="181"/>
      <c r="D49" s="181"/>
      <c r="E49" s="181"/>
      <c r="F49" s="181"/>
      <c r="G49" s="182"/>
      <c r="H49" s="102">
        <f>IF(COUNTIF(H25:J46,"*&gt;250*"),"&gt;250",MAX(H25:J46))</f>
        <v>148</v>
      </c>
      <c r="I49" s="103"/>
      <c r="J49" s="104"/>
      <c r="K49" s="88"/>
      <c r="L49" s="89"/>
      <c r="M49" s="82"/>
      <c r="N49" s="82"/>
      <c r="O49" s="82"/>
      <c r="P49" s="83"/>
      <c r="Z49" s="11"/>
    </row>
    <row r="50" spans="1:26" s="1" customFormat="1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s="1" customFormat="1" ht="12.75" customHeight="1" x14ac:dyDescent="0.25">
      <c r="A51" s="36"/>
      <c r="B51" s="37"/>
    </row>
    <row r="52" spans="1:26" s="17" customFormat="1" ht="15.6" customHeight="1" x14ac:dyDescent="0.25">
      <c r="A52" s="48" t="s">
        <v>40</v>
      </c>
      <c r="B52" s="5" t="s">
        <v>41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55" t="s">
        <v>42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7"/>
      <c r="R53" s="149" t="s">
        <v>43</v>
      </c>
      <c r="S53" s="150"/>
      <c r="T53" s="151"/>
      <c r="U53" s="186" t="s">
        <v>44</v>
      </c>
      <c r="V53" s="187"/>
      <c r="W53" s="187"/>
      <c r="X53" s="188"/>
      <c r="Y53" s="188"/>
      <c r="Z53" s="189"/>
    </row>
    <row r="54" spans="1:26" s="17" customFormat="1" ht="15.6" customHeight="1" x14ac:dyDescent="0.25">
      <c r="A54" s="158" t="s">
        <v>45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60"/>
      <c r="R54" s="149" t="s">
        <v>46</v>
      </c>
      <c r="S54" s="150"/>
      <c r="T54" s="151"/>
      <c r="U54" s="190" t="s">
        <v>47</v>
      </c>
      <c r="V54" s="191"/>
      <c r="W54" s="191"/>
      <c r="X54" s="192"/>
      <c r="Y54" s="192"/>
      <c r="Z54" s="193"/>
    </row>
    <row r="55" spans="1:26" s="17" customFormat="1" ht="15.6" customHeight="1" x14ac:dyDescent="0.25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49"/>
      <c r="S55" s="150"/>
      <c r="T55" s="151"/>
      <c r="U55" s="194"/>
      <c r="V55" s="80"/>
      <c r="W55" s="80"/>
      <c r="X55" s="195"/>
      <c r="Y55" s="195"/>
      <c r="Z55" s="196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49"/>
      <c r="S56" s="150"/>
      <c r="T56" s="151"/>
      <c r="U56" s="197"/>
      <c r="V56" s="198"/>
      <c r="W56" s="198"/>
      <c r="X56" s="199"/>
      <c r="Y56" s="199"/>
      <c r="Z56" s="200"/>
    </row>
    <row r="57" spans="1:26" s="17" customFormat="1" ht="15.6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5"/>
      <c r="R57" s="149" t="s">
        <v>50</v>
      </c>
      <c r="S57" s="150"/>
      <c r="T57" s="151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5"/>
      <c r="R58" s="149"/>
      <c r="S58" s="150"/>
      <c r="T58" s="151"/>
      <c r="U58" s="61"/>
      <c r="V58" s="80"/>
      <c r="W58" s="80"/>
      <c r="X58" s="80"/>
      <c r="Y58" s="80"/>
      <c r="Z58" s="62"/>
    </row>
    <row r="59" spans="1:26" s="17" customFormat="1" ht="15.6" customHeight="1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5"/>
      <c r="R59" s="149"/>
      <c r="S59" s="150"/>
      <c r="T59" s="151"/>
      <c r="U59" s="61"/>
      <c r="V59" s="80"/>
      <c r="W59" s="80"/>
      <c r="X59" s="80"/>
      <c r="Y59" s="80"/>
      <c r="Z59" s="62"/>
    </row>
    <row r="60" spans="1:26" s="17" customFormat="1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52"/>
      <c r="S60" s="153"/>
      <c r="T60" s="154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s="1" customFormat="1" ht="12.75" customHeight="1" x14ac:dyDescent="0.25"/>
    <row r="64" spans="1:26" s="1" customFormat="1" ht="12.75" customHeight="1" x14ac:dyDescent="0.25"/>
    <row r="65" s="1" customFormat="1" ht="12.75" customHeight="1" x14ac:dyDescent="0.25"/>
    <row r="66" s="1" customFormat="1" ht="12.75" customHeight="1" x14ac:dyDescent="0.25"/>
    <row r="67" s="1" customFormat="1" ht="12.75" customHeight="1" x14ac:dyDescent="0.25"/>
    <row r="68" s="1" customFormat="1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A57:Q60"/>
    <mergeCell ref="R57:T60"/>
    <mergeCell ref="V58:Y5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6:G46"/>
    <mergeCell ref="H46:J46"/>
    <mergeCell ref="K46:P46"/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8"/>
  <sheetViews>
    <sheetView topLeftCell="A32" workbookViewId="0">
      <selection activeCell="V58" sqref="V58:Y59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3"/>
      <c r="B1" s="114"/>
      <c r="C1" s="114"/>
      <c r="D1" s="114"/>
      <c r="E1" s="114"/>
      <c r="F1" s="115"/>
      <c r="G1" s="122" t="s">
        <v>0</v>
      </c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4"/>
      <c r="U1" s="66" t="s">
        <v>51</v>
      </c>
      <c r="V1" s="67"/>
      <c r="W1" s="67"/>
      <c r="X1" s="67"/>
      <c r="Y1" s="67"/>
      <c r="Z1" s="68"/>
    </row>
    <row r="2" spans="1:26" ht="12.75" customHeight="1" x14ac:dyDescent="0.25">
      <c r="A2" s="116"/>
      <c r="B2" s="117"/>
      <c r="C2" s="117"/>
      <c r="D2" s="117"/>
      <c r="E2" s="117"/>
      <c r="F2" s="118"/>
      <c r="G2" s="125" t="s">
        <v>1</v>
      </c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7"/>
      <c r="U2" s="69"/>
      <c r="V2" s="70"/>
      <c r="W2" s="70"/>
      <c r="X2" s="70"/>
      <c r="Y2" s="70"/>
      <c r="Z2" s="71"/>
    </row>
    <row r="3" spans="1:26" ht="12.75" customHeight="1" x14ac:dyDescent="0.25">
      <c r="A3" s="116"/>
      <c r="B3" s="117"/>
      <c r="C3" s="117"/>
      <c r="D3" s="117"/>
      <c r="E3" s="117"/>
      <c r="F3" s="118"/>
      <c r="G3" s="125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7"/>
      <c r="U3" s="69"/>
      <c r="V3" s="70"/>
      <c r="W3" s="70"/>
      <c r="X3" s="70"/>
      <c r="Y3" s="70"/>
      <c r="Z3" s="71"/>
    </row>
    <row r="4" spans="1:26" ht="12.75" customHeight="1" x14ac:dyDescent="0.25">
      <c r="A4" s="116"/>
      <c r="B4" s="117"/>
      <c r="C4" s="117"/>
      <c r="D4" s="117"/>
      <c r="E4" s="117"/>
      <c r="F4" s="118"/>
      <c r="G4" s="125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7"/>
      <c r="U4" s="69"/>
      <c r="V4" s="70"/>
      <c r="W4" s="70"/>
      <c r="X4" s="70"/>
      <c r="Y4" s="70"/>
      <c r="Z4" s="71"/>
    </row>
    <row r="5" spans="1:26" ht="12.75" customHeight="1" x14ac:dyDescent="0.25">
      <c r="A5" s="116"/>
      <c r="B5" s="117"/>
      <c r="C5" s="117"/>
      <c r="D5" s="117"/>
      <c r="E5" s="117"/>
      <c r="F5" s="118"/>
      <c r="G5" s="128" t="s">
        <v>2</v>
      </c>
      <c r="H5" s="129"/>
      <c r="I5" s="133">
        <v>1</v>
      </c>
      <c r="J5" s="133"/>
      <c r="K5" s="134"/>
      <c r="L5" s="136" t="s">
        <v>3</v>
      </c>
      <c r="M5" s="137"/>
      <c r="N5" s="137"/>
      <c r="O5" s="138"/>
      <c r="P5" s="139" t="s">
        <v>4</v>
      </c>
      <c r="Q5" s="140"/>
      <c r="R5" s="140"/>
      <c r="S5" s="140"/>
      <c r="T5" s="141"/>
      <c r="U5" s="69"/>
      <c r="V5" s="70"/>
      <c r="W5" s="70"/>
      <c r="X5" s="70"/>
      <c r="Y5" s="70"/>
      <c r="Z5" s="71"/>
    </row>
    <row r="6" spans="1:26" ht="12.75" customHeight="1" x14ac:dyDescent="0.25">
      <c r="A6" s="119"/>
      <c r="B6" s="120"/>
      <c r="C6" s="120"/>
      <c r="D6" s="120"/>
      <c r="E6" s="120"/>
      <c r="F6" s="121"/>
      <c r="G6" s="2"/>
      <c r="H6" s="3"/>
      <c r="I6" s="135" t="s">
        <v>5</v>
      </c>
      <c r="J6" s="135"/>
      <c r="K6" s="135"/>
      <c r="L6" s="135" t="s">
        <v>6</v>
      </c>
      <c r="M6" s="135"/>
      <c r="N6" s="135"/>
      <c r="O6" s="135"/>
      <c r="P6" s="135" t="s">
        <v>7</v>
      </c>
      <c r="Q6" s="135"/>
      <c r="R6" s="135"/>
      <c r="S6" s="135"/>
      <c r="T6" s="142"/>
      <c r="U6" s="72"/>
      <c r="V6" s="73"/>
      <c r="W6" s="73"/>
      <c r="X6" s="73"/>
      <c r="Y6" s="73"/>
      <c r="Z6" s="74"/>
    </row>
    <row r="7" spans="1:26" ht="36.6" customHeight="1" x14ac:dyDescent="0.25">
      <c r="A7" s="130" t="s">
        <v>8</v>
      </c>
      <c r="B7" s="130"/>
      <c r="C7" s="130"/>
      <c r="D7" s="130"/>
      <c r="E7" s="130"/>
      <c r="F7" s="130"/>
      <c r="G7" s="131" t="s">
        <v>9</v>
      </c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2" t="s">
        <v>12</v>
      </c>
      <c r="C10" s="112"/>
      <c r="D10" s="112"/>
      <c r="E10" s="112"/>
      <c r="F10" s="112"/>
      <c r="G10" s="112"/>
      <c r="H10" s="132" t="s">
        <v>13</v>
      </c>
      <c r="I10" s="132"/>
      <c r="J10" s="132"/>
      <c r="K10" s="132"/>
      <c r="L10" s="132"/>
      <c r="M10" s="132"/>
      <c r="N10" s="112" t="s">
        <v>14</v>
      </c>
      <c r="O10" s="112"/>
      <c r="P10" s="112"/>
      <c r="Q10" s="112"/>
      <c r="R10" s="112"/>
      <c r="S10" s="90" t="s">
        <v>15</v>
      </c>
      <c r="T10" s="90"/>
      <c r="U10" s="90"/>
      <c r="V10" s="90"/>
      <c r="W10" s="90"/>
      <c r="X10" s="90"/>
      <c r="Y10" s="90"/>
      <c r="Z10" s="12"/>
    </row>
    <row r="11" spans="1:26" ht="15.9" customHeight="1" x14ac:dyDescent="0.25">
      <c r="A11" s="9"/>
      <c r="B11" s="112" t="s">
        <v>16</v>
      </c>
      <c r="C11" s="112"/>
      <c r="D11" s="112"/>
      <c r="E11" s="112"/>
      <c r="F11" s="112"/>
      <c r="G11" s="112"/>
      <c r="H11" s="132" t="s">
        <v>4</v>
      </c>
      <c r="I11" s="132"/>
      <c r="J11" s="132"/>
      <c r="K11" s="132"/>
      <c r="L11" s="132"/>
      <c r="M11" s="132"/>
      <c r="N11" s="112" t="s">
        <v>17</v>
      </c>
      <c r="O11" s="112"/>
      <c r="P11" s="112"/>
      <c r="Q11" s="112"/>
      <c r="R11" s="112"/>
      <c r="S11" s="90" t="s">
        <v>18</v>
      </c>
      <c r="T11" s="90"/>
      <c r="U11" s="90"/>
      <c r="V11" s="90"/>
      <c r="W11" s="90"/>
      <c r="X11" s="90"/>
      <c r="Y11" s="90"/>
      <c r="Z11" s="12"/>
    </row>
    <row r="12" spans="1:26" ht="15.9" customHeight="1" x14ac:dyDescent="0.25">
      <c r="A12" s="9"/>
      <c r="B12" s="112" t="s">
        <v>19</v>
      </c>
      <c r="C12" s="112"/>
      <c r="D12" s="112"/>
      <c r="E12" s="112"/>
      <c r="F12" s="112"/>
      <c r="G12" s="112"/>
      <c r="H12" s="132" t="s">
        <v>52</v>
      </c>
      <c r="I12" s="132"/>
      <c r="J12" s="132"/>
      <c r="K12" s="132"/>
      <c r="L12" s="132"/>
      <c r="M12" s="132"/>
      <c r="N12" s="112" t="s">
        <v>21</v>
      </c>
      <c r="O12" s="112"/>
      <c r="P12" s="112"/>
      <c r="Q12" s="112"/>
      <c r="R12" s="112"/>
      <c r="S12" s="90" t="s">
        <v>53</v>
      </c>
      <c r="T12" s="90"/>
      <c r="U12" s="90"/>
      <c r="V12" s="90"/>
      <c r="W12" s="90"/>
      <c r="X12" s="90"/>
      <c r="Y12" s="90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1" t="s">
        <v>24</v>
      </c>
      <c r="C17" s="111"/>
      <c r="D17" s="111"/>
      <c r="E17" s="111"/>
      <c r="F17" s="111"/>
      <c r="G17" s="111"/>
      <c r="H17" s="111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28"/>
    </row>
    <row r="18" spans="1:26" s="17" customFormat="1" ht="15" customHeight="1" x14ac:dyDescent="0.25">
      <c r="A18" s="24"/>
      <c r="B18" s="111" t="s">
        <v>25</v>
      </c>
      <c r="C18" s="111"/>
      <c r="D18" s="111"/>
      <c r="E18" s="111"/>
      <c r="F18" s="111"/>
      <c r="G18" s="111"/>
      <c r="H18" s="111"/>
      <c r="I18" s="164" t="s">
        <v>26</v>
      </c>
      <c r="J18" s="164"/>
      <c r="K18" s="27"/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76" t="s">
        <v>30</v>
      </c>
      <c r="K21" s="176"/>
      <c r="L21" s="176"/>
      <c r="M21" s="176"/>
      <c r="N21" s="176"/>
      <c r="O21" s="176"/>
      <c r="P21" s="17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4" t="s">
        <v>31</v>
      </c>
      <c r="C23" s="91" t="s">
        <v>32</v>
      </c>
      <c r="D23" s="91"/>
      <c r="E23" s="91"/>
      <c r="F23" s="91"/>
      <c r="G23" s="92"/>
      <c r="H23" s="171" t="s">
        <v>33</v>
      </c>
      <c r="I23" s="172"/>
      <c r="J23" s="173"/>
      <c r="K23" s="91" t="s">
        <v>34</v>
      </c>
      <c r="L23" s="91"/>
      <c r="M23" s="91"/>
      <c r="N23" s="91"/>
      <c r="O23" s="91"/>
      <c r="P23" s="92"/>
      <c r="Z23" s="11"/>
    </row>
    <row r="24" spans="1:26" ht="15.75" customHeight="1" x14ac:dyDescent="0.25">
      <c r="A24" s="9"/>
      <c r="B24" s="175"/>
      <c r="C24" s="93"/>
      <c r="D24" s="93"/>
      <c r="E24" s="93"/>
      <c r="F24" s="93"/>
      <c r="G24" s="94"/>
      <c r="H24" s="168" t="s">
        <v>35</v>
      </c>
      <c r="I24" s="169"/>
      <c r="J24" s="170"/>
      <c r="K24" s="93"/>
      <c r="L24" s="93"/>
      <c r="M24" s="93"/>
      <c r="N24" s="93"/>
      <c r="O24" s="93"/>
      <c r="P24" s="94"/>
      <c r="Z24" s="11"/>
    </row>
    <row r="25" spans="1:26" ht="19.5" customHeight="1" x14ac:dyDescent="0.25">
      <c r="A25" s="9"/>
      <c r="B25" s="45">
        <v>1</v>
      </c>
      <c r="C25" s="75"/>
      <c r="D25" s="76"/>
      <c r="E25" s="76"/>
      <c r="F25" s="76"/>
      <c r="G25" s="77"/>
      <c r="H25" s="165">
        <v>79</v>
      </c>
      <c r="I25" s="166"/>
      <c r="J25" s="167"/>
      <c r="K25" s="75"/>
      <c r="L25" s="76"/>
      <c r="M25" s="76"/>
      <c r="N25" s="76"/>
      <c r="O25" s="76"/>
      <c r="P25" s="77"/>
      <c r="Z25" s="11"/>
    </row>
    <row r="26" spans="1:26" ht="19.5" customHeight="1" x14ac:dyDescent="0.25">
      <c r="A26" s="9"/>
      <c r="B26" s="45">
        <v>2</v>
      </c>
      <c r="C26" s="75"/>
      <c r="D26" s="76"/>
      <c r="E26" s="76"/>
      <c r="F26" s="76"/>
      <c r="G26" s="77"/>
      <c r="H26" s="165">
        <v>40</v>
      </c>
      <c r="I26" s="166"/>
      <c r="J26" s="167"/>
      <c r="K26" s="75"/>
      <c r="L26" s="76"/>
      <c r="M26" s="76"/>
      <c r="N26" s="76"/>
      <c r="O26" s="76"/>
      <c r="P26" s="77"/>
      <c r="Z26" s="11"/>
    </row>
    <row r="27" spans="1:26" ht="19.5" customHeight="1" x14ac:dyDescent="0.25">
      <c r="A27" s="9"/>
      <c r="B27" s="45">
        <v>3</v>
      </c>
      <c r="C27" s="75"/>
      <c r="D27" s="76"/>
      <c r="E27" s="76"/>
      <c r="F27" s="76"/>
      <c r="G27" s="77"/>
      <c r="H27" s="165">
        <v>60</v>
      </c>
      <c r="I27" s="166"/>
      <c r="J27" s="167"/>
      <c r="K27" s="75"/>
      <c r="L27" s="76"/>
      <c r="M27" s="76"/>
      <c r="N27" s="76"/>
      <c r="O27" s="76"/>
      <c r="P27" s="77"/>
      <c r="Z27" s="11"/>
    </row>
    <row r="28" spans="1:26" ht="19.5" customHeight="1" x14ac:dyDescent="0.25">
      <c r="A28" s="9"/>
      <c r="B28" s="45">
        <v>4</v>
      </c>
      <c r="C28" s="75"/>
      <c r="D28" s="76"/>
      <c r="E28" s="76"/>
      <c r="F28" s="76"/>
      <c r="G28" s="77"/>
      <c r="H28" s="165">
        <v>34</v>
      </c>
      <c r="I28" s="166"/>
      <c r="J28" s="167"/>
      <c r="K28" s="75"/>
      <c r="L28" s="76"/>
      <c r="M28" s="76"/>
      <c r="N28" s="76"/>
      <c r="O28" s="76"/>
      <c r="P28" s="77"/>
      <c r="Z28" s="11"/>
    </row>
    <row r="29" spans="1:26" ht="19.5" customHeight="1" x14ac:dyDescent="0.25">
      <c r="A29" s="9"/>
      <c r="B29" s="45">
        <v>5</v>
      </c>
      <c r="C29" s="75"/>
      <c r="D29" s="76"/>
      <c r="E29" s="76"/>
      <c r="F29" s="76"/>
      <c r="G29" s="77"/>
      <c r="H29" s="165">
        <v>20</v>
      </c>
      <c r="I29" s="166"/>
      <c r="J29" s="167"/>
      <c r="K29" s="75"/>
      <c r="L29" s="76"/>
      <c r="M29" s="76"/>
      <c r="N29" s="76"/>
      <c r="O29" s="76"/>
      <c r="P29" s="77"/>
      <c r="Z29" s="11"/>
    </row>
    <row r="30" spans="1:26" ht="19.5" customHeight="1" x14ac:dyDescent="0.25">
      <c r="A30" s="9"/>
      <c r="B30" s="45">
        <v>6</v>
      </c>
      <c r="C30" s="75"/>
      <c r="D30" s="76"/>
      <c r="E30" s="76"/>
      <c r="F30" s="76"/>
      <c r="G30" s="77"/>
      <c r="H30" s="165">
        <v>28</v>
      </c>
      <c r="I30" s="166"/>
      <c r="J30" s="167"/>
      <c r="K30" s="75"/>
      <c r="L30" s="76"/>
      <c r="M30" s="76"/>
      <c r="N30" s="76"/>
      <c r="O30" s="76"/>
      <c r="P30" s="77"/>
      <c r="Z30" s="11"/>
    </row>
    <row r="31" spans="1:26" ht="19.5" customHeight="1" x14ac:dyDescent="0.25">
      <c r="A31" s="9"/>
      <c r="B31" s="45">
        <v>7</v>
      </c>
      <c r="C31" s="75"/>
      <c r="D31" s="76"/>
      <c r="E31" s="76"/>
      <c r="F31" s="76"/>
      <c r="G31" s="77"/>
      <c r="H31" s="165">
        <v>43</v>
      </c>
      <c r="I31" s="166"/>
      <c r="J31" s="167"/>
      <c r="K31" s="75"/>
      <c r="L31" s="76"/>
      <c r="M31" s="76"/>
      <c r="N31" s="76"/>
      <c r="O31" s="76"/>
      <c r="P31" s="77"/>
      <c r="Z31" s="11"/>
    </row>
    <row r="32" spans="1:26" ht="19.5" customHeight="1" x14ac:dyDescent="0.25">
      <c r="A32" s="9"/>
      <c r="B32" s="45">
        <v>8</v>
      </c>
      <c r="C32" s="75"/>
      <c r="D32" s="76"/>
      <c r="E32" s="76"/>
      <c r="F32" s="76"/>
      <c r="G32" s="77"/>
      <c r="H32" s="165">
        <v>21</v>
      </c>
      <c r="I32" s="166"/>
      <c r="J32" s="167"/>
      <c r="K32" s="75"/>
      <c r="L32" s="76"/>
      <c r="M32" s="76"/>
      <c r="N32" s="76"/>
      <c r="O32" s="76"/>
      <c r="P32" s="77"/>
      <c r="Z32" s="11"/>
    </row>
    <row r="33" spans="1:26" ht="19.5" customHeight="1" x14ac:dyDescent="0.25">
      <c r="A33" s="9"/>
      <c r="B33" s="45">
        <v>9</v>
      </c>
      <c r="C33" s="75"/>
      <c r="D33" s="76"/>
      <c r="E33" s="76"/>
      <c r="F33" s="76"/>
      <c r="G33" s="77"/>
      <c r="H33" s="165">
        <v>22</v>
      </c>
      <c r="I33" s="166"/>
      <c r="J33" s="167"/>
      <c r="K33" s="75"/>
      <c r="L33" s="76"/>
      <c r="M33" s="76"/>
      <c r="N33" s="76"/>
      <c r="O33" s="76"/>
      <c r="P33" s="77"/>
      <c r="Z33" s="11"/>
    </row>
    <row r="34" spans="1:26" ht="19.5" customHeight="1" x14ac:dyDescent="0.25">
      <c r="A34" s="9"/>
      <c r="B34" s="45">
        <v>10</v>
      </c>
      <c r="C34" s="75"/>
      <c r="D34" s="76"/>
      <c r="E34" s="76"/>
      <c r="F34" s="76"/>
      <c r="G34" s="77"/>
      <c r="H34" s="165">
        <v>61</v>
      </c>
      <c r="I34" s="166"/>
      <c r="J34" s="167"/>
      <c r="K34" s="75"/>
      <c r="L34" s="76"/>
      <c r="M34" s="76"/>
      <c r="N34" s="76"/>
      <c r="O34" s="76"/>
      <c r="P34" s="77"/>
      <c r="Z34" s="11"/>
    </row>
    <row r="35" spans="1:26" ht="19.5" customHeight="1" x14ac:dyDescent="0.25">
      <c r="A35" s="9"/>
      <c r="B35" s="45">
        <v>11</v>
      </c>
      <c r="C35" s="75"/>
      <c r="D35" s="76"/>
      <c r="E35" s="76"/>
      <c r="F35" s="76"/>
      <c r="G35" s="77"/>
      <c r="H35" s="165">
        <v>58</v>
      </c>
      <c r="I35" s="166"/>
      <c r="J35" s="167"/>
      <c r="K35" s="75"/>
      <c r="L35" s="76"/>
      <c r="M35" s="76"/>
      <c r="N35" s="76"/>
      <c r="O35" s="76"/>
      <c r="P35" s="77"/>
      <c r="Z35" s="11"/>
    </row>
    <row r="36" spans="1:26" ht="19.5" customHeight="1" x14ac:dyDescent="0.25">
      <c r="A36" s="9"/>
      <c r="B36" s="45">
        <v>12</v>
      </c>
      <c r="C36" s="75"/>
      <c r="D36" s="76"/>
      <c r="E36" s="76"/>
      <c r="F36" s="76"/>
      <c r="G36" s="77"/>
      <c r="H36" s="165">
        <v>32</v>
      </c>
      <c r="I36" s="166"/>
      <c r="J36" s="167"/>
      <c r="K36" s="75"/>
      <c r="L36" s="76"/>
      <c r="M36" s="76"/>
      <c r="N36" s="76"/>
      <c r="O36" s="76"/>
      <c r="P36" s="77"/>
      <c r="Z36" s="11"/>
    </row>
    <row r="37" spans="1:26" ht="19.5" customHeight="1" x14ac:dyDescent="0.25">
      <c r="A37" s="9"/>
      <c r="B37" s="45">
        <v>13</v>
      </c>
      <c r="C37" s="75"/>
      <c r="D37" s="76"/>
      <c r="E37" s="76"/>
      <c r="F37" s="76"/>
      <c r="G37" s="77"/>
      <c r="H37" s="165">
        <v>56</v>
      </c>
      <c r="I37" s="166"/>
      <c r="J37" s="167"/>
      <c r="K37" s="75"/>
      <c r="L37" s="76"/>
      <c r="M37" s="76"/>
      <c r="N37" s="76"/>
      <c r="O37" s="76"/>
      <c r="P37" s="77"/>
      <c r="Z37" s="11"/>
    </row>
    <row r="38" spans="1:26" ht="19.5" customHeight="1" x14ac:dyDescent="0.25">
      <c r="A38" s="9"/>
      <c r="B38" s="45">
        <v>14</v>
      </c>
      <c r="C38" s="75"/>
      <c r="D38" s="76"/>
      <c r="E38" s="76"/>
      <c r="F38" s="76"/>
      <c r="G38" s="77"/>
      <c r="H38" s="165">
        <v>50</v>
      </c>
      <c r="I38" s="166"/>
      <c r="J38" s="167"/>
      <c r="K38" s="75"/>
      <c r="L38" s="76"/>
      <c r="M38" s="76"/>
      <c r="N38" s="76"/>
      <c r="O38" s="76"/>
      <c r="P38" s="77"/>
      <c r="Z38" s="11"/>
    </row>
    <row r="39" spans="1:26" ht="19.5" customHeight="1" x14ac:dyDescent="0.25">
      <c r="A39" s="9"/>
      <c r="B39" s="45">
        <v>15</v>
      </c>
      <c r="C39" s="75"/>
      <c r="D39" s="76"/>
      <c r="E39" s="76"/>
      <c r="F39" s="76"/>
      <c r="G39" s="77"/>
      <c r="H39" s="165">
        <v>68</v>
      </c>
      <c r="I39" s="166"/>
      <c r="J39" s="167"/>
      <c r="K39" s="75"/>
      <c r="L39" s="76"/>
      <c r="M39" s="76"/>
      <c r="N39" s="76"/>
      <c r="O39" s="76"/>
      <c r="P39" s="77"/>
      <c r="Z39" s="11"/>
    </row>
    <row r="40" spans="1:26" ht="19.5" customHeight="1" x14ac:dyDescent="0.25">
      <c r="A40" s="9"/>
      <c r="B40" s="45"/>
      <c r="C40" s="75"/>
      <c r="D40" s="76"/>
      <c r="E40" s="76"/>
      <c r="F40" s="76"/>
      <c r="G40" s="77"/>
      <c r="H40" s="165"/>
      <c r="I40" s="166"/>
      <c r="J40" s="167"/>
      <c r="K40" s="75"/>
      <c r="L40" s="76"/>
      <c r="M40" s="76"/>
      <c r="N40" s="76"/>
      <c r="O40" s="76"/>
      <c r="P40" s="77"/>
      <c r="Z40" s="11"/>
    </row>
    <row r="41" spans="1:26" ht="19.5" customHeight="1" x14ac:dyDescent="0.25">
      <c r="A41" s="9"/>
      <c r="B41" s="45"/>
      <c r="C41" s="75"/>
      <c r="D41" s="76"/>
      <c r="E41" s="76"/>
      <c r="F41" s="76"/>
      <c r="G41" s="77"/>
      <c r="H41" s="165"/>
      <c r="I41" s="166"/>
      <c r="J41" s="167"/>
      <c r="K41" s="75"/>
      <c r="L41" s="76"/>
      <c r="M41" s="76"/>
      <c r="N41" s="76"/>
      <c r="O41" s="76"/>
      <c r="P41" s="77"/>
      <c r="Z41" s="11"/>
    </row>
    <row r="42" spans="1:26" ht="19.5" customHeight="1" x14ac:dyDescent="0.25">
      <c r="A42" s="9"/>
      <c r="B42" s="45"/>
      <c r="C42" s="75"/>
      <c r="D42" s="76"/>
      <c r="E42" s="76"/>
      <c r="F42" s="76"/>
      <c r="G42" s="77"/>
      <c r="H42" s="165"/>
      <c r="I42" s="166"/>
      <c r="J42" s="167"/>
      <c r="K42" s="75"/>
      <c r="L42" s="76"/>
      <c r="M42" s="76"/>
      <c r="N42" s="76"/>
      <c r="O42" s="76"/>
      <c r="P42" s="77"/>
      <c r="Z42" s="11"/>
    </row>
    <row r="43" spans="1:26" ht="19.5" customHeight="1" x14ac:dyDescent="0.25">
      <c r="A43" s="9"/>
      <c r="B43" s="45"/>
      <c r="C43" s="75"/>
      <c r="D43" s="76"/>
      <c r="E43" s="76"/>
      <c r="F43" s="76"/>
      <c r="G43" s="77"/>
      <c r="H43" s="165"/>
      <c r="I43" s="166"/>
      <c r="J43" s="167"/>
      <c r="K43" s="75"/>
      <c r="L43" s="76"/>
      <c r="M43" s="76"/>
      <c r="N43" s="76"/>
      <c r="O43" s="76"/>
      <c r="P43" s="77"/>
      <c r="Z43" s="11"/>
    </row>
    <row r="44" spans="1:26" ht="19.5" customHeight="1" x14ac:dyDescent="0.25">
      <c r="A44" s="9"/>
      <c r="B44" s="45"/>
      <c r="C44" s="75"/>
      <c r="D44" s="76"/>
      <c r="E44" s="76"/>
      <c r="F44" s="76"/>
      <c r="G44" s="77"/>
      <c r="H44" s="165"/>
      <c r="I44" s="166"/>
      <c r="J44" s="167"/>
      <c r="K44" s="75"/>
      <c r="L44" s="76"/>
      <c r="M44" s="76"/>
      <c r="N44" s="76"/>
      <c r="O44" s="76"/>
      <c r="P44" s="77"/>
      <c r="Z44" s="11"/>
    </row>
    <row r="45" spans="1:26" ht="19.5" customHeight="1" x14ac:dyDescent="0.25">
      <c r="A45" s="9"/>
      <c r="B45" s="45"/>
      <c r="C45" s="75"/>
      <c r="D45" s="76"/>
      <c r="E45" s="76"/>
      <c r="F45" s="76"/>
      <c r="G45" s="77"/>
      <c r="H45" s="165"/>
      <c r="I45" s="166"/>
      <c r="J45" s="167"/>
      <c r="K45" s="75"/>
      <c r="L45" s="76"/>
      <c r="M45" s="76"/>
      <c r="N45" s="76"/>
      <c r="O45" s="76"/>
      <c r="P45" s="77"/>
      <c r="Z45" s="11"/>
    </row>
    <row r="46" spans="1:26" ht="19.5" customHeight="1" x14ac:dyDescent="0.25">
      <c r="A46" s="9"/>
      <c r="B46" s="46"/>
      <c r="C46" s="100"/>
      <c r="D46" s="100"/>
      <c r="E46" s="100"/>
      <c r="F46" s="100"/>
      <c r="G46" s="101"/>
      <c r="H46" s="96"/>
      <c r="I46" s="97"/>
      <c r="J46" s="98"/>
      <c r="K46" s="99"/>
      <c r="L46" s="100"/>
      <c r="M46" s="100"/>
      <c r="N46" s="100"/>
      <c r="O46" s="100"/>
      <c r="P46" s="101"/>
      <c r="Z46" s="11"/>
    </row>
    <row r="47" spans="1:26" ht="15.75" customHeight="1" x14ac:dyDescent="0.25">
      <c r="A47" s="9"/>
      <c r="B47" s="183" t="s">
        <v>36</v>
      </c>
      <c r="C47" s="184"/>
      <c r="D47" s="184"/>
      <c r="E47" s="184"/>
      <c r="F47" s="184"/>
      <c r="G47" s="185"/>
      <c r="H47" s="105">
        <f>AVERAGE(H25:J46)</f>
        <v>44.8</v>
      </c>
      <c r="I47" s="106"/>
      <c r="J47" s="107"/>
      <c r="K47" s="84"/>
      <c r="L47" s="85"/>
      <c r="M47" s="78" t="s">
        <v>37</v>
      </c>
      <c r="N47" s="78"/>
      <c r="O47" s="78"/>
      <c r="P47" s="79"/>
      <c r="Z47" s="11"/>
    </row>
    <row r="48" spans="1:26" ht="15.75" customHeight="1" x14ac:dyDescent="0.25">
      <c r="A48" s="9"/>
      <c r="B48" s="177" t="s">
        <v>38</v>
      </c>
      <c r="C48" s="178"/>
      <c r="D48" s="178"/>
      <c r="E48" s="178"/>
      <c r="F48" s="178"/>
      <c r="G48" s="179"/>
      <c r="H48" s="108">
        <f>IF(COUNTIF(H25:J46,"*&lt;20*"),"&lt;20",MIN(H25:J46))</f>
        <v>20</v>
      </c>
      <c r="I48" s="109"/>
      <c r="J48" s="110"/>
      <c r="K48" s="86"/>
      <c r="L48" s="87"/>
      <c r="M48" s="80"/>
      <c r="N48" s="80"/>
      <c r="O48" s="80"/>
      <c r="P48" s="81"/>
      <c r="Z48" s="11"/>
    </row>
    <row r="49" spans="1:26" ht="15.75" customHeight="1" x14ac:dyDescent="0.25">
      <c r="A49" s="9"/>
      <c r="B49" s="180" t="s">
        <v>39</v>
      </c>
      <c r="C49" s="181"/>
      <c r="D49" s="181"/>
      <c r="E49" s="181"/>
      <c r="F49" s="181"/>
      <c r="G49" s="182"/>
      <c r="H49" s="102">
        <f>IF(COUNTIF(H25:J46,"*&gt;250*"),"&gt;250",MAX(H25:J46))</f>
        <v>79</v>
      </c>
      <c r="I49" s="103"/>
      <c r="J49" s="104"/>
      <c r="K49" s="88"/>
      <c r="L49" s="89"/>
      <c r="M49" s="82"/>
      <c r="N49" s="82"/>
      <c r="O49" s="82"/>
      <c r="P49" s="83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40</v>
      </c>
      <c r="B52" s="5" t="s">
        <v>41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155" t="s">
        <v>42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7"/>
      <c r="R53" s="149" t="s">
        <v>43</v>
      </c>
      <c r="S53" s="150"/>
      <c r="T53" s="151"/>
      <c r="U53" s="186" t="s">
        <v>44</v>
      </c>
      <c r="V53" s="187"/>
      <c r="W53" s="187"/>
      <c r="X53" s="188"/>
      <c r="Y53" s="188"/>
      <c r="Z53" s="189"/>
    </row>
    <row r="54" spans="1:26" s="17" customFormat="1" ht="15.6" customHeight="1" x14ac:dyDescent="0.25">
      <c r="A54" s="158" t="s">
        <v>54</v>
      </c>
      <c r="B54" s="159"/>
      <c r="C54" s="159"/>
      <c r="D54" s="159"/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60"/>
      <c r="R54" s="149" t="s">
        <v>46</v>
      </c>
      <c r="S54" s="150"/>
      <c r="T54" s="151"/>
      <c r="U54" s="190" t="s">
        <v>47</v>
      </c>
      <c r="V54" s="191"/>
      <c r="W54" s="191"/>
      <c r="X54" s="192"/>
      <c r="Y54" s="192"/>
      <c r="Z54" s="193"/>
    </row>
    <row r="55" spans="1:26" s="17" customFormat="1" ht="15.6" customHeight="1" x14ac:dyDescent="0.25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49"/>
      <c r="S55" s="150"/>
      <c r="T55" s="151"/>
      <c r="U55" s="194"/>
      <c r="V55" s="80"/>
      <c r="W55" s="80"/>
      <c r="X55" s="195"/>
      <c r="Y55" s="195"/>
      <c r="Z55" s="196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149"/>
      <c r="S56" s="150"/>
      <c r="T56" s="151"/>
      <c r="U56" s="197"/>
      <c r="V56" s="198"/>
      <c r="W56" s="198"/>
      <c r="X56" s="199"/>
      <c r="Y56" s="199"/>
      <c r="Z56" s="200"/>
    </row>
    <row r="57" spans="1:26" s="17" customFormat="1" ht="15.6" customHeight="1" x14ac:dyDescent="0.25">
      <c r="A57" s="143"/>
      <c r="B57" s="144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5"/>
      <c r="R57" s="149" t="s">
        <v>50</v>
      </c>
      <c r="S57" s="150"/>
      <c r="T57" s="151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143"/>
      <c r="B58" s="144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5"/>
      <c r="R58" s="149"/>
      <c r="S58" s="150"/>
      <c r="T58" s="151"/>
      <c r="U58" s="61"/>
      <c r="V58" s="80"/>
      <c r="W58" s="80"/>
      <c r="X58" s="80"/>
      <c r="Y58" s="80"/>
      <c r="Z58" s="62"/>
    </row>
    <row r="59" spans="1:26" s="17" customFormat="1" ht="15.6" customHeight="1" x14ac:dyDescent="0.25">
      <c r="A59" s="143"/>
      <c r="B59" s="144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5"/>
      <c r="R59" s="149"/>
      <c r="S59" s="150"/>
      <c r="T59" s="151"/>
      <c r="U59" s="61"/>
      <c r="V59" s="80"/>
      <c r="W59" s="80"/>
      <c r="X59" s="80"/>
      <c r="Y59" s="80"/>
      <c r="Z59" s="62"/>
    </row>
    <row r="60" spans="1:26" s="17" customFormat="1" ht="15.6" customHeight="1" x14ac:dyDescent="0.25">
      <c r="A60" s="146"/>
      <c r="B60" s="147"/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8"/>
      <c r="R60" s="152"/>
      <c r="S60" s="153"/>
      <c r="T60" s="154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4:G44"/>
    <mergeCell ref="H44:J44"/>
    <mergeCell ref="K44:P44"/>
    <mergeCell ref="C45:G45"/>
    <mergeCell ref="H45:J45"/>
    <mergeCell ref="K45:P45"/>
    <mergeCell ref="C43:G43"/>
    <mergeCell ref="H43:J43"/>
    <mergeCell ref="K43:P43"/>
    <mergeCell ref="C36:G36"/>
    <mergeCell ref="H36:J36"/>
    <mergeCell ref="K36:P36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46:G46"/>
    <mergeCell ref="B48:G48"/>
    <mergeCell ref="B49:G49"/>
    <mergeCell ref="B47:G47"/>
    <mergeCell ref="U53:Z53"/>
    <mergeCell ref="U54:Z56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26:G26"/>
    <mergeCell ref="H26:J26"/>
    <mergeCell ref="K26:P26"/>
    <mergeCell ref="C27:G27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H49:J49"/>
    <mergeCell ref="H47:J47"/>
    <mergeCell ref="H48:J48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120226 sous dallage</vt:lpstr>
      <vt:lpstr>120226 CDF</vt:lpstr>
      <vt:lpstr>120226 CDF espace vert</vt:lpstr>
      <vt:lpstr>'120226 CDF'!Zone_d_impression</vt:lpstr>
      <vt:lpstr>'120226 CDF espace vert'!Zone_d_impression</vt:lpstr>
      <vt:lpstr>'120226 sous dallage'!Zone_d_impression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2026-02-12T10:52:26Z</cp:lastPrinted>
  <dcterms:created xsi:type="dcterms:W3CDTF">2004-11-13T18:13:05Z</dcterms:created>
  <dcterms:modified xsi:type="dcterms:W3CDTF">2026-02-12T10:52:33Z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