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6\69\RA P56C  St Fons - Les Clochettes Cœur de parc Lot 1\Essais de laboratoire\Portances\"/>
    </mc:Choice>
  </mc:AlternateContent>
  <xr:revisionPtr revIDLastSave="0" documentId="13_ncr:1_{80A0B370-1A14-41E4-BCEE-B434E6111A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10126 CDR Avignon" sheetId="3" r:id="rId1"/>
    <sheet name="041125 CdF Valence" sheetId="2" r:id="rId2"/>
    <sheet name="210925 Arase" sheetId="1" r:id="rId3"/>
  </sheets>
  <definedNames>
    <definedName name="_xlnm.Print_Area" localSheetId="1">'041125 CdF Valence'!$A$1:$Z$69</definedName>
    <definedName name="_xlnm.Print_Area" localSheetId="0">'210126 CDR Avignon'!$A$1:$Z$61</definedName>
    <definedName name="_xlnm.Print_Area" localSheetId="2">'210925 Arase'!$A$1:$Z$61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3" l="1"/>
  <c r="H48" i="3"/>
  <c r="H49" i="3"/>
  <c r="H55" i="2"/>
  <c r="H56" i="2"/>
  <c r="H57" i="2"/>
  <c r="H49" i="1"/>
  <c r="H48" i="1"/>
  <c r="H47" i="1"/>
</calcChain>
</file>

<file path=xl/sharedStrings.xml><?xml version="1.0" encoding="utf-8"?>
<sst xmlns="http://schemas.openxmlformats.org/spreadsheetml/2006/main" count="165" uniqueCount="65">
  <si>
    <t>COMPTE RENDU D'ESSAIS</t>
  </si>
  <si>
    <t>PORTANCES DES PLATES-FORMES DYNAPLAQUE 
(NF P 94-117-2 d'octobre 2004)</t>
  </si>
  <si>
    <t>PLD N°</t>
  </si>
  <si>
    <t>RA P56C</t>
  </si>
  <si>
    <t>21/08/2025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</si>
  <si>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</si>
  <si>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</si>
  <si>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</si>
  <si>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</si>
  <si>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</si>
  <si>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</si>
  <si>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</si>
  <si>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</si>
  <si>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</si>
  <si>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</si>
  <si>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Matériaux du site</t>
  </si>
  <si>
    <t>Date de(s) essai(s) :</t>
  </si>
  <si>
    <t>Météo :</t>
  </si>
  <si>
    <t>Couvert</t>
  </si>
  <si>
    <t>Partie de l'ouvrage :</t>
  </si>
  <si>
    <t>Plan de situation :</t>
  </si>
  <si>
    <t>Oui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</si>
  <si>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</si>
  <si>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</si>
  <si>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</si>
  <si>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</si>
  <si>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</si>
  <si>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</si>
  <si>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</si>
  <si>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</si>
  <si>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</si>
  <si>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</si>
  <si>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</si>
  <si>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</si>
  <si>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</si>
  <si>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</si>
  <si>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</si>
  <si>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</si>
  <si>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</si>
  <si>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</si>
  <si>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</si>
  <si>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</si>
  <si>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</si>
  <si>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</si>
  <si>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</si>
  <si>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F. MONTET</t>
  </si>
  <si>
    <t>Conforme</t>
  </si>
  <si>
    <t>Fonction</t>
  </si>
  <si>
    <t>Technicien de laboratoire</t>
  </si>
  <si>
    <t>6/</t>
  </si>
  <si>
    <t>COMMENTAIRES</t>
  </si>
  <si>
    <t>Visa</t>
  </si>
  <si>
    <t>ST FONS - Les Clochettes Cœur de par lot 1</t>
  </si>
  <si>
    <t>Arase place des palabres</t>
  </si>
  <si>
    <t>Chef de section laboratoire</t>
  </si>
  <si>
    <t>Sylvain LHOPITAL</t>
  </si>
  <si>
    <t>Non</t>
  </si>
  <si>
    <t>CdF existante - rue de Valence</t>
  </si>
  <si>
    <t>04/11/2025</t>
  </si>
  <si>
    <t>Grave sableuse</t>
  </si>
  <si>
    <t>St Fons
Les Clochettes
Cœur de Parc
Lot 1</t>
  </si>
  <si>
    <t>CDR</t>
  </si>
  <si>
    <t>Beau</t>
  </si>
  <si>
    <t>21/01/2026</t>
  </si>
  <si>
    <t>GR 0/31.5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</si>
</sst>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sz val="12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2">
    <xf numFmtId="0" fontId="0" fillId="0" borderId="0"/>
    <xf numFmtId="0" fontId="12" fillId="0" borderId="0"/>
  </cellStyleXfs>
  <cellXfs count="602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2" fillId="0" borderId="0" xfId="1"/>
    <xf numFmtId="0" fontId="1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0" xfId="1" applyFont="1" applyProtection="1">
      <protection hidden="1"/>
    </xf>
    <xf numFmtId="0" fontId="7" fillId="0" borderId="4" xfId="1" applyFont="1" applyBorder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hidden="1"/>
    </xf>
    <xf numFmtId="0" fontId="7" fillId="0" borderId="4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4" fillId="0" borderId="7" xfId="1" applyFont="1" applyBorder="1" applyAlignment="1" applyProtection="1">
      <alignment vertical="center"/>
      <protection hidden="1"/>
    </xf>
    <xf numFmtId="0" fontId="4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10" xfId="1" applyFont="1" applyBorder="1" applyAlignment="1" applyProtection="1">
      <alignment horizontal="center" vertical="center" wrapText="1"/>
      <protection hidden="1"/>
    </xf>
    <xf numFmtId="0" fontId="1" fillId="0" borderId="9" xfId="1" applyFont="1" applyBorder="1" applyAlignment="1" applyProtection="1">
      <alignment horizontal="center" vertical="center" wrapText="1"/>
      <protection hidden="1"/>
    </xf>
    <xf numFmtId="0" fontId="5" fillId="0" borderId="9" xfId="1" applyFont="1" applyBorder="1" applyAlignment="1" applyProtection="1">
      <alignment horizontal="center" vertical="center" wrapText="1"/>
      <protection hidden="1"/>
    </xf>
    <xf numFmtId="0" fontId="5" fillId="0" borderId="4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3" xfId="1" applyFont="1" applyBorder="1" applyAlignment="1" applyProtection="1">
      <alignment vertical="center"/>
      <protection hidden="1"/>
    </xf>
    <xf numFmtId="0" fontId="8" fillId="0" borderId="13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horizontal="center"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horizontal="center" vertical="center"/>
      <protection hidden="1"/>
    </xf>
    <xf numFmtId="0" fontId="6" fillId="0" borderId="12" xfId="1" applyFont="1" applyBorder="1" applyAlignment="1">
      <alignment horizontal="center"/>
    </xf>
    <xf numFmtId="0" fontId="7" fillId="0" borderId="10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10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164" fontId="7" fillId="0" borderId="14" xfId="1" applyNumberFormat="1" applyFont="1" applyBorder="1" applyAlignment="1">
      <alignment horizontal="center" vertical="center"/>
    </xf>
    <xf numFmtId="0" fontId="6" fillId="0" borderId="15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7" fillId="0" borderId="4" xfId="1" applyFont="1" applyBorder="1"/>
    <xf numFmtId="0" fontId="1" fillId="0" borderId="6" xfId="1" applyFont="1" applyBorder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3" fillId="0" borderId="3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left" vertical="center"/>
      <protection hidden="1"/>
    </xf>
    <xf numFmtId="0" fontId="1" fillId="0" borderId="8" xfId="1" applyFont="1" applyBorder="1" applyProtection="1">
      <protection hidden="1"/>
    </xf>
    <xf numFmtId="0" fontId="1" fillId="0" borderId="2" xfId="1" applyFont="1" applyBorder="1" applyProtection="1">
      <protection hidden="1"/>
    </xf>
    <xf numFmtId="0" fontId="1" fillId="0" borderId="1" xfId="1" applyFont="1" applyBorder="1" applyProtection="1">
      <protection hidden="1"/>
    </xf>
    <xf numFmtId="0" fontId="4" fillId="0" borderId="7" xfId="1" applyFont="1" applyBorder="1" applyAlignment="1" applyProtection="1">
      <alignment horizontal="left"/>
      <protection hidden="1"/>
    </xf>
    <xf numFmtId="0" fontId="7" fillId="0" borderId="0" xfId="1" applyFont="1" applyAlignment="1" applyProtection="1">
      <alignment horizontal="left"/>
      <protection locked="0"/>
    </xf>
    <xf numFmtId="0" fontId="1" fillId="0" borderId="6" xfId="1" applyFont="1" applyBorder="1" applyProtection="1">
      <protection hidden="1"/>
    </xf>
    <xf numFmtId="0" fontId="1" fillId="0" borderId="7" xfId="1" applyFont="1" applyBorder="1" applyProtection="1">
      <protection hidden="1"/>
    </xf>
    <xf numFmtId="0" fontId="2" fillId="0" borderId="0" xfId="1" applyFont="1" applyProtection="1">
      <protection hidden="1"/>
    </xf>
    <xf numFmtId="0" fontId="1" fillId="0" borderId="5" xfId="1" applyFont="1" applyBorder="1" applyProtection="1">
      <protection hidden="1"/>
    </xf>
    <xf numFmtId="0" fontId="1" fillId="0" borderId="4" xfId="1" applyFont="1" applyBorder="1" applyProtection="1">
      <protection hidden="1"/>
    </xf>
    <xf numFmtId="0" fontId="3" fillId="0" borderId="4" xfId="1" applyFont="1" applyBorder="1" applyProtection="1">
      <protection hidden="1"/>
    </xf>
    <xf numFmtId="14" fontId="6" fillId="0" borderId="0" xfId="1" applyNumberFormat="1" applyFont="1" applyAlignment="1" applyProtection="1">
      <alignment horizontal="center"/>
      <protection hidden="1"/>
    </xf>
    <xf numFmtId="0" fontId="5" fillId="0" borderId="0" xfId="1" applyFont="1" applyAlignment="1" applyProtection="1">
      <alignment horizontal="right"/>
      <protection hidden="1"/>
    </xf>
    <xf numFmtId="0" fontId="3" fillId="0" borderId="0" xfId="1" applyFont="1" applyAlignment="1" applyProtection="1">
      <alignment horizontal="right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horizontal="center"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7" fillId="0" borderId="0" xfId="1" applyFont="1" applyAlignment="1" applyProtection="1">
      <alignment horizontal="left"/>
      <protection hidden="1"/>
    </xf>
    <xf numFmtId="0" fontId="7" fillId="0" borderId="0" xfId="1" applyFont="1" applyAlignment="1" applyProtection="1">
      <alignment horizontal="left" vertical="center"/>
      <protection hidden="1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10" fillId="0" borderId="6" xfId="1" applyFont="1" applyBorder="1" applyAlignment="1" applyProtection="1">
      <alignment horizontal="center"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10" fillId="0" borderId="7" xfId="1" applyFont="1" applyBorder="1" applyAlignment="1" applyProtection="1">
      <alignment horizontal="center" vertical="center" wrapText="1"/>
      <protection locked="0"/>
    </xf>
    <xf numFmtId="0" fontId="10" fillId="0" borderId="1" xfId="1" applyFont="1" applyBorder="1" applyAlignment="1" applyProtection="1">
      <alignment horizontal="center" vertical="center" wrapText="1"/>
      <protection locked="0"/>
    </xf>
    <xf numFmtId="0" fontId="10" fillId="0" borderId="2" xfId="1" applyFont="1" applyBorder="1" applyAlignment="1" applyProtection="1">
      <alignment horizontal="center" vertical="center" wrapText="1"/>
      <protection locked="0"/>
    </xf>
    <xf numFmtId="0" fontId="10" fillId="0" borderId="8" xfId="1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26" xfId="1" applyFont="1" applyBorder="1" applyAlignment="1" applyProtection="1">
      <alignment horizontal="center" vertical="center" wrapText="1"/>
      <protection locked="0"/>
    </xf>
    <xf numFmtId="0" fontId="7" fillId="0" borderId="27" xfId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7" fillId="0" borderId="28" xfId="1" applyFont="1" applyBorder="1" applyAlignment="1" applyProtection="1">
      <alignment horizontal="center" vertical="center" wrapText="1"/>
      <protection locked="0"/>
    </xf>
    <xf numFmtId="0" fontId="7" fillId="0" borderId="17" xfId="1" applyFont="1" applyBorder="1" applyAlignment="1" applyProtection="1">
      <alignment horizontal="center" vertical="center" wrapText="1"/>
      <protection locked="0"/>
    </xf>
    <xf numFmtId="0" fontId="7" fillId="0" borderId="29" xfId="1" applyFont="1" applyBorder="1" applyAlignment="1" applyProtection="1">
      <alignment horizontal="center" vertical="center" wrapText="1"/>
      <protection locked="0"/>
    </xf>
    <xf numFmtId="0" fontId="7" fillId="0" borderId="30" xfId="1" applyFont="1" applyBorder="1" applyAlignment="1" applyProtection="1">
      <alignment horizontal="center" vertical="center"/>
      <protection locked="0"/>
    </xf>
    <xf numFmtId="0" fontId="7" fillId="0" borderId="26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31" xfId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7" fillId="0" borderId="0" xfId="1" applyFont="1" applyAlignment="1" applyProtection="1">
      <alignment horizontal="left"/>
      <protection locked="0"/>
    </xf>
    <xf numFmtId="164" fontId="7" fillId="0" borderId="32" xfId="1" applyNumberFormat="1" applyFont="1" applyBorder="1" applyAlignment="1">
      <alignment horizontal="center" vertical="center"/>
    </xf>
    <xf numFmtId="164" fontId="7" fillId="0" borderId="21" xfId="1" applyNumberFormat="1" applyFont="1" applyBorder="1" applyAlignment="1">
      <alignment horizontal="center" vertical="center"/>
    </xf>
    <xf numFmtId="164" fontId="7" fillId="0" borderId="22" xfId="1" applyNumberFormat="1" applyFont="1" applyBorder="1" applyAlignment="1">
      <alignment horizontal="center" vertical="center"/>
    </xf>
    <xf numFmtId="0" fontId="7" fillId="0" borderId="32" xfId="1" applyFont="1" applyBorder="1" applyAlignment="1" applyProtection="1">
      <alignment horizontal="center"/>
      <protection locked="0"/>
    </xf>
    <xf numFmtId="0" fontId="7" fillId="0" borderId="21" xfId="1" applyFont="1" applyBorder="1" applyAlignment="1" applyProtection="1">
      <alignment horizontal="center"/>
      <protection locked="0"/>
    </xf>
    <xf numFmtId="0" fontId="7" fillId="0" borderId="22" xfId="1" applyFont="1" applyBorder="1" applyAlignment="1" applyProtection="1">
      <alignment horizontal="center"/>
      <protection locked="0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center" vertical="center"/>
      <protection hidden="1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0" fontId="11" fillId="0" borderId="8" xfId="1" applyFont="1" applyBorder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9" fillId="0" borderId="3" xfId="1" applyFont="1" applyBorder="1" applyAlignment="1" applyProtection="1">
      <alignment horizontal="center" vertical="center"/>
      <protection hidden="1"/>
    </xf>
    <xf numFmtId="0" fontId="9" fillId="0" borderId="4" xfId="1" applyFont="1" applyBorder="1" applyAlignment="1" applyProtection="1">
      <alignment horizontal="center" vertical="center"/>
      <protection hidden="1"/>
    </xf>
    <xf numFmtId="0" fontId="9" fillId="0" borderId="5" xfId="1" applyFont="1" applyBorder="1" applyAlignment="1" applyProtection="1">
      <alignment horizontal="center" vertical="center"/>
      <protection hidden="1"/>
    </xf>
    <xf numFmtId="0" fontId="10" fillId="0" borderId="6" xfId="1" applyFont="1" applyBorder="1" applyAlignment="1" applyProtection="1">
      <alignment horizontal="center" vertical="center" wrapText="1"/>
      <protection hidden="1"/>
    </xf>
    <xf numFmtId="0" fontId="10" fillId="0" borderId="0" xfId="1" applyFont="1" applyAlignment="1" applyProtection="1">
      <alignment horizontal="center" vertical="center" wrapText="1"/>
      <protection hidden="1"/>
    </xf>
    <xf numFmtId="0" fontId="10" fillId="0" borderId="7" xfId="1" applyFont="1" applyBorder="1" applyAlignment="1" applyProtection="1">
      <alignment horizontal="center" vertical="center" wrapText="1"/>
      <protection hidden="1"/>
    </xf>
    <xf numFmtId="0" fontId="6" fillId="0" borderId="6" xfId="1" applyFont="1" applyBorder="1" applyAlignment="1" applyProtection="1">
      <alignment horizontal="center" vertical="center" wrapText="1"/>
      <protection hidden="1"/>
    </xf>
    <xf numFmtId="0" fontId="6" fillId="0" borderId="0" xfId="1" applyFont="1" applyAlignment="1" applyProtection="1">
      <alignment horizontal="center" vertical="center" wrapText="1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4" fillId="0" borderId="9" xfId="1" applyFont="1" applyBorder="1" applyAlignment="1" applyProtection="1">
      <alignment horizontal="center" vertical="center"/>
      <protection hidden="1"/>
    </xf>
    <xf numFmtId="14" fontId="7" fillId="0" borderId="0" xfId="1" applyNumberFormat="1" applyFont="1" applyAlignment="1" applyProtection="1">
      <alignment horizontal="left" vertical="center"/>
      <protection locked="0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0" xfId="1" applyFont="1" applyBorder="1" applyAlignment="1" applyProtection="1">
      <alignment horizontal="center"/>
      <protection locked="0"/>
    </xf>
    <xf numFmtId="164" fontId="7" fillId="0" borderId="14" xfId="1" applyNumberFormat="1" applyFont="1" applyBorder="1" applyAlignment="1">
      <alignment horizontal="center" vertical="center"/>
    </xf>
    <xf numFmtId="0" fontId="7" fillId="0" borderId="9" xfId="1" applyFont="1" applyBorder="1" applyAlignment="1">
      <alignment vertical="center"/>
    </xf>
    <xf numFmtId="0" fontId="7" fillId="0" borderId="10" xfId="1" applyFont="1" applyBorder="1" applyAlignment="1">
      <alignment vertical="center"/>
    </xf>
    <xf numFmtId="14" fontId="1" fillId="0" borderId="0" xfId="1" applyNumberFormat="1" applyFont="1" applyAlignment="1" applyProtection="1">
      <alignment horizontal="left" vertical="center"/>
      <protection locked="0"/>
    </xf>
    <xf numFmtId="0" fontId="7" fillId="0" borderId="6" xfId="1" applyFont="1" applyBorder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left" vertical="center" wrapText="1"/>
      <protection locked="0"/>
    </xf>
    <xf numFmtId="0" fontId="7" fillId="0" borderId="7" xfId="1" applyFont="1" applyBorder="1" applyAlignment="1" applyProtection="1">
      <alignment horizontal="left" vertical="center" wrapText="1"/>
      <protection locked="0"/>
    </xf>
    <xf numFmtId="0" fontId="7" fillId="0" borderId="1" xfId="1" applyFont="1" applyBorder="1" applyAlignment="1" applyProtection="1">
      <alignment horizontal="left" vertical="center" wrapText="1"/>
      <protection locked="0"/>
    </xf>
    <xf numFmtId="0" fontId="7" fillId="0" borderId="2" xfId="1" applyFont="1" applyBorder="1" applyAlignment="1" applyProtection="1">
      <alignment horizontal="left" vertical="center" wrapText="1"/>
      <protection locked="0"/>
    </xf>
    <xf numFmtId="0" fontId="7" fillId="0" borderId="8" xfId="1" applyFont="1" applyBorder="1" applyAlignment="1" applyProtection="1">
      <alignment horizontal="left" vertical="center" wrapText="1"/>
      <protection locked="0"/>
    </xf>
    <xf numFmtId="0" fontId="5" fillId="0" borderId="6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7" xfId="1" applyFont="1" applyBorder="1" applyAlignment="1" applyProtection="1">
      <alignment horizontal="center" vertical="center"/>
      <protection hidden="1"/>
    </xf>
    <xf numFmtId="0" fontId="5" fillId="0" borderId="1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0" fontId="2" fillId="0" borderId="34" xfId="1" applyFont="1" applyBorder="1" applyAlignment="1" applyProtection="1">
      <alignment horizontal="center" vertical="center"/>
      <protection hidden="1"/>
    </xf>
    <xf numFmtId="0" fontId="2" fillId="0" borderId="35" xfId="1" applyFont="1" applyBorder="1" applyAlignment="1" applyProtection="1">
      <alignment horizontal="center" vertical="center"/>
      <protection hidden="1"/>
    </xf>
    <xf numFmtId="0" fontId="2" fillId="0" borderId="36" xfId="1" applyFont="1" applyBorder="1" applyAlignment="1" applyProtection="1">
      <alignment horizontal="center"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8" xfId="1" applyFont="1" applyBorder="1" applyAlignment="1" applyProtection="1">
      <alignment horizontal="center" vertical="center"/>
      <protection hidden="1"/>
    </xf>
    <xf numFmtId="0" fontId="6" fillId="0" borderId="19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7" fillId="0" borderId="14" xfId="1" applyFont="1" applyBorder="1" applyAlignment="1" applyProtection="1">
      <alignment horizontal="center" vertical="center" wrapText="1"/>
      <protection locked="0"/>
    </xf>
    <xf numFmtId="0" fontId="7" fillId="0" borderId="9" xfId="1" applyFont="1" applyBorder="1" applyAlignment="1" applyProtection="1">
      <alignment horizontal="center" vertical="center" wrapText="1"/>
      <protection locked="0"/>
    </xf>
    <xf numFmtId="0" fontId="1" fillId="0" borderId="9" xfId="1" applyFont="1" applyBorder="1" applyAlignment="1" applyProtection="1">
      <alignment horizontal="center" vertical="center" wrapText="1"/>
      <protection locked="0"/>
    </xf>
    <xf numFmtId="0" fontId="1" fillId="0" borderId="10" xfId="1" applyFont="1" applyBorder="1" applyAlignment="1" applyProtection="1">
      <alignment horizontal="center" vertical="center" wrapText="1"/>
      <protection locked="0"/>
    </xf>
    <xf numFmtId="0" fontId="7" fillId="0" borderId="3" xfId="1" applyFont="1" applyBorder="1" applyAlignment="1" applyProtection="1">
      <alignment horizontal="center" vertical="center" wrapText="1"/>
      <protection locked="0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7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164" fontId="6" fillId="0" borderId="32" xfId="1" applyNumberFormat="1" applyFont="1" applyBorder="1" applyAlignment="1">
      <alignment horizontal="center" vertical="center"/>
    </xf>
    <xf numFmtId="0" fontId="7" fillId="0" borderId="21" xfId="1" applyFont="1" applyBorder="1"/>
    <xf numFmtId="0" fontId="7" fillId="0" borderId="22" xfId="1" applyFont="1" applyBorder="1"/>
    <xf numFmtId="164" fontId="6" fillId="0" borderId="33" xfId="1" applyNumberFormat="1" applyFont="1" applyBorder="1" applyAlignment="1">
      <alignment horizontal="center" vertical="top"/>
    </xf>
    <xf numFmtId="0" fontId="7" fillId="0" borderId="24" xfId="1" applyFont="1" applyBorder="1" applyAlignment="1">
      <alignment vertical="top"/>
    </xf>
    <xf numFmtId="0" fontId="7" fillId="0" borderId="25" xfId="1" applyFont="1" applyBorder="1" applyAlignment="1">
      <alignment vertical="top"/>
    </xf>
    <xf numFmtId="164" fontId="6" fillId="0" borderId="14" xfId="1" applyNumberFormat="1" applyFont="1" applyBorder="1" applyAlignment="1">
      <alignment horizontal="center" vertical="center"/>
    </xf>
    <xf numFmtId="0" fontId="7" fillId="0" borderId="9" xfId="1" applyFont="1" applyBorder="1"/>
    <xf numFmtId="0" fontId="7" fillId="0" borderId="10" xfId="1" applyFont="1" applyBorder="1"/>
    <xf numFmtId="0" fontId="7" fillId="0" borderId="0" xfId="1" applyFont="1" applyAlignment="1" applyProtection="1">
      <alignment horizontal="center"/>
      <protection locked="0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/>
    <xf numFmtId="0" fontId="7" fillId="0" borderId="8" xfId="1" applyFont="1" applyBorder="1"/>
    <xf numFmtId="0" fontId="6" fillId="0" borderId="3" xfId="1" applyFont="1" applyBorder="1" applyAlignment="1">
      <alignment horizontal="center" vertical="center"/>
    </xf>
    <xf numFmtId="0" fontId="7" fillId="0" borderId="4" xfId="1" applyFont="1" applyBorder="1"/>
    <xf numFmtId="0" fontId="7" fillId="0" borderId="5" xfId="1" applyFont="1" applyBorder="1"/>
    <xf numFmtId="0" fontId="7" fillId="0" borderId="15" xfId="1" applyFont="1" applyBorder="1" applyAlignment="1" applyProtection="1">
      <alignment horizontal="center" vertical="center"/>
      <protection hidden="1"/>
    </xf>
    <xf numFmtId="0" fontId="7" fillId="0" borderId="16" xfId="1" applyFont="1" applyBorder="1" applyAlignment="1" applyProtection="1">
      <alignment horizontal="center" vertical="center"/>
      <protection hidden="1"/>
    </xf>
    <xf numFmtId="0" fontId="7" fillId="0" borderId="4" xfId="1" applyFont="1" applyBorder="1" applyAlignment="1">
      <alignment horizontal="center"/>
    </xf>
    <xf numFmtId="164" fontId="6" fillId="0" borderId="33" xfId="0" applyNumberFormat="1" applyFont="1" applyBorder="1" applyAlignment="1">
      <alignment horizontal="center" vertical="top"/>
    </xf>
    <xf numFmtId="0" fontId="7" fillId="0" borderId="24" xfId="0" applyFont="1" applyBorder="1" applyAlignment="1">
      <alignment vertical="top"/>
    </xf>
    <xf numFmtId="0" fontId="7" fillId="0" borderId="25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 wrapText="1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7" fillId="0" borderId="17" xfId="0" applyFont="1" applyBorder="1" applyAlignment="1" applyProtection="1">
      <alignment horizontal="center"/>
      <protection locked="0"/>
    </xf>
    <xf numFmtId="0" fontId="7" fillId="0" borderId="18" xfId="0" applyFont="1" applyBorder="1" applyAlignment="1" applyProtection="1">
      <alignment horizontal="center"/>
      <protection locked="0"/>
    </xf>
    <xf numFmtId="0" fontId="6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31" xfId="0" applyFont="1" applyBorder="1" applyAlignment="1" applyProtection="1">
      <alignment horizontal="center"/>
      <protection locked="0"/>
    </xf>
    <xf numFmtId="164" fontId="6" fillId="0" borderId="32" xfId="0" applyNumberFormat="1" applyFont="1" applyBorder="1" applyAlignment="1">
      <alignment horizontal="center" vertical="center"/>
    </xf>
    <xf numFmtId="0" fontId="7" fillId="0" borderId="21" xfId="0" applyFont="1" applyBorder="1"/>
    <xf numFmtId="0" fontId="7" fillId="0" borderId="22" xfId="0" applyFont="1" applyBorder="1"/>
    <xf numFmtId="0" fontId="13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14" fillId="0" borderId="4" xfId="0" applyFont="1" applyBorder="1" applyAlignment="1" applyProtection="1">
      <alignment vertical="center"/>
      <protection locked="0"/>
    </xf>
    <xf numFmtId="0" fontId="15" fillId="0" borderId="4" xfId="0" applyFont="1" applyBorder="1" applyAlignment="1" applyProtection="1">
      <alignment vertical="center"/>
      <protection hidden="1"/>
    </xf>
    <xf numFmtId="0" fontId="14" fillId="0" borderId="4" xfId="0" applyFont="1" applyBorder="1" applyAlignment="1" applyProtection="1">
      <alignment vertical="center" wrapText="1"/>
      <protection locked="0"/>
    </xf>
    <xf numFmtId="0" fontId="13" fillId="0" borderId="8" xfId="0" applyFont="1" applyBorder="1" applyAlignment="1" applyProtection="1">
      <alignment vertical="center" wrapText="1"/>
      <protection locked="0"/>
    </xf>
    <xf numFmtId="0" fontId="13" fillId="0" borderId="2" xfId="0" applyFont="1" applyBorder="1" applyAlignment="1" applyProtection="1">
      <alignment vertical="center" wrapText="1"/>
      <protection locked="0"/>
    </xf>
    <xf numFmtId="0" fontId="13" fillId="0" borderId="1" xfId="0" applyFont="1" applyBorder="1" applyAlignment="1" applyProtection="1">
      <alignment vertical="center" wrapText="1"/>
      <protection locked="0"/>
    </xf>
    <xf numFmtId="0" fontId="15" fillId="0" borderId="8" xfId="0" applyFont="1" applyBorder="1" applyAlignment="1" applyProtection="1">
      <alignment horizontal="center" vertical="center"/>
      <protection hidden="1"/>
    </xf>
    <xf numFmtId="0" fontId="15" fillId="0" borderId="2" xfId="0" applyFont="1" applyBorder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2" xfId="0" applyFont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5" fillId="0" borderId="7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5" fillId="0" borderId="6" xfId="0" applyFont="1" applyBorder="1" applyAlignment="1" applyProtection="1">
      <alignment horizontal="center" vertical="center"/>
      <protection hidden="1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4" xfId="0" applyFont="1" applyBorder="1" applyAlignment="1" applyProtection="1">
      <alignment vertical="center" wrapText="1"/>
      <protection locked="0"/>
    </xf>
    <xf numFmtId="0" fontId="13" fillId="0" borderId="3" xfId="0" applyFont="1" applyBorder="1" applyAlignment="1" applyProtection="1">
      <alignment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8" fillId="0" borderId="6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8" fillId="0" borderId="8" xfId="0" applyFont="1" applyBorder="1" applyAlignment="1" applyProtection="1">
      <alignment horizontal="center" vertical="center"/>
      <protection hidden="1"/>
    </xf>
    <xf numFmtId="0" fontId="18" fillId="0" borderId="2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8" fillId="0" borderId="7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6" xfId="0" applyFont="1" applyBorder="1" applyAlignment="1" applyProtection="1">
      <alignment horizontal="center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4" fillId="0" borderId="14" xfId="0" applyFont="1" applyBorder="1" applyAlignment="1" applyProtection="1">
      <alignment horizontal="center" vertical="center" wrapText="1"/>
      <protection locked="0"/>
    </xf>
    <xf numFmtId="0" fontId="18" fillId="0" borderId="36" xfId="0" applyFont="1" applyBorder="1" applyAlignment="1" applyProtection="1">
      <alignment horizontal="center" vertical="center"/>
      <protection hidden="1"/>
    </xf>
    <xf numFmtId="0" fontId="18" fillId="0" borderId="35" xfId="0" applyFont="1" applyBorder="1" applyAlignment="1" applyProtection="1">
      <alignment horizontal="center" vertical="center"/>
      <protection hidden="1"/>
    </xf>
    <xf numFmtId="0" fontId="18" fillId="0" borderId="34" xfId="0" applyFont="1" applyBorder="1" applyAlignment="1" applyProtection="1">
      <alignment horizontal="center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0" fontId="15" fillId="0" borderId="9" xfId="0" applyFont="1" applyBorder="1" applyAlignment="1" applyProtection="1">
      <alignment horizontal="center" vertical="center" wrapText="1"/>
      <protection hidden="1"/>
    </xf>
    <xf numFmtId="0" fontId="15" fillId="0" borderId="4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9" fillId="0" borderId="13" xfId="0" applyFont="1" applyBorder="1" applyAlignment="1" applyProtection="1">
      <alignment vertical="center"/>
      <protection hidden="1"/>
    </xf>
    <xf numFmtId="0" fontId="17" fillId="0" borderId="4" xfId="0" applyFont="1" applyBorder="1" applyAlignment="1" applyProtection="1">
      <alignment vertical="center"/>
      <protection hidden="1"/>
    </xf>
    <xf numFmtId="0" fontId="18" fillId="0" borderId="3" xfId="0" applyFont="1" applyBorder="1" applyAlignment="1" applyProtection="1">
      <alignment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vertical="center"/>
      <protection hidden="1"/>
    </xf>
    <xf numFmtId="0" fontId="13" fillId="0" borderId="2" xfId="0" applyFont="1" applyBorder="1" applyAlignment="1" applyProtection="1">
      <alignment vertical="center"/>
      <protection hidden="1"/>
    </xf>
    <xf numFmtId="0" fontId="20" fillId="0" borderId="1" xfId="0" applyFont="1" applyBorder="1" applyAlignment="1" applyProtection="1">
      <alignment vertical="center"/>
      <protection hidden="1"/>
    </xf>
    <xf numFmtId="0" fontId="20" fillId="0" borderId="1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vertical="center"/>
      <protection hidden="1"/>
    </xf>
    <xf numFmtId="0" fontId="14" fillId="0" borderId="29" xfId="0" applyFont="1" applyBorder="1" applyAlignment="1" applyProtection="1">
      <alignment horizontal="center" vertical="center" wrapText="1"/>
      <protection locked="0"/>
    </xf>
    <xf numFmtId="0" fontId="14" fillId="0" borderId="17" xfId="0" applyFont="1" applyBorder="1" applyAlignment="1" applyProtection="1">
      <alignment horizontal="center" vertical="center" wrapText="1"/>
      <protection locked="0"/>
    </xf>
    <xf numFmtId="0" fontId="14" fillId="0" borderId="17" xfId="0" applyFont="1" applyBorder="1" applyAlignment="1" applyProtection="1">
      <alignment horizontal="center" vertical="center"/>
      <protection locked="0"/>
    </xf>
    <xf numFmtId="0" fontId="14" fillId="0" borderId="31" xfId="0" applyFont="1" applyBorder="1" applyAlignment="1" applyProtection="1">
      <alignment horizontal="center" vertical="center"/>
      <protection locked="0"/>
    </xf>
    <xf numFmtId="0" fontId="14" fillId="0" borderId="22" xfId="0" applyFont="1" applyBorder="1"/>
    <xf numFmtId="0" fontId="14" fillId="0" borderId="21" xfId="0" applyFont="1" applyBorder="1"/>
    <xf numFmtId="164" fontId="21" fillId="0" borderId="32" xfId="0" applyNumberFormat="1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 vertical="center"/>
      <protection hidden="1"/>
    </xf>
    <xf numFmtId="0" fontId="14" fillId="0" borderId="28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4" fillId="0" borderId="10" xfId="0" applyFont="1" applyBorder="1"/>
    <xf numFmtId="0" fontId="14" fillId="0" borderId="9" xfId="0" applyFont="1" applyBorder="1"/>
    <xf numFmtId="164" fontId="21" fillId="0" borderId="14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14" fillId="0" borderId="27" xfId="0" applyFont="1" applyBorder="1" applyAlignment="1" applyProtection="1">
      <alignment horizontal="center" vertical="center" wrapText="1"/>
      <protection locked="0"/>
    </xf>
    <xf numFmtId="0" fontId="14" fillId="0" borderId="26" xfId="0" applyFont="1" applyBorder="1" applyAlignment="1" applyProtection="1">
      <alignment horizontal="center" vertical="center" wrapText="1"/>
      <protection locked="0"/>
    </xf>
    <xf numFmtId="0" fontId="14" fillId="0" borderId="26" xfId="0" applyFont="1" applyBorder="1" applyAlignment="1" applyProtection="1">
      <alignment horizontal="center" vertical="center"/>
      <protection locked="0"/>
    </xf>
    <xf numFmtId="0" fontId="14" fillId="0" borderId="30" xfId="0" applyFont="1" applyBorder="1" applyAlignment="1" applyProtection="1">
      <alignment horizontal="center" vertical="center"/>
      <protection locked="0"/>
    </xf>
    <xf numFmtId="0" fontId="14" fillId="0" borderId="25" xfId="0" applyFont="1" applyBorder="1" applyAlignment="1">
      <alignment vertical="top"/>
    </xf>
    <xf numFmtId="0" fontId="14" fillId="0" borderId="24" xfId="0" applyFont="1" applyBorder="1" applyAlignment="1">
      <alignment vertical="top"/>
    </xf>
    <xf numFmtId="164" fontId="21" fillId="0" borderId="33" xfId="0" applyNumberFormat="1" applyFont="1" applyBorder="1" applyAlignment="1">
      <alignment horizontal="center" vertical="top"/>
    </xf>
    <xf numFmtId="0" fontId="21" fillId="0" borderId="25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14" fillId="0" borderId="18" xfId="0" applyFont="1" applyBorder="1" applyAlignment="1" applyProtection="1">
      <alignment horizontal="center"/>
      <protection locked="0"/>
    </xf>
    <xf numFmtId="0" fontId="14" fillId="0" borderId="17" xfId="0" applyFont="1" applyBorder="1" applyAlignment="1" applyProtection="1">
      <alignment horizontal="center"/>
      <protection locked="0"/>
    </xf>
    <xf numFmtId="0" fontId="14" fillId="0" borderId="31" xfId="0" applyFont="1" applyBorder="1" applyAlignment="1" applyProtection="1">
      <alignment horizontal="center"/>
      <protection locked="0"/>
    </xf>
    <xf numFmtId="164" fontId="14" fillId="0" borderId="18" xfId="0" applyNumberFormat="1" applyFont="1" applyBorder="1" applyAlignment="1">
      <alignment horizontal="center" vertical="center"/>
    </xf>
    <xf numFmtId="164" fontId="14" fillId="0" borderId="17" xfId="0" applyNumberFormat="1" applyFont="1" applyBorder="1" applyAlignment="1">
      <alignment horizontal="center" vertical="center"/>
    </xf>
    <xf numFmtId="164" fontId="14" fillId="0" borderId="31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0" fontId="14" fillId="0" borderId="10" xfId="0" applyFont="1" applyBorder="1" applyAlignment="1" applyProtection="1">
      <alignment horizontal="center"/>
      <protection locked="0"/>
    </xf>
    <xf numFmtId="0" fontId="14" fillId="0" borderId="9" xfId="0" applyFont="1" applyBorder="1" applyAlignment="1" applyProtection="1">
      <alignment horizontal="center"/>
      <protection locked="0"/>
    </xf>
    <xf numFmtId="0" fontId="14" fillId="0" borderId="14" xfId="0" applyFont="1" applyBorder="1" applyAlignment="1" applyProtection="1">
      <alignment horizontal="center"/>
      <protection locked="0"/>
    </xf>
    <xf numFmtId="0" fontId="14" fillId="0" borderId="10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164" fontId="14" fillId="0" borderId="14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/>
    </xf>
    <xf numFmtId="0" fontId="21" fillId="0" borderId="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4" fillId="0" borderId="8" xfId="0" applyFont="1" applyBorder="1"/>
    <xf numFmtId="0" fontId="14" fillId="0" borderId="2" xfId="0" applyFont="1" applyBorder="1"/>
    <xf numFmtId="0" fontId="21" fillId="0" borderId="1" xfId="0" applyFont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hidden="1"/>
    </xf>
    <xf numFmtId="0" fontId="21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4" fillId="0" borderId="5" xfId="0" applyFont="1" applyBorder="1"/>
    <xf numFmtId="0" fontId="14" fillId="0" borderId="4" xfId="0" applyFont="1" applyBorder="1"/>
    <xf numFmtId="0" fontId="21" fillId="0" borderId="3" xfId="0" applyFont="1" applyBorder="1" applyAlignment="1">
      <alignment horizontal="center" vertical="center"/>
    </xf>
    <xf numFmtId="0" fontId="14" fillId="0" borderId="15" xfId="0" applyFont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vertical="center"/>
      <protection hidden="1"/>
    </xf>
    <xf numFmtId="0" fontId="13" fillId="0" borderId="5" xfId="0" applyFont="1" applyBorder="1" applyAlignment="1" applyProtection="1">
      <alignment vertical="center"/>
      <protection hidden="1"/>
    </xf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0" fontId="19" fillId="0" borderId="4" xfId="0" applyFont="1" applyBorder="1" applyAlignment="1" applyProtection="1">
      <alignment vertical="center"/>
      <protection hidden="1"/>
    </xf>
    <xf numFmtId="0" fontId="19" fillId="0" borderId="4" xfId="0" applyFont="1" applyBorder="1" applyAlignment="1" applyProtection="1">
      <alignment horizontal="center" vertical="center"/>
      <protection hidden="1"/>
    </xf>
    <xf numFmtId="0" fontId="17" fillId="0" borderId="3" xfId="0" applyFont="1" applyBorder="1" applyAlignment="1" applyProtection="1">
      <alignment vertical="center"/>
      <protection hidden="1"/>
    </xf>
    <xf numFmtId="0" fontId="18" fillId="0" borderId="3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8" xfId="0" applyFont="1" applyBorder="1" applyProtection="1">
      <protection hidden="1"/>
    </xf>
    <xf numFmtId="0" fontId="13" fillId="0" borderId="2" xfId="0" applyFont="1" applyBorder="1" applyProtection="1">
      <protection hidden="1"/>
    </xf>
    <xf numFmtId="0" fontId="13" fillId="0" borderId="1" xfId="0" applyFont="1" applyBorder="1" applyProtection="1">
      <protection hidden="1"/>
    </xf>
    <xf numFmtId="0" fontId="16" fillId="0" borderId="7" xfId="0" applyFont="1" applyBorder="1" applyAlignment="1" applyProtection="1">
      <alignment horizontal="left"/>
      <protection hidden="1"/>
    </xf>
    <xf numFmtId="0" fontId="14" fillId="0" borderId="0" xfId="0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left"/>
      <protection hidden="1"/>
    </xf>
    <xf numFmtId="0" fontId="13" fillId="0" borderId="6" xfId="0" applyFont="1" applyBorder="1" applyProtection="1">
      <protection hidden="1"/>
    </xf>
    <xf numFmtId="0" fontId="14" fillId="0" borderId="0" xfId="0" applyFont="1" applyAlignment="1" applyProtection="1">
      <alignment horizontal="left"/>
      <protection locked="0"/>
    </xf>
    <xf numFmtId="0" fontId="13" fillId="0" borderId="7" xfId="0" applyFont="1" applyBorder="1" applyProtection="1">
      <protection hidden="1"/>
    </xf>
    <xf numFmtId="0" fontId="18" fillId="0" borderId="0" xfId="0" applyFont="1" applyProtection="1">
      <protection hidden="1"/>
    </xf>
    <xf numFmtId="0" fontId="13" fillId="0" borderId="5" xfId="0" applyFont="1" applyBorder="1" applyProtection="1">
      <protection hidden="1"/>
    </xf>
    <xf numFmtId="0" fontId="13" fillId="0" borderId="4" xfId="0" applyFont="1" applyBorder="1" applyProtection="1">
      <protection hidden="1"/>
    </xf>
    <xf numFmtId="0" fontId="17" fillId="0" borderId="4" xfId="0" applyFont="1" applyBorder="1" applyProtection="1">
      <protection hidden="1"/>
    </xf>
    <xf numFmtId="14" fontId="21" fillId="0" borderId="0" xfId="0" applyNumberFormat="1" applyFont="1" applyAlignment="1" applyProtection="1">
      <alignment horizontal="center"/>
      <protection hidden="1"/>
    </xf>
    <xf numFmtId="0" fontId="15" fillId="0" borderId="0" xfId="0" applyFont="1" applyAlignment="1" applyProtection="1">
      <alignment horizontal="right"/>
      <protection hidden="1"/>
    </xf>
    <xf numFmtId="0" fontId="17" fillId="0" borderId="0" xfId="0" applyFont="1" applyAlignment="1" applyProtection="1">
      <alignment horizontal="right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 vertical="center"/>
      <protection hidden="1"/>
    </xf>
    <xf numFmtId="0" fontId="16" fillId="0" borderId="7" xfId="0" applyFont="1" applyBorder="1" applyAlignment="1" applyProtection="1">
      <alignment horizontal="left" vertical="center"/>
      <protection hidden="1"/>
    </xf>
    <xf numFmtId="0" fontId="14" fillId="0" borderId="0" xfId="0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left" vertical="center"/>
      <protection hidden="1"/>
    </xf>
    <xf numFmtId="14" fontId="14" fillId="0" borderId="0" xfId="0" applyNumberFormat="1" applyFont="1" applyAlignment="1" applyProtection="1">
      <alignment horizontal="left" vertical="center"/>
      <protection locked="0"/>
    </xf>
    <xf numFmtId="0" fontId="13" fillId="0" borderId="4" xfId="0" applyFont="1" applyBorder="1" applyAlignment="1" applyProtection="1">
      <alignment horizontal="center" vertical="center"/>
      <protection hidden="1"/>
    </xf>
    <xf numFmtId="0" fontId="16" fillId="0" borderId="9" xfId="0" applyFont="1" applyBorder="1" applyAlignment="1" applyProtection="1">
      <alignment horizontal="center" vertical="center"/>
      <protection hidden="1"/>
    </xf>
    <xf numFmtId="0" fontId="18" fillId="0" borderId="9" xfId="0" applyFont="1" applyBorder="1" applyAlignment="1" applyProtection="1">
      <alignment horizontal="center" vertical="center"/>
      <protection hidden="1"/>
    </xf>
    <xf numFmtId="0" fontId="23" fillId="0" borderId="8" xfId="0" applyFont="1" applyBorder="1" applyAlignment="1" applyProtection="1">
      <alignment horizontal="center" vertical="center"/>
      <protection hidden="1"/>
    </xf>
    <xf numFmtId="0" fontId="23" fillId="0" borderId="2" xfId="0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vertic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14" fontId="21" fillId="0" borderId="7" xfId="0" applyNumberFormat="1" applyFont="1" applyBorder="1" applyAlignment="1" applyProtection="1">
      <alignment horizontal="center" vertical="center"/>
      <protection locked="0"/>
    </xf>
    <xf numFmtId="14" fontId="21" fillId="0" borderId="0" xfId="0" applyNumberFormat="1" applyFont="1" applyAlignment="1" applyProtection="1">
      <alignment horizontal="center" vertical="center"/>
      <protection locked="0"/>
    </xf>
    <xf numFmtId="14" fontId="21" fillId="0" borderId="6" xfId="0" applyNumberFormat="1" applyFont="1" applyBorder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6" xfId="0" applyFont="1" applyBorder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13" fillId="0" borderId="7" xfId="0" applyFont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3" fillId="0" borderId="6" xfId="0" applyFont="1" applyBorder="1" applyAlignment="1" applyProtection="1">
      <alignment horizontal="center" vertical="center" wrapText="1"/>
      <protection hidden="1"/>
    </xf>
    <xf numFmtId="0" fontId="22" fillId="0" borderId="7" xfId="0" applyFont="1" applyBorder="1" applyAlignment="1" applyProtection="1">
      <alignment horizontal="center" vertical="center" wrapText="1"/>
      <protection hidden="1"/>
    </xf>
    <xf numFmtId="0" fontId="22" fillId="0" borderId="0" xfId="0" applyFont="1" applyAlignment="1" applyProtection="1">
      <alignment horizontal="center" vertical="center" wrapText="1"/>
      <protection hidden="1"/>
    </xf>
    <xf numFmtId="0" fontId="22" fillId="0" borderId="6" xfId="0" applyFont="1" applyBorder="1" applyAlignment="1" applyProtection="1">
      <alignment horizontal="center" vertical="center" wrapText="1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20" fillId="0" borderId="4" xfId="0" applyFont="1" applyBorder="1" applyAlignment="1" applyProtection="1">
      <alignment horizontal="center" vertical="center"/>
      <protection hidden="1"/>
    </xf>
    <xf numFmtId="0" fontId="20" fillId="0" borderId="3" xfId="0" applyFont="1" applyBorder="1" applyAlignment="1" applyProtection="1">
      <alignment horizontal="center" vertical="center"/>
      <protection hidden="1"/>
    </xf>
    <xf numFmtId="0" fontId="13" fillId="0" borderId="5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21" fillId="0" borderId="15" xfId="0" applyFont="1" applyBorder="1" applyAlignment="1">
      <alignment horizontal="center"/>
    </xf>
  </cellXfs>
  <cellStyles count="2">
    <cellStyle name="Normal" xfId="0" builtinId="0"/>
    <cellStyle name="Normal 2" xfId="1" xr:uid="{DE7CD6B1-AF74-436A-8B11-4AC3B7A8F38F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D9F2C20-02CE-4346-8E16-B0185C83D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C2CFB5D-FD6C-415B-B63F-7EF541E40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123825</xdr:colOff>
      <xdr:row>64</xdr:row>
      <xdr:rowOff>38100</xdr:rowOff>
    </xdr:from>
    <xdr:ext cx="1847850" cy="733071"/>
    <xdr:pic>
      <xdr:nvPicPr>
        <xdr:cNvPr id="3" name="Image 2">
          <a:extLst>
            <a:ext uri="{FF2B5EF4-FFF2-40B4-BE49-F238E27FC236}">
              <a16:creationId xmlns:a16="http://schemas.microsoft.com/office/drawing/2014/main" id="{543138DE-2062-4A39-BE30-29E984E5F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730" y="11010900"/>
          <a:ext cx="1847850" cy="7330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0571-19AE-4D1D-89C8-128937FB5BED}">
  <sheetPr>
    <pageSetUpPr fitToPage="1"/>
  </sheetPr>
  <dimension ref="A1:AA68"/>
  <sheetViews>
    <sheetView tabSelected="1" topLeftCell="A48" workbookViewId="0">
      <selection activeCell="R64" sqref="R64"/>
    </sheetView>
  </sheetViews>
  <sheetFormatPr baseColWidth="10" defaultColWidth="11.44140625" defaultRowHeight="12.75" customHeight="1" x14ac:dyDescent="0.25"/>
  <cols>
    <col min="1" max="1" width="5.109375" style="411" customWidth="1"/>
    <col min="2" max="26" width="5.109375" style="410" customWidth="1"/>
    <col min="27" max="27" width="11.44140625" style="410"/>
  </cols>
  <sheetData>
    <row r="1" spans="1:26" ht="12.75" customHeight="1" x14ac:dyDescent="0.25">
      <c r="A1" s="600"/>
      <c r="B1" s="599"/>
      <c r="C1" s="599"/>
      <c r="D1" s="599"/>
      <c r="E1" s="599"/>
      <c r="F1" s="598"/>
      <c r="G1" s="597" t="s">
        <v>0</v>
      </c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5"/>
      <c r="U1" s="141" t="s">
        <v>60</v>
      </c>
      <c r="V1" s="142"/>
      <c r="W1" s="142"/>
      <c r="X1" s="142"/>
      <c r="Y1" s="142"/>
      <c r="Z1" s="143"/>
    </row>
    <row r="2" spans="1:26" ht="12.75" customHeight="1" x14ac:dyDescent="0.25">
      <c r="A2" s="591"/>
      <c r="B2" s="590"/>
      <c r="C2" s="590"/>
      <c r="D2" s="590"/>
      <c r="E2" s="590"/>
      <c r="F2" s="589"/>
      <c r="G2" s="594" t="s">
        <v>1</v>
      </c>
      <c r="H2" s="593"/>
      <c r="I2" s="593"/>
      <c r="J2" s="593"/>
      <c r="K2" s="593"/>
      <c r="L2" s="593"/>
      <c r="M2" s="593"/>
      <c r="N2" s="593"/>
      <c r="O2" s="593"/>
      <c r="P2" s="593"/>
      <c r="Q2" s="593"/>
      <c r="R2" s="593"/>
      <c r="S2" s="593"/>
      <c r="T2" s="592"/>
      <c r="U2" s="144"/>
      <c r="V2" s="145"/>
      <c r="W2" s="145"/>
      <c r="X2" s="145"/>
      <c r="Y2" s="145"/>
      <c r="Z2" s="146"/>
    </row>
    <row r="3" spans="1:26" ht="12.75" customHeight="1" x14ac:dyDescent="0.25">
      <c r="A3" s="591"/>
      <c r="B3" s="590"/>
      <c r="C3" s="590"/>
      <c r="D3" s="590"/>
      <c r="E3" s="590"/>
      <c r="F3" s="589"/>
      <c r="G3" s="594"/>
      <c r="H3" s="593"/>
      <c r="I3" s="593"/>
      <c r="J3" s="593"/>
      <c r="K3" s="593"/>
      <c r="L3" s="593"/>
      <c r="M3" s="593"/>
      <c r="N3" s="593"/>
      <c r="O3" s="593"/>
      <c r="P3" s="593"/>
      <c r="Q3" s="593"/>
      <c r="R3" s="593"/>
      <c r="S3" s="593"/>
      <c r="T3" s="592"/>
      <c r="U3" s="144"/>
      <c r="V3" s="145"/>
      <c r="W3" s="145"/>
      <c r="X3" s="145"/>
      <c r="Y3" s="145"/>
      <c r="Z3" s="146"/>
    </row>
    <row r="4" spans="1:26" ht="12.75" customHeight="1" x14ac:dyDescent="0.25">
      <c r="A4" s="591"/>
      <c r="B4" s="590"/>
      <c r="C4" s="590"/>
      <c r="D4" s="590"/>
      <c r="E4" s="590"/>
      <c r="F4" s="589"/>
      <c r="G4" s="594"/>
      <c r="H4" s="593"/>
      <c r="I4" s="593"/>
      <c r="J4" s="593"/>
      <c r="K4" s="593"/>
      <c r="L4" s="593"/>
      <c r="M4" s="593"/>
      <c r="N4" s="593"/>
      <c r="O4" s="593"/>
      <c r="P4" s="593"/>
      <c r="Q4" s="593"/>
      <c r="R4" s="593"/>
      <c r="S4" s="593"/>
      <c r="T4" s="592"/>
      <c r="U4" s="144"/>
      <c r="V4" s="145"/>
      <c r="W4" s="145"/>
      <c r="X4" s="145"/>
      <c r="Y4" s="145"/>
      <c r="Z4" s="146"/>
    </row>
    <row r="5" spans="1:26" ht="12.75" customHeight="1" x14ac:dyDescent="0.25">
      <c r="A5" s="591"/>
      <c r="B5" s="590"/>
      <c r="C5" s="590"/>
      <c r="D5" s="590"/>
      <c r="E5" s="590"/>
      <c r="F5" s="589"/>
      <c r="G5" s="588" t="s">
        <v>2</v>
      </c>
      <c r="H5" s="587"/>
      <c r="I5" s="586">
        <v>3</v>
      </c>
      <c r="J5" s="586"/>
      <c r="K5" s="585"/>
      <c r="L5" s="584" t="s">
        <v>3</v>
      </c>
      <c r="M5" s="583"/>
      <c r="N5" s="583"/>
      <c r="O5" s="582"/>
      <c r="P5" s="581" t="s">
        <v>63</v>
      </c>
      <c r="Q5" s="580"/>
      <c r="R5" s="580"/>
      <c r="S5" s="580"/>
      <c r="T5" s="579"/>
      <c r="U5" s="144"/>
      <c r="V5" s="145"/>
      <c r="W5" s="145"/>
      <c r="X5" s="145"/>
      <c r="Y5" s="145"/>
      <c r="Z5" s="146"/>
    </row>
    <row r="6" spans="1:26" ht="12.75" customHeight="1" x14ac:dyDescent="0.25">
      <c r="A6" s="578"/>
      <c r="B6" s="577"/>
      <c r="C6" s="577"/>
      <c r="D6" s="577"/>
      <c r="E6" s="577"/>
      <c r="F6" s="576"/>
      <c r="G6" s="575"/>
      <c r="H6" s="477"/>
      <c r="I6" s="574" t="s">
        <v>5</v>
      </c>
      <c r="J6" s="574"/>
      <c r="K6" s="574"/>
      <c r="L6" s="574" t="s">
        <v>6</v>
      </c>
      <c r="M6" s="574"/>
      <c r="N6" s="574"/>
      <c r="O6" s="574"/>
      <c r="P6" s="574" t="s">
        <v>7</v>
      </c>
      <c r="Q6" s="574"/>
      <c r="R6" s="574"/>
      <c r="S6" s="574"/>
      <c r="T6" s="573"/>
      <c r="U6" s="147"/>
      <c r="V6" s="148"/>
      <c r="W6" s="148"/>
      <c r="X6" s="148"/>
      <c r="Y6" s="148"/>
      <c r="Z6" s="149"/>
    </row>
    <row r="7" spans="1:26" ht="36.6" customHeight="1" x14ac:dyDescent="0.25">
      <c r="A7" s="572" t="s">
        <v>8</v>
      </c>
      <c r="B7" s="572"/>
      <c r="C7" s="572"/>
      <c r="D7" s="572"/>
      <c r="E7" s="572"/>
      <c r="F7" s="572"/>
      <c r="G7" s="571" t="s">
        <v>9</v>
      </c>
      <c r="H7" s="571"/>
      <c r="I7" s="571"/>
      <c r="J7" s="571"/>
      <c r="K7" s="571"/>
      <c r="L7" s="571"/>
      <c r="M7" s="571"/>
      <c r="N7" s="571"/>
      <c r="O7" s="571"/>
      <c r="P7" s="571"/>
      <c r="Q7" s="571"/>
      <c r="R7" s="571"/>
      <c r="S7" s="571"/>
      <c r="T7" s="571"/>
      <c r="U7" s="571"/>
      <c r="V7" s="571"/>
      <c r="W7" s="571"/>
      <c r="X7" s="571"/>
      <c r="Y7" s="571"/>
      <c r="Z7" s="571"/>
    </row>
    <row r="8" spans="1:26" ht="15.9" customHeight="1" x14ac:dyDescent="0.25">
      <c r="A8" s="544" t="s">
        <v>10</v>
      </c>
      <c r="B8" s="472" t="s">
        <v>11</v>
      </c>
      <c r="C8" s="469"/>
      <c r="D8" s="570"/>
      <c r="E8" s="570"/>
      <c r="F8" s="570"/>
      <c r="G8" s="570"/>
      <c r="H8" s="469"/>
      <c r="I8" s="469"/>
      <c r="J8" s="469"/>
      <c r="K8" s="469"/>
      <c r="L8" s="469"/>
      <c r="M8" s="469"/>
      <c r="N8" s="469"/>
      <c r="O8" s="469"/>
      <c r="P8" s="469"/>
      <c r="Q8" s="469"/>
      <c r="R8" s="469"/>
      <c r="S8" s="469"/>
      <c r="T8" s="469"/>
      <c r="U8" s="469"/>
      <c r="V8" s="469"/>
      <c r="W8" s="469"/>
      <c r="X8" s="469"/>
      <c r="Y8" s="469"/>
      <c r="Z8" s="538"/>
    </row>
    <row r="9" spans="1:26" ht="8.25" customHeight="1" x14ac:dyDescent="0.25">
      <c r="A9" s="491"/>
      <c r="D9" s="411"/>
      <c r="E9" s="411"/>
      <c r="F9" s="411"/>
      <c r="G9" s="411"/>
      <c r="Z9" s="480"/>
    </row>
    <row r="10" spans="1:26" ht="15.9" customHeight="1" x14ac:dyDescent="0.25">
      <c r="A10" s="491"/>
      <c r="B10" s="568" t="s">
        <v>12</v>
      </c>
      <c r="C10" s="568"/>
      <c r="D10" s="568"/>
      <c r="E10" s="568"/>
      <c r="F10" s="568"/>
      <c r="G10" s="568"/>
      <c r="H10" s="569" t="s">
        <v>13</v>
      </c>
      <c r="I10" s="569"/>
      <c r="J10" s="569"/>
      <c r="K10" s="569"/>
      <c r="L10" s="569"/>
      <c r="M10" s="569"/>
      <c r="N10" s="568" t="s">
        <v>14</v>
      </c>
      <c r="O10" s="568"/>
      <c r="P10" s="568"/>
      <c r="Q10" s="568"/>
      <c r="R10" s="568"/>
      <c r="S10" s="567" t="s">
        <v>64</v>
      </c>
      <c r="T10" s="567"/>
      <c r="U10" s="567"/>
      <c r="V10" s="567"/>
      <c r="W10" s="567"/>
      <c r="X10" s="567"/>
      <c r="Y10" s="567"/>
      <c r="Z10" s="566"/>
    </row>
    <row r="11" spans="1:26" ht="15.9" customHeight="1" x14ac:dyDescent="0.25">
      <c r="A11" s="491"/>
      <c r="B11" s="568" t="s">
        <v>16</v>
      </c>
      <c r="C11" s="568"/>
      <c r="D11" s="568"/>
      <c r="E11" s="568"/>
      <c r="F11" s="568"/>
      <c r="G11" s="568"/>
      <c r="H11" s="569" t="s">
        <v>63</v>
      </c>
      <c r="I11" s="569"/>
      <c r="J11" s="569"/>
      <c r="K11" s="569"/>
      <c r="L11" s="569"/>
      <c r="M11" s="569"/>
      <c r="N11" s="568" t="s">
        <v>17</v>
      </c>
      <c r="O11" s="568"/>
      <c r="P11" s="568"/>
      <c r="Q11" s="568"/>
      <c r="R11" s="568"/>
      <c r="S11" s="567" t="s">
        <v>62</v>
      </c>
      <c r="T11" s="567"/>
      <c r="U11" s="567"/>
      <c r="V11" s="567"/>
      <c r="W11" s="567"/>
      <c r="X11" s="567"/>
      <c r="Y11" s="567"/>
      <c r="Z11" s="566"/>
    </row>
    <row r="12" spans="1:26" ht="15.9" customHeight="1" x14ac:dyDescent="0.25">
      <c r="A12" s="491"/>
      <c r="B12" s="568" t="s">
        <v>19</v>
      </c>
      <c r="C12" s="568"/>
      <c r="D12" s="568"/>
      <c r="E12" s="568"/>
      <c r="F12" s="568"/>
      <c r="G12" s="568"/>
      <c r="H12" s="569" t="s">
        <v>61</v>
      </c>
      <c r="I12" s="569"/>
      <c r="J12" s="569"/>
      <c r="K12" s="569"/>
      <c r="L12" s="569"/>
      <c r="M12" s="569"/>
      <c r="N12" s="568" t="s">
        <v>20</v>
      </c>
      <c r="O12" s="568"/>
      <c r="P12" s="568"/>
      <c r="Q12" s="568"/>
      <c r="R12" s="568"/>
      <c r="S12" s="567" t="s">
        <v>21</v>
      </c>
      <c r="T12" s="567"/>
      <c r="U12" s="567"/>
      <c r="V12" s="567"/>
      <c r="W12" s="567"/>
      <c r="X12" s="567"/>
      <c r="Y12" s="567"/>
      <c r="Z12" s="566"/>
    </row>
    <row r="13" spans="1:26" ht="8.25" customHeight="1" x14ac:dyDescent="0.25">
      <c r="A13" s="565"/>
      <c r="B13" s="477"/>
      <c r="C13" s="477"/>
      <c r="D13" s="564"/>
      <c r="E13" s="564"/>
      <c r="F13" s="564"/>
      <c r="G13" s="564"/>
      <c r="H13" s="477"/>
      <c r="I13" s="477"/>
      <c r="J13" s="477"/>
      <c r="K13" s="477"/>
      <c r="L13" s="477"/>
      <c r="M13" s="477"/>
      <c r="N13" s="563"/>
      <c r="O13" s="477"/>
      <c r="P13" s="477"/>
      <c r="Q13" s="477"/>
      <c r="R13" s="477"/>
      <c r="S13" s="477"/>
      <c r="T13" s="477"/>
      <c r="U13" s="477"/>
      <c r="V13" s="477"/>
      <c r="W13" s="477"/>
      <c r="X13" s="477"/>
      <c r="Y13" s="477"/>
      <c r="Z13" s="476"/>
    </row>
    <row r="14" spans="1:26" s="412" customFormat="1" ht="15" customHeight="1" x14ac:dyDescent="0.25">
      <c r="B14" s="561"/>
      <c r="C14" s="561"/>
      <c r="K14" s="562"/>
      <c r="L14" s="561"/>
      <c r="M14" s="560"/>
    </row>
    <row r="15" spans="1:26" s="412" customFormat="1" ht="15.6" customHeight="1" x14ac:dyDescent="0.25">
      <c r="A15" s="544" t="s">
        <v>22</v>
      </c>
      <c r="B15" s="559" t="s">
        <v>23</v>
      </c>
      <c r="C15" s="558"/>
      <c r="D15" s="558"/>
      <c r="E15" s="558"/>
      <c r="F15" s="558"/>
      <c r="G15" s="558"/>
      <c r="H15" s="558"/>
      <c r="I15" s="558"/>
      <c r="J15" s="558"/>
      <c r="K15" s="558"/>
      <c r="L15" s="558"/>
      <c r="M15" s="558"/>
      <c r="N15" s="558"/>
      <c r="O15" s="558"/>
      <c r="P15" s="558"/>
      <c r="Q15" s="558"/>
      <c r="R15" s="558"/>
      <c r="S15" s="558"/>
      <c r="T15" s="558"/>
      <c r="U15" s="558"/>
      <c r="V15" s="558"/>
      <c r="W15" s="558"/>
      <c r="X15" s="558"/>
      <c r="Y15" s="558"/>
      <c r="Z15" s="557"/>
    </row>
    <row r="16" spans="1:26" s="412" customFormat="1" ht="15" customHeight="1" x14ac:dyDescent="0.25">
      <c r="A16" s="553"/>
      <c r="B16" s="556"/>
      <c r="Z16" s="555"/>
    </row>
    <row r="17" spans="1:26" s="412" customFormat="1" ht="15" customHeight="1" x14ac:dyDescent="0.25">
      <c r="A17" s="553"/>
      <c r="B17" s="552" t="s">
        <v>24</v>
      </c>
      <c r="C17" s="552"/>
      <c r="D17" s="552"/>
      <c r="E17" s="552"/>
      <c r="F17" s="552"/>
      <c r="G17" s="552"/>
      <c r="H17" s="552"/>
      <c r="I17" s="554"/>
      <c r="J17" s="554"/>
      <c r="K17" s="554"/>
      <c r="L17" s="554"/>
      <c r="M17" s="554"/>
      <c r="N17" s="554"/>
      <c r="O17" s="554"/>
      <c r="P17" s="554"/>
      <c r="Q17" s="554"/>
      <c r="R17" s="554"/>
      <c r="S17" s="554"/>
      <c r="T17" s="554"/>
      <c r="U17" s="554"/>
      <c r="V17" s="554"/>
      <c r="W17" s="554"/>
      <c r="X17" s="554"/>
      <c r="Y17" s="554"/>
      <c r="Z17" s="549"/>
    </row>
    <row r="18" spans="1:26" s="412" customFormat="1" ht="15" customHeight="1" x14ac:dyDescent="0.25">
      <c r="A18" s="553"/>
      <c r="B18" s="552" t="s">
        <v>25</v>
      </c>
      <c r="C18" s="552"/>
      <c r="D18" s="552"/>
      <c r="E18" s="552"/>
      <c r="F18" s="552"/>
      <c r="G18" s="552"/>
      <c r="H18" s="552"/>
      <c r="I18" s="551" t="s">
        <v>26</v>
      </c>
      <c r="J18" s="551"/>
      <c r="K18" s="550">
        <v>50</v>
      </c>
      <c r="L18" s="550" t="s">
        <v>27</v>
      </c>
      <c r="M18" s="550"/>
      <c r="N18" s="550"/>
      <c r="O18" s="550"/>
      <c r="P18" s="550"/>
      <c r="Q18" s="550"/>
      <c r="R18" s="550"/>
      <c r="S18" s="550"/>
      <c r="T18" s="550"/>
      <c r="U18" s="550"/>
      <c r="V18" s="550"/>
      <c r="W18" s="550"/>
      <c r="X18" s="550"/>
      <c r="Y18" s="550"/>
      <c r="Z18" s="549"/>
    </row>
    <row r="19" spans="1:26" s="412" customFormat="1" ht="13.2" customHeight="1" x14ac:dyDescent="0.25">
      <c r="A19" s="548"/>
      <c r="B19" s="547"/>
      <c r="C19" s="547"/>
      <c r="D19" s="547"/>
      <c r="E19" s="547"/>
      <c r="F19" s="547"/>
      <c r="G19" s="547"/>
      <c r="H19" s="547"/>
      <c r="I19" s="547"/>
      <c r="J19" s="547"/>
      <c r="K19" s="547"/>
      <c r="L19" s="547"/>
      <c r="M19" s="547"/>
      <c r="N19" s="547"/>
      <c r="O19" s="547"/>
      <c r="P19" s="547"/>
      <c r="Q19" s="547"/>
      <c r="R19" s="547"/>
      <c r="S19" s="547"/>
      <c r="T19" s="547"/>
      <c r="U19" s="547"/>
      <c r="V19" s="547"/>
      <c r="W19" s="547"/>
      <c r="X19" s="547"/>
      <c r="Y19" s="547"/>
      <c r="Z19" s="546"/>
    </row>
    <row r="20" spans="1:26" ht="12.75" customHeight="1" x14ac:dyDescent="0.25">
      <c r="D20" s="411"/>
      <c r="E20" s="411"/>
      <c r="F20" s="411"/>
      <c r="G20" s="411"/>
      <c r="N20" s="545"/>
    </row>
    <row r="21" spans="1:26" ht="15.9" customHeight="1" x14ac:dyDescent="0.25">
      <c r="A21" s="544" t="s">
        <v>28</v>
      </c>
      <c r="B21" s="543" t="s">
        <v>29</v>
      </c>
      <c r="C21" s="541"/>
      <c r="D21" s="542"/>
      <c r="E21" s="542"/>
      <c r="F21" s="542"/>
      <c r="G21" s="542"/>
      <c r="H21" s="541"/>
      <c r="I21" s="541"/>
      <c r="J21" s="540" t="s">
        <v>30</v>
      </c>
      <c r="K21" s="540"/>
      <c r="L21" s="540"/>
      <c r="M21" s="540"/>
      <c r="N21" s="540"/>
      <c r="O21" s="540"/>
      <c r="P21" s="540"/>
      <c r="Q21" s="539">
        <v>600</v>
      </c>
      <c r="R21" s="469"/>
      <c r="S21" s="469"/>
      <c r="T21" s="469"/>
      <c r="U21" s="469"/>
      <c r="V21" s="469"/>
      <c r="W21" s="469"/>
      <c r="X21" s="469"/>
      <c r="Y21" s="469"/>
      <c r="Z21" s="538"/>
    </row>
    <row r="22" spans="1:26" ht="12.75" customHeight="1" x14ac:dyDescent="0.25">
      <c r="A22" s="491"/>
      <c r="B22" s="537"/>
      <c r="Z22" s="480"/>
    </row>
    <row r="23" spans="1:26" ht="15.75" customHeight="1" x14ac:dyDescent="0.25">
      <c r="A23" s="491"/>
      <c r="B23" s="536" t="s">
        <v>31</v>
      </c>
      <c r="C23" s="532" t="s">
        <v>32</v>
      </c>
      <c r="D23" s="532"/>
      <c r="E23" s="532"/>
      <c r="F23" s="532"/>
      <c r="G23" s="531"/>
      <c r="H23" s="535" t="s">
        <v>33</v>
      </c>
      <c r="I23" s="534"/>
      <c r="J23" s="533"/>
      <c r="K23" s="532" t="s">
        <v>34</v>
      </c>
      <c r="L23" s="532"/>
      <c r="M23" s="532"/>
      <c r="N23" s="532"/>
      <c r="O23" s="532"/>
      <c r="P23" s="531"/>
      <c r="Z23" s="480"/>
    </row>
    <row r="24" spans="1:26" ht="15.75" customHeight="1" x14ac:dyDescent="0.25">
      <c r="A24" s="491"/>
      <c r="B24" s="530"/>
      <c r="C24" s="526"/>
      <c r="D24" s="526"/>
      <c r="E24" s="526"/>
      <c r="F24" s="526"/>
      <c r="G24" s="525"/>
      <c r="H24" s="529" t="s">
        <v>35</v>
      </c>
      <c r="I24" s="528"/>
      <c r="J24" s="527"/>
      <c r="K24" s="526"/>
      <c r="L24" s="526"/>
      <c r="M24" s="526"/>
      <c r="N24" s="526"/>
      <c r="O24" s="526"/>
      <c r="P24" s="525"/>
      <c r="Z24" s="480"/>
    </row>
    <row r="25" spans="1:26" ht="19.5" customHeight="1" x14ac:dyDescent="0.25">
      <c r="A25" s="491"/>
      <c r="B25" s="524">
        <v>1</v>
      </c>
      <c r="C25" s="520"/>
      <c r="D25" s="519"/>
      <c r="E25" s="519"/>
      <c r="F25" s="519"/>
      <c r="G25" s="518"/>
      <c r="H25" s="523">
        <v>178</v>
      </c>
      <c r="I25" s="522"/>
      <c r="J25" s="521"/>
      <c r="K25" s="520"/>
      <c r="L25" s="519"/>
      <c r="M25" s="519"/>
      <c r="N25" s="519"/>
      <c r="O25" s="519"/>
      <c r="P25" s="518"/>
      <c r="Z25" s="480"/>
    </row>
    <row r="26" spans="1:26" ht="19.5" customHeight="1" x14ac:dyDescent="0.25">
      <c r="A26" s="491"/>
      <c r="B26" s="524">
        <v>2</v>
      </c>
      <c r="C26" s="520"/>
      <c r="D26" s="519"/>
      <c r="E26" s="519"/>
      <c r="F26" s="519"/>
      <c r="G26" s="518"/>
      <c r="H26" s="523">
        <v>126</v>
      </c>
      <c r="I26" s="522"/>
      <c r="J26" s="521"/>
      <c r="K26" s="520"/>
      <c r="L26" s="519"/>
      <c r="M26" s="519"/>
      <c r="N26" s="519"/>
      <c r="O26" s="519"/>
      <c r="P26" s="518"/>
      <c r="Z26" s="480"/>
    </row>
    <row r="27" spans="1:26" ht="19.5" customHeight="1" x14ac:dyDescent="0.25">
      <c r="A27" s="491"/>
      <c r="B27" s="524">
        <v>3</v>
      </c>
      <c r="C27" s="520"/>
      <c r="D27" s="519"/>
      <c r="E27" s="519"/>
      <c r="F27" s="519"/>
      <c r="G27" s="518"/>
      <c r="H27" s="523">
        <v>120</v>
      </c>
      <c r="I27" s="522"/>
      <c r="J27" s="521"/>
      <c r="K27" s="520"/>
      <c r="L27" s="519"/>
      <c r="M27" s="519"/>
      <c r="N27" s="519"/>
      <c r="O27" s="519"/>
      <c r="P27" s="518"/>
      <c r="Z27" s="480"/>
    </row>
    <row r="28" spans="1:26" ht="19.5" customHeight="1" x14ac:dyDescent="0.25">
      <c r="A28" s="491"/>
      <c r="B28" s="524">
        <v>4</v>
      </c>
      <c r="C28" s="520"/>
      <c r="D28" s="519"/>
      <c r="E28" s="519"/>
      <c r="F28" s="519"/>
      <c r="G28" s="518"/>
      <c r="H28" s="523">
        <v>102</v>
      </c>
      <c r="I28" s="522"/>
      <c r="J28" s="521"/>
      <c r="K28" s="520"/>
      <c r="L28" s="519"/>
      <c r="M28" s="519"/>
      <c r="N28" s="519"/>
      <c r="O28" s="519"/>
      <c r="P28" s="518"/>
      <c r="Z28" s="480"/>
    </row>
    <row r="29" spans="1:26" ht="19.5" customHeight="1" x14ac:dyDescent="0.25">
      <c r="A29" s="491"/>
      <c r="B29" s="524">
        <v>5</v>
      </c>
      <c r="C29" s="520"/>
      <c r="D29" s="519"/>
      <c r="E29" s="519"/>
      <c r="F29" s="519"/>
      <c r="G29" s="518"/>
      <c r="H29" s="523">
        <v>114</v>
      </c>
      <c r="I29" s="522"/>
      <c r="J29" s="521"/>
      <c r="K29" s="520"/>
      <c r="L29" s="519"/>
      <c r="M29" s="519"/>
      <c r="N29" s="519"/>
      <c r="O29" s="519"/>
      <c r="P29" s="518"/>
      <c r="Z29" s="480"/>
    </row>
    <row r="30" spans="1:26" ht="19.5" customHeight="1" x14ac:dyDescent="0.25">
      <c r="A30" s="491"/>
      <c r="B30" s="524">
        <v>6</v>
      </c>
      <c r="C30" s="520"/>
      <c r="D30" s="519"/>
      <c r="E30" s="519"/>
      <c r="F30" s="519"/>
      <c r="G30" s="518"/>
      <c r="H30" s="523">
        <v>124</v>
      </c>
      <c r="I30" s="522"/>
      <c r="J30" s="521"/>
      <c r="K30" s="520"/>
      <c r="L30" s="519"/>
      <c r="M30" s="519"/>
      <c r="N30" s="519"/>
      <c r="O30" s="519"/>
      <c r="P30" s="518"/>
      <c r="Z30" s="480"/>
    </row>
    <row r="31" spans="1:26" ht="19.5" customHeight="1" x14ac:dyDescent="0.25">
      <c r="A31" s="491"/>
      <c r="B31" s="524">
        <v>7</v>
      </c>
      <c r="C31" s="520"/>
      <c r="D31" s="519"/>
      <c r="E31" s="519"/>
      <c r="F31" s="519"/>
      <c r="G31" s="518"/>
      <c r="H31" s="523">
        <v>100</v>
      </c>
      <c r="I31" s="522"/>
      <c r="J31" s="521"/>
      <c r="K31" s="520"/>
      <c r="L31" s="519"/>
      <c r="M31" s="519"/>
      <c r="N31" s="519"/>
      <c r="O31" s="519"/>
      <c r="P31" s="518"/>
      <c r="Z31" s="480"/>
    </row>
    <row r="32" spans="1:26" ht="19.5" customHeight="1" x14ac:dyDescent="0.25">
      <c r="A32" s="491"/>
      <c r="B32" s="524">
        <v>8</v>
      </c>
      <c r="C32" s="520"/>
      <c r="D32" s="519"/>
      <c r="E32" s="519"/>
      <c r="F32" s="519"/>
      <c r="G32" s="518"/>
      <c r="H32" s="523">
        <v>104</v>
      </c>
      <c r="I32" s="522"/>
      <c r="J32" s="521"/>
      <c r="K32" s="520"/>
      <c r="L32" s="519"/>
      <c r="M32" s="519"/>
      <c r="N32" s="519"/>
      <c r="O32" s="519"/>
      <c r="P32" s="518"/>
      <c r="Z32" s="480"/>
    </row>
    <row r="33" spans="1:26" ht="19.5" customHeight="1" x14ac:dyDescent="0.25">
      <c r="A33" s="491"/>
      <c r="B33" s="601"/>
      <c r="C33" s="520"/>
      <c r="D33" s="519"/>
      <c r="E33" s="519"/>
      <c r="F33" s="519"/>
      <c r="G33" s="518"/>
      <c r="H33" s="523"/>
      <c r="I33" s="522"/>
      <c r="J33" s="521"/>
      <c r="K33" s="520"/>
      <c r="L33" s="519"/>
      <c r="M33" s="519"/>
      <c r="N33" s="519"/>
      <c r="O33" s="519"/>
      <c r="P33" s="518"/>
      <c r="Z33" s="480"/>
    </row>
    <row r="34" spans="1:26" ht="19.5" customHeight="1" x14ac:dyDescent="0.25">
      <c r="A34" s="491"/>
      <c r="B34" s="601"/>
      <c r="C34" s="520"/>
      <c r="D34" s="519"/>
      <c r="E34" s="519"/>
      <c r="F34" s="519"/>
      <c r="G34" s="518"/>
      <c r="H34" s="523"/>
      <c r="I34" s="522"/>
      <c r="J34" s="521"/>
      <c r="K34" s="520"/>
      <c r="L34" s="519"/>
      <c r="M34" s="519"/>
      <c r="N34" s="519"/>
      <c r="O34" s="519"/>
      <c r="P34" s="518"/>
      <c r="Z34" s="480"/>
    </row>
    <row r="35" spans="1:26" ht="19.5" customHeight="1" x14ac:dyDescent="0.25">
      <c r="A35" s="491"/>
      <c r="B35" s="601"/>
      <c r="C35" s="520"/>
      <c r="D35" s="519"/>
      <c r="E35" s="519"/>
      <c r="F35" s="519"/>
      <c r="G35" s="518"/>
      <c r="H35" s="523"/>
      <c r="I35" s="522"/>
      <c r="J35" s="521"/>
      <c r="K35" s="520"/>
      <c r="L35" s="519"/>
      <c r="M35" s="519"/>
      <c r="N35" s="519"/>
      <c r="O35" s="519"/>
      <c r="P35" s="518"/>
      <c r="Z35" s="480"/>
    </row>
    <row r="36" spans="1:26" ht="19.5" customHeight="1" x14ac:dyDescent="0.25">
      <c r="A36" s="491"/>
      <c r="B36" s="601"/>
      <c r="C36" s="520"/>
      <c r="D36" s="519"/>
      <c r="E36" s="519"/>
      <c r="F36" s="519"/>
      <c r="G36" s="518"/>
      <c r="H36" s="523"/>
      <c r="I36" s="522"/>
      <c r="J36" s="521"/>
      <c r="K36" s="520"/>
      <c r="L36" s="519"/>
      <c r="M36" s="519"/>
      <c r="N36" s="519"/>
      <c r="O36" s="519"/>
      <c r="P36" s="518"/>
      <c r="Z36" s="480"/>
    </row>
    <row r="37" spans="1:26" ht="19.5" customHeight="1" x14ac:dyDescent="0.25">
      <c r="A37" s="491"/>
      <c r="B37" s="601"/>
      <c r="C37" s="520"/>
      <c r="D37" s="519"/>
      <c r="E37" s="519"/>
      <c r="F37" s="519"/>
      <c r="G37" s="518"/>
      <c r="H37" s="523"/>
      <c r="I37" s="522"/>
      <c r="J37" s="521"/>
      <c r="K37" s="520"/>
      <c r="L37" s="519"/>
      <c r="M37" s="519"/>
      <c r="N37" s="519"/>
      <c r="O37" s="519"/>
      <c r="P37" s="518"/>
      <c r="Z37" s="480"/>
    </row>
    <row r="38" spans="1:26" ht="19.5" customHeight="1" x14ac:dyDescent="0.25">
      <c r="A38" s="491"/>
      <c r="B38" s="601"/>
      <c r="C38" s="520"/>
      <c r="D38" s="519"/>
      <c r="E38" s="519"/>
      <c r="F38" s="519"/>
      <c r="G38" s="518"/>
      <c r="H38" s="523"/>
      <c r="I38" s="522"/>
      <c r="J38" s="521"/>
      <c r="K38" s="520"/>
      <c r="L38" s="519"/>
      <c r="M38" s="519"/>
      <c r="N38" s="519"/>
      <c r="O38" s="519"/>
      <c r="P38" s="518"/>
      <c r="Z38" s="480"/>
    </row>
    <row r="39" spans="1:26" ht="19.5" customHeight="1" x14ac:dyDescent="0.25">
      <c r="A39" s="491"/>
      <c r="B39" s="601"/>
      <c r="C39" s="520"/>
      <c r="D39" s="519"/>
      <c r="E39" s="519"/>
      <c r="F39" s="519"/>
      <c r="G39" s="518"/>
      <c r="H39" s="523"/>
      <c r="I39" s="522"/>
      <c r="J39" s="521"/>
      <c r="K39" s="520"/>
      <c r="L39" s="519"/>
      <c r="M39" s="519"/>
      <c r="N39" s="519"/>
      <c r="O39" s="519"/>
      <c r="P39" s="518"/>
      <c r="Z39" s="480"/>
    </row>
    <row r="40" spans="1:26" ht="19.5" customHeight="1" x14ac:dyDescent="0.25">
      <c r="A40" s="491"/>
      <c r="B40" s="601"/>
      <c r="C40" s="520"/>
      <c r="D40" s="519"/>
      <c r="E40" s="519"/>
      <c r="F40" s="519"/>
      <c r="G40" s="518"/>
      <c r="H40" s="523"/>
      <c r="I40" s="522"/>
      <c r="J40" s="521"/>
      <c r="K40" s="520"/>
      <c r="L40" s="519"/>
      <c r="M40" s="519"/>
      <c r="N40" s="519"/>
      <c r="O40" s="519"/>
      <c r="P40" s="518"/>
      <c r="Z40" s="480"/>
    </row>
    <row r="41" spans="1:26" ht="19.5" customHeight="1" x14ac:dyDescent="0.25">
      <c r="A41" s="491"/>
      <c r="B41" s="601"/>
      <c r="C41" s="520"/>
      <c r="D41" s="519"/>
      <c r="E41" s="519"/>
      <c r="F41" s="519"/>
      <c r="G41" s="518"/>
      <c r="H41" s="523"/>
      <c r="I41" s="522"/>
      <c r="J41" s="521"/>
      <c r="K41" s="520"/>
      <c r="L41" s="519"/>
      <c r="M41" s="519"/>
      <c r="N41" s="519"/>
      <c r="O41" s="519"/>
      <c r="P41" s="518"/>
      <c r="Z41" s="480"/>
    </row>
    <row r="42" spans="1:26" ht="19.5" customHeight="1" x14ac:dyDescent="0.25">
      <c r="A42" s="491"/>
      <c r="B42" s="601"/>
      <c r="C42" s="520"/>
      <c r="D42" s="519"/>
      <c r="E42" s="519"/>
      <c r="F42" s="519"/>
      <c r="G42" s="518"/>
      <c r="H42" s="523"/>
      <c r="I42" s="522"/>
      <c r="J42" s="521"/>
      <c r="K42" s="520"/>
      <c r="L42" s="519"/>
      <c r="M42" s="519"/>
      <c r="N42" s="519"/>
      <c r="O42" s="519"/>
      <c r="P42" s="518"/>
      <c r="Z42" s="480"/>
    </row>
    <row r="43" spans="1:26" ht="19.5" customHeight="1" x14ac:dyDescent="0.25">
      <c r="A43" s="491"/>
      <c r="B43" s="601"/>
      <c r="C43" s="520"/>
      <c r="D43" s="519"/>
      <c r="E43" s="519"/>
      <c r="F43" s="519"/>
      <c r="G43" s="518"/>
      <c r="H43" s="523"/>
      <c r="I43" s="522"/>
      <c r="J43" s="521"/>
      <c r="K43" s="520"/>
      <c r="L43" s="519"/>
      <c r="M43" s="519"/>
      <c r="N43" s="519"/>
      <c r="O43" s="519"/>
      <c r="P43" s="518"/>
      <c r="Z43" s="480"/>
    </row>
    <row r="44" spans="1:26" ht="19.5" customHeight="1" x14ac:dyDescent="0.25">
      <c r="A44" s="491"/>
      <c r="B44" s="601"/>
      <c r="C44" s="520"/>
      <c r="D44" s="519"/>
      <c r="E44" s="519"/>
      <c r="F44" s="519"/>
      <c r="G44" s="518"/>
      <c r="H44" s="523"/>
      <c r="I44" s="522"/>
      <c r="J44" s="521"/>
      <c r="K44" s="520"/>
      <c r="L44" s="519"/>
      <c r="M44" s="519"/>
      <c r="N44" s="519"/>
      <c r="O44" s="519"/>
      <c r="P44" s="518"/>
      <c r="Z44" s="480"/>
    </row>
    <row r="45" spans="1:26" ht="19.5" customHeight="1" x14ac:dyDescent="0.25">
      <c r="A45" s="491"/>
      <c r="B45" s="601"/>
      <c r="C45" s="520"/>
      <c r="D45" s="519"/>
      <c r="E45" s="519"/>
      <c r="F45" s="519"/>
      <c r="G45" s="518"/>
      <c r="H45" s="523"/>
      <c r="I45" s="522"/>
      <c r="J45" s="521"/>
      <c r="K45" s="520"/>
      <c r="L45" s="519"/>
      <c r="M45" s="519"/>
      <c r="N45" s="519"/>
      <c r="O45" s="519"/>
      <c r="P45" s="518"/>
      <c r="Z45" s="480"/>
    </row>
    <row r="46" spans="1:26" ht="19.5" customHeight="1" thickBot="1" x14ac:dyDescent="0.3">
      <c r="A46" s="491"/>
      <c r="B46" s="517"/>
      <c r="C46" s="512"/>
      <c r="D46" s="512"/>
      <c r="E46" s="512"/>
      <c r="F46" s="512"/>
      <c r="G46" s="511"/>
      <c r="H46" s="516"/>
      <c r="I46" s="515"/>
      <c r="J46" s="514"/>
      <c r="K46" s="513"/>
      <c r="L46" s="512"/>
      <c r="M46" s="512"/>
      <c r="N46" s="512"/>
      <c r="O46" s="512"/>
      <c r="P46" s="511"/>
      <c r="Z46" s="480"/>
    </row>
    <row r="47" spans="1:26" ht="15.75" customHeight="1" x14ac:dyDescent="0.25">
      <c r="A47" s="491"/>
      <c r="B47" s="510" t="s">
        <v>36</v>
      </c>
      <c r="C47" s="509"/>
      <c r="D47" s="509"/>
      <c r="E47" s="509"/>
      <c r="F47" s="509"/>
      <c r="G47" s="508"/>
      <c r="H47" s="507">
        <f>AVERAGE(H25:J46)</f>
        <v>121</v>
      </c>
      <c r="I47" s="506"/>
      <c r="J47" s="505"/>
      <c r="K47" s="504" t="s">
        <v>37</v>
      </c>
      <c r="L47" s="503"/>
      <c r="M47" s="502" t="s">
        <v>38</v>
      </c>
      <c r="N47" s="502"/>
      <c r="O47" s="502"/>
      <c r="P47" s="501"/>
      <c r="Z47" s="480"/>
    </row>
    <row r="48" spans="1:26" ht="15.75" customHeight="1" x14ac:dyDescent="0.25">
      <c r="A48" s="491"/>
      <c r="B48" s="500" t="s">
        <v>39</v>
      </c>
      <c r="C48" s="499"/>
      <c r="D48" s="499"/>
      <c r="E48" s="499"/>
      <c r="F48" s="499"/>
      <c r="G48" s="498"/>
      <c r="H48" s="497">
        <f>IF(COUNTIF(H25:J46,"*&lt;20*"),"&lt;20",MIN(H25:J46))</f>
        <v>100</v>
      </c>
      <c r="I48" s="496"/>
      <c r="J48" s="495"/>
      <c r="K48" s="494"/>
      <c r="L48" s="493"/>
      <c r="M48" s="426"/>
      <c r="N48" s="426"/>
      <c r="O48" s="426"/>
      <c r="P48" s="492"/>
      <c r="Z48" s="480"/>
    </row>
    <row r="49" spans="1:26" ht="15.75" customHeight="1" thickBot="1" x14ac:dyDescent="0.3">
      <c r="A49" s="491"/>
      <c r="B49" s="490" t="s">
        <v>40</v>
      </c>
      <c r="C49" s="489"/>
      <c r="D49" s="489"/>
      <c r="E49" s="489"/>
      <c r="F49" s="489"/>
      <c r="G49" s="488"/>
      <c r="H49" s="487">
        <f>IF(COUNTIF(H25:J46,"*&gt;250*"),"&gt;250",MAX(H25:J46))</f>
        <v>178</v>
      </c>
      <c r="I49" s="486"/>
      <c r="J49" s="485"/>
      <c r="K49" s="484"/>
      <c r="L49" s="483"/>
      <c r="M49" s="482"/>
      <c r="N49" s="482"/>
      <c r="O49" s="482"/>
      <c r="P49" s="481"/>
      <c r="Z49" s="480"/>
    </row>
    <row r="50" spans="1:26" ht="15.9" customHeight="1" x14ac:dyDescent="0.25">
      <c r="A50" s="479"/>
      <c r="B50" s="478"/>
      <c r="C50" s="477"/>
      <c r="D50" s="477"/>
      <c r="E50" s="477"/>
      <c r="F50" s="477"/>
      <c r="G50" s="477"/>
      <c r="H50" s="477"/>
      <c r="I50" s="477"/>
      <c r="J50" s="477"/>
      <c r="K50" s="477"/>
      <c r="L50" s="477"/>
      <c r="M50" s="477"/>
      <c r="N50" s="477"/>
      <c r="O50" s="477"/>
      <c r="P50" s="477"/>
      <c r="Q50" s="477"/>
      <c r="R50" s="477"/>
      <c r="S50" s="477"/>
      <c r="T50" s="477"/>
      <c r="U50" s="477"/>
      <c r="V50" s="477"/>
      <c r="W50" s="477"/>
      <c r="X50" s="477"/>
      <c r="Y50" s="477"/>
      <c r="Z50" s="476"/>
    </row>
    <row r="51" spans="1:26" ht="12.75" customHeight="1" x14ac:dyDescent="0.25">
      <c r="A51" s="475"/>
      <c r="B51" s="474"/>
    </row>
    <row r="52" spans="1:26" s="412" customFormat="1" ht="15.6" customHeight="1" x14ac:dyDescent="0.25">
      <c r="A52" s="473" t="s">
        <v>41</v>
      </c>
      <c r="B52" s="472" t="s">
        <v>42</v>
      </c>
      <c r="C52" s="471"/>
      <c r="D52" s="471"/>
      <c r="E52" s="471"/>
      <c r="F52" s="470"/>
      <c r="G52" s="470"/>
      <c r="H52" s="470"/>
      <c r="I52" s="469"/>
      <c r="J52" s="469"/>
      <c r="K52" s="469"/>
      <c r="L52" s="469"/>
      <c r="M52" s="469"/>
      <c r="N52" s="469"/>
      <c r="O52" s="469"/>
      <c r="P52" s="469"/>
      <c r="Q52" s="469"/>
      <c r="R52" s="469"/>
      <c r="S52" s="469"/>
      <c r="T52" s="469"/>
      <c r="U52" s="468"/>
      <c r="V52" s="467"/>
      <c r="W52" s="467"/>
      <c r="X52" s="466"/>
      <c r="Y52" s="466"/>
      <c r="Z52" s="465"/>
    </row>
    <row r="53" spans="1:26" s="412" customFormat="1" ht="28.5" customHeight="1" x14ac:dyDescent="0.25">
      <c r="A53" s="464" t="s">
        <v>43</v>
      </c>
      <c r="B53" s="463"/>
      <c r="C53" s="463"/>
      <c r="D53" s="463"/>
      <c r="E53" s="463"/>
      <c r="F53" s="463"/>
      <c r="G53" s="463"/>
      <c r="H53" s="463"/>
      <c r="I53" s="463"/>
      <c r="J53" s="463"/>
      <c r="K53" s="463"/>
      <c r="L53" s="463"/>
      <c r="M53" s="463"/>
      <c r="N53" s="463"/>
      <c r="O53" s="463"/>
      <c r="P53" s="463"/>
      <c r="Q53" s="462"/>
      <c r="R53" s="430" t="s">
        <v>44</v>
      </c>
      <c r="S53" s="429"/>
      <c r="T53" s="428"/>
      <c r="U53" s="461" t="s">
        <v>45</v>
      </c>
      <c r="V53" s="460"/>
      <c r="W53" s="460"/>
      <c r="X53" s="459"/>
      <c r="Y53" s="459"/>
      <c r="Z53" s="458"/>
    </row>
    <row r="54" spans="1:26" s="412" customFormat="1" ht="15.6" customHeight="1" x14ac:dyDescent="0.25">
      <c r="A54" s="457" t="s">
        <v>46</v>
      </c>
      <c r="B54" s="456"/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5"/>
      <c r="R54" s="430" t="s">
        <v>47</v>
      </c>
      <c r="S54" s="429"/>
      <c r="T54" s="428"/>
      <c r="U54" s="454" t="s">
        <v>48</v>
      </c>
      <c r="V54" s="453"/>
      <c r="W54" s="453"/>
      <c r="X54" s="452"/>
      <c r="Y54" s="452"/>
      <c r="Z54" s="451"/>
    </row>
    <row r="55" spans="1:26" s="412" customFormat="1" ht="15.6" customHeight="1" x14ac:dyDescent="0.25">
      <c r="A55" s="450"/>
      <c r="B55" s="449"/>
      <c r="C55" s="449"/>
      <c r="D55" s="449"/>
      <c r="E55" s="449"/>
      <c r="F55" s="449"/>
      <c r="G55" s="449"/>
      <c r="H55" s="449"/>
      <c r="I55" s="449"/>
      <c r="J55" s="449"/>
      <c r="K55" s="449"/>
      <c r="L55" s="449"/>
      <c r="M55" s="449"/>
      <c r="N55" s="449"/>
      <c r="O55" s="449"/>
      <c r="P55" s="449"/>
      <c r="Q55" s="448"/>
      <c r="R55" s="430"/>
      <c r="S55" s="429"/>
      <c r="T55" s="428"/>
      <c r="U55" s="447"/>
      <c r="V55" s="426"/>
      <c r="W55" s="426"/>
      <c r="X55" s="446"/>
      <c r="Y55" s="446"/>
      <c r="Z55" s="445"/>
    </row>
    <row r="56" spans="1:26" s="412" customFormat="1" ht="15.6" customHeight="1" x14ac:dyDescent="0.25">
      <c r="A56" s="444" t="s">
        <v>49</v>
      </c>
      <c r="B56" s="443" t="s">
        <v>50</v>
      </c>
      <c r="C56" s="410"/>
      <c r="D56" s="410"/>
      <c r="E56" s="442"/>
      <c r="F56" s="442"/>
      <c r="G56" s="442"/>
      <c r="H56" s="442"/>
      <c r="I56" s="442"/>
      <c r="J56" s="442"/>
      <c r="K56" s="442"/>
      <c r="L56" s="442"/>
      <c r="M56" s="442"/>
      <c r="N56" s="442"/>
      <c r="O56" s="442"/>
      <c r="P56" s="442"/>
      <c r="Q56" s="441"/>
      <c r="R56" s="430"/>
      <c r="S56" s="429"/>
      <c r="T56" s="428"/>
      <c r="U56" s="440"/>
      <c r="V56" s="439"/>
      <c r="W56" s="439"/>
      <c r="X56" s="438"/>
      <c r="Y56" s="438"/>
      <c r="Z56" s="437"/>
    </row>
    <row r="57" spans="1:26" s="412" customFormat="1" ht="15.6" customHeight="1" x14ac:dyDescent="0.25">
      <c r="A57" s="433"/>
      <c r="B57" s="432"/>
      <c r="C57" s="432"/>
      <c r="D57" s="432"/>
      <c r="E57" s="432"/>
      <c r="F57" s="432"/>
      <c r="G57" s="432"/>
      <c r="H57" s="432"/>
      <c r="I57" s="432"/>
      <c r="J57" s="432"/>
      <c r="K57" s="432"/>
      <c r="L57" s="432"/>
      <c r="M57" s="432"/>
      <c r="N57" s="432"/>
      <c r="O57" s="432"/>
      <c r="P57" s="432"/>
      <c r="Q57" s="431"/>
      <c r="R57" s="430" t="s">
        <v>51</v>
      </c>
      <c r="S57" s="429"/>
      <c r="T57" s="428"/>
      <c r="U57" s="436"/>
      <c r="V57" s="435"/>
      <c r="W57" s="435"/>
      <c r="X57" s="435"/>
      <c r="Y57" s="435"/>
      <c r="Z57" s="434"/>
    </row>
    <row r="58" spans="1:26" s="412" customFormat="1" ht="15.6" customHeight="1" x14ac:dyDescent="0.25">
      <c r="A58" s="433"/>
      <c r="B58" s="432"/>
      <c r="C58" s="432"/>
      <c r="D58" s="432"/>
      <c r="E58" s="432"/>
      <c r="F58" s="432"/>
      <c r="G58" s="432"/>
      <c r="H58" s="432"/>
      <c r="I58" s="432"/>
      <c r="J58" s="432"/>
      <c r="K58" s="432"/>
      <c r="L58" s="432"/>
      <c r="M58" s="432"/>
      <c r="N58" s="432"/>
      <c r="O58" s="432"/>
      <c r="P58" s="432"/>
      <c r="Q58" s="431"/>
      <c r="R58" s="430"/>
      <c r="S58" s="429"/>
      <c r="T58" s="428"/>
      <c r="U58" s="427"/>
      <c r="V58" s="426"/>
      <c r="W58" s="426"/>
      <c r="X58" s="426"/>
      <c r="Y58" s="426"/>
      <c r="Z58" s="425"/>
    </row>
    <row r="59" spans="1:26" s="412" customFormat="1" ht="15.6" customHeight="1" x14ac:dyDescent="0.25">
      <c r="A59" s="433"/>
      <c r="B59" s="432"/>
      <c r="C59" s="432"/>
      <c r="D59" s="432"/>
      <c r="E59" s="432"/>
      <c r="F59" s="432"/>
      <c r="G59" s="432"/>
      <c r="H59" s="432"/>
      <c r="I59" s="432"/>
      <c r="J59" s="432"/>
      <c r="K59" s="432"/>
      <c r="L59" s="432"/>
      <c r="M59" s="432"/>
      <c r="N59" s="432"/>
      <c r="O59" s="432"/>
      <c r="P59" s="432"/>
      <c r="Q59" s="431"/>
      <c r="R59" s="430"/>
      <c r="S59" s="429"/>
      <c r="T59" s="428"/>
      <c r="U59" s="427"/>
      <c r="V59" s="426"/>
      <c r="W59" s="426"/>
      <c r="X59" s="426"/>
      <c r="Y59" s="426"/>
      <c r="Z59" s="425"/>
    </row>
    <row r="60" spans="1:26" s="412" customFormat="1" ht="15.6" customHeight="1" x14ac:dyDescent="0.25">
      <c r="A60" s="424"/>
      <c r="B60" s="423"/>
      <c r="C60" s="423"/>
      <c r="D60" s="423"/>
      <c r="E60" s="423"/>
      <c r="F60" s="423"/>
      <c r="G60" s="423"/>
      <c r="H60" s="423"/>
      <c r="I60" s="423"/>
      <c r="J60" s="423"/>
      <c r="K60" s="423"/>
      <c r="L60" s="423"/>
      <c r="M60" s="423"/>
      <c r="N60" s="423"/>
      <c r="O60" s="423"/>
      <c r="P60" s="423"/>
      <c r="Q60" s="422"/>
      <c r="R60" s="421"/>
      <c r="S60" s="420"/>
      <c r="T60" s="419"/>
      <c r="U60" s="418"/>
      <c r="V60" s="417"/>
      <c r="W60" s="417"/>
      <c r="X60" s="417"/>
      <c r="Y60" s="417"/>
      <c r="Z60" s="416"/>
    </row>
    <row r="61" spans="1:26" s="412" customFormat="1" ht="15" customHeight="1" x14ac:dyDescent="0.25">
      <c r="A61" s="415"/>
      <c r="B61" s="415"/>
      <c r="C61" s="415"/>
      <c r="D61" s="415"/>
      <c r="E61" s="415"/>
      <c r="F61" s="415"/>
      <c r="G61" s="415"/>
      <c r="H61" s="415"/>
      <c r="I61" s="415"/>
      <c r="J61" s="415"/>
      <c r="K61" s="415"/>
      <c r="L61" s="415"/>
      <c r="M61" s="415"/>
      <c r="N61" s="415"/>
      <c r="O61" s="415"/>
      <c r="P61" s="415"/>
      <c r="Q61" s="415"/>
      <c r="R61" s="414"/>
      <c r="S61" s="414"/>
      <c r="T61" s="414"/>
      <c r="U61" s="413"/>
      <c r="V61" s="413"/>
      <c r="W61" s="413"/>
      <c r="X61" s="413"/>
      <c r="Y61" s="413"/>
      <c r="Z61" s="413"/>
    </row>
    <row r="63" spans="1:26" ht="12.75" customHeight="1" x14ac:dyDescent="0.25">
      <c r="A63" s="410"/>
    </row>
    <row r="64" spans="1:26" ht="12.75" customHeight="1" x14ac:dyDescent="0.25">
      <c r="A64" s="410"/>
    </row>
    <row r="65" spans="1:1" ht="12.75" customHeight="1" x14ac:dyDescent="0.25">
      <c r="A65" s="410"/>
    </row>
    <row r="66" spans="1:1" ht="12.75" customHeight="1" x14ac:dyDescent="0.25">
      <c r="A66" s="410"/>
    </row>
    <row r="67" spans="1:1" ht="12.75" customHeight="1" x14ac:dyDescent="0.25">
      <c r="A67" s="410"/>
    </row>
    <row r="68" spans="1:1" ht="12.75" customHeight="1" x14ac:dyDescent="0.25">
      <c r="A68" s="410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B17:H17"/>
    <mergeCell ref="B12:G12"/>
    <mergeCell ref="B11:G11"/>
    <mergeCell ref="C33:G33"/>
    <mergeCell ref="H33:J33"/>
    <mergeCell ref="K33:P33"/>
    <mergeCell ref="U1:Z6"/>
    <mergeCell ref="K25:P25"/>
    <mergeCell ref="M47:P49"/>
    <mergeCell ref="K47:L49"/>
    <mergeCell ref="S12:Y12"/>
    <mergeCell ref="K23:P24"/>
    <mergeCell ref="I17:Y17"/>
    <mergeCell ref="S11:Y11"/>
    <mergeCell ref="H46:J46"/>
    <mergeCell ref="K46:P46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U53:Z53"/>
    <mergeCell ref="U54:Z56"/>
    <mergeCell ref="H49:J49"/>
    <mergeCell ref="H47:J47"/>
    <mergeCell ref="H48:J48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2:G32"/>
    <mergeCell ref="H32:J32"/>
    <mergeCell ref="K32:P32"/>
    <mergeCell ref="C30:G30"/>
    <mergeCell ref="H30:J30"/>
    <mergeCell ref="K30:P30"/>
    <mergeCell ref="C31:G31"/>
    <mergeCell ref="H31:J31"/>
    <mergeCell ref="K31:P31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A225-A83E-4302-BEDF-362ABFDA8D06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68" customWidth="1"/>
    <col min="2" max="26" width="5.109375" style="67" customWidth="1"/>
    <col min="27" max="27" width="11.44140625" style="67"/>
    <col min="28" max="16384" width="11.44140625" style="66"/>
  </cols>
  <sheetData>
    <row r="1" spans="1:26" ht="12.75" customHeight="1" x14ac:dyDescent="0.25">
      <c r="A1" s="187"/>
      <c r="B1" s="188"/>
      <c r="C1" s="188"/>
      <c r="D1" s="188"/>
      <c r="E1" s="188"/>
      <c r="F1" s="189"/>
      <c r="G1" s="196" t="s">
        <v>0</v>
      </c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8"/>
      <c r="U1" s="141" t="s">
        <v>60</v>
      </c>
      <c r="V1" s="142"/>
      <c r="W1" s="142"/>
      <c r="X1" s="142"/>
      <c r="Y1" s="142"/>
      <c r="Z1" s="143"/>
    </row>
    <row r="2" spans="1:26" ht="12.75" customHeight="1" x14ac:dyDescent="0.25">
      <c r="A2" s="190"/>
      <c r="B2" s="191"/>
      <c r="C2" s="191"/>
      <c r="D2" s="191"/>
      <c r="E2" s="191"/>
      <c r="F2" s="192"/>
      <c r="G2" s="199" t="s">
        <v>1</v>
      </c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1"/>
      <c r="U2" s="144"/>
      <c r="V2" s="145"/>
      <c r="W2" s="145"/>
      <c r="X2" s="145"/>
      <c r="Y2" s="145"/>
      <c r="Z2" s="146"/>
    </row>
    <row r="3" spans="1:26" ht="12.75" customHeight="1" x14ac:dyDescent="0.25">
      <c r="A3" s="190"/>
      <c r="B3" s="191"/>
      <c r="C3" s="191"/>
      <c r="D3" s="191"/>
      <c r="E3" s="191"/>
      <c r="F3" s="192"/>
      <c r="G3" s="199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1"/>
      <c r="U3" s="144"/>
      <c r="V3" s="145"/>
      <c r="W3" s="145"/>
      <c r="X3" s="145"/>
      <c r="Y3" s="145"/>
      <c r="Z3" s="146"/>
    </row>
    <row r="4" spans="1:26" ht="12.75" customHeight="1" x14ac:dyDescent="0.25">
      <c r="A4" s="190"/>
      <c r="B4" s="191"/>
      <c r="C4" s="191"/>
      <c r="D4" s="191"/>
      <c r="E4" s="191"/>
      <c r="F4" s="192"/>
      <c r="G4" s="199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1"/>
      <c r="U4" s="144"/>
      <c r="V4" s="145"/>
      <c r="W4" s="145"/>
      <c r="X4" s="145"/>
      <c r="Y4" s="145"/>
      <c r="Z4" s="146"/>
    </row>
    <row r="5" spans="1:26" ht="12.75" customHeight="1" x14ac:dyDescent="0.25">
      <c r="A5" s="190"/>
      <c r="B5" s="191"/>
      <c r="C5" s="191"/>
      <c r="D5" s="191"/>
      <c r="E5" s="191"/>
      <c r="F5" s="192"/>
      <c r="G5" s="202" t="s">
        <v>2</v>
      </c>
      <c r="H5" s="203"/>
      <c r="I5" s="177">
        <v>2</v>
      </c>
      <c r="J5" s="177"/>
      <c r="K5" s="178"/>
      <c r="L5" s="180" t="s">
        <v>3</v>
      </c>
      <c r="M5" s="181"/>
      <c r="N5" s="181"/>
      <c r="O5" s="182"/>
      <c r="P5" s="183" t="s">
        <v>58</v>
      </c>
      <c r="Q5" s="184"/>
      <c r="R5" s="184"/>
      <c r="S5" s="184"/>
      <c r="T5" s="185"/>
      <c r="U5" s="144"/>
      <c r="V5" s="145"/>
      <c r="W5" s="145"/>
      <c r="X5" s="145"/>
      <c r="Y5" s="145"/>
      <c r="Z5" s="146"/>
    </row>
    <row r="6" spans="1:26" ht="12.75" customHeight="1" x14ac:dyDescent="0.25">
      <c r="A6" s="193"/>
      <c r="B6" s="194"/>
      <c r="C6" s="194"/>
      <c r="D6" s="194"/>
      <c r="E6" s="194"/>
      <c r="F6" s="195"/>
      <c r="G6" s="138"/>
      <c r="H6" s="97"/>
      <c r="I6" s="179" t="s">
        <v>5</v>
      </c>
      <c r="J6" s="179"/>
      <c r="K6" s="179"/>
      <c r="L6" s="179" t="s">
        <v>6</v>
      </c>
      <c r="M6" s="179"/>
      <c r="N6" s="179"/>
      <c r="O6" s="179"/>
      <c r="P6" s="179" t="s">
        <v>7</v>
      </c>
      <c r="Q6" s="179"/>
      <c r="R6" s="179"/>
      <c r="S6" s="179"/>
      <c r="T6" s="186"/>
      <c r="U6" s="147"/>
      <c r="V6" s="148"/>
      <c r="W6" s="148"/>
      <c r="X6" s="148"/>
      <c r="Y6" s="148"/>
      <c r="Z6" s="149"/>
    </row>
    <row r="7" spans="1:26" ht="36.6" customHeight="1" x14ac:dyDescent="0.25">
      <c r="A7" s="204" t="s">
        <v>8</v>
      </c>
      <c r="B7" s="204"/>
      <c r="C7" s="204"/>
      <c r="D7" s="204"/>
      <c r="E7" s="204"/>
      <c r="F7" s="204"/>
      <c r="G7" s="205" t="s">
        <v>9</v>
      </c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</row>
    <row r="8" spans="1:26" ht="15.9" customHeight="1" x14ac:dyDescent="0.25">
      <c r="A8" s="117" t="s">
        <v>10</v>
      </c>
      <c r="B8" s="92" t="s">
        <v>11</v>
      </c>
      <c r="C8" s="89"/>
      <c r="D8" s="137"/>
      <c r="E8" s="137"/>
      <c r="F8" s="137"/>
      <c r="G8" s="137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113"/>
    </row>
    <row r="9" spans="1:26" ht="8.25" customHeight="1" x14ac:dyDescent="0.25">
      <c r="A9" s="101"/>
      <c r="D9" s="68"/>
      <c r="E9" s="68"/>
      <c r="F9" s="68"/>
      <c r="G9" s="68"/>
      <c r="Z9" s="100"/>
    </row>
    <row r="10" spans="1:26" ht="15.9" customHeight="1" x14ac:dyDescent="0.25">
      <c r="A10" s="101"/>
      <c r="B10" s="140" t="s">
        <v>12</v>
      </c>
      <c r="C10" s="140"/>
      <c r="D10" s="140"/>
      <c r="E10" s="140"/>
      <c r="F10" s="140"/>
      <c r="G10" s="140"/>
      <c r="H10" s="206" t="s">
        <v>55</v>
      </c>
      <c r="I10" s="206"/>
      <c r="J10" s="206"/>
      <c r="K10" s="206"/>
      <c r="L10" s="206"/>
      <c r="M10" s="206"/>
      <c r="N10" s="140" t="s">
        <v>14</v>
      </c>
      <c r="O10" s="140"/>
      <c r="P10" s="140"/>
      <c r="Q10" s="140"/>
      <c r="R10" s="140"/>
      <c r="S10" s="165" t="s">
        <v>59</v>
      </c>
      <c r="T10" s="165"/>
      <c r="U10" s="165"/>
      <c r="V10" s="165"/>
      <c r="W10" s="165"/>
      <c r="X10" s="165"/>
      <c r="Y10" s="165"/>
      <c r="Z10" s="136"/>
    </row>
    <row r="11" spans="1:26" ht="15.9" customHeight="1" x14ac:dyDescent="0.25">
      <c r="A11" s="101"/>
      <c r="B11" s="140" t="s">
        <v>16</v>
      </c>
      <c r="C11" s="140"/>
      <c r="D11" s="140"/>
      <c r="E11" s="140"/>
      <c r="F11" s="140"/>
      <c r="G11" s="140"/>
      <c r="H11" s="206" t="s">
        <v>58</v>
      </c>
      <c r="I11" s="206"/>
      <c r="J11" s="206"/>
      <c r="K11" s="206"/>
      <c r="L11" s="206"/>
      <c r="M11" s="206"/>
      <c r="N11" s="140" t="s">
        <v>17</v>
      </c>
      <c r="O11" s="140"/>
      <c r="P11" s="140"/>
      <c r="Q11" s="140"/>
      <c r="R11" s="140"/>
      <c r="S11" s="165" t="s">
        <v>18</v>
      </c>
      <c r="T11" s="165"/>
      <c r="U11" s="165"/>
      <c r="V11" s="165"/>
      <c r="W11" s="165"/>
      <c r="X11" s="165"/>
      <c r="Y11" s="165"/>
      <c r="Z11" s="136"/>
    </row>
    <row r="12" spans="1:26" ht="15.9" customHeight="1" x14ac:dyDescent="0.25">
      <c r="A12" s="101"/>
      <c r="B12" s="140" t="s">
        <v>19</v>
      </c>
      <c r="C12" s="140"/>
      <c r="D12" s="140"/>
      <c r="E12" s="140"/>
      <c r="F12" s="140"/>
      <c r="G12" s="140"/>
      <c r="H12" s="213" t="s">
        <v>57</v>
      </c>
      <c r="I12" s="213"/>
      <c r="J12" s="213"/>
      <c r="K12" s="213"/>
      <c r="L12" s="213"/>
      <c r="M12" s="213"/>
      <c r="N12" s="140" t="s">
        <v>20</v>
      </c>
      <c r="O12" s="140"/>
      <c r="P12" s="140"/>
      <c r="Q12" s="140"/>
      <c r="R12" s="140"/>
      <c r="S12" s="165" t="s">
        <v>56</v>
      </c>
      <c r="T12" s="165"/>
      <c r="U12" s="165"/>
      <c r="V12" s="165"/>
      <c r="W12" s="165"/>
      <c r="X12" s="165"/>
      <c r="Y12" s="165"/>
      <c r="Z12" s="136"/>
    </row>
    <row r="13" spans="1:26" ht="8.25" customHeight="1" x14ac:dyDescent="0.25">
      <c r="A13" s="135"/>
      <c r="B13" s="97"/>
      <c r="C13" s="97"/>
      <c r="D13" s="134"/>
      <c r="E13" s="134"/>
      <c r="F13" s="134"/>
      <c r="G13" s="134"/>
      <c r="H13" s="97"/>
      <c r="I13" s="97"/>
      <c r="J13" s="97"/>
      <c r="K13" s="97"/>
      <c r="L13" s="97"/>
      <c r="M13" s="97"/>
      <c r="N13" s="133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6"/>
    </row>
    <row r="14" spans="1:26" s="69" customFormat="1" ht="15" customHeight="1" x14ac:dyDescent="0.25">
      <c r="B14" s="131"/>
      <c r="C14" s="131"/>
      <c r="K14" s="132"/>
      <c r="L14" s="131"/>
      <c r="M14" s="130"/>
    </row>
    <row r="15" spans="1:26" s="69" customFormat="1" ht="15.6" customHeight="1" x14ac:dyDescent="0.25">
      <c r="A15" s="117" t="s">
        <v>22</v>
      </c>
      <c r="B15" s="129" t="s">
        <v>23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7"/>
    </row>
    <row r="16" spans="1:26" s="69" customFormat="1" ht="15" customHeight="1" x14ac:dyDescent="0.25">
      <c r="A16" s="124"/>
      <c r="B16" s="126"/>
      <c r="Z16" s="125"/>
    </row>
    <row r="17" spans="1:26" s="69" customFormat="1" ht="15" customHeight="1" x14ac:dyDescent="0.25">
      <c r="A17" s="124"/>
      <c r="B17" s="139" t="s">
        <v>24</v>
      </c>
      <c r="C17" s="139"/>
      <c r="D17" s="139"/>
      <c r="E17" s="139"/>
      <c r="F17" s="139"/>
      <c r="G17" s="139"/>
      <c r="H17" s="139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22"/>
    </row>
    <row r="18" spans="1:26" s="69" customFormat="1" ht="15" customHeight="1" x14ac:dyDescent="0.25">
      <c r="A18" s="124"/>
      <c r="B18" s="139" t="s">
        <v>25</v>
      </c>
      <c r="C18" s="139"/>
      <c r="D18" s="139"/>
      <c r="E18" s="139"/>
      <c r="F18" s="139"/>
      <c r="G18" s="139"/>
      <c r="H18" s="139"/>
      <c r="I18" s="268" t="s">
        <v>26</v>
      </c>
      <c r="J18" s="268"/>
      <c r="K18" s="123">
        <v>50</v>
      </c>
      <c r="L18" s="123" t="s">
        <v>27</v>
      </c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2"/>
    </row>
    <row r="19" spans="1:26" s="69" customFormat="1" ht="13.2" customHeight="1" x14ac:dyDescent="0.25">
      <c r="A19" s="121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19"/>
    </row>
    <row r="20" spans="1:26" ht="12.75" customHeight="1" x14ac:dyDescent="0.25">
      <c r="D20" s="68"/>
      <c r="E20" s="68"/>
      <c r="F20" s="68"/>
      <c r="G20" s="68"/>
      <c r="N20" s="118"/>
    </row>
    <row r="21" spans="1:26" ht="15.9" customHeight="1" x14ac:dyDescent="0.25">
      <c r="A21" s="117" t="s">
        <v>28</v>
      </c>
      <c r="B21" s="116" t="s">
        <v>29</v>
      </c>
      <c r="C21" s="114"/>
      <c r="D21" s="115"/>
      <c r="E21" s="115"/>
      <c r="F21" s="115"/>
      <c r="G21" s="115"/>
      <c r="H21" s="114"/>
      <c r="I21" s="114"/>
      <c r="J21" s="277" t="s">
        <v>30</v>
      </c>
      <c r="K21" s="277"/>
      <c r="L21" s="277"/>
      <c r="M21" s="277"/>
      <c r="N21" s="277"/>
      <c r="O21" s="277"/>
      <c r="P21" s="277"/>
      <c r="Q21" s="111">
        <v>600</v>
      </c>
      <c r="R21" s="89"/>
      <c r="S21" s="89"/>
      <c r="T21" s="89"/>
      <c r="U21" s="89"/>
      <c r="V21" s="89"/>
      <c r="W21" s="89"/>
      <c r="X21" s="89"/>
      <c r="Y21" s="89"/>
      <c r="Z21" s="113"/>
    </row>
    <row r="22" spans="1:26" ht="12.75" customHeight="1" x14ac:dyDescent="0.25">
      <c r="A22" s="101"/>
      <c r="B22" s="112"/>
      <c r="Z22" s="100"/>
    </row>
    <row r="23" spans="1:26" ht="15.75" customHeight="1" x14ac:dyDescent="0.25">
      <c r="A23" s="101"/>
      <c r="B23" s="275" t="s">
        <v>31</v>
      </c>
      <c r="C23" s="166" t="s">
        <v>32</v>
      </c>
      <c r="D23" s="166"/>
      <c r="E23" s="166"/>
      <c r="F23" s="166"/>
      <c r="G23" s="167"/>
      <c r="H23" s="272" t="s">
        <v>33</v>
      </c>
      <c r="I23" s="273"/>
      <c r="J23" s="274"/>
      <c r="K23" s="166" t="s">
        <v>34</v>
      </c>
      <c r="L23" s="166"/>
      <c r="M23" s="166"/>
      <c r="N23" s="166"/>
      <c r="O23" s="166"/>
      <c r="P23" s="167"/>
      <c r="Z23" s="100"/>
    </row>
    <row r="24" spans="1:26" ht="15.75" customHeight="1" x14ac:dyDescent="0.25">
      <c r="A24" s="101"/>
      <c r="B24" s="276"/>
      <c r="C24" s="168"/>
      <c r="D24" s="168"/>
      <c r="E24" s="168"/>
      <c r="F24" s="168"/>
      <c r="G24" s="169"/>
      <c r="H24" s="269" t="s">
        <v>35</v>
      </c>
      <c r="I24" s="270"/>
      <c r="J24" s="271"/>
      <c r="K24" s="168"/>
      <c r="L24" s="168"/>
      <c r="M24" s="168"/>
      <c r="N24" s="168"/>
      <c r="O24" s="168"/>
      <c r="P24" s="169"/>
      <c r="Z24" s="100"/>
    </row>
    <row r="25" spans="1:26" ht="19.5" customHeight="1" x14ac:dyDescent="0.25">
      <c r="A25" s="101"/>
      <c r="B25" s="110">
        <v>1</v>
      </c>
      <c r="C25" s="207"/>
      <c r="D25" s="208"/>
      <c r="E25" s="208"/>
      <c r="F25" s="208"/>
      <c r="G25" s="209"/>
      <c r="H25" s="210">
        <v>108</v>
      </c>
      <c r="I25" s="211"/>
      <c r="J25" s="212"/>
      <c r="K25" s="150"/>
      <c r="L25" s="151"/>
      <c r="M25" s="151"/>
      <c r="N25" s="151"/>
      <c r="O25" s="151"/>
      <c r="P25" s="152"/>
      <c r="Z25" s="100"/>
    </row>
    <row r="26" spans="1:26" ht="19.5" customHeight="1" x14ac:dyDescent="0.25">
      <c r="A26" s="101"/>
      <c r="B26" s="110">
        <v>2</v>
      </c>
      <c r="C26" s="207"/>
      <c r="D26" s="208"/>
      <c r="E26" s="208"/>
      <c r="F26" s="208"/>
      <c r="G26" s="209"/>
      <c r="H26" s="210">
        <v>131</v>
      </c>
      <c r="I26" s="211"/>
      <c r="J26" s="212"/>
      <c r="K26" s="207"/>
      <c r="L26" s="208"/>
      <c r="M26" s="208"/>
      <c r="N26" s="208"/>
      <c r="O26" s="208"/>
      <c r="P26" s="209"/>
      <c r="Z26" s="100"/>
    </row>
    <row r="27" spans="1:26" ht="19.5" customHeight="1" x14ac:dyDescent="0.25">
      <c r="A27" s="101"/>
      <c r="B27" s="110">
        <v>3</v>
      </c>
      <c r="C27" s="207"/>
      <c r="D27" s="208"/>
      <c r="E27" s="208"/>
      <c r="F27" s="208"/>
      <c r="G27" s="209"/>
      <c r="H27" s="210">
        <v>78</v>
      </c>
      <c r="I27" s="211"/>
      <c r="J27" s="212"/>
      <c r="K27" s="207"/>
      <c r="L27" s="208"/>
      <c r="M27" s="208"/>
      <c r="N27" s="208"/>
      <c r="O27" s="208"/>
      <c r="P27" s="209"/>
      <c r="Z27" s="100"/>
    </row>
    <row r="28" spans="1:26" ht="19.5" customHeight="1" x14ac:dyDescent="0.25">
      <c r="A28" s="101"/>
      <c r="B28" s="110">
        <v>4</v>
      </c>
      <c r="C28" s="207"/>
      <c r="D28" s="208"/>
      <c r="E28" s="208"/>
      <c r="F28" s="208"/>
      <c r="G28" s="209"/>
      <c r="H28" s="210">
        <v>110</v>
      </c>
      <c r="I28" s="211"/>
      <c r="J28" s="212"/>
      <c r="K28" s="207"/>
      <c r="L28" s="208"/>
      <c r="M28" s="208"/>
      <c r="N28" s="208"/>
      <c r="O28" s="208"/>
      <c r="P28" s="209"/>
      <c r="Z28" s="100"/>
    </row>
    <row r="29" spans="1:26" ht="19.5" customHeight="1" x14ac:dyDescent="0.25">
      <c r="A29" s="101"/>
      <c r="B29" s="110">
        <v>5</v>
      </c>
      <c r="C29" s="207"/>
      <c r="D29" s="208"/>
      <c r="E29" s="208"/>
      <c r="F29" s="208"/>
      <c r="G29" s="209"/>
      <c r="H29" s="210">
        <v>95</v>
      </c>
      <c r="I29" s="211"/>
      <c r="J29" s="212"/>
      <c r="K29" s="207"/>
      <c r="L29" s="208"/>
      <c r="M29" s="208"/>
      <c r="N29" s="208"/>
      <c r="O29" s="208"/>
      <c r="P29" s="209"/>
      <c r="Z29" s="100"/>
    </row>
    <row r="30" spans="1:26" ht="19.5" customHeight="1" x14ac:dyDescent="0.25">
      <c r="A30" s="101"/>
      <c r="B30" s="110">
        <v>6</v>
      </c>
      <c r="C30" s="207"/>
      <c r="D30" s="208"/>
      <c r="E30" s="208"/>
      <c r="F30" s="208"/>
      <c r="G30" s="209"/>
      <c r="H30" s="210">
        <v>101</v>
      </c>
      <c r="I30" s="211"/>
      <c r="J30" s="212"/>
      <c r="K30" s="207"/>
      <c r="L30" s="208"/>
      <c r="M30" s="208"/>
      <c r="N30" s="208"/>
      <c r="O30" s="208"/>
      <c r="P30" s="209"/>
      <c r="Z30" s="100"/>
    </row>
    <row r="31" spans="1:26" ht="19.5" customHeight="1" x14ac:dyDescent="0.25">
      <c r="A31" s="101"/>
      <c r="B31" s="110">
        <v>7</v>
      </c>
      <c r="C31" s="207"/>
      <c r="D31" s="208"/>
      <c r="E31" s="208"/>
      <c r="F31" s="208"/>
      <c r="G31" s="209"/>
      <c r="H31" s="210">
        <v>133</v>
      </c>
      <c r="I31" s="211"/>
      <c r="J31" s="212"/>
      <c r="K31" s="207"/>
      <c r="L31" s="208"/>
      <c r="M31" s="208"/>
      <c r="N31" s="208"/>
      <c r="O31" s="208"/>
      <c r="P31" s="209"/>
      <c r="Z31" s="100"/>
    </row>
    <row r="32" spans="1:26" ht="19.5" customHeight="1" x14ac:dyDescent="0.25">
      <c r="A32" s="101"/>
      <c r="B32" s="110">
        <v>8</v>
      </c>
      <c r="C32" s="207"/>
      <c r="D32" s="208"/>
      <c r="E32" s="208"/>
      <c r="F32" s="208"/>
      <c r="G32" s="209"/>
      <c r="H32" s="210">
        <v>79</v>
      </c>
      <c r="I32" s="211"/>
      <c r="J32" s="212"/>
      <c r="K32" s="207"/>
      <c r="L32" s="208"/>
      <c r="M32" s="208"/>
      <c r="N32" s="208"/>
      <c r="O32" s="208"/>
      <c r="P32" s="209"/>
      <c r="Z32" s="100"/>
    </row>
    <row r="33" spans="1:26" ht="19.5" customHeight="1" x14ac:dyDescent="0.25">
      <c r="A33" s="101"/>
      <c r="B33" s="110">
        <v>9</v>
      </c>
      <c r="C33" s="207"/>
      <c r="D33" s="208"/>
      <c r="E33" s="208"/>
      <c r="F33" s="208"/>
      <c r="G33" s="209"/>
      <c r="H33" s="210">
        <v>96</v>
      </c>
      <c r="I33" s="211"/>
      <c r="J33" s="212"/>
      <c r="K33" s="207"/>
      <c r="L33" s="208"/>
      <c r="M33" s="208"/>
      <c r="N33" s="208"/>
      <c r="O33" s="208"/>
      <c r="P33" s="209"/>
      <c r="Z33" s="100"/>
    </row>
    <row r="34" spans="1:26" ht="19.5" customHeight="1" x14ac:dyDescent="0.25">
      <c r="A34" s="101"/>
      <c r="B34" s="110">
        <v>10</v>
      </c>
      <c r="C34" s="207"/>
      <c r="D34" s="208"/>
      <c r="E34" s="208"/>
      <c r="F34" s="208"/>
      <c r="G34" s="209"/>
      <c r="H34" s="210">
        <v>53</v>
      </c>
      <c r="I34" s="211"/>
      <c r="J34" s="212"/>
      <c r="K34" s="150"/>
      <c r="L34" s="151"/>
      <c r="M34" s="151"/>
      <c r="N34" s="151"/>
      <c r="O34" s="151"/>
      <c r="P34" s="152"/>
      <c r="Z34" s="100"/>
    </row>
    <row r="35" spans="1:26" ht="19.5" customHeight="1" x14ac:dyDescent="0.25">
      <c r="A35" s="101"/>
      <c r="B35" s="109"/>
      <c r="C35" s="105"/>
      <c r="D35" s="104"/>
      <c r="E35" s="104"/>
      <c r="F35" s="104"/>
      <c r="G35" s="103"/>
      <c r="H35" s="108"/>
      <c r="I35" s="107"/>
      <c r="J35" s="106"/>
      <c r="K35" s="105"/>
      <c r="L35" s="104"/>
      <c r="M35" s="104"/>
      <c r="N35" s="104"/>
      <c r="O35" s="104"/>
      <c r="P35" s="103"/>
      <c r="Z35" s="100"/>
    </row>
    <row r="36" spans="1:26" ht="19.5" customHeight="1" x14ac:dyDescent="0.25">
      <c r="A36" s="101"/>
      <c r="B36" s="109"/>
      <c r="C36" s="105"/>
      <c r="D36" s="104"/>
      <c r="E36" s="104"/>
      <c r="F36" s="104"/>
      <c r="G36" s="103"/>
      <c r="H36" s="108"/>
      <c r="I36" s="107"/>
      <c r="J36" s="106"/>
      <c r="K36" s="105"/>
      <c r="L36" s="104"/>
      <c r="M36" s="104"/>
      <c r="N36" s="104"/>
      <c r="O36" s="104"/>
      <c r="P36" s="103"/>
      <c r="Z36" s="100"/>
    </row>
    <row r="37" spans="1:26" ht="19.5" customHeight="1" x14ac:dyDescent="0.25">
      <c r="A37" s="101"/>
      <c r="B37" s="109"/>
      <c r="C37" s="105"/>
      <c r="D37" s="104"/>
      <c r="E37" s="104"/>
      <c r="F37" s="104"/>
      <c r="G37" s="103"/>
      <c r="H37" s="108"/>
      <c r="I37" s="107"/>
      <c r="J37" s="106"/>
      <c r="K37" s="105"/>
      <c r="L37" s="104"/>
      <c r="M37" s="104"/>
      <c r="N37" s="104"/>
      <c r="O37" s="104"/>
      <c r="P37" s="103"/>
      <c r="Z37" s="100"/>
    </row>
    <row r="38" spans="1:26" ht="19.5" customHeight="1" x14ac:dyDescent="0.25">
      <c r="A38" s="101"/>
      <c r="B38" s="109"/>
      <c r="C38" s="105"/>
      <c r="D38" s="104"/>
      <c r="E38" s="104"/>
      <c r="F38" s="104"/>
      <c r="G38" s="103"/>
      <c r="H38" s="108"/>
      <c r="I38" s="107"/>
      <c r="J38" s="106"/>
      <c r="K38" s="105"/>
      <c r="L38" s="104"/>
      <c r="M38" s="104"/>
      <c r="N38" s="104"/>
      <c r="O38" s="104"/>
      <c r="P38" s="103"/>
      <c r="Z38" s="100"/>
    </row>
    <row r="39" spans="1:26" ht="19.5" customHeight="1" x14ac:dyDescent="0.25">
      <c r="A39" s="101"/>
      <c r="B39" s="109"/>
      <c r="C39" s="105"/>
      <c r="D39" s="104"/>
      <c r="E39" s="104"/>
      <c r="F39" s="104"/>
      <c r="G39" s="103"/>
      <c r="H39" s="108"/>
      <c r="I39" s="107"/>
      <c r="J39" s="106"/>
      <c r="K39" s="105"/>
      <c r="L39" s="104"/>
      <c r="M39" s="104"/>
      <c r="N39" s="104"/>
      <c r="O39" s="104"/>
      <c r="P39" s="103"/>
      <c r="Z39" s="100"/>
    </row>
    <row r="40" spans="1:26" ht="19.5" customHeight="1" x14ac:dyDescent="0.25">
      <c r="A40" s="101"/>
      <c r="B40" s="109"/>
      <c r="C40" s="105"/>
      <c r="D40" s="104"/>
      <c r="E40" s="104"/>
      <c r="F40" s="104"/>
      <c r="G40" s="103"/>
      <c r="H40" s="108"/>
      <c r="I40" s="107"/>
      <c r="J40" s="106"/>
      <c r="K40" s="105"/>
      <c r="L40" s="104"/>
      <c r="M40" s="104"/>
      <c r="N40" s="104"/>
      <c r="O40" s="104"/>
      <c r="P40" s="103"/>
      <c r="Z40" s="100"/>
    </row>
    <row r="41" spans="1:26" ht="19.5" customHeight="1" x14ac:dyDescent="0.25">
      <c r="A41" s="101"/>
      <c r="B41" s="109"/>
      <c r="C41" s="105"/>
      <c r="D41" s="104"/>
      <c r="E41" s="104"/>
      <c r="F41" s="104"/>
      <c r="G41" s="103"/>
      <c r="H41" s="108"/>
      <c r="I41" s="107"/>
      <c r="J41" s="106"/>
      <c r="K41" s="105"/>
      <c r="L41" s="104"/>
      <c r="M41" s="104"/>
      <c r="N41" s="104"/>
      <c r="O41" s="104"/>
      <c r="P41" s="103"/>
      <c r="Z41" s="100"/>
    </row>
    <row r="42" spans="1:26" ht="19.5" customHeight="1" x14ac:dyDescent="0.25">
      <c r="A42" s="101"/>
      <c r="B42" s="109"/>
      <c r="C42" s="105"/>
      <c r="D42" s="104"/>
      <c r="E42" s="104"/>
      <c r="F42" s="104"/>
      <c r="G42" s="103"/>
      <c r="H42" s="108"/>
      <c r="I42" s="107"/>
      <c r="J42" s="106"/>
      <c r="K42" s="105"/>
      <c r="L42" s="104"/>
      <c r="M42" s="104"/>
      <c r="N42" s="104"/>
      <c r="O42" s="104"/>
      <c r="P42" s="103"/>
      <c r="Z42" s="100"/>
    </row>
    <row r="43" spans="1:26" ht="19.5" customHeight="1" x14ac:dyDescent="0.25">
      <c r="A43" s="101"/>
      <c r="B43" s="109"/>
      <c r="C43" s="105"/>
      <c r="D43" s="104"/>
      <c r="E43" s="104"/>
      <c r="F43" s="104"/>
      <c r="G43" s="103"/>
      <c r="H43" s="108"/>
      <c r="I43" s="107"/>
      <c r="J43" s="106"/>
      <c r="K43" s="105"/>
      <c r="L43" s="104"/>
      <c r="M43" s="104"/>
      <c r="N43" s="104"/>
      <c r="O43" s="104"/>
      <c r="P43" s="103"/>
      <c r="Z43" s="100"/>
    </row>
    <row r="44" spans="1:26" ht="19.5" customHeight="1" x14ac:dyDescent="0.25">
      <c r="A44" s="101"/>
      <c r="B44" s="109"/>
      <c r="C44" s="105"/>
      <c r="D44" s="104"/>
      <c r="E44" s="104"/>
      <c r="F44" s="104"/>
      <c r="G44" s="103"/>
      <c r="H44" s="108"/>
      <c r="I44" s="107"/>
      <c r="J44" s="106"/>
      <c r="K44" s="105"/>
      <c r="L44" s="104"/>
      <c r="M44" s="104"/>
      <c r="N44" s="104"/>
      <c r="O44" s="104"/>
      <c r="P44" s="103"/>
      <c r="Z44" s="100"/>
    </row>
    <row r="45" spans="1:26" ht="19.5" customHeight="1" x14ac:dyDescent="0.25">
      <c r="A45" s="101"/>
      <c r="B45" s="109"/>
      <c r="C45" s="105"/>
      <c r="D45" s="104"/>
      <c r="E45" s="104"/>
      <c r="F45" s="104"/>
      <c r="G45" s="103"/>
      <c r="H45" s="108"/>
      <c r="I45" s="107"/>
      <c r="J45" s="106"/>
      <c r="K45" s="105"/>
      <c r="L45" s="104"/>
      <c r="M45" s="104"/>
      <c r="N45" s="104"/>
      <c r="O45" s="104"/>
      <c r="P45" s="103"/>
      <c r="Z45" s="100"/>
    </row>
    <row r="46" spans="1:26" ht="19.5" customHeight="1" x14ac:dyDescent="0.25">
      <c r="A46" s="101"/>
      <c r="B46" s="109"/>
      <c r="C46" s="105"/>
      <c r="D46" s="104"/>
      <c r="E46" s="104"/>
      <c r="F46" s="104"/>
      <c r="G46" s="103"/>
      <c r="H46" s="108"/>
      <c r="I46" s="107"/>
      <c r="J46" s="106"/>
      <c r="K46" s="105"/>
      <c r="L46" s="104"/>
      <c r="M46" s="104"/>
      <c r="N46" s="104"/>
      <c r="O46" s="104"/>
      <c r="P46" s="103"/>
      <c r="Z46" s="100"/>
    </row>
    <row r="47" spans="1:26" ht="19.5" customHeight="1" x14ac:dyDescent="0.25">
      <c r="A47" s="101"/>
      <c r="B47" s="109"/>
      <c r="C47" s="105"/>
      <c r="D47" s="104"/>
      <c r="E47" s="104"/>
      <c r="F47" s="104"/>
      <c r="G47" s="103"/>
      <c r="H47" s="108"/>
      <c r="I47" s="107"/>
      <c r="J47" s="106"/>
      <c r="K47" s="105"/>
      <c r="L47" s="104"/>
      <c r="M47" s="104"/>
      <c r="N47" s="104"/>
      <c r="O47" s="104"/>
      <c r="P47" s="103"/>
      <c r="Z47" s="100"/>
    </row>
    <row r="48" spans="1:26" ht="19.5" customHeight="1" x14ac:dyDescent="0.25">
      <c r="A48" s="101"/>
      <c r="B48" s="109"/>
      <c r="C48" s="105"/>
      <c r="D48" s="104"/>
      <c r="E48" s="104"/>
      <c r="F48" s="104"/>
      <c r="G48" s="103"/>
      <c r="H48" s="108"/>
      <c r="I48" s="107"/>
      <c r="J48" s="106"/>
      <c r="K48" s="105"/>
      <c r="L48" s="104"/>
      <c r="M48" s="104"/>
      <c r="N48" s="104"/>
      <c r="O48" s="104"/>
      <c r="P48" s="103"/>
      <c r="Z48" s="100"/>
    </row>
    <row r="49" spans="1:26" ht="19.5" customHeight="1" x14ac:dyDescent="0.25">
      <c r="A49" s="101"/>
      <c r="B49" s="109"/>
      <c r="C49" s="105"/>
      <c r="D49" s="104"/>
      <c r="E49" s="104"/>
      <c r="F49" s="104"/>
      <c r="G49" s="103"/>
      <c r="H49" s="108"/>
      <c r="I49" s="107"/>
      <c r="J49" s="106"/>
      <c r="K49" s="105"/>
      <c r="L49" s="104"/>
      <c r="M49" s="104"/>
      <c r="N49" s="104"/>
      <c r="O49" s="104"/>
      <c r="P49" s="103"/>
      <c r="Z49" s="100"/>
    </row>
    <row r="50" spans="1:26" ht="19.5" customHeight="1" x14ac:dyDescent="0.25">
      <c r="A50" s="101"/>
      <c r="B50" s="109"/>
      <c r="C50" s="105"/>
      <c r="D50" s="104"/>
      <c r="E50" s="104"/>
      <c r="F50" s="104"/>
      <c r="G50" s="103"/>
      <c r="H50" s="108"/>
      <c r="I50" s="107"/>
      <c r="J50" s="106"/>
      <c r="K50" s="105"/>
      <c r="L50" s="104"/>
      <c r="M50" s="104"/>
      <c r="N50" s="104"/>
      <c r="O50" s="104"/>
      <c r="P50" s="103"/>
      <c r="Z50" s="100"/>
    </row>
    <row r="51" spans="1:26" ht="19.5" customHeight="1" x14ac:dyDescent="0.25">
      <c r="A51" s="101"/>
      <c r="B51" s="109"/>
      <c r="C51" s="105"/>
      <c r="D51" s="104"/>
      <c r="E51" s="104"/>
      <c r="F51" s="104"/>
      <c r="G51" s="103"/>
      <c r="H51" s="108"/>
      <c r="I51" s="107"/>
      <c r="J51" s="106"/>
      <c r="K51" s="105"/>
      <c r="L51" s="104"/>
      <c r="M51" s="104"/>
      <c r="N51" s="104"/>
      <c r="O51" s="104"/>
      <c r="P51" s="103"/>
      <c r="Z51" s="100"/>
    </row>
    <row r="52" spans="1:26" ht="19.5" customHeight="1" x14ac:dyDescent="0.25">
      <c r="A52" s="101"/>
      <c r="B52" s="109"/>
      <c r="C52" s="105"/>
      <c r="D52" s="104"/>
      <c r="E52" s="104"/>
      <c r="F52" s="104"/>
      <c r="G52" s="103"/>
      <c r="H52" s="108"/>
      <c r="I52" s="107"/>
      <c r="J52" s="106"/>
      <c r="K52" s="105"/>
      <c r="L52" s="104"/>
      <c r="M52" s="104"/>
      <c r="N52" s="104"/>
      <c r="O52" s="104"/>
      <c r="P52" s="103"/>
      <c r="Z52" s="100"/>
    </row>
    <row r="53" spans="1:26" ht="19.5" customHeight="1" x14ac:dyDescent="0.25">
      <c r="A53" s="101"/>
      <c r="B53" s="109"/>
      <c r="C53" s="105"/>
      <c r="D53" s="104"/>
      <c r="E53" s="104"/>
      <c r="F53" s="104"/>
      <c r="G53" s="103"/>
      <c r="H53" s="108"/>
      <c r="I53" s="107"/>
      <c r="J53" s="106"/>
      <c r="K53" s="105"/>
      <c r="L53" s="104"/>
      <c r="M53" s="104"/>
      <c r="N53" s="104"/>
      <c r="O53" s="104"/>
      <c r="P53" s="103"/>
      <c r="Z53" s="100"/>
    </row>
    <row r="54" spans="1:26" ht="19.5" customHeight="1" thickBot="1" x14ac:dyDescent="0.3">
      <c r="A54" s="101"/>
      <c r="B54" s="102"/>
      <c r="C54" s="174"/>
      <c r="D54" s="175"/>
      <c r="E54" s="175"/>
      <c r="F54" s="175"/>
      <c r="G54" s="176"/>
      <c r="H54" s="171"/>
      <c r="I54" s="172"/>
      <c r="J54" s="173"/>
      <c r="K54" s="174"/>
      <c r="L54" s="175"/>
      <c r="M54" s="175"/>
      <c r="N54" s="175"/>
      <c r="O54" s="175"/>
      <c r="P54" s="176"/>
      <c r="Z54" s="100"/>
    </row>
    <row r="55" spans="1:26" ht="15.75" customHeight="1" x14ac:dyDescent="0.25">
      <c r="A55" s="101"/>
      <c r="B55" s="241" t="s">
        <v>36</v>
      </c>
      <c r="C55" s="242"/>
      <c r="D55" s="242"/>
      <c r="E55" s="242"/>
      <c r="F55" s="242"/>
      <c r="G55" s="243"/>
      <c r="H55" s="262">
        <f>AVERAGE(H25:J54)</f>
        <v>98.4</v>
      </c>
      <c r="I55" s="263"/>
      <c r="J55" s="264"/>
      <c r="K55" s="159" t="s">
        <v>37</v>
      </c>
      <c r="L55" s="160"/>
      <c r="M55" s="153" t="s">
        <v>38</v>
      </c>
      <c r="N55" s="153"/>
      <c r="O55" s="153"/>
      <c r="P55" s="154"/>
      <c r="Z55" s="100"/>
    </row>
    <row r="56" spans="1:26" ht="15.75" customHeight="1" x14ac:dyDescent="0.25">
      <c r="A56" s="101"/>
      <c r="B56" s="235" t="s">
        <v>39</v>
      </c>
      <c r="C56" s="236"/>
      <c r="D56" s="236"/>
      <c r="E56" s="236"/>
      <c r="F56" s="236"/>
      <c r="G56" s="237"/>
      <c r="H56" s="265">
        <f>IF(COUNTIF(H25:J54,"*&lt;20*"),"&lt;20",MIN(H25:J54))</f>
        <v>53</v>
      </c>
      <c r="I56" s="266"/>
      <c r="J56" s="267"/>
      <c r="K56" s="161"/>
      <c r="L56" s="162"/>
      <c r="M56" s="155"/>
      <c r="N56" s="155"/>
      <c r="O56" s="155"/>
      <c r="P56" s="156"/>
      <c r="Z56" s="100"/>
    </row>
    <row r="57" spans="1:26" ht="15.75" customHeight="1" thickBot="1" x14ac:dyDescent="0.3">
      <c r="A57" s="101"/>
      <c r="B57" s="238" t="s">
        <v>40</v>
      </c>
      <c r="C57" s="239"/>
      <c r="D57" s="239"/>
      <c r="E57" s="239"/>
      <c r="F57" s="239"/>
      <c r="G57" s="240"/>
      <c r="H57" s="259">
        <f>IF(COUNTIF(H25:J54,"*&gt;250*"),"&gt;250",MAX(H25:J54))</f>
        <v>133</v>
      </c>
      <c r="I57" s="260"/>
      <c r="J57" s="261"/>
      <c r="K57" s="163"/>
      <c r="L57" s="164"/>
      <c r="M57" s="157"/>
      <c r="N57" s="157"/>
      <c r="O57" s="157"/>
      <c r="P57" s="158"/>
      <c r="Z57" s="100"/>
    </row>
    <row r="58" spans="1:26" ht="15.9" customHeight="1" x14ac:dyDescent="0.25">
      <c r="A58" s="99"/>
      <c r="B58" s="98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6"/>
    </row>
    <row r="59" spans="1:26" ht="12.75" customHeight="1" x14ac:dyDescent="0.25">
      <c r="A59" s="95"/>
      <c r="B59" s="94"/>
    </row>
    <row r="60" spans="1:26" s="69" customFormat="1" ht="15.6" customHeight="1" x14ac:dyDescent="0.25">
      <c r="A60" s="93" t="s">
        <v>41</v>
      </c>
      <c r="B60" s="92" t="s">
        <v>42</v>
      </c>
      <c r="C60" s="91"/>
      <c r="D60" s="91"/>
      <c r="E60" s="91"/>
      <c r="F60" s="90"/>
      <c r="G60" s="90"/>
      <c r="H60" s="90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8"/>
      <c r="V60" s="87"/>
      <c r="W60" s="87"/>
      <c r="X60" s="86"/>
      <c r="Y60" s="86"/>
      <c r="Z60" s="85"/>
    </row>
    <row r="61" spans="1:26" s="69" customFormat="1" ht="28.5" customHeight="1" x14ac:dyDescent="0.25">
      <c r="A61" s="226" t="s">
        <v>43</v>
      </c>
      <c r="B61" s="227"/>
      <c r="C61" s="227"/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8"/>
      <c r="R61" s="220" t="s">
        <v>44</v>
      </c>
      <c r="S61" s="221"/>
      <c r="T61" s="222"/>
      <c r="U61" s="244" t="s">
        <v>55</v>
      </c>
      <c r="V61" s="245"/>
      <c r="W61" s="245"/>
      <c r="X61" s="246"/>
      <c r="Y61" s="246"/>
      <c r="Z61" s="247"/>
    </row>
    <row r="62" spans="1:26" s="69" customFormat="1" ht="15.6" customHeight="1" x14ac:dyDescent="0.25">
      <c r="A62" s="229" t="s">
        <v>46</v>
      </c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1"/>
      <c r="R62" s="220" t="s">
        <v>47</v>
      </c>
      <c r="S62" s="221"/>
      <c r="T62" s="222"/>
      <c r="U62" s="248" t="s">
        <v>54</v>
      </c>
      <c r="V62" s="249"/>
      <c r="W62" s="249"/>
      <c r="X62" s="250"/>
      <c r="Y62" s="250"/>
      <c r="Z62" s="251"/>
    </row>
    <row r="63" spans="1:26" s="69" customFormat="1" ht="15.6" customHeight="1" x14ac:dyDescent="0.25">
      <c r="A63" s="232"/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4"/>
      <c r="R63" s="220"/>
      <c r="S63" s="221"/>
      <c r="T63" s="222"/>
      <c r="U63" s="252"/>
      <c r="V63" s="155"/>
      <c r="W63" s="155"/>
      <c r="X63" s="253"/>
      <c r="Y63" s="253"/>
      <c r="Z63" s="254"/>
    </row>
    <row r="64" spans="1:26" s="69" customFormat="1" ht="15.6" customHeight="1" x14ac:dyDescent="0.25">
      <c r="A64" s="84" t="s">
        <v>49</v>
      </c>
      <c r="B64" s="83" t="s">
        <v>50</v>
      </c>
      <c r="C64" s="67"/>
      <c r="D64" s="67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1"/>
      <c r="R64" s="220"/>
      <c r="S64" s="221"/>
      <c r="T64" s="222"/>
      <c r="U64" s="255"/>
      <c r="V64" s="256"/>
      <c r="W64" s="256"/>
      <c r="X64" s="257"/>
      <c r="Y64" s="257"/>
      <c r="Z64" s="258"/>
    </row>
    <row r="65" spans="1:26" s="69" customFormat="1" ht="15.6" customHeight="1" x14ac:dyDescent="0.25">
      <c r="A65" s="214"/>
      <c r="B65" s="215"/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6"/>
      <c r="R65" s="220" t="s">
        <v>51</v>
      </c>
      <c r="S65" s="221"/>
      <c r="T65" s="222"/>
      <c r="U65" s="80"/>
      <c r="V65" s="79"/>
      <c r="W65" s="79"/>
      <c r="X65" s="79"/>
      <c r="Y65" s="79"/>
      <c r="Z65" s="78"/>
    </row>
    <row r="66" spans="1:26" s="69" customFormat="1" ht="15.6" customHeight="1" x14ac:dyDescent="0.25">
      <c r="A66" s="214"/>
      <c r="B66" s="215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6"/>
      <c r="R66" s="220"/>
      <c r="S66" s="221"/>
      <c r="T66" s="222"/>
      <c r="U66" s="77"/>
      <c r="V66" s="155"/>
      <c r="W66" s="155"/>
      <c r="X66" s="155"/>
      <c r="Y66" s="155"/>
      <c r="Z66" s="76"/>
    </row>
    <row r="67" spans="1:26" s="69" customFormat="1" ht="15.6" customHeight="1" x14ac:dyDescent="0.25">
      <c r="A67" s="214"/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6"/>
      <c r="R67" s="220"/>
      <c r="S67" s="221"/>
      <c r="T67" s="222"/>
      <c r="U67" s="77"/>
      <c r="V67" s="155"/>
      <c r="W67" s="155"/>
      <c r="X67" s="155"/>
      <c r="Y67" s="155"/>
      <c r="Z67" s="76"/>
    </row>
    <row r="68" spans="1:26" s="69" customFormat="1" ht="15.6" customHeight="1" x14ac:dyDescent="0.25">
      <c r="A68" s="217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9"/>
      <c r="R68" s="223"/>
      <c r="S68" s="224"/>
      <c r="T68" s="225"/>
      <c r="U68" s="75"/>
      <c r="V68" s="74"/>
      <c r="W68" s="74"/>
      <c r="X68" s="74"/>
      <c r="Y68" s="74"/>
      <c r="Z68" s="73"/>
    </row>
    <row r="69" spans="1:26" s="69" customFormat="1" ht="15" customHeight="1" x14ac:dyDescent="0.25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1"/>
      <c r="S69" s="71"/>
      <c r="T69" s="71"/>
      <c r="U69" s="70"/>
      <c r="V69" s="70"/>
      <c r="W69" s="70"/>
      <c r="X69" s="70"/>
      <c r="Y69" s="70"/>
      <c r="Z69" s="70"/>
    </row>
    <row r="71" spans="1:26" ht="12.75" customHeight="1" x14ac:dyDescent="0.25">
      <c r="A71" s="67"/>
    </row>
    <row r="72" spans="1:26" ht="12.75" customHeight="1" x14ac:dyDescent="0.25">
      <c r="A72" s="67"/>
    </row>
    <row r="73" spans="1:26" ht="12.75" customHeight="1" x14ac:dyDescent="0.25">
      <c r="A73" s="67"/>
    </row>
    <row r="74" spans="1:26" ht="12.75" customHeight="1" x14ac:dyDescent="0.25">
      <c r="A74" s="67"/>
    </row>
    <row r="75" spans="1:26" ht="12.75" customHeight="1" x14ac:dyDescent="0.25">
      <c r="A75" s="67"/>
    </row>
    <row r="76" spans="1:26" ht="12.75" customHeight="1" x14ac:dyDescent="0.25">
      <c r="A76" s="67"/>
    </row>
  </sheetData>
  <sheetProtection formatCells="0" formatColumns="0" formatRows="0" insertColumns="0" insertRows="0" insertHyperlinks="0" deleteColumns="0" deleteRows="0" selectLockedCells="1" sort="0" autoFilter="0" pivotTables="0"/>
  <mergeCells count="85">
    <mergeCell ref="C34:G34"/>
    <mergeCell ref="H34:J34"/>
    <mergeCell ref="K34:P34"/>
    <mergeCell ref="C32:G32"/>
    <mergeCell ref="H32:J32"/>
    <mergeCell ref="K32:P32"/>
    <mergeCell ref="C33:G33"/>
    <mergeCell ref="H33:J33"/>
    <mergeCell ref="K33:P33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U61:Z61"/>
    <mergeCell ref="U62:Z64"/>
    <mergeCell ref="H57:J57"/>
    <mergeCell ref="H55:J55"/>
    <mergeCell ref="H56:J56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30:G30"/>
    <mergeCell ref="H30:J30"/>
    <mergeCell ref="K30:P30"/>
    <mergeCell ref="C31:G31"/>
    <mergeCell ref="C26:G26"/>
    <mergeCell ref="H26:J26"/>
    <mergeCell ref="K26:P26"/>
    <mergeCell ref="C27:G27"/>
    <mergeCell ref="H27:J27"/>
    <mergeCell ref="K27:P27"/>
    <mergeCell ref="N10:R10"/>
    <mergeCell ref="G2:T4"/>
    <mergeCell ref="G5:H5"/>
    <mergeCell ref="A7:F7"/>
    <mergeCell ref="G7:Z7"/>
    <mergeCell ref="H10:M10"/>
    <mergeCell ref="M55:P57"/>
    <mergeCell ref="K55:L57"/>
    <mergeCell ref="S12:Y12"/>
    <mergeCell ref="K23:P24"/>
    <mergeCell ref="I17:Y17"/>
    <mergeCell ref="H54:J54"/>
    <mergeCell ref="K54:P54"/>
    <mergeCell ref="N12:R12"/>
    <mergeCell ref="H12:M12"/>
    <mergeCell ref="H31:J31"/>
    <mergeCell ref="K31:P31"/>
    <mergeCell ref="B17:H17"/>
    <mergeCell ref="B12:G12"/>
    <mergeCell ref="B11:G11"/>
    <mergeCell ref="U1:Z6"/>
    <mergeCell ref="K25:P25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8"/>
  <sheetViews>
    <sheetView topLeftCell="A24" workbookViewId="0">
      <selection activeCell="K25" sqref="K25:P25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286"/>
      <c r="B1" s="287"/>
      <c r="C1" s="287"/>
      <c r="D1" s="287"/>
      <c r="E1" s="287"/>
      <c r="F1" s="288"/>
      <c r="G1" s="295" t="s">
        <v>0</v>
      </c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7"/>
      <c r="U1" s="317" t="s">
        <v>52</v>
      </c>
      <c r="V1" s="318"/>
      <c r="W1" s="318"/>
      <c r="X1" s="318"/>
      <c r="Y1" s="318"/>
      <c r="Z1" s="319"/>
    </row>
    <row r="2" spans="1:26" ht="12.75" customHeight="1" x14ac:dyDescent="0.25">
      <c r="A2" s="289"/>
      <c r="B2" s="290"/>
      <c r="C2" s="290"/>
      <c r="D2" s="290"/>
      <c r="E2" s="290"/>
      <c r="F2" s="291"/>
      <c r="G2" s="299" t="s">
        <v>1</v>
      </c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1"/>
      <c r="U2" s="320"/>
      <c r="V2" s="321"/>
      <c r="W2" s="321"/>
      <c r="X2" s="321"/>
      <c r="Y2" s="321"/>
      <c r="Z2" s="322"/>
    </row>
    <row r="3" spans="1:26" ht="12.75" customHeight="1" x14ac:dyDescent="0.25">
      <c r="A3" s="289"/>
      <c r="B3" s="290"/>
      <c r="C3" s="290"/>
      <c r="D3" s="290"/>
      <c r="E3" s="290"/>
      <c r="F3" s="291"/>
      <c r="G3" s="299"/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  <c r="T3" s="301"/>
      <c r="U3" s="320"/>
      <c r="V3" s="321"/>
      <c r="W3" s="321"/>
      <c r="X3" s="321"/>
      <c r="Y3" s="321"/>
      <c r="Z3" s="322"/>
    </row>
    <row r="4" spans="1:26" ht="12.75" customHeight="1" x14ac:dyDescent="0.25">
      <c r="A4" s="289"/>
      <c r="B4" s="290"/>
      <c r="C4" s="290"/>
      <c r="D4" s="290"/>
      <c r="E4" s="290"/>
      <c r="F4" s="291"/>
      <c r="G4" s="299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1"/>
      <c r="U4" s="320"/>
      <c r="V4" s="321"/>
      <c r="W4" s="321"/>
      <c r="X4" s="321"/>
      <c r="Y4" s="321"/>
      <c r="Z4" s="322"/>
    </row>
    <row r="5" spans="1:26" ht="12.75" customHeight="1" x14ac:dyDescent="0.25">
      <c r="A5" s="289"/>
      <c r="B5" s="290"/>
      <c r="C5" s="290"/>
      <c r="D5" s="290"/>
      <c r="E5" s="290"/>
      <c r="F5" s="291"/>
      <c r="G5" s="302" t="s">
        <v>2</v>
      </c>
      <c r="H5" s="303"/>
      <c r="I5" s="307">
        <v>1</v>
      </c>
      <c r="J5" s="307"/>
      <c r="K5" s="308"/>
      <c r="L5" s="310" t="s">
        <v>3</v>
      </c>
      <c r="M5" s="311"/>
      <c r="N5" s="311"/>
      <c r="O5" s="312"/>
      <c r="P5" s="313" t="s">
        <v>4</v>
      </c>
      <c r="Q5" s="314"/>
      <c r="R5" s="314"/>
      <c r="S5" s="314"/>
      <c r="T5" s="315"/>
      <c r="U5" s="320"/>
      <c r="V5" s="321"/>
      <c r="W5" s="321"/>
      <c r="X5" s="321"/>
      <c r="Y5" s="321"/>
      <c r="Z5" s="322"/>
    </row>
    <row r="6" spans="1:26" ht="12.75" customHeight="1" x14ac:dyDescent="0.25">
      <c r="A6" s="292"/>
      <c r="B6" s="293"/>
      <c r="C6" s="293"/>
      <c r="D6" s="293"/>
      <c r="E6" s="293"/>
      <c r="F6" s="294"/>
      <c r="G6" s="2"/>
      <c r="H6" s="3"/>
      <c r="I6" s="309" t="s">
        <v>5</v>
      </c>
      <c r="J6" s="309"/>
      <c r="K6" s="309"/>
      <c r="L6" s="309" t="s">
        <v>6</v>
      </c>
      <c r="M6" s="309"/>
      <c r="N6" s="309"/>
      <c r="O6" s="309"/>
      <c r="P6" s="309" t="s">
        <v>7</v>
      </c>
      <c r="Q6" s="309"/>
      <c r="R6" s="309"/>
      <c r="S6" s="309"/>
      <c r="T6" s="316"/>
      <c r="U6" s="323"/>
      <c r="V6" s="324"/>
      <c r="W6" s="324"/>
      <c r="X6" s="324"/>
      <c r="Y6" s="324"/>
      <c r="Z6" s="325"/>
    </row>
    <row r="7" spans="1:26" ht="36.6" customHeight="1" x14ac:dyDescent="0.25">
      <c r="A7" s="304" t="s">
        <v>8</v>
      </c>
      <c r="B7" s="304"/>
      <c r="C7" s="304"/>
      <c r="D7" s="304"/>
      <c r="E7" s="304"/>
      <c r="F7" s="304"/>
      <c r="G7" s="305" t="s">
        <v>9</v>
      </c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5"/>
      <c r="W7" s="305"/>
      <c r="X7" s="305"/>
      <c r="Y7" s="305"/>
      <c r="Z7" s="305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285" t="s">
        <v>12</v>
      </c>
      <c r="C10" s="285"/>
      <c r="D10" s="285"/>
      <c r="E10" s="285"/>
      <c r="F10" s="285"/>
      <c r="G10" s="285"/>
      <c r="H10" s="306" t="s">
        <v>13</v>
      </c>
      <c r="I10" s="306"/>
      <c r="J10" s="306"/>
      <c r="K10" s="306"/>
      <c r="L10" s="306"/>
      <c r="M10" s="306"/>
      <c r="N10" s="285" t="s">
        <v>14</v>
      </c>
      <c r="O10" s="285"/>
      <c r="P10" s="285"/>
      <c r="Q10" s="285"/>
      <c r="R10" s="285"/>
      <c r="S10" s="298" t="s">
        <v>15</v>
      </c>
      <c r="T10" s="298"/>
      <c r="U10" s="298"/>
      <c r="V10" s="298"/>
      <c r="W10" s="298"/>
      <c r="X10" s="298"/>
      <c r="Y10" s="298"/>
      <c r="Z10" s="12"/>
    </row>
    <row r="11" spans="1:26" ht="15.9" customHeight="1" x14ac:dyDescent="0.25">
      <c r="A11" s="9"/>
      <c r="B11" s="285" t="s">
        <v>16</v>
      </c>
      <c r="C11" s="285"/>
      <c r="D11" s="285"/>
      <c r="E11" s="285"/>
      <c r="F11" s="285"/>
      <c r="G11" s="285"/>
      <c r="H11" s="306" t="s">
        <v>4</v>
      </c>
      <c r="I11" s="306"/>
      <c r="J11" s="306"/>
      <c r="K11" s="306"/>
      <c r="L11" s="306"/>
      <c r="M11" s="306"/>
      <c r="N11" s="285" t="s">
        <v>17</v>
      </c>
      <c r="O11" s="285"/>
      <c r="P11" s="285"/>
      <c r="Q11" s="285"/>
      <c r="R11" s="285"/>
      <c r="S11" s="298" t="s">
        <v>18</v>
      </c>
      <c r="T11" s="298"/>
      <c r="U11" s="298"/>
      <c r="V11" s="298"/>
      <c r="W11" s="298"/>
      <c r="X11" s="298"/>
      <c r="Y11" s="298"/>
      <c r="Z11" s="12"/>
    </row>
    <row r="12" spans="1:26" ht="15.9" customHeight="1" x14ac:dyDescent="0.25">
      <c r="A12" s="9"/>
      <c r="B12" s="285" t="s">
        <v>19</v>
      </c>
      <c r="C12" s="285"/>
      <c r="D12" s="285"/>
      <c r="E12" s="285"/>
      <c r="F12" s="285"/>
      <c r="G12" s="285"/>
      <c r="H12" s="306" t="s">
        <v>53</v>
      </c>
      <c r="I12" s="306"/>
      <c r="J12" s="306"/>
      <c r="K12" s="306"/>
      <c r="L12" s="306"/>
      <c r="M12" s="306"/>
      <c r="N12" s="285" t="s">
        <v>20</v>
      </c>
      <c r="O12" s="285"/>
      <c r="P12" s="285"/>
      <c r="Q12" s="285"/>
      <c r="R12" s="285"/>
      <c r="S12" s="298" t="s">
        <v>21</v>
      </c>
      <c r="T12" s="298"/>
      <c r="U12" s="298"/>
      <c r="V12" s="298"/>
      <c r="W12" s="298"/>
      <c r="X12" s="298"/>
      <c r="Y12" s="298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284" t="s">
        <v>24</v>
      </c>
      <c r="C17" s="284"/>
      <c r="D17" s="284"/>
      <c r="E17" s="284"/>
      <c r="F17" s="284"/>
      <c r="G17" s="284"/>
      <c r="H17" s="284"/>
      <c r="I17" s="366"/>
      <c r="J17" s="366"/>
      <c r="K17" s="366"/>
      <c r="L17" s="366"/>
      <c r="M17" s="366"/>
      <c r="N17" s="366"/>
      <c r="O17" s="366"/>
      <c r="P17" s="366"/>
      <c r="Q17" s="366"/>
      <c r="R17" s="366"/>
      <c r="S17" s="366"/>
      <c r="T17" s="366"/>
      <c r="U17" s="366"/>
      <c r="V17" s="366"/>
      <c r="W17" s="366"/>
      <c r="X17" s="366"/>
      <c r="Y17" s="366"/>
      <c r="Z17" s="28"/>
    </row>
    <row r="18" spans="1:26" s="17" customFormat="1" ht="15" customHeight="1" x14ac:dyDescent="0.25">
      <c r="A18" s="24"/>
      <c r="B18" s="284" t="s">
        <v>25</v>
      </c>
      <c r="C18" s="284"/>
      <c r="D18" s="284"/>
      <c r="E18" s="284"/>
      <c r="F18" s="284"/>
      <c r="G18" s="284"/>
      <c r="H18" s="284"/>
      <c r="I18" s="370" t="s">
        <v>26</v>
      </c>
      <c r="J18" s="370"/>
      <c r="K18" s="27">
        <v>30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379" t="s">
        <v>30</v>
      </c>
      <c r="K21" s="379"/>
      <c r="L21" s="379"/>
      <c r="M21" s="379"/>
      <c r="N21" s="379"/>
      <c r="O21" s="379"/>
      <c r="P21" s="37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377" t="s">
        <v>31</v>
      </c>
      <c r="C23" s="362" t="s">
        <v>32</v>
      </c>
      <c r="D23" s="362"/>
      <c r="E23" s="362"/>
      <c r="F23" s="362"/>
      <c r="G23" s="363"/>
      <c r="H23" s="374" t="s">
        <v>33</v>
      </c>
      <c r="I23" s="375"/>
      <c r="J23" s="376"/>
      <c r="K23" s="362" t="s">
        <v>34</v>
      </c>
      <c r="L23" s="362"/>
      <c r="M23" s="362"/>
      <c r="N23" s="362"/>
      <c r="O23" s="362"/>
      <c r="P23" s="363"/>
      <c r="Z23" s="11"/>
    </row>
    <row r="24" spans="1:26" ht="15.75" customHeight="1" x14ac:dyDescent="0.25">
      <c r="A24" s="9"/>
      <c r="B24" s="378"/>
      <c r="C24" s="364"/>
      <c r="D24" s="364"/>
      <c r="E24" s="364"/>
      <c r="F24" s="364"/>
      <c r="G24" s="365"/>
      <c r="H24" s="371" t="s">
        <v>35</v>
      </c>
      <c r="I24" s="372"/>
      <c r="J24" s="373"/>
      <c r="K24" s="364"/>
      <c r="L24" s="364"/>
      <c r="M24" s="364"/>
      <c r="N24" s="364"/>
      <c r="O24" s="364"/>
      <c r="P24" s="365"/>
      <c r="Z24" s="11"/>
    </row>
    <row r="25" spans="1:26" ht="19.5" customHeight="1" x14ac:dyDescent="0.25">
      <c r="A25" s="9"/>
      <c r="B25" s="45">
        <v>1</v>
      </c>
      <c r="C25" s="150"/>
      <c r="D25" s="151"/>
      <c r="E25" s="151"/>
      <c r="F25" s="151"/>
      <c r="G25" s="152"/>
      <c r="H25" s="347">
        <v>90</v>
      </c>
      <c r="I25" s="348"/>
      <c r="J25" s="349"/>
      <c r="K25" s="150"/>
      <c r="L25" s="151"/>
      <c r="M25" s="151"/>
      <c r="N25" s="151"/>
      <c r="O25" s="151"/>
      <c r="P25" s="152"/>
      <c r="Z25" s="11"/>
    </row>
    <row r="26" spans="1:26" ht="19.5" customHeight="1" x14ac:dyDescent="0.25">
      <c r="A26" s="9"/>
      <c r="B26" s="45">
        <v>2</v>
      </c>
      <c r="C26" s="150"/>
      <c r="D26" s="151"/>
      <c r="E26" s="151"/>
      <c r="F26" s="151"/>
      <c r="G26" s="152"/>
      <c r="H26" s="347">
        <v>44</v>
      </c>
      <c r="I26" s="348"/>
      <c r="J26" s="349"/>
      <c r="K26" s="150"/>
      <c r="L26" s="151"/>
      <c r="M26" s="151"/>
      <c r="N26" s="151"/>
      <c r="O26" s="151"/>
      <c r="P26" s="152"/>
      <c r="Z26" s="11"/>
    </row>
    <row r="27" spans="1:26" ht="19.5" customHeight="1" x14ac:dyDescent="0.25">
      <c r="A27" s="9"/>
      <c r="B27" s="45">
        <v>3</v>
      </c>
      <c r="C27" s="150"/>
      <c r="D27" s="151"/>
      <c r="E27" s="151"/>
      <c r="F27" s="151"/>
      <c r="G27" s="152"/>
      <c r="H27" s="347">
        <v>65</v>
      </c>
      <c r="I27" s="348"/>
      <c r="J27" s="349"/>
      <c r="K27" s="150"/>
      <c r="L27" s="151"/>
      <c r="M27" s="151"/>
      <c r="N27" s="151"/>
      <c r="O27" s="151"/>
      <c r="P27" s="152"/>
      <c r="Z27" s="11"/>
    </row>
    <row r="28" spans="1:26" ht="19.5" customHeight="1" x14ac:dyDescent="0.25">
      <c r="A28" s="9"/>
      <c r="B28" s="45">
        <v>4</v>
      </c>
      <c r="C28" s="150"/>
      <c r="D28" s="151"/>
      <c r="E28" s="151"/>
      <c r="F28" s="151"/>
      <c r="G28" s="152"/>
      <c r="H28" s="347">
        <v>58</v>
      </c>
      <c r="I28" s="348"/>
      <c r="J28" s="349"/>
      <c r="K28" s="150"/>
      <c r="L28" s="151"/>
      <c r="M28" s="151"/>
      <c r="N28" s="151"/>
      <c r="O28" s="151"/>
      <c r="P28" s="152"/>
      <c r="Z28" s="11"/>
    </row>
    <row r="29" spans="1:26" ht="19.5" customHeight="1" x14ac:dyDescent="0.25">
      <c r="A29" s="9"/>
      <c r="B29" s="45">
        <v>5</v>
      </c>
      <c r="C29" s="150"/>
      <c r="D29" s="151"/>
      <c r="E29" s="151"/>
      <c r="F29" s="151"/>
      <c r="G29" s="152"/>
      <c r="H29" s="347">
        <v>70</v>
      </c>
      <c r="I29" s="348"/>
      <c r="J29" s="349"/>
      <c r="K29" s="150"/>
      <c r="L29" s="151"/>
      <c r="M29" s="151"/>
      <c r="N29" s="151"/>
      <c r="O29" s="151"/>
      <c r="P29" s="152"/>
      <c r="Z29" s="11"/>
    </row>
    <row r="30" spans="1:26" ht="19.5" customHeight="1" x14ac:dyDescent="0.25">
      <c r="A30" s="9"/>
      <c r="B30" s="45">
        <v>6</v>
      </c>
      <c r="C30" s="150"/>
      <c r="D30" s="151"/>
      <c r="E30" s="151"/>
      <c r="F30" s="151"/>
      <c r="G30" s="152"/>
      <c r="H30" s="347">
        <v>77</v>
      </c>
      <c r="I30" s="348"/>
      <c r="J30" s="349"/>
      <c r="K30" s="150"/>
      <c r="L30" s="151"/>
      <c r="M30" s="151"/>
      <c r="N30" s="151"/>
      <c r="O30" s="151"/>
      <c r="P30" s="152"/>
      <c r="Z30" s="11"/>
    </row>
    <row r="31" spans="1:26" ht="19.5" customHeight="1" x14ac:dyDescent="0.25">
      <c r="A31" s="9"/>
      <c r="B31" s="45">
        <v>7</v>
      </c>
      <c r="C31" s="150"/>
      <c r="D31" s="151"/>
      <c r="E31" s="151"/>
      <c r="F31" s="151"/>
      <c r="G31" s="152"/>
      <c r="H31" s="347">
        <v>78</v>
      </c>
      <c r="I31" s="348"/>
      <c r="J31" s="349"/>
      <c r="K31" s="150"/>
      <c r="L31" s="151"/>
      <c r="M31" s="151"/>
      <c r="N31" s="151"/>
      <c r="O31" s="151"/>
      <c r="P31" s="152"/>
      <c r="Z31" s="11"/>
    </row>
    <row r="32" spans="1:26" ht="19.5" customHeight="1" x14ac:dyDescent="0.25">
      <c r="A32" s="9"/>
      <c r="B32" s="45">
        <v>8</v>
      </c>
      <c r="C32" s="150"/>
      <c r="D32" s="151"/>
      <c r="E32" s="151"/>
      <c r="F32" s="151"/>
      <c r="G32" s="152"/>
      <c r="H32" s="347">
        <v>59</v>
      </c>
      <c r="I32" s="348"/>
      <c r="J32" s="349"/>
      <c r="K32" s="150"/>
      <c r="L32" s="151"/>
      <c r="M32" s="151"/>
      <c r="N32" s="151"/>
      <c r="O32" s="151"/>
      <c r="P32" s="152"/>
      <c r="Z32" s="11"/>
    </row>
    <row r="33" spans="1:26" ht="19.5" customHeight="1" x14ac:dyDescent="0.25">
      <c r="A33" s="9"/>
      <c r="B33" s="45">
        <v>9</v>
      </c>
      <c r="C33" s="150"/>
      <c r="D33" s="151"/>
      <c r="E33" s="151"/>
      <c r="F33" s="151"/>
      <c r="G33" s="152"/>
      <c r="H33" s="347">
        <v>85</v>
      </c>
      <c r="I33" s="348"/>
      <c r="J33" s="349"/>
      <c r="K33" s="150"/>
      <c r="L33" s="151"/>
      <c r="M33" s="151"/>
      <c r="N33" s="151"/>
      <c r="O33" s="151"/>
      <c r="P33" s="152"/>
      <c r="Z33" s="11"/>
    </row>
    <row r="34" spans="1:26" ht="19.5" customHeight="1" x14ac:dyDescent="0.25">
      <c r="A34" s="9"/>
      <c r="B34" s="45">
        <v>10</v>
      </c>
      <c r="C34" s="150"/>
      <c r="D34" s="151"/>
      <c r="E34" s="151"/>
      <c r="F34" s="151"/>
      <c r="G34" s="152"/>
      <c r="H34" s="347">
        <v>94</v>
      </c>
      <c r="I34" s="348"/>
      <c r="J34" s="349"/>
      <c r="K34" s="150"/>
      <c r="L34" s="151"/>
      <c r="M34" s="151"/>
      <c r="N34" s="151"/>
      <c r="O34" s="151"/>
      <c r="P34" s="152"/>
      <c r="Z34" s="11"/>
    </row>
    <row r="35" spans="1:26" ht="19.5" customHeight="1" x14ac:dyDescent="0.25">
      <c r="A35" s="9"/>
      <c r="B35" s="45">
        <v>11</v>
      </c>
      <c r="C35" s="150"/>
      <c r="D35" s="151"/>
      <c r="E35" s="151"/>
      <c r="F35" s="151"/>
      <c r="G35" s="152"/>
      <c r="H35" s="347">
        <v>46</v>
      </c>
      <c r="I35" s="348"/>
      <c r="J35" s="349"/>
      <c r="K35" s="150"/>
      <c r="L35" s="151"/>
      <c r="M35" s="151"/>
      <c r="N35" s="151"/>
      <c r="O35" s="151"/>
      <c r="P35" s="152"/>
      <c r="Z35" s="11"/>
    </row>
    <row r="36" spans="1:26" ht="19.5" customHeight="1" x14ac:dyDescent="0.25">
      <c r="A36" s="9"/>
      <c r="B36" s="45">
        <v>12</v>
      </c>
      <c r="C36" s="150"/>
      <c r="D36" s="151"/>
      <c r="E36" s="151"/>
      <c r="F36" s="151"/>
      <c r="G36" s="152"/>
      <c r="H36" s="347">
        <v>104</v>
      </c>
      <c r="I36" s="348"/>
      <c r="J36" s="349"/>
      <c r="K36" s="150"/>
      <c r="L36" s="151"/>
      <c r="M36" s="151"/>
      <c r="N36" s="151"/>
      <c r="O36" s="151"/>
      <c r="P36" s="152"/>
      <c r="Z36" s="11"/>
    </row>
    <row r="37" spans="1:26" ht="19.5" customHeight="1" x14ac:dyDescent="0.25">
      <c r="A37" s="9"/>
      <c r="B37" s="45">
        <v>13</v>
      </c>
      <c r="C37" s="150"/>
      <c r="D37" s="151"/>
      <c r="E37" s="151"/>
      <c r="F37" s="151"/>
      <c r="G37" s="152"/>
      <c r="H37" s="347">
        <v>115</v>
      </c>
      <c r="I37" s="348"/>
      <c r="J37" s="349"/>
      <c r="K37" s="150"/>
      <c r="L37" s="151"/>
      <c r="M37" s="151"/>
      <c r="N37" s="151"/>
      <c r="O37" s="151"/>
      <c r="P37" s="152"/>
      <c r="Z37" s="11"/>
    </row>
    <row r="38" spans="1:26" ht="19.5" customHeight="1" x14ac:dyDescent="0.25">
      <c r="A38" s="9"/>
      <c r="B38" s="45">
        <v>14</v>
      </c>
      <c r="C38" s="150"/>
      <c r="D38" s="151"/>
      <c r="E38" s="151"/>
      <c r="F38" s="151"/>
      <c r="G38" s="152"/>
      <c r="H38" s="347">
        <v>99</v>
      </c>
      <c r="I38" s="348"/>
      <c r="J38" s="349"/>
      <c r="K38" s="150"/>
      <c r="L38" s="151"/>
      <c r="M38" s="151"/>
      <c r="N38" s="151"/>
      <c r="O38" s="151"/>
      <c r="P38" s="152"/>
      <c r="Z38" s="11"/>
    </row>
    <row r="39" spans="1:26" ht="19.5" customHeight="1" x14ac:dyDescent="0.25">
      <c r="A39" s="9"/>
      <c r="B39" s="45">
        <v>15</v>
      </c>
      <c r="C39" s="150"/>
      <c r="D39" s="151"/>
      <c r="E39" s="151"/>
      <c r="F39" s="151"/>
      <c r="G39" s="152"/>
      <c r="H39" s="347">
        <v>49</v>
      </c>
      <c r="I39" s="348"/>
      <c r="J39" s="349"/>
      <c r="K39" s="150"/>
      <c r="L39" s="151"/>
      <c r="M39" s="151"/>
      <c r="N39" s="151"/>
      <c r="O39" s="151"/>
      <c r="P39" s="152"/>
      <c r="Z39" s="11"/>
    </row>
    <row r="40" spans="1:26" ht="19.5" customHeight="1" x14ac:dyDescent="0.25">
      <c r="A40" s="9"/>
      <c r="B40" s="45"/>
      <c r="C40" s="150"/>
      <c r="D40" s="151"/>
      <c r="E40" s="151"/>
      <c r="F40" s="151"/>
      <c r="G40" s="152"/>
      <c r="H40" s="347"/>
      <c r="I40" s="348"/>
      <c r="J40" s="349"/>
      <c r="K40" s="150"/>
      <c r="L40" s="151"/>
      <c r="M40" s="151"/>
      <c r="N40" s="151"/>
      <c r="O40" s="151"/>
      <c r="P40" s="152"/>
      <c r="Z40" s="11"/>
    </row>
    <row r="41" spans="1:26" ht="19.5" customHeight="1" x14ac:dyDescent="0.25">
      <c r="A41" s="9"/>
      <c r="B41" s="45"/>
      <c r="C41" s="150"/>
      <c r="D41" s="151"/>
      <c r="E41" s="151"/>
      <c r="F41" s="151"/>
      <c r="G41" s="152"/>
      <c r="H41" s="347"/>
      <c r="I41" s="348"/>
      <c r="J41" s="349"/>
      <c r="K41" s="150"/>
      <c r="L41" s="151"/>
      <c r="M41" s="151"/>
      <c r="N41" s="151"/>
      <c r="O41" s="151"/>
      <c r="P41" s="152"/>
      <c r="Z41" s="11"/>
    </row>
    <row r="42" spans="1:26" ht="19.5" customHeight="1" x14ac:dyDescent="0.25">
      <c r="A42" s="9"/>
      <c r="B42" s="45"/>
      <c r="C42" s="150"/>
      <c r="D42" s="151"/>
      <c r="E42" s="151"/>
      <c r="F42" s="151"/>
      <c r="G42" s="152"/>
      <c r="H42" s="347"/>
      <c r="I42" s="348"/>
      <c r="J42" s="349"/>
      <c r="K42" s="150"/>
      <c r="L42" s="151"/>
      <c r="M42" s="151"/>
      <c r="N42" s="151"/>
      <c r="O42" s="151"/>
      <c r="P42" s="152"/>
      <c r="Z42" s="11"/>
    </row>
    <row r="43" spans="1:26" ht="19.5" customHeight="1" x14ac:dyDescent="0.25">
      <c r="A43" s="9"/>
      <c r="B43" s="45"/>
      <c r="C43" s="150"/>
      <c r="D43" s="151"/>
      <c r="E43" s="151"/>
      <c r="F43" s="151"/>
      <c r="G43" s="152"/>
      <c r="H43" s="347"/>
      <c r="I43" s="348"/>
      <c r="J43" s="349"/>
      <c r="K43" s="150"/>
      <c r="L43" s="151"/>
      <c r="M43" s="151"/>
      <c r="N43" s="151"/>
      <c r="O43" s="151"/>
      <c r="P43" s="152"/>
      <c r="Z43" s="11"/>
    </row>
    <row r="44" spans="1:26" ht="19.5" customHeight="1" x14ac:dyDescent="0.25">
      <c r="A44" s="9"/>
      <c r="B44" s="45"/>
      <c r="C44" s="150"/>
      <c r="D44" s="151"/>
      <c r="E44" s="151"/>
      <c r="F44" s="151"/>
      <c r="G44" s="152"/>
      <c r="H44" s="347"/>
      <c r="I44" s="348"/>
      <c r="J44" s="349"/>
      <c r="K44" s="150"/>
      <c r="L44" s="151"/>
      <c r="M44" s="151"/>
      <c r="N44" s="151"/>
      <c r="O44" s="151"/>
      <c r="P44" s="152"/>
      <c r="Z44" s="11"/>
    </row>
    <row r="45" spans="1:26" ht="19.5" customHeight="1" x14ac:dyDescent="0.25">
      <c r="A45" s="9"/>
      <c r="B45" s="45"/>
      <c r="C45" s="150"/>
      <c r="D45" s="151"/>
      <c r="E45" s="151"/>
      <c r="F45" s="151"/>
      <c r="G45" s="152"/>
      <c r="H45" s="347"/>
      <c r="I45" s="348"/>
      <c r="J45" s="349"/>
      <c r="K45" s="150"/>
      <c r="L45" s="151"/>
      <c r="M45" s="151"/>
      <c r="N45" s="151"/>
      <c r="O45" s="151"/>
      <c r="P45" s="152"/>
      <c r="Z45" s="11"/>
    </row>
    <row r="46" spans="1:26" ht="19.5" customHeight="1" x14ac:dyDescent="0.25">
      <c r="A46" s="9"/>
      <c r="B46" s="46"/>
      <c r="C46" s="380"/>
      <c r="D46" s="380"/>
      <c r="E46" s="380"/>
      <c r="F46" s="380"/>
      <c r="G46" s="381"/>
      <c r="H46" s="367"/>
      <c r="I46" s="368"/>
      <c r="J46" s="369"/>
      <c r="K46" s="406"/>
      <c r="L46" s="380"/>
      <c r="M46" s="380"/>
      <c r="N46" s="380"/>
      <c r="O46" s="380"/>
      <c r="P46" s="381"/>
      <c r="Z46" s="11"/>
    </row>
    <row r="47" spans="1:26" ht="15.75" customHeight="1" x14ac:dyDescent="0.25">
      <c r="A47" s="9"/>
      <c r="B47" s="388" t="s">
        <v>36</v>
      </c>
      <c r="C47" s="389"/>
      <c r="D47" s="389"/>
      <c r="E47" s="389"/>
      <c r="F47" s="389"/>
      <c r="G47" s="390"/>
      <c r="H47" s="278">
        <f>AVERAGE(H25:J46)</f>
        <v>75.533333333333331</v>
      </c>
      <c r="I47" s="279"/>
      <c r="J47" s="280"/>
      <c r="K47" s="356" t="s">
        <v>37</v>
      </c>
      <c r="L47" s="357"/>
      <c r="M47" s="350" t="s">
        <v>38</v>
      </c>
      <c r="N47" s="350"/>
      <c r="O47" s="350"/>
      <c r="P47" s="351"/>
      <c r="Z47" s="11"/>
    </row>
    <row r="48" spans="1:26" ht="15.75" customHeight="1" x14ac:dyDescent="0.25">
      <c r="A48" s="9"/>
      <c r="B48" s="382" t="s">
        <v>39</v>
      </c>
      <c r="C48" s="383"/>
      <c r="D48" s="383"/>
      <c r="E48" s="383"/>
      <c r="F48" s="383"/>
      <c r="G48" s="384"/>
      <c r="H48" s="281">
        <f>IF(COUNTIF(H25:J46,"*&lt;20*"),"&lt;20",MIN(H25:J46))</f>
        <v>44</v>
      </c>
      <c r="I48" s="282"/>
      <c r="J48" s="283"/>
      <c r="K48" s="358"/>
      <c r="L48" s="359"/>
      <c r="M48" s="352"/>
      <c r="N48" s="352"/>
      <c r="O48" s="352"/>
      <c r="P48" s="353"/>
      <c r="Z48" s="11"/>
    </row>
    <row r="49" spans="1:26" ht="15.75" customHeight="1" x14ac:dyDescent="0.25">
      <c r="A49" s="9"/>
      <c r="B49" s="385" t="s">
        <v>40</v>
      </c>
      <c r="C49" s="386"/>
      <c r="D49" s="386"/>
      <c r="E49" s="386"/>
      <c r="F49" s="386"/>
      <c r="G49" s="387"/>
      <c r="H49" s="407">
        <f>IF(COUNTIF(H25:J46,"*&gt;250*"),"&gt;250",MAX(H25:J46))</f>
        <v>115</v>
      </c>
      <c r="I49" s="408"/>
      <c r="J49" s="409"/>
      <c r="K49" s="360"/>
      <c r="L49" s="361"/>
      <c r="M49" s="354"/>
      <c r="N49" s="354"/>
      <c r="O49" s="354"/>
      <c r="P49" s="355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41</v>
      </c>
      <c r="B52" s="5" t="s">
        <v>42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338" t="s">
        <v>43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40"/>
      <c r="R53" s="332" t="s">
        <v>44</v>
      </c>
      <c r="S53" s="333"/>
      <c r="T53" s="334"/>
      <c r="U53" s="391" t="s">
        <v>45</v>
      </c>
      <c r="V53" s="392"/>
      <c r="W53" s="392"/>
      <c r="X53" s="393"/>
      <c r="Y53" s="393"/>
      <c r="Z53" s="394"/>
    </row>
    <row r="54" spans="1:26" s="17" customFormat="1" ht="15.6" customHeight="1" x14ac:dyDescent="0.25">
      <c r="A54" s="341" t="s">
        <v>46</v>
      </c>
      <c r="B54" s="342"/>
      <c r="C54" s="342"/>
      <c r="D54" s="342"/>
      <c r="E54" s="342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3"/>
      <c r="R54" s="332" t="s">
        <v>47</v>
      </c>
      <c r="S54" s="333"/>
      <c r="T54" s="334"/>
      <c r="U54" s="395" t="s">
        <v>48</v>
      </c>
      <c r="V54" s="396"/>
      <c r="W54" s="396"/>
      <c r="X54" s="397"/>
      <c r="Y54" s="397"/>
      <c r="Z54" s="398"/>
    </row>
    <row r="55" spans="1:26" s="17" customFormat="1" ht="15.6" customHeight="1" x14ac:dyDescent="0.25">
      <c r="A55" s="344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  <c r="M55" s="345"/>
      <c r="N55" s="345"/>
      <c r="O55" s="345"/>
      <c r="P55" s="345"/>
      <c r="Q55" s="346"/>
      <c r="R55" s="332"/>
      <c r="S55" s="333"/>
      <c r="T55" s="334"/>
      <c r="U55" s="399"/>
      <c r="V55" s="352"/>
      <c r="W55" s="352"/>
      <c r="X55" s="400"/>
      <c r="Y55" s="400"/>
      <c r="Z55" s="401"/>
    </row>
    <row r="56" spans="1:26" s="17" customFormat="1" ht="15.6" customHeight="1" x14ac:dyDescent="0.25">
      <c r="A56" s="55" t="s">
        <v>49</v>
      </c>
      <c r="B56" s="56" t="s">
        <v>50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332"/>
      <c r="S56" s="333"/>
      <c r="T56" s="334"/>
      <c r="U56" s="402"/>
      <c r="V56" s="403"/>
      <c r="W56" s="403"/>
      <c r="X56" s="404"/>
      <c r="Y56" s="404"/>
      <c r="Z56" s="405"/>
    </row>
    <row r="57" spans="1:26" s="17" customFormat="1" ht="15.6" customHeight="1" x14ac:dyDescent="0.25">
      <c r="A57" s="326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8"/>
      <c r="R57" s="332" t="s">
        <v>51</v>
      </c>
      <c r="S57" s="333"/>
      <c r="T57" s="334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326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8"/>
      <c r="R58" s="332"/>
      <c r="S58" s="333"/>
      <c r="T58" s="334"/>
      <c r="U58" s="61"/>
      <c r="V58" s="352"/>
      <c r="W58" s="352"/>
      <c r="X58" s="352"/>
      <c r="Y58" s="352"/>
      <c r="Z58" s="62"/>
    </row>
    <row r="59" spans="1:26" s="17" customFormat="1" ht="15.6" customHeight="1" x14ac:dyDescent="0.25">
      <c r="A59" s="326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8"/>
      <c r="R59" s="332"/>
      <c r="S59" s="333"/>
      <c r="T59" s="334"/>
      <c r="U59" s="61"/>
      <c r="V59" s="352"/>
      <c r="W59" s="352"/>
      <c r="X59" s="352"/>
      <c r="Y59" s="352"/>
      <c r="Z59" s="62"/>
    </row>
    <row r="60" spans="1:26" s="17" customFormat="1" ht="15.6" customHeight="1" x14ac:dyDescent="0.25">
      <c r="A60" s="329"/>
      <c r="B60" s="330"/>
      <c r="C60" s="330"/>
      <c r="D60" s="330"/>
      <c r="E60" s="330"/>
      <c r="F60" s="330"/>
      <c r="G60" s="330"/>
      <c r="H60" s="330"/>
      <c r="I60" s="330"/>
      <c r="J60" s="330"/>
      <c r="K60" s="330"/>
      <c r="L60" s="330"/>
      <c r="M60" s="330"/>
      <c r="N60" s="330"/>
      <c r="O60" s="330"/>
      <c r="P60" s="330"/>
      <c r="Q60" s="331"/>
      <c r="R60" s="335"/>
      <c r="S60" s="336"/>
      <c r="T60" s="337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K32:P32"/>
    <mergeCell ref="C33:G33"/>
    <mergeCell ref="H33:J33"/>
    <mergeCell ref="K33:P33"/>
    <mergeCell ref="C30:G30"/>
    <mergeCell ref="H30:J30"/>
    <mergeCell ref="K30:P30"/>
    <mergeCell ref="C31:G31"/>
    <mergeCell ref="H31:J31"/>
    <mergeCell ref="K31:P31"/>
    <mergeCell ref="K28:P28"/>
    <mergeCell ref="C29:G29"/>
    <mergeCell ref="H29:J29"/>
    <mergeCell ref="K29:P29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46:G46"/>
    <mergeCell ref="B48:G48"/>
    <mergeCell ref="B49:G49"/>
    <mergeCell ref="B47:G47"/>
    <mergeCell ref="U53:Z53"/>
    <mergeCell ref="U54:Z56"/>
    <mergeCell ref="K46:P46"/>
    <mergeCell ref="H49:J49"/>
    <mergeCell ref="C32:G32"/>
    <mergeCell ref="H32:J32"/>
    <mergeCell ref="H11:M11"/>
    <mergeCell ref="N11:R11"/>
    <mergeCell ref="A57:Q60"/>
    <mergeCell ref="R57:T60"/>
    <mergeCell ref="A53:Q53"/>
    <mergeCell ref="R53:T53"/>
    <mergeCell ref="A54:Q55"/>
    <mergeCell ref="R54:T56"/>
    <mergeCell ref="C26:G26"/>
    <mergeCell ref="H26:J26"/>
    <mergeCell ref="K26:P26"/>
    <mergeCell ref="C27:G27"/>
    <mergeCell ref="H27:J27"/>
    <mergeCell ref="K27:P27"/>
    <mergeCell ref="K25:P25"/>
    <mergeCell ref="M47:P49"/>
    <mergeCell ref="K47:L49"/>
    <mergeCell ref="S12:Y12"/>
    <mergeCell ref="K23:P24"/>
    <mergeCell ref="I17:Y17"/>
    <mergeCell ref="S11:Y11"/>
    <mergeCell ref="H46:J46"/>
    <mergeCell ref="C28:G28"/>
    <mergeCell ref="H28:J28"/>
    <mergeCell ref="H47:J47"/>
    <mergeCell ref="H48:J48"/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N12:R12"/>
    <mergeCell ref="H12:M1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210126 CDR Avignon</vt:lpstr>
      <vt:lpstr>041125 CdF Valence</vt:lpstr>
      <vt:lpstr>210925 Arase</vt:lpstr>
      <vt:lpstr>'041125 CdF Valence'!Zone_d_impression</vt:lpstr>
      <vt:lpstr>'210126 CDR Avignon'!Zone_d_impression</vt:lpstr>
      <vt:lpstr>'210925 Arase'!Zone_d_impression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2026-01-21T11:07:15Z</cp:lastPrinted>
  <dcterms:created xsi:type="dcterms:W3CDTF">2004-11-13T18:13:05Z</dcterms:created>
  <dcterms:modified xsi:type="dcterms:W3CDTF">2026-01-21T11:07:22Z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