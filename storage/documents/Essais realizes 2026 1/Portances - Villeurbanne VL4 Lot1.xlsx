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6\69\RA P67C  Villeurbanne VL4 Lot 1\Essais de laboratoire\"/>
    </mc:Choice>
  </mc:AlternateContent>
  <xr:revisionPtr revIDLastSave="0" documentId="13_ncr:1_{CC571332-14CC-468B-B73E-276413534103}" xr6:coauthVersionLast="47" xr6:coauthVersionMax="47" xr10:uidLastSave="{00000000-0000-0000-0000-000000000000}"/>
  <bookViews>
    <workbookView xWindow="47880" yWindow="-120" windowWidth="29040" windowHeight="15720" xr2:uid="{00000000-000D-0000-FFFF-FFFF00000000}"/>
  </bookViews>
  <sheets>
    <sheet name="230226 CdF Philip Pressencé (c)" sheetId="2" r:id="rId1"/>
    <sheet name="230226 CdF Philip Pressencé" sheetId="1" r:id="rId2"/>
  </sheets>
  <definedNames>
    <definedName name="_xlnm.Print_Area" localSheetId="1">'230226 CdF Philip Pressencé'!$A$1:$Z$69</definedName>
    <definedName name="_xlnm.Print_Area" localSheetId="0">'230226 CdF Philip Pressencé (c)'!$A$1:$Z$69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2" l="1"/>
  <c r="H56" i="2"/>
  <c r="H55" i="2"/>
  <c r="H57" i="1"/>
  <c r="H56" i="1"/>
  <c r="H55" i="1"/>
</calcChain>
</file>

<file path=xl/sharedStrings.xml><?xml version="1.0" encoding="utf-8"?>
<sst xmlns="http://schemas.openxmlformats.org/spreadsheetml/2006/main" count="113" uniqueCount="55">
  <si>
    <t>COMPTE RENDU D'ESSAIS</t>
  </si>
  <si>
    <t>PORTANCES DES PLATES-FORMES  
( NF P 94-117-1 et NF P 94-117-3 )</t>
  </si>
  <si>
    <t>PL2 N°</t>
  </si>
  <si>
    <t>23/02/2026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</si>
  <si>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</si>
  <si>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</si>
  <si>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</si>
  <si>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</si>
  <si>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</si>
  <si>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</si>
  <si>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</si>
  <si>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</si>
  <si>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</si>
  <si>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</si>
  <si>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Grave alluvionnaire</t>
  </si>
  <si>
    <t>Date de(s) essai(s) :</t>
  </si>
  <si>
    <t>Météo :</t>
  </si>
  <si>
    <t>Couvert</t>
  </si>
  <si>
    <t>Partie de l'ouvrage :</t>
  </si>
  <si>
    <t>CdF existante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</si>
  <si>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</si>
  <si>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</si>
  <si>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</si>
  <si>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</si>
  <si>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</si>
  <si>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</si>
  <si>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</si>
  <si>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</si>
  <si>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</si>
  <si>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</si>
  <si>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</si>
  <si>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</si>
  <si>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</si>
  <si>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</si>
  <si>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</si>
  <si>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</si>
  <si>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Cr A. Philip</t>
  </si>
  <si>
    <t>rue F. Pressencé</t>
  </si>
  <si>
    <t>Moyenne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</si>
  <si>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</si>
  <si>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</si>
  <si>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</si>
  <si>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</si>
  <si>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</si>
  <si>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</si>
  <si>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</si>
  <si>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Conforme</t>
  </si>
  <si>
    <t>Fonction</t>
  </si>
  <si>
    <t>Chef de section laboratoire</t>
  </si>
  <si>
    <t>6/</t>
  </si>
  <si>
    <t>COMMENTAIRES</t>
  </si>
  <si>
    <t>Visa</t>
  </si>
  <si>
    <t>Villeurbanne
VL4
Lot 1</t>
  </si>
  <si>
    <t>RA P67C</t>
  </si>
  <si>
    <t>Carrrefour Jubin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</si>
</sst>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10" fillId="0" borderId="4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6" xfId="0" applyNumberFormat="1" applyFont="1" applyBorder="1" applyAlignment="1">
      <alignment horizont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6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7" xfId="0" applyFont="1" applyBorder="1" applyAlignment="1">
      <alignment horizontal="center"/>
    </xf>
    <xf numFmtId="0" fontId="7" fillId="0" borderId="16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164" fontId="7" fillId="0" borderId="16" xfId="0" applyNumberFormat="1" applyFont="1" applyBorder="1" applyAlignment="1">
      <alignment horizont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3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hidden="1"/>
    </xf>
    <xf numFmtId="0" fontId="7" fillId="0" borderId="24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/>
      <protection locked="0"/>
    </xf>
    <xf numFmtId="164" fontId="7" fillId="0" borderId="24" xfId="0" applyNumberFormat="1" applyFont="1" applyBorder="1" applyAlignment="1">
      <alignment horizontal="center"/>
    </xf>
    <xf numFmtId="164" fontId="7" fillId="0" borderId="25" xfId="0" applyNumberFormat="1" applyFont="1" applyBorder="1" applyAlignment="1">
      <alignment horizontal="center"/>
    </xf>
    <xf numFmtId="164" fontId="7" fillId="0" borderId="26" xfId="0" applyNumberFormat="1" applyFont="1" applyBorder="1" applyAlignment="1">
      <alignment horizontal="center"/>
    </xf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17" xfId="0" applyFont="1" applyBorder="1" applyAlignment="1" applyProtection="1">
      <alignment horizontal="center" vertical="center"/>
      <protection hidden="1"/>
    </xf>
    <xf numFmtId="0" fontId="7" fillId="0" borderId="18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11" fillId="0" borderId="6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hidden="1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 wrapText="1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19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164" fontId="6" fillId="0" borderId="24" xfId="0" applyNumberFormat="1" applyFont="1" applyBorder="1" applyAlignment="1">
      <alignment horizontal="center" vertical="center"/>
    </xf>
    <xf numFmtId="0" fontId="7" fillId="0" borderId="25" xfId="0" applyFont="1" applyBorder="1"/>
    <xf numFmtId="0" fontId="7" fillId="0" borderId="26" xfId="0" applyFont="1" applyBorder="1"/>
    <xf numFmtId="164" fontId="6" fillId="0" borderId="16" xfId="0" applyNumberFormat="1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 applyProtection="1">
      <alignment horizontal="center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7" fillId="0" borderId="0" xfId="0" applyFont="1" applyBorder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164" fontId="7" fillId="0" borderId="9" xfId="0" applyNumberFormat="1" applyFont="1" applyBorder="1" applyAlignment="1">
      <alignment horizontal="center" wrapText="1"/>
    </xf>
    <xf numFmtId="164" fontId="7" fillId="0" borderId="10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3CA1783-0CA1-4F69-969B-53CCE5B94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055" y="302895"/>
          <a:ext cx="1295400" cy="323850"/>
        </a:xfrm>
        <a:prstGeom prst="rect">
          <a:avLst/>
        </a:prstGeom>
      </xdr:spPr>
    </xdr:pic>
    <xdr:clientData/>
  </xdr:oneCellAnchor>
  <xdr:twoCellAnchor editAs="oneCell">
    <xdr:from>
      <xdr:col>20</xdr:col>
      <xdr:colOff>167640</xdr:colOff>
      <xdr:row>64</xdr:row>
      <xdr:rowOff>38101</xdr:rowOff>
    </xdr:from>
    <xdr:to>
      <xdr:col>25</xdr:col>
      <xdr:colOff>152400</xdr:colOff>
      <xdr:row>67</xdr:row>
      <xdr:rowOff>131250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ABDB386-6338-4BDF-92D8-045478599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9950" y="14068426"/>
          <a:ext cx="1743075" cy="693224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64</xdr:row>
      <xdr:rowOff>57150</xdr:rowOff>
    </xdr:from>
    <xdr:to>
      <xdr:col>16</xdr:col>
      <xdr:colOff>333375</xdr:colOff>
      <xdr:row>67</xdr:row>
      <xdr:rowOff>161925</xdr:rowOff>
    </xdr:to>
    <xdr:sp macro="" textlink="">
      <xdr:nvSpPr>
        <xdr:cNvPr id="4" name="ZoneTexte 3">
          <a:extLst>
            <a:ext uri="{FF2B5EF4-FFF2-40B4-BE49-F238E27FC236}">
              <a16:creationId xmlns:a16="http://schemas.microsoft.com/office/drawing/2014/main" id="{4EBA83A5-E776-9D03-0C0F-68447289C781}"/>
            </a:ext>
          </a:extLst>
        </xdr:cNvPr>
        <xdr:cNvSpPr txBox="1"/>
      </xdr:nvSpPr>
      <xdr:spPr>
        <a:xfrm>
          <a:off x="95250" y="14087475"/>
          <a:ext cx="5876925" cy="704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fr-FR" sz="1100">
              <a:solidFill>
                <a:srgbClr val="FF0000"/>
              </a:solidFill>
            </a:rPr>
            <a:t>Ajout des valeurs pour carrefour Jubin à la demande de B. HEYRAUD et R. GAYET</a:t>
          </a:r>
        </a:p>
        <a:p>
          <a:pPr algn="ctr"/>
          <a:r>
            <a:rPr lang="fr-FR" sz="1100">
              <a:solidFill>
                <a:srgbClr val="FF0000"/>
              </a:solidFill>
            </a:rPr>
            <a:t>23/02/2026</a:t>
          </a:r>
          <a:r>
            <a:rPr lang="fr-FR" sz="1100" baseline="0">
              <a:solidFill>
                <a:srgbClr val="FF0000"/>
              </a:solidFill>
            </a:rPr>
            <a:t> - Mail</a:t>
          </a:r>
          <a:endParaRPr lang="fr-FR" sz="1100">
            <a:solidFill>
              <a:srgbClr val="FF0000"/>
            </a:solidFill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167640</xdr:colOff>
      <xdr:row>64</xdr:row>
      <xdr:rowOff>38101</xdr:rowOff>
    </xdr:from>
    <xdr:to>
      <xdr:col>25</xdr:col>
      <xdr:colOff>152400</xdr:colOff>
      <xdr:row>67</xdr:row>
      <xdr:rowOff>127440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C02A49FC-E2B8-BA67-4D21-B56F68564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16140" y="14068426"/>
          <a:ext cx="1746885" cy="6894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794FC-4107-417F-AE80-02A0DA791DA9}">
  <sheetPr>
    <pageSetUpPr fitToPage="1"/>
  </sheetPr>
  <dimension ref="A1:AA76"/>
  <sheetViews>
    <sheetView tabSelected="1" topLeftCell="A41" workbookViewId="0">
      <selection activeCell="AF51" sqref="AF51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10"/>
      <c r="B1" s="111"/>
      <c r="C1" s="111"/>
      <c r="D1" s="111"/>
      <c r="E1" s="111"/>
      <c r="F1" s="112"/>
      <c r="G1" s="119" t="s">
        <v>0</v>
      </c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1"/>
      <c r="U1" s="140" t="s">
        <v>52</v>
      </c>
      <c r="V1" s="141"/>
      <c r="W1" s="141"/>
      <c r="X1" s="141"/>
      <c r="Y1" s="141"/>
      <c r="Z1" s="142"/>
    </row>
    <row r="2" spans="1:26" ht="12.75" customHeight="1" x14ac:dyDescent="0.25">
      <c r="A2" s="113"/>
      <c r="B2" s="114"/>
      <c r="C2" s="114"/>
      <c r="D2" s="114"/>
      <c r="E2" s="114"/>
      <c r="F2" s="115"/>
      <c r="G2" s="123" t="s">
        <v>1</v>
      </c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5"/>
      <c r="U2" s="143"/>
      <c r="V2" s="144"/>
      <c r="W2" s="144"/>
      <c r="X2" s="144"/>
      <c r="Y2" s="144"/>
      <c r="Z2" s="145"/>
    </row>
    <row r="3" spans="1:26" ht="12.75" customHeight="1" x14ac:dyDescent="0.25">
      <c r="A3" s="113"/>
      <c r="B3" s="114"/>
      <c r="C3" s="114"/>
      <c r="D3" s="114"/>
      <c r="E3" s="114"/>
      <c r="F3" s="115"/>
      <c r="G3" s="123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5"/>
      <c r="U3" s="143"/>
      <c r="V3" s="144"/>
      <c r="W3" s="144"/>
      <c r="X3" s="144"/>
      <c r="Y3" s="144"/>
      <c r="Z3" s="145"/>
    </row>
    <row r="4" spans="1:26" ht="12.75" customHeight="1" x14ac:dyDescent="0.25">
      <c r="A4" s="113"/>
      <c r="B4" s="114"/>
      <c r="C4" s="114"/>
      <c r="D4" s="114"/>
      <c r="E4" s="114"/>
      <c r="F4" s="115"/>
      <c r="G4" s="123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5"/>
      <c r="U4" s="143"/>
      <c r="V4" s="144"/>
      <c r="W4" s="144"/>
      <c r="X4" s="144"/>
      <c r="Y4" s="144"/>
      <c r="Z4" s="145"/>
    </row>
    <row r="5" spans="1:26" ht="12.75" customHeight="1" x14ac:dyDescent="0.25">
      <c r="A5" s="113"/>
      <c r="B5" s="114"/>
      <c r="C5" s="114"/>
      <c r="D5" s="114"/>
      <c r="E5" s="114"/>
      <c r="F5" s="115"/>
      <c r="G5" s="126" t="s">
        <v>2</v>
      </c>
      <c r="H5" s="127"/>
      <c r="I5" s="130">
        <v>1</v>
      </c>
      <c r="J5" s="130"/>
      <c r="K5" s="131"/>
      <c r="L5" s="133" t="s">
        <v>53</v>
      </c>
      <c r="M5" s="134"/>
      <c r="N5" s="134"/>
      <c r="O5" s="135"/>
      <c r="P5" s="136" t="s">
        <v>3</v>
      </c>
      <c r="Q5" s="137"/>
      <c r="R5" s="137"/>
      <c r="S5" s="137"/>
      <c r="T5" s="138"/>
      <c r="U5" s="143"/>
      <c r="V5" s="144"/>
      <c r="W5" s="144"/>
      <c r="X5" s="144"/>
      <c r="Y5" s="144"/>
      <c r="Z5" s="145"/>
    </row>
    <row r="6" spans="1:26" ht="12.75" customHeight="1" x14ac:dyDescent="0.25">
      <c r="A6" s="116"/>
      <c r="B6" s="117"/>
      <c r="C6" s="117"/>
      <c r="D6" s="117"/>
      <c r="E6" s="117"/>
      <c r="F6" s="118"/>
      <c r="G6" s="2"/>
      <c r="H6" s="3"/>
      <c r="I6" s="132" t="s">
        <v>4</v>
      </c>
      <c r="J6" s="132"/>
      <c r="K6" s="132"/>
      <c r="L6" s="132" t="s">
        <v>5</v>
      </c>
      <c r="M6" s="132"/>
      <c r="N6" s="132"/>
      <c r="O6" s="132"/>
      <c r="P6" s="132" t="s">
        <v>6</v>
      </c>
      <c r="Q6" s="132"/>
      <c r="R6" s="132"/>
      <c r="S6" s="132"/>
      <c r="T6" s="139"/>
      <c r="U6" s="146"/>
      <c r="V6" s="147"/>
      <c r="W6" s="147"/>
      <c r="X6" s="147"/>
      <c r="Y6" s="147"/>
      <c r="Z6" s="148"/>
    </row>
    <row r="7" spans="1:26" ht="36.6" customHeight="1" x14ac:dyDescent="0.25">
      <c r="A7" s="128" t="s">
        <v>7</v>
      </c>
      <c r="B7" s="128"/>
      <c r="C7" s="128"/>
      <c r="D7" s="128"/>
      <c r="E7" s="128"/>
      <c r="F7" s="128"/>
      <c r="G7" s="129" t="s">
        <v>8</v>
      </c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89" t="s">
        <v>11</v>
      </c>
      <c r="C10" s="89"/>
      <c r="D10" s="89"/>
      <c r="E10" s="89"/>
      <c r="F10" s="89"/>
      <c r="G10" s="89"/>
      <c r="H10" s="88" t="s">
        <v>12</v>
      </c>
      <c r="I10" s="88"/>
      <c r="J10" s="88"/>
      <c r="K10" s="88"/>
      <c r="L10" s="88"/>
      <c r="M10" s="88"/>
      <c r="N10" s="89" t="s">
        <v>13</v>
      </c>
      <c r="O10" s="89"/>
      <c r="P10" s="89"/>
      <c r="Q10" s="89"/>
      <c r="R10" s="89"/>
      <c r="S10" s="122" t="s">
        <v>14</v>
      </c>
      <c r="T10" s="122"/>
      <c r="U10" s="122"/>
      <c r="V10" s="122"/>
      <c r="W10" s="122"/>
      <c r="X10" s="122"/>
      <c r="Y10" s="122"/>
      <c r="Z10" s="12"/>
    </row>
    <row r="11" spans="1:26" ht="15.9" customHeight="1" x14ac:dyDescent="0.25">
      <c r="A11" s="9"/>
      <c r="B11" s="89" t="s">
        <v>15</v>
      </c>
      <c r="C11" s="89"/>
      <c r="D11" s="89"/>
      <c r="E11" s="89"/>
      <c r="F11" s="89"/>
      <c r="G11" s="89"/>
      <c r="H11" s="88" t="s">
        <v>3</v>
      </c>
      <c r="I11" s="88"/>
      <c r="J11" s="88"/>
      <c r="K11" s="88"/>
      <c r="L11" s="88"/>
      <c r="M11" s="88"/>
      <c r="N11" s="89" t="s">
        <v>16</v>
      </c>
      <c r="O11" s="89"/>
      <c r="P11" s="89"/>
      <c r="Q11" s="89"/>
      <c r="R11" s="89"/>
      <c r="S11" s="122" t="s">
        <v>17</v>
      </c>
      <c r="T11" s="122"/>
      <c r="U11" s="122"/>
      <c r="V11" s="122"/>
      <c r="W11" s="122"/>
      <c r="X11" s="122"/>
      <c r="Y11" s="122"/>
      <c r="Z11" s="12"/>
    </row>
    <row r="12" spans="1:26" ht="15.9" customHeight="1" x14ac:dyDescent="0.25">
      <c r="A12" s="9"/>
      <c r="B12" s="89" t="s">
        <v>18</v>
      </c>
      <c r="C12" s="89"/>
      <c r="D12" s="89"/>
      <c r="E12" s="89"/>
      <c r="F12" s="89"/>
      <c r="G12" s="89"/>
      <c r="H12" s="88" t="s">
        <v>19</v>
      </c>
      <c r="I12" s="88"/>
      <c r="J12" s="88"/>
      <c r="K12" s="88"/>
      <c r="L12" s="88"/>
      <c r="M12" s="88"/>
      <c r="N12" s="89" t="s">
        <v>20</v>
      </c>
      <c r="O12" s="89"/>
      <c r="P12" s="89"/>
      <c r="Q12" s="89"/>
      <c r="R12" s="89"/>
      <c r="S12" s="122" t="s">
        <v>21</v>
      </c>
      <c r="T12" s="122"/>
      <c r="U12" s="122"/>
      <c r="V12" s="122"/>
      <c r="W12" s="122"/>
      <c r="X12" s="122"/>
      <c r="Y12" s="122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03" t="s">
        <v>24</v>
      </c>
      <c r="C17" s="103"/>
      <c r="D17" s="103"/>
      <c r="E17" s="103"/>
      <c r="F17" s="103"/>
      <c r="G17" s="103"/>
      <c r="H17" s="103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28"/>
    </row>
    <row r="18" spans="1:26" s="17" customFormat="1" ht="15" customHeight="1" x14ac:dyDescent="0.25">
      <c r="A18" s="24"/>
      <c r="B18" s="103" t="s">
        <v>25</v>
      </c>
      <c r="C18" s="103"/>
      <c r="D18" s="103"/>
      <c r="E18" s="103"/>
      <c r="F18" s="103"/>
      <c r="G18" s="103"/>
      <c r="H18" s="103"/>
      <c r="I18" s="96" t="s">
        <v>26</v>
      </c>
      <c r="J18" s="96"/>
      <c r="K18" s="27">
        <v>50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44" t="s">
        <v>30</v>
      </c>
      <c r="K21" s="44"/>
      <c r="L21" s="45"/>
      <c r="M21" s="46"/>
      <c r="N21" s="46"/>
      <c r="O21" s="46"/>
      <c r="P21" s="46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K22" s="47"/>
      <c r="L22" s="47"/>
      <c r="M22" s="47"/>
      <c r="N22" s="47"/>
      <c r="O22" s="47"/>
      <c r="P22" s="47"/>
      <c r="Q22" s="47"/>
      <c r="Z22" s="11"/>
    </row>
    <row r="23" spans="1:26" ht="15.75" customHeight="1" x14ac:dyDescent="0.25">
      <c r="A23" s="9"/>
      <c r="B23" s="104" t="s">
        <v>31</v>
      </c>
      <c r="C23" s="106" t="s">
        <v>32</v>
      </c>
      <c r="D23" s="106"/>
      <c r="E23" s="106"/>
      <c r="F23" s="106"/>
      <c r="G23" s="107"/>
      <c r="H23" s="100" t="s">
        <v>33</v>
      </c>
      <c r="I23" s="101"/>
      <c r="J23" s="102"/>
      <c r="K23" s="106" t="s">
        <v>34</v>
      </c>
      <c r="L23" s="106"/>
      <c r="M23" s="106"/>
      <c r="N23" s="106"/>
      <c r="O23" s="106"/>
      <c r="P23" s="107"/>
      <c r="Z23" s="11"/>
    </row>
    <row r="24" spans="1:26" ht="15.75" customHeight="1" x14ac:dyDescent="0.25">
      <c r="A24" s="9"/>
      <c r="B24" s="105"/>
      <c r="C24" s="108"/>
      <c r="D24" s="108"/>
      <c r="E24" s="108"/>
      <c r="F24" s="108"/>
      <c r="G24" s="109"/>
      <c r="H24" s="97" t="s">
        <v>35</v>
      </c>
      <c r="I24" s="98"/>
      <c r="J24" s="99"/>
      <c r="K24" s="108"/>
      <c r="L24" s="108"/>
      <c r="M24" s="108"/>
      <c r="N24" s="108"/>
      <c r="O24" s="108"/>
      <c r="P24" s="109"/>
      <c r="Z24" s="11"/>
    </row>
    <row r="25" spans="1:26" ht="19.5" customHeight="1" x14ac:dyDescent="0.25">
      <c r="A25" s="9"/>
      <c r="B25" s="48">
        <v>1</v>
      </c>
      <c r="C25" s="82" t="s">
        <v>36</v>
      </c>
      <c r="D25" s="83"/>
      <c r="E25" s="83"/>
      <c r="F25" s="83"/>
      <c r="G25" s="84"/>
      <c r="H25" s="79">
        <v>59.2</v>
      </c>
      <c r="I25" s="80"/>
      <c r="J25" s="81"/>
      <c r="K25" s="76"/>
      <c r="L25" s="77"/>
      <c r="M25" s="77"/>
      <c r="N25" s="77"/>
      <c r="O25" s="77"/>
      <c r="P25" s="78"/>
      <c r="Z25" s="11"/>
    </row>
    <row r="26" spans="1:26" ht="19.5" customHeight="1" x14ac:dyDescent="0.25">
      <c r="A26" s="9"/>
      <c r="B26" s="48">
        <v>2</v>
      </c>
      <c r="C26" s="85"/>
      <c r="D26" s="86"/>
      <c r="E26" s="86"/>
      <c r="F26" s="86"/>
      <c r="G26" s="87"/>
      <c r="H26" s="79">
        <v>66.2</v>
      </c>
      <c r="I26" s="80"/>
      <c r="J26" s="81"/>
      <c r="K26" s="76"/>
      <c r="L26" s="77"/>
      <c r="M26" s="77"/>
      <c r="N26" s="77"/>
      <c r="O26" s="77"/>
      <c r="P26" s="78"/>
      <c r="Z26" s="11"/>
    </row>
    <row r="27" spans="1:26" ht="19.5" customHeight="1" x14ac:dyDescent="0.25">
      <c r="A27" s="9"/>
      <c r="B27" s="48">
        <v>3</v>
      </c>
      <c r="C27" s="76" t="s">
        <v>37</v>
      </c>
      <c r="D27" s="77"/>
      <c r="E27" s="77"/>
      <c r="F27" s="77"/>
      <c r="G27" s="78"/>
      <c r="H27" s="79">
        <v>118.4</v>
      </c>
      <c r="I27" s="80"/>
      <c r="J27" s="81"/>
      <c r="K27" s="76"/>
      <c r="L27" s="77"/>
      <c r="M27" s="77"/>
      <c r="N27" s="77"/>
      <c r="O27" s="77"/>
      <c r="P27" s="78"/>
      <c r="Z27" s="11"/>
    </row>
    <row r="28" spans="1:26" ht="19.5" customHeight="1" x14ac:dyDescent="0.25">
      <c r="A28" s="9"/>
      <c r="B28" s="75">
        <v>4</v>
      </c>
      <c r="C28" s="82" t="s">
        <v>54</v>
      </c>
      <c r="D28" s="83"/>
      <c r="E28" s="83"/>
      <c r="F28" s="83"/>
      <c r="G28" s="84"/>
      <c r="H28" s="79">
        <v>62.5</v>
      </c>
      <c r="I28" s="213"/>
      <c r="J28" s="214"/>
      <c r="K28" s="76"/>
      <c r="L28" s="77"/>
      <c r="M28" s="77"/>
      <c r="N28" s="77"/>
      <c r="O28" s="77"/>
      <c r="P28" s="78"/>
      <c r="Z28" s="11"/>
    </row>
    <row r="29" spans="1:26" ht="19.5" customHeight="1" x14ac:dyDescent="0.25">
      <c r="A29" s="9"/>
      <c r="B29" s="75">
        <v>5</v>
      </c>
      <c r="C29" s="157"/>
      <c r="D29" s="211"/>
      <c r="E29" s="211"/>
      <c r="F29" s="211"/>
      <c r="G29" s="212"/>
      <c r="H29" s="79">
        <v>73.8</v>
      </c>
      <c r="I29" s="213"/>
      <c r="J29" s="214"/>
      <c r="K29" s="76"/>
      <c r="L29" s="77"/>
      <c r="M29" s="77"/>
      <c r="N29" s="77"/>
      <c r="O29" s="77"/>
      <c r="P29" s="78"/>
      <c r="Z29" s="11"/>
    </row>
    <row r="30" spans="1:26" ht="19.5" customHeight="1" x14ac:dyDescent="0.25">
      <c r="A30" s="9"/>
      <c r="B30" s="75">
        <v>6</v>
      </c>
      <c r="C30" s="85"/>
      <c r="D30" s="86"/>
      <c r="E30" s="86"/>
      <c r="F30" s="86"/>
      <c r="G30" s="87"/>
      <c r="H30" s="79">
        <v>69.2</v>
      </c>
      <c r="I30" s="213"/>
      <c r="J30" s="214"/>
      <c r="K30" s="76"/>
      <c r="L30" s="77"/>
      <c r="M30" s="77"/>
      <c r="N30" s="77"/>
      <c r="O30" s="77"/>
      <c r="P30" s="78"/>
      <c r="Z30" s="11"/>
    </row>
    <row r="31" spans="1:26" ht="19.5" customHeight="1" x14ac:dyDescent="0.25">
      <c r="A31" s="9"/>
      <c r="B31" s="75"/>
      <c r="C31" s="72"/>
      <c r="D31" s="73"/>
      <c r="E31" s="73"/>
      <c r="F31" s="73"/>
      <c r="G31" s="74"/>
      <c r="H31" s="69"/>
      <c r="I31" s="70"/>
      <c r="J31" s="71"/>
      <c r="K31" s="72"/>
      <c r="L31" s="73"/>
      <c r="M31" s="73"/>
      <c r="N31" s="73"/>
      <c r="O31" s="73"/>
      <c r="P31" s="74"/>
      <c r="Z31" s="11"/>
    </row>
    <row r="32" spans="1:26" ht="19.5" customHeight="1" x14ac:dyDescent="0.25">
      <c r="A32" s="9"/>
      <c r="B32" s="75"/>
      <c r="C32" s="72"/>
      <c r="D32" s="73"/>
      <c r="E32" s="73"/>
      <c r="F32" s="73"/>
      <c r="G32" s="74"/>
      <c r="H32" s="69"/>
      <c r="I32" s="70"/>
      <c r="J32" s="71"/>
      <c r="K32" s="72"/>
      <c r="L32" s="73"/>
      <c r="M32" s="73"/>
      <c r="N32" s="73"/>
      <c r="O32" s="73"/>
      <c r="P32" s="74"/>
      <c r="Z32" s="11"/>
    </row>
    <row r="33" spans="1:26" ht="19.5" customHeight="1" x14ac:dyDescent="0.25">
      <c r="A33" s="9"/>
      <c r="B33" s="75"/>
      <c r="C33" s="72"/>
      <c r="D33" s="73"/>
      <c r="E33" s="73"/>
      <c r="F33" s="73"/>
      <c r="G33" s="74"/>
      <c r="H33" s="69"/>
      <c r="I33" s="70"/>
      <c r="J33" s="71"/>
      <c r="K33" s="72"/>
      <c r="L33" s="73"/>
      <c r="M33" s="73"/>
      <c r="N33" s="73"/>
      <c r="O33" s="73"/>
      <c r="P33" s="74"/>
      <c r="Z33" s="11"/>
    </row>
    <row r="34" spans="1:26" ht="19.5" customHeight="1" x14ac:dyDescent="0.25">
      <c r="A34" s="9"/>
      <c r="B34" s="75"/>
      <c r="C34" s="72"/>
      <c r="D34" s="73"/>
      <c r="E34" s="73"/>
      <c r="F34" s="73"/>
      <c r="G34" s="74"/>
      <c r="H34" s="69"/>
      <c r="I34" s="70"/>
      <c r="J34" s="71"/>
      <c r="K34" s="72"/>
      <c r="L34" s="73"/>
      <c r="M34" s="73"/>
      <c r="N34" s="73"/>
      <c r="O34" s="73"/>
      <c r="P34" s="74"/>
      <c r="Z34" s="11"/>
    </row>
    <row r="35" spans="1:26" ht="19.5" customHeight="1" x14ac:dyDescent="0.25">
      <c r="A35" s="9"/>
      <c r="B35" s="75"/>
      <c r="C35" s="72"/>
      <c r="D35" s="73"/>
      <c r="E35" s="73"/>
      <c r="F35" s="73"/>
      <c r="G35" s="74"/>
      <c r="H35" s="69"/>
      <c r="I35" s="70"/>
      <c r="J35" s="71"/>
      <c r="K35" s="72"/>
      <c r="L35" s="73"/>
      <c r="M35" s="73"/>
      <c r="N35" s="73"/>
      <c r="O35" s="73"/>
      <c r="P35" s="74"/>
      <c r="Z35" s="11"/>
    </row>
    <row r="36" spans="1:26" ht="19.5" customHeight="1" x14ac:dyDescent="0.25">
      <c r="A36" s="9"/>
      <c r="B36" s="75"/>
      <c r="C36" s="72"/>
      <c r="D36" s="73"/>
      <c r="E36" s="73"/>
      <c r="F36" s="73"/>
      <c r="G36" s="74"/>
      <c r="H36" s="69"/>
      <c r="I36" s="70"/>
      <c r="J36" s="71"/>
      <c r="K36" s="72"/>
      <c r="L36" s="73"/>
      <c r="M36" s="73"/>
      <c r="N36" s="73"/>
      <c r="O36" s="73"/>
      <c r="P36" s="74"/>
      <c r="Z36" s="11"/>
    </row>
    <row r="37" spans="1:26" ht="19.5" customHeight="1" x14ac:dyDescent="0.25">
      <c r="A37" s="9"/>
      <c r="B37" s="75"/>
      <c r="C37" s="72"/>
      <c r="D37" s="73"/>
      <c r="E37" s="73"/>
      <c r="F37" s="73"/>
      <c r="G37" s="74"/>
      <c r="H37" s="69"/>
      <c r="I37" s="70"/>
      <c r="J37" s="71"/>
      <c r="K37" s="72"/>
      <c r="L37" s="73"/>
      <c r="M37" s="73"/>
      <c r="N37" s="73"/>
      <c r="O37" s="73"/>
      <c r="P37" s="74"/>
      <c r="Z37" s="11"/>
    </row>
    <row r="38" spans="1:26" ht="19.5" customHeight="1" x14ac:dyDescent="0.25">
      <c r="A38" s="9"/>
      <c r="B38" s="75"/>
      <c r="C38" s="72"/>
      <c r="D38" s="73"/>
      <c r="E38" s="73"/>
      <c r="F38" s="73"/>
      <c r="G38" s="74"/>
      <c r="H38" s="69"/>
      <c r="I38" s="70"/>
      <c r="J38" s="71"/>
      <c r="K38" s="72"/>
      <c r="L38" s="73"/>
      <c r="M38" s="73"/>
      <c r="N38" s="73"/>
      <c r="O38" s="73"/>
      <c r="P38" s="74"/>
      <c r="Z38" s="11"/>
    </row>
    <row r="39" spans="1:26" ht="19.5" customHeight="1" x14ac:dyDescent="0.25">
      <c r="A39" s="9"/>
      <c r="B39" s="75"/>
      <c r="C39" s="72"/>
      <c r="D39" s="73"/>
      <c r="E39" s="73"/>
      <c r="F39" s="73"/>
      <c r="G39" s="74"/>
      <c r="H39" s="69"/>
      <c r="I39" s="70"/>
      <c r="J39" s="71"/>
      <c r="K39" s="72"/>
      <c r="L39" s="73"/>
      <c r="M39" s="73"/>
      <c r="N39" s="73"/>
      <c r="O39" s="73"/>
      <c r="P39" s="74"/>
      <c r="Z39" s="11"/>
    </row>
    <row r="40" spans="1:26" ht="19.5" customHeight="1" x14ac:dyDescent="0.25">
      <c r="A40" s="9"/>
      <c r="B40" s="75"/>
      <c r="C40" s="72"/>
      <c r="D40" s="73"/>
      <c r="E40" s="73"/>
      <c r="F40" s="73"/>
      <c r="G40" s="74"/>
      <c r="H40" s="69"/>
      <c r="I40" s="70"/>
      <c r="J40" s="71"/>
      <c r="K40" s="72"/>
      <c r="L40" s="73"/>
      <c r="M40" s="73"/>
      <c r="N40" s="73"/>
      <c r="O40" s="73"/>
      <c r="P40" s="74"/>
      <c r="Z40" s="11"/>
    </row>
    <row r="41" spans="1:26" ht="19.5" customHeight="1" x14ac:dyDescent="0.25">
      <c r="A41" s="9"/>
      <c r="B41" s="75"/>
      <c r="C41" s="72"/>
      <c r="D41" s="73"/>
      <c r="E41" s="73"/>
      <c r="F41" s="73"/>
      <c r="G41" s="74"/>
      <c r="H41" s="69"/>
      <c r="I41" s="70"/>
      <c r="J41" s="71"/>
      <c r="K41" s="72"/>
      <c r="L41" s="73"/>
      <c r="M41" s="73"/>
      <c r="N41" s="73"/>
      <c r="O41" s="73"/>
      <c r="P41" s="74"/>
      <c r="Z41" s="11"/>
    </row>
    <row r="42" spans="1:26" ht="19.5" customHeight="1" x14ac:dyDescent="0.25">
      <c r="A42" s="9"/>
      <c r="B42" s="75"/>
      <c r="C42" s="72"/>
      <c r="D42" s="73"/>
      <c r="E42" s="73"/>
      <c r="F42" s="73"/>
      <c r="G42" s="74"/>
      <c r="H42" s="69"/>
      <c r="I42" s="70"/>
      <c r="J42" s="71"/>
      <c r="K42" s="72"/>
      <c r="L42" s="73"/>
      <c r="M42" s="73"/>
      <c r="N42" s="73"/>
      <c r="O42" s="73"/>
      <c r="P42" s="74"/>
      <c r="Z42" s="11"/>
    </row>
    <row r="43" spans="1:26" ht="19.5" customHeight="1" x14ac:dyDescent="0.25">
      <c r="A43" s="9"/>
      <c r="B43" s="75"/>
      <c r="C43" s="72"/>
      <c r="D43" s="73"/>
      <c r="E43" s="73"/>
      <c r="F43" s="73"/>
      <c r="G43" s="74"/>
      <c r="H43" s="69"/>
      <c r="I43" s="70"/>
      <c r="J43" s="71"/>
      <c r="K43" s="72"/>
      <c r="L43" s="73"/>
      <c r="M43" s="73"/>
      <c r="N43" s="73"/>
      <c r="O43" s="73"/>
      <c r="P43" s="74"/>
      <c r="Z43" s="11"/>
    </row>
    <row r="44" spans="1:26" ht="19.5" customHeight="1" x14ac:dyDescent="0.25">
      <c r="A44" s="9"/>
      <c r="B44" s="75"/>
      <c r="C44" s="72"/>
      <c r="D44" s="73"/>
      <c r="E44" s="73"/>
      <c r="F44" s="73"/>
      <c r="G44" s="74"/>
      <c r="H44" s="69"/>
      <c r="I44" s="70"/>
      <c r="J44" s="71"/>
      <c r="K44" s="72"/>
      <c r="L44" s="73"/>
      <c r="M44" s="73"/>
      <c r="N44" s="73"/>
      <c r="O44" s="73"/>
      <c r="P44" s="74"/>
      <c r="Z44" s="11"/>
    </row>
    <row r="45" spans="1:26" ht="19.5" customHeight="1" x14ac:dyDescent="0.25">
      <c r="A45" s="9"/>
      <c r="B45" s="75"/>
      <c r="C45" s="72"/>
      <c r="D45" s="73"/>
      <c r="E45" s="73"/>
      <c r="F45" s="73"/>
      <c r="G45" s="74"/>
      <c r="H45" s="69"/>
      <c r="I45" s="70"/>
      <c r="J45" s="71"/>
      <c r="K45" s="72"/>
      <c r="L45" s="73"/>
      <c r="M45" s="73"/>
      <c r="N45" s="73"/>
      <c r="O45" s="73"/>
      <c r="P45" s="74"/>
      <c r="Z45" s="11"/>
    </row>
    <row r="46" spans="1:26" ht="19.5" customHeight="1" x14ac:dyDescent="0.25">
      <c r="A46" s="9"/>
      <c r="B46" s="75"/>
      <c r="C46" s="72"/>
      <c r="D46" s="73"/>
      <c r="E46" s="73"/>
      <c r="F46" s="73"/>
      <c r="G46" s="74"/>
      <c r="H46" s="69"/>
      <c r="I46" s="70"/>
      <c r="J46" s="71"/>
      <c r="K46" s="72"/>
      <c r="L46" s="73"/>
      <c r="M46" s="73"/>
      <c r="N46" s="73"/>
      <c r="O46" s="73"/>
      <c r="P46" s="74"/>
      <c r="Z46" s="11"/>
    </row>
    <row r="47" spans="1:26" ht="19.5" customHeight="1" x14ac:dyDescent="0.25">
      <c r="A47" s="9"/>
      <c r="B47" s="75"/>
      <c r="C47" s="72"/>
      <c r="D47" s="73"/>
      <c r="E47" s="73"/>
      <c r="F47" s="73"/>
      <c r="G47" s="74"/>
      <c r="H47" s="69"/>
      <c r="I47" s="70"/>
      <c r="J47" s="71"/>
      <c r="K47" s="72"/>
      <c r="L47" s="73"/>
      <c r="M47" s="73"/>
      <c r="N47" s="73"/>
      <c r="O47" s="73"/>
      <c r="P47" s="74"/>
      <c r="Z47" s="11"/>
    </row>
    <row r="48" spans="1:26" ht="19.5" customHeight="1" x14ac:dyDescent="0.25">
      <c r="A48" s="9"/>
      <c r="B48" s="75"/>
      <c r="C48" s="72"/>
      <c r="D48" s="73"/>
      <c r="E48" s="73"/>
      <c r="F48" s="73"/>
      <c r="G48" s="74"/>
      <c r="H48" s="69"/>
      <c r="I48" s="70"/>
      <c r="J48" s="71"/>
      <c r="K48" s="72"/>
      <c r="L48" s="73"/>
      <c r="M48" s="73"/>
      <c r="N48" s="73"/>
      <c r="O48" s="73"/>
      <c r="P48" s="74"/>
      <c r="Z48" s="11"/>
    </row>
    <row r="49" spans="1:26" ht="19.5" customHeight="1" x14ac:dyDescent="0.25">
      <c r="A49" s="9"/>
      <c r="B49" s="75"/>
      <c r="C49" s="72"/>
      <c r="D49" s="73"/>
      <c r="E49" s="73"/>
      <c r="F49" s="73"/>
      <c r="G49" s="74"/>
      <c r="H49" s="69"/>
      <c r="I49" s="70"/>
      <c r="J49" s="71"/>
      <c r="K49" s="72"/>
      <c r="L49" s="73"/>
      <c r="M49" s="73"/>
      <c r="N49" s="73"/>
      <c r="O49" s="73"/>
      <c r="P49" s="74"/>
      <c r="Z49" s="11"/>
    </row>
    <row r="50" spans="1:26" ht="19.5" customHeight="1" x14ac:dyDescent="0.25">
      <c r="A50" s="9"/>
      <c r="B50" s="75"/>
      <c r="C50" s="72"/>
      <c r="D50" s="73"/>
      <c r="E50" s="73"/>
      <c r="F50" s="73"/>
      <c r="G50" s="74"/>
      <c r="H50" s="69"/>
      <c r="I50" s="70"/>
      <c r="J50" s="71"/>
      <c r="K50" s="72"/>
      <c r="L50" s="73"/>
      <c r="M50" s="73"/>
      <c r="N50" s="73"/>
      <c r="O50" s="73"/>
      <c r="P50" s="74"/>
      <c r="Z50" s="11"/>
    </row>
    <row r="51" spans="1:26" ht="19.5" customHeight="1" x14ac:dyDescent="0.25">
      <c r="A51" s="9"/>
      <c r="B51" s="75"/>
      <c r="C51" s="72"/>
      <c r="D51" s="73"/>
      <c r="E51" s="73"/>
      <c r="F51" s="73"/>
      <c r="G51" s="74"/>
      <c r="H51" s="69"/>
      <c r="I51" s="70"/>
      <c r="J51" s="71"/>
      <c r="K51" s="72"/>
      <c r="L51" s="73"/>
      <c r="M51" s="73"/>
      <c r="N51" s="73"/>
      <c r="O51" s="73"/>
      <c r="P51" s="74"/>
      <c r="Z51" s="11"/>
    </row>
    <row r="52" spans="1:26" ht="19.5" customHeight="1" x14ac:dyDescent="0.25">
      <c r="A52" s="9"/>
      <c r="B52" s="75"/>
      <c r="C52" s="72"/>
      <c r="D52" s="73"/>
      <c r="E52" s="73"/>
      <c r="F52" s="73"/>
      <c r="G52" s="74"/>
      <c r="H52" s="69"/>
      <c r="I52" s="70"/>
      <c r="J52" s="71"/>
      <c r="K52" s="72"/>
      <c r="L52" s="73"/>
      <c r="M52" s="73"/>
      <c r="N52" s="73"/>
      <c r="O52" s="73"/>
      <c r="P52" s="74"/>
      <c r="Z52" s="11"/>
    </row>
    <row r="53" spans="1:26" ht="19.5" customHeight="1" x14ac:dyDescent="0.25">
      <c r="A53" s="9"/>
      <c r="B53" s="75"/>
      <c r="C53" s="72"/>
      <c r="D53" s="73"/>
      <c r="E53" s="73"/>
      <c r="F53" s="73"/>
      <c r="G53" s="74"/>
      <c r="H53" s="69"/>
      <c r="I53" s="70"/>
      <c r="J53" s="71"/>
      <c r="K53" s="72"/>
      <c r="L53" s="73"/>
      <c r="M53" s="73"/>
      <c r="N53" s="73"/>
      <c r="O53" s="73"/>
      <c r="P53" s="74"/>
      <c r="Z53" s="11"/>
    </row>
    <row r="54" spans="1:26" ht="19.5" customHeight="1" thickBot="1" x14ac:dyDescent="0.3">
      <c r="A54" s="9"/>
      <c r="B54" s="49"/>
      <c r="C54" s="90"/>
      <c r="D54" s="91"/>
      <c r="E54" s="91"/>
      <c r="F54" s="91"/>
      <c r="G54" s="92"/>
      <c r="H54" s="93"/>
      <c r="I54" s="94"/>
      <c r="J54" s="95"/>
      <c r="K54" s="90"/>
      <c r="L54" s="91"/>
      <c r="M54" s="91"/>
      <c r="N54" s="91"/>
      <c r="O54" s="91"/>
      <c r="P54" s="92"/>
      <c r="Z54" s="11"/>
    </row>
    <row r="55" spans="1:26" ht="15.75" customHeight="1" x14ac:dyDescent="0.25">
      <c r="A55" s="9"/>
      <c r="B55" s="172" t="s">
        <v>38</v>
      </c>
      <c r="C55" s="173"/>
      <c r="D55" s="173"/>
      <c r="E55" s="173"/>
      <c r="F55" s="173"/>
      <c r="G55" s="174"/>
      <c r="H55" s="165">
        <f>AVERAGE(H25:J54)</f>
        <v>74.88333333333334</v>
      </c>
      <c r="I55" s="80"/>
      <c r="J55" s="81"/>
      <c r="K55" s="155">
        <v>100</v>
      </c>
      <c r="L55" s="156"/>
      <c r="M55" s="149" t="s">
        <v>39</v>
      </c>
      <c r="N55" s="149"/>
      <c r="O55" s="149"/>
      <c r="P55" s="150"/>
      <c r="Z55" s="11"/>
    </row>
    <row r="56" spans="1:26" ht="15.75" customHeight="1" x14ac:dyDescent="0.25">
      <c r="A56" s="9"/>
      <c r="B56" s="166" t="s">
        <v>40</v>
      </c>
      <c r="C56" s="167"/>
      <c r="D56" s="167"/>
      <c r="E56" s="167"/>
      <c r="F56" s="167"/>
      <c r="G56" s="168"/>
      <c r="H56" s="165">
        <f>IF(COUNTIF(H25:J54,"*&lt;20*"),"&lt;20",MIN(H25:J54))</f>
        <v>59.2</v>
      </c>
      <c r="I56" s="80"/>
      <c r="J56" s="81"/>
      <c r="K56" s="157"/>
      <c r="L56" s="158"/>
      <c r="M56" s="151"/>
      <c r="N56" s="151"/>
      <c r="O56" s="151"/>
      <c r="P56" s="152"/>
      <c r="Z56" s="11"/>
    </row>
    <row r="57" spans="1:26" ht="15.75" customHeight="1" thickBot="1" x14ac:dyDescent="0.3">
      <c r="A57" s="9"/>
      <c r="B57" s="169" t="s">
        <v>41</v>
      </c>
      <c r="C57" s="170"/>
      <c r="D57" s="170"/>
      <c r="E57" s="170"/>
      <c r="F57" s="170"/>
      <c r="G57" s="171"/>
      <c r="H57" s="162">
        <f>IF(COUNTIF(H25:J54,"*&gt;250*"),"&gt;250",MAX(H25:J54))</f>
        <v>118.4</v>
      </c>
      <c r="I57" s="163"/>
      <c r="J57" s="164"/>
      <c r="K57" s="159"/>
      <c r="L57" s="160"/>
      <c r="M57" s="153"/>
      <c r="N57" s="153"/>
      <c r="O57" s="153"/>
      <c r="P57" s="154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" customHeight="1" x14ac:dyDescent="0.25">
      <c r="A60" s="51" t="s">
        <v>42</v>
      </c>
      <c r="B60" s="5" t="s">
        <v>43</v>
      </c>
      <c r="C60" s="52"/>
      <c r="D60" s="52"/>
      <c r="E60" s="52"/>
      <c r="F60" s="53"/>
      <c r="G60" s="53"/>
      <c r="H60" s="53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4"/>
      <c r="V60" s="55"/>
      <c r="W60" s="55"/>
      <c r="X60" s="42"/>
      <c r="Y60" s="42"/>
      <c r="Z60" s="43"/>
    </row>
    <row r="61" spans="1:26" s="17" customFormat="1" ht="28.5" customHeight="1" x14ac:dyDescent="0.25">
      <c r="A61" s="208" t="s">
        <v>44</v>
      </c>
      <c r="B61" s="209"/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10"/>
      <c r="R61" s="181" t="s">
        <v>45</v>
      </c>
      <c r="S61" s="182"/>
      <c r="T61" s="183"/>
      <c r="U61" s="187" t="s">
        <v>12</v>
      </c>
      <c r="V61" s="188"/>
      <c r="W61" s="188"/>
      <c r="X61" s="189"/>
      <c r="Y61" s="189"/>
      <c r="Z61" s="190"/>
    </row>
    <row r="62" spans="1:26" s="17" customFormat="1" ht="15.6" customHeight="1" x14ac:dyDescent="0.25">
      <c r="A62" s="191" t="s">
        <v>46</v>
      </c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3"/>
      <c r="R62" s="181" t="s">
        <v>47</v>
      </c>
      <c r="S62" s="182"/>
      <c r="T62" s="183"/>
      <c r="U62" s="197" t="s">
        <v>48</v>
      </c>
      <c r="V62" s="198"/>
      <c r="W62" s="198"/>
      <c r="X62" s="199"/>
      <c r="Y62" s="199"/>
      <c r="Z62" s="200"/>
    </row>
    <row r="63" spans="1:26" s="17" customFormat="1" ht="15.6" customHeight="1" x14ac:dyDescent="0.25">
      <c r="A63" s="194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6"/>
      <c r="R63" s="181"/>
      <c r="S63" s="182"/>
      <c r="T63" s="183"/>
      <c r="U63" s="201"/>
      <c r="V63" s="151"/>
      <c r="W63" s="151"/>
      <c r="X63" s="202"/>
      <c r="Y63" s="202"/>
      <c r="Z63" s="203"/>
    </row>
    <row r="64" spans="1:26" s="17" customFormat="1" ht="15.6" customHeight="1" x14ac:dyDescent="0.25">
      <c r="A64" s="58" t="s">
        <v>49</v>
      </c>
      <c r="B64" s="59" t="s">
        <v>50</v>
      </c>
      <c r="C64" s="1"/>
      <c r="D64" s="1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60"/>
      <c r="R64" s="181"/>
      <c r="S64" s="182"/>
      <c r="T64" s="183"/>
      <c r="U64" s="204"/>
      <c r="V64" s="205"/>
      <c r="W64" s="205"/>
      <c r="X64" s="206"/>
      <c r="Y64" s="206"/>
      <c r="Z64" s="207"/>
    </row>
    <row r="65" spans="1:26" s="17" customFormat="1" ht="15.6" customHeight="1" x14ac:dyDescent="0.25">
      <c r="A65" s="175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7"/>
      <c r="R65" s="181" t="s">
        <v>51</v>
      </c>
      <c r="S65" s="182"/>
      <c r="T65" s="183"/>
      <c r="U65" s="61"/>
      <c r="V65" s="62"/>
      <c r="W65" s="62"/>
      <c r="X65" s="62"/>
      <c r="Y65" s="62"/>
      <c r="Z65" s="63"/>
    </row>
    <row r="66" spans="1:26" s="17" customFormat="1" ht="15.6" customHeight="1" x14ac:dyDescent="0.25">
      <c r="A66" s="175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7"/>
      <c r="R66" s="181"/>
      <c r="S66" s="182"/>
      <c r="T66" s="183"/>
      <c r="U66" s="64"/>
      <c r="V66" s="151"/>
      <c r="W66" s="151"/>
      <c r="X66" s="151"/>
      <c r="Y66" s="151"/>
      <c r="Z66" s="65"/>
    </row>
    <row r="67" spans="1:26" s="17" customFormat="1" ht="15.6" customHeight="1" x14ac:dyDescent="0.25">
      <c r="A67" s="175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7"/>
      <c r="R67" s="181"/>
      <c r="S67" s="182"/>
      <c r="T67" s="183"/>
      <c r="U67" s="64"/>
      <c r="V67" s="151"/>
      <c r="W67" s="151"/>
      <c r="X67" s="151"/>
      <c r="Y67" s="151"/>
      <c r="Z67" s="65"/>
    </row>
    <row r="68" spans="1:26" s="17" customFormat="1" ht="15.6" customHeight="1" x14ac:dyDescent="0.25">
      <c r="A68" s="178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80"/>
      <c r="R68" s="184"/>
      <c r="S68" s="185"/>
      <c r="T68" s="186"/>
      <c r="U68" s="66"/>
      <c r="V68" s="67"/>
      <c r="W68" s="67"/>
      <c r="X68" s="67"/>
      <c r="Y68" s="67"/>
      <c r="Z68" s="68"/>
    </row>
    <row r="69" spans="1:26" s="17" customFormat="1" ht="15" customHeight="1" x14ac:dyDescent="0.25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7"/>
      <c r="S69" s="57"/>
      <c r="T69" s="57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69">
    <mergeCell ref="A65:Q68"/>
    <mergeCell ref="R65:T68"/>
    <mergeCell ref="V66:Y67"/>
    <mergeCell ref="C28:G30"/>
    <mergeCell ref="H28:J28"/>
    <mergeCell ref="H29:J29"/>
    <mergeCell ref="H30:J30"/>
    <mergeCell ref="K28:P28"/>
    <mergeCell ref="K29:P29"/>
    <mergeCell ref="K30:P30"/>
    <mergeCell ref="H57:J57"/>
    <mergeCell ref="A61:Q61"/>
    <mergeCell ref="R61:T61"/>
    <mergeCell ref="U61:Z61"/>
    <mergeCell ref="A62:Q63"/>
    <mergeCell ref="R62:T64"/>
    <mergeCell ref="U62:Z64"/>
    <mergeCell ref="C54:G54"/>
    <mergeCell ref="H54:J54"/>
    <mergeCell ref="K54:P54"/>
    <mergeCell ref="B55:G55"/>
    <mergeCell ref="H55:J55"/>
    <mergeCell ref="K55:L57"/>
    <mergeCell ref="M55:P57"/>
    <mergeCell ref="B56:G56"/>
    <mergeCell ref="H56:J56"/>
    <mergeCell ref="B57:G57"/>
    <mergeCell ref="C25:G26"/>
    <mergeCell ref="H25:J25"/>
    <mergeCell ref="K25:P25"/>
    <mergeCell ref="H26:J26"/>
    <mergeCell ref="K26:P26"/>
    <mergeCell ref="C27:G27"/>
    <mergeCell ref="H27:J27"/>
    <mergeCell ref="K27:P27"/>
    <mergeCell ref="B17:H17"/>
    <mergeCell ref="I17:Y17"/>
    <mergeCell ref="B18:H18"/>
    <mergeCell ref="I18:J18"/>
    <mergeCell ref="B23:B24"/>
    <mergeCell ref="C23:G24"/>
    <mergeCell ref="H23:J23"/>
    <mergeCell ref="K23:P24"/>
    <mergeCell ref="H24:J24"/>
    <mergeCell ref="B11:G11"/>
    <mergeCell ref="H11:M11"/>
    <mergeCell ref="N11:R11"/>
    <mergeCell ref="S11:Y11"/>
    <mergeCell ref="B12:G12"/>
    <mergeCell ref="H12:M12"/>
    <mergeCell ref="N12:R12"/>
    <mergeCell ref="S12:Y12"/>
    <mergeCell ref="P6:T6"/>
    <mergeCell ref="A7:F7"/>
    <mergeCell ref="G7:Z7"/>
    <mergeCell ref="B10:G10"/>
    <mergeCell ref="H10:M10"/>
    <mergeCell ref="N10:R10"/>
    <mergeCell ref="S10:Y10"/>
    <mergeCell ref="A1:F6"/>
    <mergeCell ref="G1:T1"/>
    <mergeCell ref="U1:Z6"/>
    <mergeCell ref="G2:T4"/>
    <mergeCell ref="G5:H5"/>
    <mergeCell ref="I5:K5"/>
    <mergeCell ref="L5:O5"/>
    <mergeCell ref="P5:T5"/>
    <mergeCell ref="I6:K6"/>
    <mergeCell ref="L6:O6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topLeftCell="A44" workbookViewId="0">
      <selection activeCell="AC66" sqref="AC6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10"/>
      <c r="B1" s="111"/>
      <c r="C1" s="111"/>
      <c r="D1" s="111"/>
      <c r="E1" s="111"/>
      <c r="F1" s="112"/>
      <c r="G1" s="119" t="s">
        <v>0</v>
      </c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1"/>
      <c r="U1" s="140" t="s">
        <v>52</v>
      </c>
      <c r="V1" s="141"/>
      <c r="W1" s="141"/>
      <c r="X1" s="141"/>
      <c r="Y1" s="141"/>
      <c r="Z1" s="142"/>
    </row>
    <row r="2" spans="1:26" ht="12.75" customHeight="1" x14ac:dyDescent="0.25">
      <c r="A2" s="113"/>
      <c r="B2" s="114"/>
      <c r="C2" s="114"/>
      <c r="D2" s="114"/>
      <c r="E2" s="114"/>
      <c r="F2" s="115"/>
      <c r="G2" s="123" t="s">
        <v>1</v>
      </c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5"/>
      <c r="U2" s="143"/>
      <c r="V2" s="144"/>
      <c r="W2" s="144"/>
      <c r="X2" s="144"/>
      <c r="Y2" s="144"/>
      <c r="Z2" s="145"/>
    </row>
    <row r="3" spans="1:26" ht="12.75" customHeight="1" x14ac:dyDescent="0.25">
      <c r="A3" s="113"/>
      <c r="B3" s="114"/>
      <c r="C3" s="114"/>
      <c r="D3" s="114"/>
      <c r="E3" s="114"/>
      <c r="F3" s="115"/>
      <c r="G3" s="123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5"/>
      <c r="U3" s="143"/>
      <c r="V3" s="144"/>
      <c r="W3" s="144"/>
      <c r="X3" s="144"/>
      <c r="Y3" s="144"/>
      <c r="Z3" s="145"/>
    </row>
    <row r="4" spans="1:26" ht="12.75" customHeight="1" x14ac:dyDescent="0.25">
      <c r="A4" s="113"/>
      <c r="B4" s="114"/>
      <c r="C4" s="114"/>
      <c r="D4" s="114"/>
      <c r="E4" s="114"/>
      <c r="F4" s="115"/>
      <c r="G4" s="123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5"/>
      <c r="U4" s="143"/>
      <c r="V4" s="144"/>
      <c r="W4" s="144"/>
      <c r="X4" s="144"/>
      <c r="Y4" s="144"/>
      <c r="Z4" s="145"/>
    </row>
    <row r="5" spans="1:26" ht="12.75" customHeight="1" x14ac:dyDescent="0.25">
      <c r="A5" s="113"/>
      <c r="B5" s="114"/>
      <c r="C5" s="114"/>
      <c r="D5" s="114"/>
      <c r="E5" s="114"/>
      <c r="F5" s="115"/>
      <c r="G5" s="126" t="s">
        <v>2</v>
      </c>
      <c r="H5" s="127"/>
      <c r="I5" s="130">
        <v>1</v>
      </c>
      <c r="J5" s="130"/>
      <c r="K5" s="131"/>
      <c r="L5" s="133" t="s">
        <v>53</v>
      </c>
      <c r="M5" s="134"/>
      <c r="N5" s="134"/>
      <c r="O5" s="135"/>
      <c r="P5" s="136" t="s">
        <v>3</v>
      </c>
      <c r="Q5" s="137"/>
      <c r="R5" s="137"/>
      <c r="S5" s="137"/>
      <c r="T5" s="138"/>
      <c r="U5" s="143"/>
      <c r="V5" s="144"/>
      <c r="W5" s="144"/>
      <c r="X5" s="144"/>
      <c r="Y5" s="144"/>
      <c r="Z5" s="145"/>
    </row>
    <row r="6" spans="1:26" ht="12.75" customHeight="1" x14ac:dyDescent="0.25">
      <c r="A6" s="116"/>
      <c r="B6" s="117"/>
      <c r="C6" s="117"/>
      <c r="D6" s="117"/>
      <c r="E6" s="117"/>
      <c r="F6" s="118"/>
      <c r="G6" s="2"/>
      <c r="H6" s="3"/>
      <c r="I6" s="132" t="s">
        <v>4</v>
      </c>
      <c r="J6" s="132"/>
      <c r="K6" s="132"/>
      <c r="L6" s="132" t="s">
        <v>5</v>
      </c>
      <c r="M6" s="132"/>
      <c r="N6" s="132"/>
      <c r="O6" s="132"/>
      <c r="P6" s="132" t="s">
        <v>6</v>
      </c>
      <c r="Q6" s="132"/>
      <c r="R6" s="132"/>
      <c r="S6" s="132"/>
      <c r="T6" s="139"/>
      <c r="U6" s="146"/>
      <c r="V6" s="147"/>
      <c r="W6" s="147"/>
      <c r="X6" s="147"/>
      <c r="Y6" s="147"/>
      <c r="Z6" s="148"/>
    </row>
    <row r="7" spans="1:26" ht="36.6" customHeight="1" x14ac:dyDescent="0.25">
      <c r="A7" s="128" t="s">
        <v>7</v>
      </c>
      <c r="B7" s="128"/>
      <c r="C7" s="128"/>
      <c r="D7" s="128"/>
      <c r="E7" s="128"/>
      <c r="F7" s="128"/>
      <c r="G7" s="129" t="s">
        <v>8</v>
      </c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89" t="s">
        <v>11</v>
      </c>
      <c r="C10" s="89"/>
      <c r="D10" s="89"/>
      <c r="E10" s="89"/>
      <c r="F10" s="89"/>
      <c r="G10" s="89"/>
      <c r="H10" s="88" t="s">
        <v>12</v>
      </c>
      <c r="I10" s="88"/>
      <c r="J10" s="88"/>
      <c r="K10" s="88"/>
      <c r="L10" s="88"/>
      <c r="M10" s="88"/>
      <c r="N10" s="89" t="s">
        <v>13</v>
      </c>
      <c r="O10" s="89"/>
      <c r="P10" s="89"/>
      <c r="Q10" s="89"/>
      <c r="R10" s="89"/>
      <c r="S10" s="122" t="s">
        <v>14</v>
      </c>
      <c r="T10" s="122"/>
      <c r="U10" s="122"/>
      <c r="V10" s="122"/>
      <c r="W10" s="122"/>
      <c r="X10" s="122"/>
      <c r="Y10" s="122"/>
      <c r="Z10" s="12"/>
    </row>
    <row r="11" spans="1:26" ht="15.9" customHeight="1" x14ac:dyDescent="0.25">
      <c r="A11" s="9"/>
      <c r="B11" s="89" t="s">
        <v>15</v>
      </c>
      <c r="C11" s="89"/>
      <c r="D11" s="89"/>
      <c r="E11" s="89"/>
      <c r="F11" s="89"/>
      <c r="G11" s="89"/>
      <c r="H11" s="88" t="s">
        <v>3</v>
      </c>
      <c r="I11" s="88"/>
      <c r="J11" s="88"/>
      <c r="K11" s="88"/>
      <c r="L11" s="88"/>
      <c r="M11" s="88"/>
      <c r="N11" s="89" t="s">
        <v>16</v>
      </c>
      <c r="O11" s="89"/>
      <c r="P11" s="89"/>
      <c r="Q11" s="89"/>
      <c r="R11" s="89"/>
      <c r="S11" s="122" t="s">
        <v>17</v>
      </c>
      <c r="T11" s="122"/>
      <c r="U11" s="122"/>
      <c r="V11" s="122"/>
      <c r="W11" s="122"/>
      <c r="X11" s="122"/>
      <c r="Y11" s="122"/>
      <c r="Z11" s="12"/>
    </row>
    <row r="12" spans="1:26" ht="15.9" customHeight="1" x14ac:dyDescent="0.25">
      <c r="A12" s="9"/>
      <c r="B12" s="89" t="s">
        <v>18</v>
      </c>
      <c r="C12" s="89"/>
      <c r="D12" s="89"/>
      <c r="E12" s="89"/>
      <c r="F12" s="89"/>
      <c r="G12" s="89"/>
      <c r="H12" s="88" t="s">
        <v>19</v>
      </c>
      <c r="I12" s="88"/>
      <c r="J12" s="88"/>
      <c r="K12" s="88"/>
      <c r="L12" s="88"/>
      <c r="M12" s="88"/>
      <c r="N12" s="89" t="s">
        <v>20</v>
      </c>
      <c r="O12" s="89"/>
      <c r="P12" s="89"/>
      <c r="Q12" s="89"/>
      <c r="R12" s="89"/>
      <c r="S12" s="122" t="s">
        <v>21</v>
      </c>
      <c r="T12" s="122"/>
      <c r="U12" s="122"/>
      <c r="V12" s="122"/>
      <c r="W12" s="122"/>
      <c r="X12" s="122"/>
      <c r="Y12" s="122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03" t="s">
        <v>24</v>
      </c>
      <c r="C17" s="103"/>
      <c r="D17" s="103"/>
      <c r="E17" s="103"/>
      <c r="F17" s="103"/>
      <c r="G17" s="103"/>
      <c r="H17" s="103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28"/>
    </row>
    <row r="18" spans="1:26" s="17" customFormat="1" ht="15" customHeight="1" x14ac:dyDescent="0.25">
      <c r="A18" s="24"/>
      <c r="B18" s="103" t="s">
        <v>25</v>
      </c>
      <c r="C18" s="103"/>
      <c r="D18" s="103"/>
      <c r="E18" s="103"/>
      <c r="F18" s="103"/>
      <c r="G18" s="103"/>
      <c r="H18" s="103"/>
      <c r="I18" s="96" t="s">
        <v>26</v>
      </c>
      <c r="J18" s="96"/>
      <c r="K18" s="27">
        <v>50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44" t="s">
        <v>30</v>
      </c>
      <c r="K21" s="44"/>
      <c r="L21" s="45"/>
      <c r="M21" s="46"/>
      <c r="N21" s="46"/>
      <c r="O21" s="46"/>
      <c r="P21" s="46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K22" s="47"/>
      <c r="L22" s="47"/>
      <c r="M22" s="47"/>
      <c r="N22" s="47"/>
      <c r="O22" s="47"/>
      <c r="P22" s="47"/>
      <c r="Q22" s="47"/>
      <c r="Z22" s="11"/>
    </row>
    <row r="23" spans="1:26" ht="15.75" customHeight="1" x14ac:dyDescent="0.25">
      <c r="A23" s="9"/>
      <c r="B23" s="104" t="s">
        <v>31</v>
      </c>
      <c r="C23" s="106" t="s">
        <v>32</v>
      </c>
      <c r="D23" s="106"/>
      <c r="E23" s="106"/>
      <c r="F23" s="106"/>
      <c r="G23" s="107"/>
      <c r="H23" s="100" t="s">
        <v>33</v>
      </c>
      <c r="I23" s="101"/>
      <c r="J23" s="102"/>
      <c r="K23" s="106" t="s">
        <v>34</v>
      </c>
      <c r="L23" s="106"/>
      <c r="M23" s="106"/>
      <c r="N23" s="106"/>
      <c r="O23" s="106"/>
      <c r="P23" s="107"/>
      <c r="Z23" s="11"/>
    </row>
    <row r="24" spans="1:26" ht="15.75" customHeight="1" x14ac:dyDescent="0.25">
      <c r="A24" s="9"/>
      <c r="B24" s="105"/>
      <c r="C24" s="108"/>
      <c r="D24" s="108"/>
      <c r="E24" s="108"/>
      <c r="F24" s="108"/>
      <c r="G24" s="109"/>
      <c r="H24" s="97" t="s">
        <v>35</v>
      </c>
      <c r="I24" s="98"/>
      <c r="J24" s="99"/>
      <c r="K24" s="108"/>
      <c r="L24" s="108"/>
      <c r="M24" s="108"/>
      <c r="N24" s="108"/>
      <c r="O24" s="108"/>
      <c r="P24" s="109"/>
      <c r="Z24" s="11"/>
    </row>
    <row r="25" spans="1:26" ht="19.5" customHeight="1" x14ac:dyDescent="0.25">
      <c r="A25" s="9"/>
      <c r="B25" s="48">
        <v>1</v>
      </c>
      <c r="C25" s="82" t="s">
        <v>36</v>
      </c>
      <c r="D25" s="83"/>
      <c r="E25" s="83"/>
      <c r="F25" s="83"/>
      <c r="G25" s="84"/>
      <c r="H25" s="79">
        <v>59.2</v>
      </c>
      <c r="I25" s="80"/>
      <c r="J25" s="81"/>
      <c r="K25" s="76"/>
      <c r="L25" s="77"/>
      <c r="M25" s="77"/>
      <c r="N25" s="77"/>
      <c r="O25" s="77"/>
      <c r="P25" s="78"/>
      <c r="Z25" s="11"/>
    </row>
    <row r="26" spans="1:26" ht="19.5" customHeight="1" x14ac:dyDescent="0.25">
      <c r="A26" s="9"/>
      <c r="B26" s="48">
        <v>2</v>
      </c>
      <c r="C26" s="85"/>
      <c r="D26" s="86"/>
      <c r="E26" s="86"/>
      <c r="F26" s="86"/>
      <c r="G26" s="87"/>
      <c r="H26" s="79">
        <v>66.2</v>
      </c>
      <c r="I26" s="80"/>
      <c r="J26" s="81"/>
      <c r="K26" s="76"/>
      <c r="L26" s="77"/>
      <c r="M26" s="77"/>
      <c r="N26" s="77"/>
      <c r="O26" s="77"/>
      <c r="P26" s="78"/>
      <c r="Z26" s="11"/>
    </row>
    <row r="27" spans="1:26" ht="19.5" customHeight="1" x14ac:dyDescent="0.25">
      <c r="A27" s="9"/>
      <c r="B27" s="48">
        <v>3</v>
      </c>
      <c r="C27" s="76" t="s">
        <v>37</v>
      </c>
      <c r="D27" s="77"/>
      <c r="E27" s="77"/>
      <c r="F27" s="77"/>
      <c r="G27" s="78"/>
      <c r="H27" s="79">
        <v>118.4</v>
      </c>
      <c r="I27" s="80"/>
      <c r="J27" s="81"/>
      <c r="K27" s="76"/>
      <c r="L27" s="77"/>
      <c r="M27" s="77"/>
      <c r="N27" s="77"/>
      <c r="O27" s="77"/>
      <c r="P27" s="78"/>
      <c r="Z27" s="11"/>
    </row>
    <row r="28" spans="1:26" ht="19.5" customHeight="1" x14ac:dyDescent="0.25">
      <c r="A28" s="9"/>
      <c r="B28" s="75"/>
      <c r="C28" s="72"/>
      <c r="D28" s="73"/>
      <c r="E28" s="73"/>
      <c r="F28" s="73"/>
      <c r="G28" s="74"/>
      <c r="H28" s="69"/>
      <c r="I28" s="70"/>
      <c r="J28" s="71"/>
      <c r="K28" s="72"/>
      <c r="L28" s="73"/>
      <c r="M28" s="73"/>
      <c r="N28" s="73"/>
      <c r="O28" s="73"/>
      <c r="P28" s="74"/>
      <c r="Z28" s="11"/>
    </row>
    <row r="29" spans="1:26" ht="19.5" customHeight="1" x14ac:dyDescent="0.25">
      <c r="A29" s="9"/>
      <c r="B29" s="75"/>
      <c r="C29" s="72"/>
      <c r="D29" s="73"/>
      <c r="E29" s="73"/>
      <c r="F29" s="73"/>
      <c r="G29" s="74"/>
      <c r="H29" s="69"/>
      <c r="I29" s="70"/>
      <c r="J29" s="71"/>
      <c r="K29" s="72"/>
      <c r="L29" s="73"/>
      <c r="M29" s="73"/>
      <c r="N29" s="73"/>
      <c r="O29" s="73"/>
      <c r="P29" s="74"/>
      <c r="Z29" s="11"/>
    </row>
    <row r="30" spans="1:26" ht="19.5" customHeight="1" x14ac:dyDescent="0.25">
      <c r="A30" s="9"/>
      <c r="B30" s="75"/>
      <c r="C30" s="72"/>
      <c r="D30" s="73"/>
      <c r="E30" s="73"/>
      <c r="F30" s="73"/>
      <c r="G30" s="74"/>
      <c r="H30" s="69"/>
      <c r="I30" s="70"/>
      <c r="J30" s="71"/>
      <c r="K30" s="72"/>
      <c r="L30" s="73"/>
      <c r="M30" s="73"/>
      <c r="N30" s="73"/>
      <c r="O30" s="73"/>
      <c r="P30" s="74"/>
      <c r="Z30" s="11"/>
    </row>
    <row r="31" spans="1:26" ht="19.5" customHeight="1" x14ac:dyDescent="0.25">
      <c r="A31" s="9"/>
      <c r="B31" s="75"/>
      <c r="C31" s="72"/>
      <c r="D31" s="73"/>
      <c r="E31" s="73"/>
      <c r="F31" s="73"/>
      <c r="G31" s="74"/>
      <c r="H31" s="69"/>
      <c r="I31" s="70"/>
      <c r="J31" s="71"/>
      <c r="K31" s="72"/>
      <c r="L31" s="73"/>
      <c r="M31" s="73"/>
      <c r="N31" s="73"/>
      <c r="O31" s="73"/>
      <c r="P31" s="74"/>
      <c r="Z31" s="11"/>
    </row>
    <row r="32" spans="1:26" ht="19.5" customHeight="1" x14ac:dyDescent="0.25">
      <c r="A32" s="9"/>
      <c r="B32" s="75"/>
      <c r="C32" s="72"/>
      <c r="D32" s="73"/>
      <c r="E32" s="73"/>
      <c r="F32" s="73"/>
      <c r="G32" s="74"/>
      <c r="H32" s="69"/>
      <c r="I32" s="70"/>
      <c r="J32" s="71"/>
      <c r="K32" s="72"/>
      <c r="L32" s="73"/>
      <c r="M32" s="73"/>
      <c r="N32" s="73"/>
      <c r="O32" s="73"/>
      <c r="P32" s="74"/>
      <c r="Z32" s="11"/>
    </row>
    <row r="33" spans="1:26" ht="19.5" customHeight="1" x14ac:dyDescent="0.25">
      <c r="A33" s="9"/>
      <c r="B33" s="75"/>
      <c r="C33" s="72"/>
      <c r="D33" s="73"/>
      <c r="E33" s="73"/>
      <c r="F33" s="73"/>
      <c r="G33" s="74"/>
      <c r="H33" s="69"/>
      <c r="I33" s="70"/>
      <c r="J33" s="71"/>
      <c r="K33" s="72"/>
      <c r="L33" s="73"/>
      <c r="M33" s="73"/>
      <c r="N33" s="73"/>
      <c r="O33" s="73"/>
      <c r="P33" s="74"/>
      <c r="Z33" s="11"/>
    </row>
    <row r="34" spans="1:26" ht="19.5" customHeight="1" x14ac:dyDescent="0.25">
      <c r="A34" s="9"/>
      <c r="B34" s="75"/>
      <c r="C34" s="72"/>
      <c r="D34" s="73"/>
      <c r="E34" s="73"/>
      <c r="F34" s="73"/>
      <c r="G34" s="74"/>
      <c r="H34" s="69"/>
      <c r="I34" s="70"/>
      <c r="J34" s="71"/>
      <c r="K34" s="72"/>
      <c r="L34" s="73"/>
      <c r="M34" s="73"/>
      <c r="N34" s="73"/>
      <c r="O34" s="73"/>
      <c r="P34" s="74"/>
      <c r="Z34" s="11"/>
    </row>
    <row r="35" spans="1:26" ht="19.5" customHeight="1" x14ac:dyDescent="0.25">
      <c r="A35" s="9"/>
      <c r="B35" s="75"/>
      <c r="C35" s="72"/>
      <c r="D35" s="73"/>
      <c r="E35" s="73"/>
      <c r="F35" s="73"/>
      <c r="G35" s="74"/>
      <c r="H35" s="69"/>
      <c r="I35" s="70"/>
      <c r="J35" s="71"/>
      <c r="K35" s="72"/>
      <c r="L35" s="73"/>
      <c r="M35" s="73"/>
      <c r="N35" s="73"/>
      <c r="O35" s="73"/>
      <c r="P35" s="74"/>
      <c r="Z35" s="11"/>
    </row>
    <row r="36" spans="1:26" ht="19.5" customHeight="1" x14ac:dyDescent="0.25">
      <c r="A36" s="9"/>
      <c r="B36" s="75"/>
      <c r="C36" s="72"/>
      <c r="D36" s="73"/>
      <c r="E36" s="73"/>
      <c r="F36" s="73"/>
      <c r="G36" s="74"/>
      <c r="H36" s="69"/>
      <c r="I36" s="70"/>
      <c r="J36" s="71"/>
      <c r="K36" s="72"/>
      <c r="L36" s="73"/>
      <c r="M36" s="73"/>
      <c r="N36" s="73"/>
      <c r="O36" s="73"/>
      <c r="P36" s="74"/>
      <c r="Z36" s="11"/>
    </row>
    <row r="37" spans="1:26" ht="19.5" customHeight="1" x14ac:dyDescent="0.25">
      <c r="A37" s="9"/>
      <c r="B37" s="75"/>
      <c r="C37" s="72"/>
      <c r="D37" s="73"/>
      <c r="E37" s="73"/>
      <c r="F37" s="73"/>
      <c r="G37" s="74"/>
      <c r="H37" s="69"/>
      <c r="I37" s="70"/>
      <c r="J37" s="71"/>
      <c r="K37" s="72"/>
      <c r="L37" s="73"/>
      <c r="M37" s="73"/>
      <c r="N37" s="73"/>
      <c r="O37" s="73"/>
      <c r="P37" s="74"/>
      <c r="Z37" s="11"/>
    </row>
    <row r="38" spans="1:26" ht="19.5" customHeight="1" x14ac:dyDescent="0.25">
      <c r="A38" s="9"/>
      <c r="B38" s="75"/>
      <c r="C38" s="72"/>
      <c r="D38" s="73"/>
      <c r="E38" s="73"/>
      <c r="F38" s="73"/>
      <c r="G38" s="74"/>
      <c r="H38" s="69"/>
      <c r="I38" s="70"/>
      <c r="J38" s="71"/>
      <c r="K38" s="72"/>
      <c r="L38" s="73"/>
      <c r="M38" s="73"/>
      <c r="N38" s="73"/>
      <c r="O38" s="73"/>
      <c r="P38" s="74"/>
      <c r="Z38" s="11"/>
    </row>
    <row r="39" spans="1:26" ht="19.5" customHeight="1" x14ac:dyDescent="0.25">
      <c r="A39" s="9"/>
      <c r="B39" s="75"/>
      <c r="C39" s="72"/>
      <c r="D39" s="73"/>
      <c r="E39" s="73"/>
      <c r="F39" s="73"/>
      <c r="G39" s="74"/>
      <c r="H39" s="69"/>
      <c r="I39" s="70"/>
      <c r="J39" s="71"/>
      <c r="K39" s="72"/>
      <c r="L39" s="73"/>
      <c r="M39" s="73"/>
      <c r="N39" s="73"/>
      <c r="O39" s="73"/>
      <c r="P39" s="74"/>
      <c r="Z39" s="11"/>
    </row>
    <row r="40" spans="1:26" ht="19.5" customHeight="1" x14ac:dyDescent="0.25">
      <c r="A40" s="9"/>
      <c r="B40" s="75"/>
      <c r="C40" s="72"/>
      <c r="D40" s="73"/>
      <c r="E40" s="73"/>
      <c r="F40" s="73"/>
      <c r="G40" s="74"/>
      <c r="H40" s="69"/>
      <c r="I40" s="70"/>
      <c r="J40" s="71"/>
      <c r="K40" s="72"/>
      <c r="L40" s="73"/>
      <c r="M40" s="73"/>
      <c r="N40" s="73"/>
      <c r="O40" s="73"/>
      <c r="P40" s="74"/>
      <c r="Z40" s="11"/>
    </row>
    <row r="41" spans="1:26" ht="19.5" customHeight="1" x14ac:dyDescent="0.25">
      <c r="A41" s="9"/>
      <c r="B41" s="75"/>
      <c r="C41" s="72"/>
      <c r="D41" s="73"/>
      <c r="E41" s="73"/>
      <c r="F41" s="73"/>
      <c r="G41" s="74"/>
      <c r="H41" s="69"/>
      <c r="I41" s="70"/>
      <c r="J41" s="71"/>
      <c r="K41" s="72"/>
      <c r="L41" s="73"/>
      <c r="M41" s="73"/>
      <c r="N41" s="73"/>
      <c r="O41" s="73"/>
      <c r="P41" s="74"/>
      <c r="Z41" s="11"/>
    </row>
    <row r="42" spans="1:26" ht="19.5" customHeight="1" x14ac:dyDescent="0.25">
      <c r="A42" s="9"/>
      <c r="B42" s="75"/>
      <c r="C42" s="72"/>
      <c r="D42" s="73"/>
      <c r="E42" s="73"/>
      <c r="F42" s="73"/>
      <c r="G42" s="74"/>
      <c r="H42" s="69"/>
      <c r="I42" s="70"/>
      <c r="J42" s="71"/>
      <c r="K42" s="72"/>
      <c r="L42" s="73"/>
      <c r="M42" s="73"/>
      <c r="N42" s="73"/>
      <c r="O42" s="73"/>
      <c r="P42" s="74"/>
      <c r="Z42" s="11"/>
    </row>
    <row r="43" spans="1:26" ht="19.5" customHeight="1" x14ac:dyDescent="0.25">
      <c r="A43" s="9"/>
      <c r="B43" s="75"/>
      <c r="C43" s="72"/>
      <c r="D43" s="73"/>
      <c r="E43" s="73"/>
      <c r="F43" s="73"/>
      <c r="G43" s="74"/>
      <c r="H43" s="69"/>
      <c r="I43" s="70"/>
      <c r="J43" s="71"/>
      <c r="K43" s="72"/>
      <c r="L43" s="73"/>
      <c r="M43" s="73"/>
      <c r="N43" s="73"/>
      <c r="O43" s="73"/>
      <c r="P43" s="74"/>
      <c r="Z43" s="11"/>
    </row>
    <row r="44" spans="1:26" ht="19.5" customHeight="1" x14ac:dyDescent="0.25">
      <c r="A44" s="9"/>
      <c r="B44" s="75"/>
      <c r="C44" s="72"/>
      <c r="D44" s="73"/>
      <c r="E44" s="73"/>
      <c r="F44" s="73"/>
      <c r="G44" s="74"/>
      <c r="H44" s="69"/>
      <c r="I44" s="70"/>
      <c r="J44" s="71"/>
      <c r="K44" s="72"/>
      <c r="L44" s="73"/>
      <c r="M44" s="73"/>
      <c r="N44" s="73"/>
      <c r="O44" s="73"/>
      <c r="P44" s="74"/>
      <c r="Z44" s="11"/>
    </row>
    <row r="45" spans="1:26" ht="19.5" customHeight="1" x14ac:dyDescent="0.25">
      <c r="A45" s="9"/>
      <c r="B45" s="75"/>
      <c r="C45" s="72"/>
      <c r="D45" s="73"/>
      <c r="E45" s="73"/>
      <c r="F45" s="73"/>
      <c r="G45" s="74"/>
      <c r="H45" s="69"/>
      <c r="I45" s="70"/>
      <c r="J45" s="71"/>
      <c r="K45" s="72"/>
      <c r="L45" s="73"/>
      <c r="M45" s="73"/>
      <c r="N45" s="73"/>
      <c r="O45" s="73"/>
      <c r="P45" s="74"/>
      <c r="Z45" s="11"/>
    </row>
    <row r="46" spans="1:26" ht="19.5" customHeight="1" x14ac:dyDescent="0.25">
      <c r="A46" s="9"/>
      <c r="B46" s="75"/>
      <c r="C46" s="72"/>
      <c r="D46" s="73"/>
      <c r="E46" s="73"/>
      <c r="F46" s="73"/>
      <c r="G46" s="74"/>
      <c r="H46" s="69"/>
      <c r="I46" s="70"/>
      <c r="J46" s="71"/>
      <c r="K46" s="72"/>
      <c r="L46" s="73"/>
      <c r="M46" s="73"/>
      <c r="N46" s="73"/>
      <c r="O46" s="73"/>
      <c r="P46" s="74"/>
      <c r="Z46" s="11"/>
    </row>
    <row r="47" spans="1:26" ht="19.5" customHeight="1" x14ac:dyDescent="0.25">
      <c r="A47" s="9"/>
      <c r="B47" s="75"/>
      <c r="C47" s="72"/>
      <c r="D47" s="73"/>
      <c r="E47" s="73"/>
      <c r="F47" s="73"/>
      <c r="G47" s="74"/>
      <c r="H47" s="69"/>
      <c r="I47" s="70"/>
      <c r="J47" s="71"/>
      <c r="K47" s="72"/>
      <c r="L47" s="73"/>
      <c r="M47" s="73"/>
      <c r="N47" s="73"/>
      <c r="O47" s="73"/>
      <c r="P47" s="74"/>
      <c r="Z47" s="11"/>
    </row>
    <row r="48" spans="1:26" ht="19.5" customHeight="1" x14ac:dyDescent="0.25">
      <c r="A48" s="9"/>
      <c r="B48" s="75"/>
      <c r="C48" s="72"/>
      <c r="D48" s="73"/>
      <c r="E48" s="73"/>
      <c r="F48" s="73"/>
      <c r="G48" s="74"/>
      <c r="H48" s="69"/>
      <c r="I48" s="70"/>
      <c r="J48" s="71"/>
      <c r="K48" s="72"/>
      <c r="L48" s="73"/>
      <c r="M48" s="73"/>
      <c r="N48" s="73"/>
      <c r="O48" s="73"/>
      <c r="P48" s="74"/>
      <c r="Z48" s="11"/>
    </row>
    <row r="49" spans="1:26" ht="19.5" customHeight="1" x14ac:dyDescent="0.25">
      <c r="A49" s="9"/>
      <c r="B49" s="75"/>
      <c r="C49" s="72"/>
      <c r="D49" s="73"/>
      <c r="E49" s="73"/>
      <c r="F49" s="73"/>
      <c r="G49" s="74"/>
      <c r="H49" s="69"/>
      <c r="I49" s="70"/>
      <c r="J49" s="71"/>
      <c r="K49" s="72"/>
      <c r="L49" s="73"/>
      <c r="M49" s="73"/>
      <c r="N49" s="73"/>
      <c r="O49" s="73"/>
      <c r="P49" s="74"/>
      <c r="Z49" s="11"/>
    </row>
    <row r="50" spans="1:26" ht="19.5" customHeight="1" x14ac:dyDescent="0.25">
      <c r="A50" s="9"/>
      <c r="B50" s="75"/>
      <c r="C50" s="72"/>
      <c r="D50" s="73"/>
      <c r="E50" s="73"/>
      <c r="F50" s="73"/>
      <c r="G50" s="74"/>
      <c r="H50" s="69"/>
      <c r="I50" s="70"/>
      <c r="J50" s="71"/>
      <c r="K50" s="72"/>
      <c r="L50" s="73"/>
      <c r="M50" s="73"/>
      <c r="N50" s="73"/>
      <c r="O50" s="73"/>
      <c r="P50" s="74"/>
      <c r="Z50" s="11"/>
    </row>
    <row r="51" spans="1:26" ht="19.5" customHeight="1" x14ac:dyDescent="0.25">
      <c r="A51" s="9"/>
      <c r="B51" s="75"/>
      <c r="C51" s="72"/>
      <c r="D51" s="73"/>
      <c r="E51" s="73"/>
      <c r="F51" s="73"/>
      <c r="G51" s="74"/>
      <c r="H51" s="69"/>
      <c r="I51" s="70"/>
      <c r="J51" s="71"/>
      <c r="K51" s="72"/>
      <c r="L51" s="73"/>
      <c r="M51" s="73"/>
      <c r="N51" s="73"/>
      <c r="O51" s="73"/>
      <c r="P51" s="74"/>
      <c r="Z51" s="11"/>
    </row>
    <row r="52" spans="1:26" ht="19.5" customHeight="1" x14ac:dyDescent="0.25">
      <c r="A52" s="9"/>
      <c r="B52" s="75"/>
      <c r="C52" s="72"/>
      <c r="D52" s="73"/>
      <c r="E52" s="73"/>
      <c r="F52" s="73"/>
      <c r="G52" s="74"/>
      <c r="H52" s="69"/>
      <c r="I52" s="70"/>
      <c r="J52" s="71"/>
      <c r="K52" s="72"/>
      <c r="L52" s="73"/>
      <c r="M52" s="73"/>
      <c r="N52" s="73"/>
      <c r="O52" s="73"/>
      <c r="P52" s="74"/>
      <c r="Z52" s="11"/>
    </row>
    <row r="53" spans="1:26" ht="19.5" customHeight="1" x14ac:dyDescent="0.25">
      <c r="A53" s="9"/>
      <c r="B53" s="75"/>
      <c r="C53" s="72"/>
      <c r="D53" s="73"/>
      <c r="E53" s="73"/>
      <c r="F53" s="73"/>
      <c r="G53" s="74"/>
      <c r="H53" s="69"/>
      <c r="I53" s="70"/>
      <c r="J53" s="71"/>
      <c r="K53" s="72"/>
      <c r="L53" s="73"/>
      <c r="M53" s="73"/>
      <c r="N53" s="73"/>
      <c r="O53" s="73"/>
      <c r="P53" s="74"/>
      <c r="Z53" s="11"/>
    </row>
    <row r="54" spans="1:26" ht="19.5" customHeight="1" x14ac:dyDescent="0.25">
      <c r="A54" s="9"/>
      <c r="B54" s="49"/>
      <c r="C54" s="90"/>
      <c r="D54" s="91"/>
      <c r="E54" s="91"/>
      <c r="F54" s="91"/>
      <c r="G54" s="92"/>
      <c r="H54" s="93"/>
      <c r="I54" s="94"/>
      <c r="J54" s="95"/>
      <c r="K54" s="90"/>
      <c r="L54" s="91"/>
      <c r="M54" s="91"/>
      <c r="N54" s="91"/>
      <c r="O54" s="91"/>
      <c r="P54" s="92"/>
      <c r="Z54" s="11"/>
    </row>
    <row r="55" spans="1:26" ht="15.75" customHeight="1" x14ac:dyDescent="0.25">
      <c r="A55" s="9"/>
      <c r="B55" s="172" t="s">
        <v>38</v>
      </c>
      <c r="C55" s="173"/>
      <c r="D55" s="173"/>
      <c r="E55" s="173"/>
      <c r="F55" s="173"/>
      <c r="G55" s="174"/>
      <c r="H55" s="165">
        <f>AVERAGE(H25:J54)</f>
        <v>81.266666666666666</v>
      </c>
      <c r="I55" s="80"/>
      <c r="J55" s="81"/>
      <c r="K55" s="155">
        <v>100</v>
      </c>
      <c r="L55" s="156"/>
      <c r="M55" s="149" t="s">
        <v>39</v>
      </c>
      <c r="N55" s="149"/>
      <c r="O55" s="149"/>
      <c r="P55" s="150"/>
      <c r="Z55" s="11"/>
    </row>
    <row r="56" spans="1:26" ht="15.75" customHeight="1" x14ac:dyDescent="0.25">
      <c r="A56" s="9"/>
      <c r="B56" s="166" t="s">
        <v>40</v>
      </c>
      <c r="C56" s="167"/>
      <c r="D56" s="167"/>
      <c r="E56" s="167"/>
      <c r="F56" s="167"/>
      <c r="G56" s="168"/>
      <c r="H56" s="165">
        <f>IF(COUNTIF(H25:J54,"*&lt;20*"),"&lt;20",MIN(H25:J54))</f>
        <v>59.2</v>
      </c>
      <c r="I56" s="80"/>
      <c r="J56" s="81"/>
      <c r="K56" s="157"/>
      <c r="L56" s="158"/>
      <c r="M56" s="151"/>
      <c r="N56" s="151"/>
      <c r="O56" s="151"/>
      <c r="P56" s="152"/>
      <c r="Z56" s="11"/>
    </row>
    <row r="57" spans="1:26" ht="15.75" customHeight="1" x14ac:dyDescent="0.25">
      <c r="A57" s="9"/>
      <c r="B57" s="169" t="s">
        <v>41</v>
      </c>
      <c r="C57" s="170"/>
      <c r="D57" s="170"/>
      <c r="E57" s="170"/>
      <c r="F57" s="170"/>
      <c r="G57" s="171"/>
      <c r="H57" s="162">
        <f>IF(COUNTIF(H25:J54,"*&gt;250*"),"&gt;250",MAX(H25:J54))</f>
        <v>118.4</v>
      </c>
      <c r="I57" s="163"/>
      <c r="J57" s="164"/>
      <c r="K57" s="159"/>
      <c r="L57" s="160"/>
      <c r="M57" s="153"/>
      <c r="N57" s="153"/>
      <c r="O57" s="153"/>
      <c r="P57" s="154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" customHeight="1" x14ac:dyDescent="0.25">
      <c r="A60" s="51" t="s">
        <v>42</v>
      </c>
      <c r="B60" s="5" t="s">
        <v>43</v>
      </c>
      <c r="C60" s="52"/>
      <c r="D60" s="52"/>
      <c r="E60" s="52"/>
      <c r="F60" s="53"/>
      <c r="G60" s="53"/>
      <c r="H60" s="53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4"/>
      <c r="V60" s="55"/>
      <c r="W60" s="55"/>
      <c r="X60" s="42"/>
      <c r="Y60" s="42"/>
      <c r="Z60" s="43"/>
    </row>
    <row r="61" spans="1:26" s="17" customFormat="1" ht="28.5" customHeight="1" x14ac:dyDescent="0.25">
      <c r="A61" s="208" t="s">
        <v>44</v>
      </c>
      <c r="B61" s="209"/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10"/>
      <c r="R61" s="181" t="s">
        <v>45</v>
      </c>
      <c r="S61" s="182"/>
      <c r="T61" s="183"/>
      <c r="U61" s="187" t="s">
        <v>12</v>
      </c>
      <c r="V61" s="188"/>
      <c r="W61" s="188"/>
      <c r="X61" s="189"/>
      <c r="Y61" s="189"/>
      <c r="Z61" s="190"/>
    </row>
    <row r="62" spans="1:26" s="17" customFormat="1" ht="15.6" customHeight="1" x14ac:dyDescent="0.25">
      <c r="A62" s="191" t="s">
        <v>46</v>
      </c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3"/>
      <c r="R62" s="181" t="s">
        <v>47</v>
      </c>
      <c r="S62" s="182"/>
      <c r="T62" s="183"/>
      <c r="U62" s="197" t="s">
        <v>48</v>
      </c>
      <c r="V62" s="198"/>
      <c r="W62" s="198"/>
      <c r="X62" s="199"/>
      <c r="Y62" s="199"/>
      <c r="Z62" s="200"/>
    </row>
    <row r="63" spans="1:26" s="17" customFormat="1" ht="15.6" customHeight="1" x14ac:dyDescent="0.25">
      <c r="A63" s="194"/>
      <c r="B63" s="195"/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6"/>
      <c r="R63" s="181"/>
      <c r="S63" s="182"/>
      <c r="T63" s="183"/>
      <c r="U63" s="201"/>
      <c r="V63" s="151"/>
      <c r="W63" s="151"/>
      <c r="X63" s="202"/>
      <c r="Y63" s="202"/>
      <c r="Z63" s="203"/>
    </row>
    <row r="64" spans="1:26" s="17" customFormat="1" ht="15.6" customHeight="1" x14ac:dyDescent="0.25">
      <c r="A64" s="58" t="s">
        <v>49</v>
      </c>
      <c r="B64" s="59" t="s">
        <v>50</v>
      </c>
      <c r="C64" s="1"/>
      <c r="D64" s="1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60"/>
      <c r="R64" s="181"/>
      <c r="S64" s="182"/>
      <c r="T64" s="183"/>
      <c r="U64" s="204"/>
      <c r="V64" s="205"/>
      <c r="W64" s="205"/>
      <c r="X64" s="206"/>
      <c r="Y64" s="206"/>
      <c r="Z64" s="207"/>
    </row>
    <row r="65" spans="1:26" s="17" customFormat="1" ht="15.6" customHeight="1" x14ac:dyDescent="0.25">
      <c r="A65" s="175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7"/>
      <c r="R65" s="181" t="s">
        <v>51</v>
      </c>
      <c r="S65" s="182"/>
      <c r="T65" s="183"/>
      <c r="U65" s="61"/>
      <c r="V65" s="62"/>
      <c r="W65" s="62"/>
      <c r="X65" s="62"/>
      <c r="Y65" s="62"/>
      <c r="Z65" s="63"/>
    </row>
    <row r="66" spans="1:26" s="17" customFormat="1" ht="15.6" customHeight="1" x14ac:dyDescent="0.25">
      <c r="A66" s="175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7"/>
      <c r="R66" s="181"/>
      <c r="S66" s="182"/>
      <c r="T66" s="183"/>
      <c r="U66" s="64"/>
      <c r="V66" s="151"/>
      <c r="W66" s="151"/>
      <c r="X66" s="151"/>
      <c r="Y66" s="151"/>
      <c r="Z66" s="65"/>
    </row>
    <row r="67" spans="1:26" s="17" customFormat="1" ht="15.6" customHeight="1" x14ac:dyDescent="0.25">
      <c r="A67" s="175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7"/>
      <c r="R67" s="181"/>
      <c r="S67" s="182"/>
      <c r="T67" s="183"/>
      <c r="U67" s="64"/>
      <c r="V67" s="151"/>
      <c r="W67" s="151"/>
      <c r="X67" s="151"/>
      <c r="Y67" s="151"/>
      <c r="Z67" s="65"/>
    </row>
    <row r="68" spans="1:26" s="17" customFormat="1" ht="15.6" customHeight="1" x14ac:dyDescent="0.25">
      <c r="A68" s="178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80"/>
      <c r="R68" s="184"/>
      <c r="S68" s="185"/>
      <c r="T68" s="186"/>
      <c r="U68" s="66"/>
      <c r="V68" s="67"/>
      <c r="W68" s="67"/>
      <c r="X68" s="67"/>
      <c r="Y68" s="67"/>
      <c r="Z68" s="68"/>
    </row>
    <row r="69" spans="1:26" s="17" customFormat="1" ht="15" customHeight="1" x14ac:dyDescent="0.25">
      <c r="A69" s="50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7"/>
      <c r="S69" s="57"/>
      <c r="T69" s="57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62">
    <mergeCell ref="V66:Y67"/>
    <mergeCell ref="R61:T61"/>
    <mergeCell ref="U61:Z61"/>
    <mergeCell ref="A62:Q63"/>
    <mergeCell ref="R62:T64"/>
    <mergeCell ref="U62:Z64"/>
    <mergeCell ref="A61:Q61"/>
    <mergeCell ref="B56:G56"/>
    <mergeCell ref="B57:G57"/>
    <mergeCell ref="B55:G55"/>
    <mergeCell ref="A65:Q68"/>
    <mergeCell ref="R65:T68"/>
    <mergeCell ref="U1:Z6"/>
    <mergeCell ref="K25:P25"/>
    <mergeCell ref="M55:P57"/>
    <mergeCell ref="K55:L57"/>
    <mergeCell ref="S12:Y12"/>
    <mergeCell ref="K23:P24"/>
    <mergeCell ref="I17:Y17"/>
    <mergeCell ref="S11:Y11"/>
    <mergeCell ref="H57:J57"/>
    <mergeCell ref="H55:J55"/>
    <mergeCell ref="H56:J56"/>
    <mergeCell ref="B17:H17"/>
    <mergeCell ref="B12:G12"/>
    <mergeCell ref="B11:G11"/>
    <mergeCell ref="N12:R12"/>
    <mergeCell ref="H12:M12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C54:G54"/>
    <mergeCell ref="H54:J54"/>
    <mergeCell ref="K54:P54"/>
    <mergeCell ref="I18:J18"/>
    <mergeCell ref="H25:J25"/>
    <mergeCell ref="H24:J24"/>
    <mergeCell ref="H23:J23"/>
    <mergeCell ref="B18:H18"/>
    <mergeCell ref="B23:B24"/>
    <mergeCell ref="C23:G24"/>
    <mergeCell ref="H26:J26"/>
    <mergeCell ref="K26:P26"/>
    <mergeCell ref="C27:G27"/>
    <mergeCell ref="H27:J27"/>
    <mergeCell ref="K27:P27"/>
    <mergeCell ref="C25:G26"/>
    <mergeCell ref="H11:M11"/>
    <mergeCell ref="N11:R1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230226 CdF Philip Pressencé (c)</vt:lpstr>
      <vt:lpstr>230226 CdF Philip Pressencé</vt:lpstr>
      <vt:lpstr>'230226 CdF Philip Pressencé'!Zone_d_impression</vt:lpstr>
      <vt:lpstr>'230226 CdF Philip Pressencé (c)'!Zone_d_impression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LHOPITAL Sylvain</cp:lastModifiedBy>
  <cp:lastPrinted>2026-03-03T15:24:55Z</cp:lastPrinted>
  <dcterms:created xsi:type="dcterms:W3CDTF">2004-11-13T18:13:05Z</dcterms:created>
  <dcterms:modified xsi:type="dcterms:W3CDTF">2026-03-03T15:34:13Z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