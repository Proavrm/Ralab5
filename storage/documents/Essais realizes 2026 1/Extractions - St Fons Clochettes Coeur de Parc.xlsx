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S:\Labo\St Priest\Chantiers 2026\69\RA P56C  St Fons - Les Clochettes Cœur de parc Lot 1\Essais de laboratoire\Enrobés\"/>
    </mc:Choice>
  </mc:AlternateContent>
  <xr:revisionPtr revIDLastSave="0" documentId="13_ncr:1_{9EF8BD0C-C744-427E-873A-0C9BFDDF79AE}" xr6:coauthVersionLast="47" xr6:coauthVersionMax="47" xr10:uidLastSave="{00000000-0000-0000-0000-000000000000}"/>
  <bookViews>
    <workbookView xWindow="-108" yWindow="-108" windowWidth="23256" windowHeight="12456" xr2:uid="{90CFB7E8-08EF-49E4-9961-3225E5321648}"/>
  </bookViews>
  <sheets>
    <sheet name="230126 BBSG Avignon" sheetId="3" r:id="rId1"/>
    <sheet name="230126 GB Avignon" sheetId="2" r:id="rId2"/>
    <sheet name="241125 BBSG Valence" sheetId="1" r:id="rId3"/>
  </sheets>
  <definedNames>
    <definedName name="_xlnm.Print_Area" localSheetId="0">'230126 BBSG Avignon'!$A$1:$Z$72</definedName>
    <definedName name="_xlnm.Print_Area" localSheetId="1">'230126 GB Avignon'!$A$1:$Z$72</definedName>
    <definedName name="_xlnm.Print_Area" localSheetId="2">'241125 BBSG Valence'!$A$1:$Z$72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2" l="1"/>
  <c r="Q59" i="2"/>
  <c r="W62" i="3" l="1"/>
  <c r="L62" i="3"/>
  <c r="J62" i="3"/>
  <c r="E62" i="3"/>
  <c r="W61" i="3"/>
  <c r="L61" i="3"/>
  <c r="J61" i="3"/>
  <c r="E61" i="3"/>
  <c r="AD60" i="3"/>
  <c r="AB60" i="3"/>
  <c r="AE60" i="3" s="1"/>
  <c r="Y60" i="3" s="1"/>
  <c r="W59" i="3"/>
  <c r="AB59" i="3" s="1"/>
  <c r="U59" i="3"/>
  <c r="T59" i="3"/>
  <c r="S59" i="3"/>
  <c r="O59" i="3"/>
  <c r="AD59" i="3" s="1"/>
  <c r="N59" i="3"/>
  <c r="M59" i="3"/>
  <c r="L59" i="3"/>
  <c r="K59" i="3"/>
  <c r="J59" i="3"/>
  <c r="I59" i="3"/>
  <c r="H59" i="3"/>
  <c r="G59" i="3"/>
  <c r="F59" i="3"/>
  <c r="E59" i="3"/>
  <c r="AD58" i="3"/>
  <c r="AE58" i="3" s="1"/>
  <c r="AD56" i="3"/>
  <c r="AB56" i="3"/>
  <c r="AE56" i="3" s="1"/>
  <c r="Y56" i="3"/>
  <c r="AD55" i="3"/>
  <c r="AB55" i="3"/>
  <c r="AE55" i="3" s="1"/>
  <c r="Y55" i="3"/>
  <c r="AD54" i="3"/>
  <c r="AB54" i="3"/>
  <c r="AE54" i="3" s="1"/>
  <c r="Y54" i="3"/>
  <c r="AD53" i="3"/>
  <c r="AB53" i="3"/>
  <c r="AE53" i="3" s="1"/>
  <c r="Y53" i="3" s="1"/>
  <c r="Y59" i="3" s="1"/>
  <c r="W62" i="2"/>
  <c r="L62" i="2"/>
  <c r="J62" i="2"/>
  <c r="E62" i="2"/>
  <c r="W61" i="2"/>
  <c r="L61" i="2"/>
  <c r="J61" i="2"/>
  <c r="E61" i="2"/>
  <c r="AD60" i="2"/>
  <c r="AB60" i="2"/>
  <c r="W59" i="2"/>
  <c r="AB59" i="2" s="1"/>
  <c r="U59" i="2"/>
  <c r="T59" i="2"/>
  <c r="S59" i="2"/>
  <c r="O59" i="2"/>
  <c r="AD59" i="2" s="1"/>
  <c r="N59" i="2"/>
  <c r="M59" i="2"/>
  <c r="L59" i="2"/>
  <c r="K59" i="2"/>
  <c r="J59" i="2"/>
  <c r="I59" i="2"/>
  <c r="H59" i="2"/>
  <c r="G59" i="2"/>
  <c r="F59" i="2"/>
  <c r="E59" i="2"/>
  <c r="AD58" i="2"/>
  <c r="AE58" i="2" s="1"/>
  <c r="AD56" i="2"/>
  <c r="AB56" i="2"/>
  <c r="AE56" i="2" s="1"/>
  <c r="Y56" i="2"/>
  <c r="AD55" i="2"/>
  <c r="AB55" i="2"/>
  <c r="AE55" i="2" s="1"/>
  <c r="Y55" i="2"/>
  <c r="AD54" i="2"/>
  <c r="AB54" i="2"/>
  <c r="AE54" i="2" s="1"/>
  <c r="Y54" i="2"/>
  <c r="AD53" i="2"/>
  <c r="AE53" i="2" s="1"/>
  <c r="Y53" i="2" s="1"/>
  <c r="AB53" i="2"/>
  <c r="W62" i="1"/>
  <c r="L62" i="1"/>
  <c r="J62" i="1"/>
  <c r="E62" i="1"/>
  <c r="W61" i="1"/>
  <c r="L61" i="1"/>
  <c r="J61" i="1"/>
  <c r="E61" i="1"/>
  <c r="AD60" i="1"/>
  <c r="AB60" i="1"/>
  <c r="W59" i="1"/>
  <c r="AB59" i="1" s="1"/>
  <c r="U59" i="1"/>
  <c r="T59" i="1"/>
  <c r="S59" i="1"/>
  <c r="O59" i="1"/>
  <c r="N59" i="1"/>
  <c r="M59" i="1"/>
  <c r="L59" i="1"/>
  <c r="K59" i="1"/>
  <c r="J59" i="1"/>
  <c r="I59" i="1"/>
  <c r="H59" i="1"/>
  <c r="G59" i="1"/>
  <c r="F59" i="1"/>
  <c r="E59" i="1"/>
  <c r="AD58" i="1"/>
  <c r="AE58" i="1" s="1"/>
  <c r="AD56" i="1"/>
  <c r="AB56" i="1"/>
  <c r="Y56" i="1"/>
  <c r="AD55" i="1"/>
  <c r="AB55" i="1"/>
  <c r="Y55" i="1"/>
  <c r="AD54" i="1"/>
  <c r="AB54" i="1"/>
  <c r="Y54" i="1"/>
  <c r="AD53" i="1"/>
  <c r="AB53" i="1"/>
  <c r="AE59" i="3" l="1"/>
  <c r="Y59" i="2"/>
  <c r="AE60" i="2"/>
  <c r="Y60" i="2" s="1"/>
  <c r="AE59" i="2"/>
  <c r="AE56" i="1"/>
  <c r="AD59" i="1"/>
  <c r="AE59" i="1" s="1"/>
  <c r="AE55" i="1"/>
  <c r="AE54" i="1"/>
  <c r="AE60" i="1"/>
  <c r="Y60" i="1" s="1"/>
  <c r="AE53" i="1"/>
  <c r="Y53" i="1" s="1"/>
  <c r="Y59" i="1"/>
</calcChain>
</file>

<file path=xl/sharedStrings.xml><?xml version="1.0" encoding="utf-8"?>
<sst xmlns="http://schemas.openxmlformats.org/spreadsheetml/2006/main" count="192" uniqueCount="70">
  <si>
    <t>COMPTE RENDU D'ESSAIS</t>
  </si>
  <si>
    <t>CONTRÔLE DE FABRICATION DES ENROBES
 (NF EN 12697-1/ NF EN 12697-2)</t>
  </si>
  <si>
    <t>CFE</t>
  </si>
  <si>
    <t>n°</t>
  </si>
  <si>
    <t>Chrono</t>
  </si>
  <si>
    <t>N° d'affaire</t>
  </si>
  <si>
    <t>Date de rédaction</t>
  </si>
  <si>
    <t>Laboratoire :</t>
  </si>
  <si>
    <t>Région Rhône Alpes - 29-31 rue des Tâches - ZI Mi-Plaine - 69800 SAINT PRIEST</t>
  </si>
  <si>
    <t>1/</t>
  </si>
  <si>
    <t>RENSEIGNEMENTS GENERAUX</t>
  </si>
  <si>
    <t>Opérateur :</t>
  </si>
  <si>
    <t>F. Montet</t>
  </si>
  <si>
    <t>Lieu de fabrication :</t>
  </si>
  <si>
    <t>Date de l'essai :</t>
  </si>
  <si>
    <t>Destination du produit</t>
  </si>
  <si>
    <t>Date de mise en œuvre :</t>
  </si>
  <si>
    <t xml:space="preserve">Code formule : </t>
  </si>
  <si>
    <t>Appellation européenne :</t>
  </si>
  <si>
    <t>Couche de :</t>
  </si>
  <si>
    <t>Roulement</t>
  </si>
  <si>
    <t>Appellation française :</t>
  </si>
  <si>
    <t>Méthode d'essai :</t>
  </si>
  <si>
    <t>Extracteur automatique - NEBA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</si>
  <si>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</si>
  <si>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</si>
  <si>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</si>
  <si>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</si>
  <si>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</si>
  <si>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</si>
  <si>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MVR granulats:</t>
  </si>
  <si>
    <t>Analyse granulométrique</t>
  </si>
  <si>
    <t>température mesurée</t>
  </si>
  <si>
    <t>teneur en liant</t>
  </si>
  <si>
    <t>Module  richesse</t>
  </si>
  <si>
    <t>Teneur en liant ext</t>
  </si>
  <si>
    <t>surface spécifique</t>
  </si>
  <si>
    <t>module de richesse</t>
  </si>
  <si>
    <t xml:space="preserve">N° </t>
  </si>
  <si>
    <t>Heure</t>
  </si>
  <si>
    <t>9H00</t>
  </si>
  <si>
    <t>Mini</t>
  </si>
  <si>
    <t>Moyenne</t>
  </si>
  <si>
    <t>Théorique</t>
  </si>
  <si>
    <t>Seuil maxi</t>
  </si>
  <si>
    <t>&gt; 3,4</t>
  </si>
  <si>
    <t>Seuil mini</t>
  </si>
  <si>
    <t>4/</t>
  </si>
  <si>
    <t>CONCLUSIONS</t>
  </si>
  <si>
    <t>Contrôle :</t>
  </si>
  <si>
    <t>Nom</t>
  </si>
  <si>
    <t>F. MONTET</t>
  </si>
  <si>
    <t>Conforme</t>
  </si>
  <si>
    <t>Fonction</t>
  </si>
  <si>
    <t>Technicien de laboratoire</t>
  </si>
  <si>
    <t>5/</t>
  </si>
  <si>
    <t>COMMENTAIRES</t>
  </si>
  <si>
    <t>Visa</t>
  </si>
  <si>
    <t>RA P56C</t>
  </si>
  <si>
    <t>St Fons
Les Clochettes
Cœur de Parc
Lot 1</t>
  </si>
  <si>
    <t>P2R</t>
  </si>
  <si>
    <t>Rue de Valence</t>
  </si>
  <si>
    <t>BBSG 0/10 Classe 3 - 15%AE</t>
  </si>
  <si>
    <t>EB 10 roul/liai 35/50  - 15%AE</t>
  </si>
  <si>
    <t>08:25</t>
  </si>
  <si>
    <t>Rue d'Avignon</t>
  </si>
  <si>
    <t>Base</t>
  </si>
  <si>
    <t>EB 14 ASSISE 50/70</t>
  </si>
  <si>
    <t>GB 0/14 Cl3 30%AE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</si>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</sst>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8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sz val="10"/>
      <color rgb="FF000000"/>
      <name val="Arial"/>
    </font>
    <font>
      <sz val="11"/>
      <color rgb="FF000000"/>
      <name val="Century Gothic"/>
    </font>
    <font>
      <u/>
      <sz val="10"/>
      <name val="Century Gothic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sz val="10"/>
      <color rgb="FF000000"/>
      <name val="Century Gothic"/>
    </font>
    <font>
      <sz val="8"/>
      <color rgb="FF000000"/>
      <name val="Century Gothic"/>
    </font>
    <font>
      <sz val="8"/>
      <name val="Arial"/>
      <family val="2"/>
    </font>
    <font>
      <b/>
      <sz val="8"/>
      <color rgb="FF000000"/>
      <name val="Century Gothic"/>
    </font>
    <font>
      <b/>
      <sz val="9"/>
      <color indexed="10"/>
      <name val="Century Gothic"/>
      <family val="2"/>
    </font>
    <font>
      <b/>
      <u/>
      <sz val="11"/>
      <name val="Century Gothic"/>
      <family val="2"/>
    </font>
    <font>
      <b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4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3">
    <xf numFmtId="0" fontId="0" fillId="0" borderId="0"/>
    <xf numFmtId="0" fontId="10" fillId="0" borderId="0"/>
    <xf numFmtId="0" fontId="13" fillId="0" borderId="0"/>
  </cellStyleXfs>
  <cellXfs count="292">
    <xf numFmtId="0" fontId="0" fillId="0" borderId="0" xfId="0"/>
    <xf numFmtId="0" fontId="3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>
      <alignment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" fillId="0" borderId="7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164" fontId="17" fillId="0" borderId="30" xfId="0" applyNumberFormat="1" applyFont="1" applyBorder="1" applyAlignment="1" applyProtection="1">
      <alignment horizontal="center" vertical="center"/>
      <protection locked="0"/>
    </xf>
    <xf numFmtId="0" fontId="17" fillId="0" borderId="31" xfId="0" applyFont="1" applyBorder="1" applyAlignment="1" applyProtection="1">
      <alignment horizontal="center" vertical="center"/>
      <protection locked="0"/>
    </xf>
    <xf numFmtId="0" fontId="17" fillId="0" borderId="29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>
      <alignment horizontal="center" vertical="center"/>
    </xf>
    <xf numFmtId="165" fontId="19" fillId="0" borderId="38" xfId="1" applyNumberFormat="1" applyFont="1" applyBorder="1" applyAlignment="1">
      <alignment horizontal="center" vertical="center" wrapText="1"/>
    </xf>
    <xf numFmtId="165" fontId="19" fillId="0" borderId="16" xfId="1" applyNumberFormat="1" applyFont="1" applyBorder="1" applyAlignment="1" applyProtection="1">
      <alignment horizontal="center" vertical="center"/>
      <protection locked="0"/>
    </xf>
    <xf numFmtId="165" fontId="19" fillId="0" borderId="38" xfId="1" applyNumberFormat="1" applyFont="1" applyBorder="1" applyAlignment="1" applyProtection="1">
      <alignment horizontal="center" vertical="center"/>
      <protection locked="0"/>
    </xf>
    <xf numFmtId="165" fontId="19" fillId="0" borderId="14" xfId="1" applyNumberFormat="1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20" fillId="2" borderId="44" xfId="2" applyFont="1" applyFill="1" applyBorder="1" applyAlignment="1" applyProtection="1">
      <alignment horizontal="center" vertical="center"/>
      <protection hidden="1"/>
    </xf>
    <xf numFmtId="2" fontId="20" fillId="2" borderId="45" xfId="2" applyNumberFormat="1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" fontId="19" fillId="0" borderId="38" xfId="1" applyNumberFormat="1" applyFont="1" applyBorder="1" applyAlignment="1" applyProtection="1">
      <alignment horizontal="center" vertical="center"/>
      <protection locked="0"/>
    </xf>
    <xf numFmtId="165" fontId="1" fillId="0" borderId="47" xfId="0" applyNumberFormat="1" applyFont="1" applyBorder="1" applyAlignment="1">
      <alignment horizontal="center" vertical="center" wrapText="1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165" fontId="1" fillId="0" borderId="47" xfId="0" applyNumberFormat="1" applyFont="1" applyBorder="1" applyAlignment="1" applyProtection="1">
      <alignment horizontal="center" vertical="center"/>
      <protection locked="0"/>
    </xf>
    <xf numFmtId="1" fontId="1" fillId="0" borderId="47" xfId="0" applyNumberFormat="1" applyFont="1" applyBorder="1" applyAlignment="1" applyProtection="1">
      <alignment horizontal="center" vertical="center"/>
      <protection locked="0"/>
    </xf>
    <xf numFmtId="165" fontId="1" fillId="0" borderId="40" xfId="0" applyNumberFormat="1" applyFont="1" applyBorder="1" applyAlignment="1" applyProtection="1">
      <alignment horizontal="center" vertical="center"/>
      <protection locked="0"/>
    </xf>
    <xf numFmtId="0" fontId="2" fillId="0" borderId="48" xfId="0" applyFont="1" applyBorder="1" applyAlignment="1">
      <alignment horizontal="center" vertical="center"/>
    </xf>
    <xf numFmtId="165" fontId="1" fillId="0" borderId="51" xfId="0" applyNumberFormat="1" applyFont="1" applyBorder="1" applyAlignment="1">
      <alignment horizontal="center" vertical="center" wrapText="1"/>
    </xf>
    <xf numFmtId="165" fontId="1" fillId="0" borderId="50" xfId="0" applyNumberFormat="1" applyFont="1" applyBorder="1" applyAlignment="1" applyProtection="1">
      <alignment horizontal="center" vertical="center"/>
      <protection locked="0"/>
    </xf>
    <xf numFmtId="165" fontId="1" fillId="0" borderId="51" xfId="0" applyNumberFormat="1" applyFont="1" applyBorder="1" applyAlignment="1" applyProtection="1">
      <alignment horizontal="center" vertical="center"/>
      <protection locked="0"/>
    </xf>
    <xf numFmtId="1" fontId="1" fillId="0" borderId="51" xfId="0" applyNumberFormat="1" applyFont="1" applyBorder="1" applyAlignment="1" applyProtection="1">
      <alignment horizontal="center" vertical="center"/>
      <protection locked="0"/>
    </xf>
    <xf numFmtId="165" fontId="1" fillId="0" borderId="49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65" fontId="6" fillId="0" borderId="33" xfId="0" applyNumberFormat="1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20" fillId="2" borderId="54" xfId="2" applyFont="1" applyFill="1" applyBorder="1" applyAlignment="1" applyProtection="1">
      <alignment vertical="center"/>
      <protection locked="0"/>
    </xf>
    <xf numFmtId="0" fontId="20" fillId="2" borderId="0" xfId="2" applyFont="1" applyFill="1" applyAlignment="1" applyProtection="1">
      <alignment vertical="center"/>
      <protection locked="0"/>
    </xf>
    <xf numFmtId="165" fontId="17" fillId="0" borderId="55" xfId="0" applyNumberFormat="1" applyFont="1" applyBorder="1" applyAlignment="1">
      <alignment horizontal="center" vertical="center"/>
    </xf>
    <xf numFmtId="1" fontId="17" fillId="0" borderId="55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65" fontId="21" fillId="0" borderId="59" xfId="0" applyNumberFormat="1" applyFont="1" applyBorder="1" applyAlignment="1">
      <alignment horizontal="center" vertical="center"/>
    </xf>
    <xf numFmtId="1" fontId="21" fillId="0" borderId="59" xfId="0" applyNumberFormat="1" applyFont="1" applyBorder="1" applyAlignment="1">
      <alignment horizontal="center" vertical="center"/>
    </xf>
    <xf numFmtId="165" fontId="2" fillId="0" borderId="60" xfId="0" applyNumberFormat="1" applyFont="1" applyBorder="1" applyAlignment="1">
      <alignment horizontal="center" vertical="center"/>
    </xf>
    <xf numFmtId="165" fontId="2" fillId="0" borderId="61" xfId="0" applyNumberFormat="1" applyFont="1" applyBorder="1" applyAlignment="1">
      <alignment horizontal="center" vertical="center"/>
    </xf>
    <xf numFmtId="165" fontId="22" fillId="0" borderId="63" xfId="0" applyNumberFormat="1" applyFont="1" applyBorder="1" applyAlignment="1">
      <alignment horizontal="center" vertical="center"/>
    </xf>
    <xf numFmtId="1" fontId="22" fillId="0" borderId="63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0" fillId="2" borderId="42" xfId="2" applyFont="1" applyFill="1" applyBorder="1" applyAlignment="1" applyProtection="1">
      <alignment vertical="center"/>
      <protection hidden="1"/>
    </xf>
    <xf numFmtId="0" fontId="20" fillId="2" borderId="43" xfId="2" applyFont="1" applyFill="1" applyBorder="1" applyAlignment="1" applyProtection="1">
      <alignment vertical="center"/>
      <protection hidden="1"/>
    </xf>
    <xf numFmtId="165" fontId="1" fillId="0" borderId="65" xfId="0" applyNumberFormat="1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20" fillId="2" borderId="48" xfId="2" applyFont="1" applyFill="1" applyBorder="1" applyAlignment="1" applyProtection="1">
      <alignment vertical="center"/>
      <protection hidden="1"/>
    </xf>
    <xf numFmtId="0" fontId="20" fillId="2" borderId="50" xfId="2" applyFont="1" applyFill="1" applyBorder="1" applyAlignment="1" applyProtection="1">
      <alignment vertical="center"/>
      <protection hidden="1"/>
    </xf>
    <xf numFmtId="0" fontId="1" fillId="0" borderId="58" xfId="0" applyFont="1" applyBorder="1" applyAlignment="1">
      <alignment vertical="center"/>
    </xf>
    <xf numFmtId="0" fontId="5" fillId="0" borderId="66" xfId="0" applyFont="1" applyBorder="1" applyAlignment="1" applyProtection="1">
      <alignment horizontal="center" vertical="center"/>
      <protection hidden="1"/>
    </xf>
    <xf numFmtId="0" fontId="9" fillId="0" borderId="67" xfId="0" applyFont="1" applyBorder="1" applyAlignment="1" applyProtection="1">
      <alignment vertical="center"/>
      <protection hidden="1"/>
    </xf>
    <xf numFmtId="0" fontId="12" fillId="0" borderId="67" xfId="0" applyFont="1" applyBorder="1" applyAlignment="1" applyProtection="1">
      <alignment vertical="center"/>
      <protection hidden="1"/>
    </xf>
    <xf numFmtId="0" fontId="1" fillId="0" borderId="67" xfId="0" applyFont="1" applyBorder="1" applyAlignment="1" applyProtection="1">
      <alignment vertical="center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5" xfId="0" applyFont="1" applyBorder="1" applyAlignment="1" applyProtection="1">
      <alignment vertical="center"/>
      <protection locked="0"/>
    </xf>
    <xf numFmtId="0" fontId="26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0" xfId="0" applyFont="1" applyBorder="1" applyAlignment="1" applyProtection="1">
      <alignment vertical="center"/>
      <protection locked="0"/>
    </xf>
    <xf numFmtId="0" fontId="26" fillId="0" borderId="14" xfId="0" applyFont="1" applyBorder="1" applyAlignment="1" applyProtection="1">
      <alignment vertical="center"/>
      <protection locked="0"/>
    </xf>
    <xf numFmtId="0" fontId="26" fillId="0" borderId="15" xfId="0" applyFont="1" applyBorder="1" applyAlignment="1" applyProtection="1">
      <alignment vertical="center"/>
      <protection locked="0"/>
    </xf>
    <xf numFmtId="0" fontId="26" fillId="0" borderId="16" xfId="0" applyFont="1" applyBorder="1" applyAlignment="1" applyProtection="1">
      <alignment vertical="center"/>
      <protection locked="0"/>
    </xf>
    <xf numFmtId="0" fontId="26" fillId="0" borderId="5" xfId="0" applyFont="1" applyBorder="1" applyAlignment="1" applyProtection="1">
      <alignment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0" borderId="13" xfId="0" applyFont="1" applyBorder="1" applyAlignment="1" applyProtection="1">
      <alignment horizontal="left" vertical="center" wrapText="1"/>
      <protection locked="0"/>
    </xf>
    <xf numFmtId="0" fontId="23" fillId="0" borderId="7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0" borderId="8" xfId="0" applyFont="1" applyBorder="1" applyAlignment="1" applyProtection="1">
      <alignment horizontal="center" vertical="center"/>
      <protection hidden="1"/>
    </xf>
    <xf numFmtId="0" fontId="23" fillId="0" borderId="11" xfId="0" applyFont="1" applyBorder="1" applyAlignment="1" applyProtection="1">
      <alignment horizontal="center" vertical="center"/>
      <protection hidden="1"/>
    </xf>
    <xf numFmtId="0" fontId="23" fillId="0" borderId="12" xfId="0" applyFont="1" applyBorder="1" applyAlignment="1" applyProtection="1">
      <alignment horizontal="center" vertical="center"/>
      <protection hidden="1"/>
    </xf>
    <xf numFmtId="0" fontId="23" fillId="0" borderId="13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locked="0"/>
    </xf>
    <xf numFmtId="165" fontId="19" fillId="0" borderId="39" xfId="1" applyNumberFormat="1" applyFont="1" applyBorder="1" applyAlignment="1" applyProtection="1">
      <alignment horizontal="center" vertical="center"/>
      <protection locked="0"/>
    </xf>
    <xf numFmtId="165" fontId="19" fillId="0" borderId="16" xfId="1" applyNumberFormat="1" applyFont="1" applyBorder="1" applyAlignment="1" applyProtection="1">
      <alignment horizontal="center" vertical="center"/>
      <protection locked="0"/>
    </xf>
    <xf numFmtId="2" fontId="19" fillId="0" borderId="14" xfId="1" applyNumberFormat="1" applyFont="1" applyBorder="1" applyAlignment="1" applyProtection="1">
      <alignment horizontal="center" vertical="center"/>
      <protection locked="0"/>
    </xf>
    <xf numFmtId="2" fontId="19" fillId="0" borderId="16" xfId="1" applyNumberFormat="1" applyFont="1" applyBorder="1" applyAlignment="1" applyProtection="1">
      <alignment horizontal="center" vertical="center"/>
      <protection locked="0"/>
    </xf>
    <xf numFmtId="0" fontId="23" fillId="0" borderId="17" xfId="0" applyFont="1" applyBorder="1" applyAlignment="1" applyProtection="1">
      <alignment horizontal="center" vertical="center" wrapText="1"/>
      <protection hidden="1"/>
    </xf>
    <xf numFmtId="0" fontId="23" fillId="0" borderId="43" xfId="0" applyFont="1" applyBorder="1" applyAlignment="1" applyProtection="1">
      <alignment horizontal="center" vertical="center" wrapText="1"/>
      <protection hidden="1"/>
    </xf>
    <xf numFmtId="0" fontId="24" fillId="0" borderId="68" xfId="0" applyFont="1" applyBorder="1" applyAlignment="1" applyProtection="1">
      <alignment horizontal="center" vertical="center"/>
      <protection hidden="1"/>
    </xf>
    <xf numFmtId="0" fontId="24" fillId="0" borderId="69" xfId="0" applyFont="1" applyBorder="1" applyAlignment="1" applyProtection="1">
      <alignment horizontal="center" vertical="center"/>
      <protection hidden="1"/>
    </xf>
    <xf numFmtId="0" fontId="24" fillId="0" borderId="70" xfId="0" applyFont="1" applyBorder="1" applyAlignment="1" applyProtection="1">
      <alignment horizontal="center" vertical="center"/>
      <protection hidden="1"/>
    </xf>
    <xf numFmtId="0" fontId="25" fillId="0" borderId="71" xfId="0" applyFont="1" applyBorder="1" applyAlignment="1" applyProtection="1">
      <alignment horizontal="center" vertical="center" wrapText="1"/>
      <protection locked="0"/>
    </xf>
    <xf numFmtId="0" fontId="25" fillId="0" borderId="72" xfId="0" applyFont="1" applyBorder="1" applyAlignment="1" applyProtection="1">
      <alignment horizontal="center" vertical="center" wrapText="1"/>
      <protection locked="0"/>
    </xf>
    <xf numFmtId="0" fontId="25" fillId="0" borderId="73" xfId="0" applyFont="1" applyBorder="1" applyAlignment="1" applyProtection="1">
      <alignment horizontal="center" vertical="center" wrapText="1"/>
      <protection locked="0"/>
    </xf>
    <xf numFmtId="0" fontId="24" fillId="0" borderId="14" xfId="0" applyFont="1" applyBorder="1" applyAlignment="1" applyProtection="1">
      <alignment horizontal="center" vertical="center"/>
      <protection hidden="1"/>
    </xf>
    <xf numFmtId="0" fontId="24" fillId="0" borderId="15" xfId="0" applyFont="1" applyBorder="1" applyAlignment="1" applyProtection="1">
      <alignment horizontal="center" vertical="center"/>
      <protection hidden="1"/>
    </xf>
    <xf numFmtId="0" fontId="24" fillId="0" borderId="16" xfId="0" applyFont="1" applyBorder="1" applyAlignment="1" applyProtection="1">
      <alignment horizontal="center" vertical="center"/>
      <protection hidden="1"/>
    </xf>
    <xf numFmtId="0" fontId="25" fillId="0" borderId="74" xfId="0" applyFont="1" applyBorder="1" applyAlignment="1" applyProtection="1">
      <alignment horizontal="center" vertical="center" wrapText="1"/>
      <protection locked="0"/>
    </xf>
    <xf numFmtId="0" fontId="25" fillId="0" borderId="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center" vertical="center" wrapText="1"/>
      <protection locked="0"/>
    </xf>
    <xf numFmtId="165" fontId="1" fillId="0" borderId="42" xfId="0" applyNumberFormat="1" applyFont="1" applyBorder="1" applyAlignment="1" applyProtection="1">
      <alignment horizontal="center" vertical="center"/>
      <protection locked="0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165" fontId="1" fillId="0" borderId="40" xfId="0" applyNumberFormat="1" applyFont="1" applyBorder="1" applyAlignment="1" applyProtection="1">
      <alignment horizontal="center" vertical="center"/>
      <protection locked="0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0" fillId="2" borderId="63" xfId="2" applyFont="1" applyFill="1" applyBorder="1" applyAlignment="1" applyProtection="1">
      <alignment horizontal="center" vertical="center"/>
      <protection hidden="1"/>
    </xf>
    <xf numFmtId="0" fontId="20" fillId="2" borderId="65" xfId="2" applyFont="1" applyFill="1" applyBorder="1" applyAlignment="1" applyProtection="1">
      <alignment horizontal="center" vertical="center"/>
      <protection hidden="1"/>
    </xf>
    <xf numFmtId="2" fontId="20" fillId="2" borderId="64" xfId="2" applyNumberFormat="1" applyFont="1" applyFill="1" applyBorder="1" applyAlignment="1" applyProtection="1">
      <alignment horizontal="center" vertical="center"/>
      <protection hidden="1"/>
    </xf>
    <xf numFmtId="2" fontId="20" fillId="2" borderId="36" xfId="2" applyNumberFormat="1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" fillId="0" borderId="48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5" fontId="1" fillId="0" borderId="49" xfId="0" applyNumberFormat="1" applyFont="1" applyBorder="1" applyAlignment="1" applyProtection="1">
      <alignment horizontal="center" vertical="center"/>
      <protection locked="0"/>
    </xf>
    <xf numFmtId="0" fontId="1" fillId="0" borderId="49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165" fontId="1" fillId="0" borderId="56" xfId="0" applyNumberFormat="1" applyFont="1" applyBorder="1" applyAlignment="1">
      <alignment horizontal="center" vertical="center"/>
    </xf>
    <xf numFmtId="165" fontId="1" fillId="0" borderId="57" xfId="0" applyNumberFormat="1" applyFont="1" applyBorder="1" applyAlignment="1">
      <alignment horizontal="center" vertical="center"/>
    </xf>
    <xf numFmtId="2" fontId="1" fillId="0" borderId="61" xfId="0" applyNumberFormat="1" applyFont="1" applyBorder="1" applyAlignment="1">
      <alignment horizontal="center" vertical="center"/>
    </xf>
    <xf numFmtId="2" fontId="1" fillId="0" borderId="57" xfId="0" applyNumberFormat="1" applyFont="1" applyBorder="1" applyAlignment="1">
      <alignment horizontal="center" vertical="center"/>
    </xf>
    <xf numFmtId="165" fontId="1" fillId="0" borderId="61" xfId="0" applyNumberFormat="1" applyFont="1" applyBorder="1" applyAlignment="1">
      <alignment horizontal="center" vertical="center"/>
    </xf>
    <xf numFmtId="165" fontId="1" fillId="0" borderId="62" xfId="0" applyNumberFormat="1" applyFont="1" applyBorder="1" applyAlignment="1">
      <alignment horizontal="center" vertical="center"/>
    </xf>
    <xf numFmtId="2" fontId="20" fillId="2" borderId="42" xfId="2" applyNumberFormat="1" applyFont="1" applyFill="1" applyBorder="1" applyAlignment="1" applyProtection="1">
      <alignment horizontal="center" vertical="center"/>
      <protection hidden="1"/>
    </xf>
    <xf numFmtId="2" fontId="20" fillId="2" borderId="43" xfId="2" applyNumberFormat="1" applyFont="1" applyFill="1" applyBorder="1" applyAlignment="1" applyProtection="1">
      <alignment horizontal="center" vertical="center"/>
      <protection hidden="1"/>
    </xf>
    <xf numFmtId="0" fontId="2" fillId="0" borderId="4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2" fillId="0" borderId="42" xfId="0" applyNumberFormat="1" applyFont="1" applyBorder="1" applyAlignment="1">
      <alignment horizontal="center" vertical="center"/>
    </xf>
    <xf numFmtId="165" fontId="22" fillId="0" borderId="43" xfId="0" applyNumberFormat="1" applyFont="1" applyBorder="1" applyAlignment="1">
      <alignment horizontal="center" vertical="center"/>
    </xf>
    <xf numFmtId="2" fontId="22" fillId="0" borderId="40" xfId="0" applyNumberFormat="1" applyFont="1" applyBorder="1" applyAlignment="1">
      <alignment horizontal="center" vertical="center"/>
    </xf>
    <xf numFmtId="2" fontId="22" fillId="0" borderId="43" xfId="0" applyNumberFormat="1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2" fontId="1" fillId="0" borderId="4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165" fontId="1" fillId="0" borderId="48" xfId="0" applyNumberFormat="1" applyFont="1" applyBorder="1" applyAlignment="1" applyProtection="1">
      <alignment horizontal="center" vertical="center"/>
      <protection locked="0"/>
    </xf>
    <xf numFmtId="165" fontId="1" fillId="0" borderId="50" xfId="0" applyNumberFormat="1" applyFont="1" applyBorder="1" applyAlignment="1" applyProtection="1">
      <alignment horizontal="center" vertical="center"/>
      <protection locked="0"/>
    </xf>
    <xf numFmtId="2" fontId="1" fillId="0" borderId="52" xfId="0" applyNumberFormat="1" applyFont="1" applyBorder="1" applyAlignment="1" applyProtection="1">
      <alignment horizontal="center" vertical="center"/>
      <protection locked="0"/>
    </xf>
    <xf numFmtId="2" fontId="1" fillId="0" borderId="50" xfId="0" applyNumberFormat="1" applyFont="1" applyBorder="1" applyAlignment="1" applyProtection="1">
      <alignment horizontal="center" vertical="center"/>
      <protection locked="0"/>
    </xf>
    <xf numFmtId="2" fontId="1" fillId="0" borderId="49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 wrapText="1"/>
    </xf>
    <xf numFmtId="2" fontId="1" fillId="0" borderId="40" xfId="0" applyNumberFormat="1" applyFont="1" applyBorder="1" applyAlignment="1" applyProtection="1">
      <alignment horizontal="center" vertical="center"/>
      <protection locked="0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>
      <alignment horizontal="center" vertical="center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2" fontId="1" fillId="0" borderId="43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14" fillId="2" borderId="23" xfId="2" applyFont="1" applyFill="1" applyBorder="1" applyAlignment="1" applyProtection="1">
      <alignment horizontal="center" vertical="center" wrapText="1"/>
      <protection locked="0"/>
    </xf>
    <xf numFmtId="0" fontId="14" fillId="2" borderId="27" xfId="2" applyFont="1" applyFill="1" applyBorder="1" applyAlignment="1" applyProtection="1">
      <alignment horizontal="center" vertical="center" wrapText="1"/>
      <protection locked="0"/>
    </xf>
    <xf numFmtId="0" fontId="14" fillId="2" borderId="32" xfId="2" applyFont="1" applyFill="1" applyBorder="1" applyAlignment="1" applyProtection="1">
      <alignment horizontal="center" vertical="center" wrapText="1"/>
      <protection locked="0"/>
    </xf>
    <xf numFmtId="0" fontId="14" fillId="2" borderId="35" xfId="2" applyFont="1" applyFill="1" applyBorder="1" applyAlignment="1" applyProtection="1">
      <alignment horizontal="center" vertical="center" wrapText="1"/>
      <protection locked="0"/>
    </xf>
    <xf numFmtId="0" fontId="14" fillId="2" borderId="24" xfId="2" applyFont="1" applyFill="1" applyBorder="1" applyAlignment="1" applyProtection="1">
      <alignment horizontal="center" vertical="center" wrapText="1"/>
      <protection locked="0"/>
    </xf>
    <xf numFmtId="0" fontId="14" fillId="0" borderId="19" xfId="2" applyFont="1" applyBorder="1" applyAlignment="1" applyProtection="1">
      <alignment vertical="center" wrapText="1"/>
      <protection locked="0"/>
    </xf>
    <xf numFmtId="0" fontId="14" fillId="2" borderId="28" xfId="2" applyFont="1" applyFill="1" applyBorder="1" applyAlignment="1" applyProtection="1">
      <alignment horizontal="center" vertical="center" wrapText="1"/>
      <protection locked="0"/>
    </xf>
    <xf numFmtId="0" fontId="14" fillId="2" borderId="36" xfId="2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4" fillId="2" borderId="18" xfId="2" applyFont="1" applyFill="1" applyBorder="1" applyAlignment="1" applyProtection="1">
      <alignment horizontal="center" vertical="center" wrapText="1"/>
      <protection locked="0"/>
    </xf>
    <xf numFmtId="0" fontId="14" fillId="2" borderId="20" xfId="2" applyFont="1" applyFill="1" applyBorder="1" applyAlignment="1" applyProtection="1">
      <alignment horizontal="center" vertical="center" wrapText="1"/>
      <protection locked="0"/>
    </xf>
    <xf numFmtId="0" fontId="15" fillId="2" borderId="18" xfId="2" applyFont="1" applyFill="1" applyBorder="1" applyAlignment="1" applyProtection="1">
      <alignment horizontal="center" vertical="center" wrapText="1"/>
      <protection locked="0"/>
    </xf>
    <xf numFmtId="0" fontId="15" fillId="2" borderId="20" xfId="2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4" fontId="11" fillId="0" borderId="0" xfId="1" applyNumberFormat="1" applyFont="1" applyAlignment="1" applyProtection="1">
      <alignment horizontal="left" vertical="center"/>
      <protection locked="0"/>
    </xf>
    <xf numFmtId="0" fontId="11" fillId="0" borderId="0" xfId="1" applyFont="1" applyAlignment="1" applyProtection="1">
      <alignment horizontal="left" vertical="center"/>
      <protection hidden="1"/>
    </xf>
    <xf numFmtId="0" fontId="11" fillId="0" borderId="0" xfId="1" applyFont="1" applyAlignment="1" applyProtection="1">
      <alignment horizontal="left" vertical="center"/>
      <protection locked="0"/>
    </xf>
    <xf numFmtId="0" fontId="11" fillId="0" borderId="0" xfId="1" applyFont="1" applyAlignment="1">
      <alignment horizontal="left" vertical="center"/>
    </xf>
    <xf numFmtId="0" fontId="6" fillId="0" borderId="12" xfId="0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7" fillId="0" borderId="4" xfId="2" applyFont="1" applyBorder="1" applyAlignment="1" applyProtection="1">
      <alignment horizontal="center" vertical="center" wrapText="1"/>
      <protection locked="0"/>
    </xf>
    <xf numFmtId="0" fontId="27" fillId="0" borderId="5" xfId="2" applyFont="1" applyBorder="1" applyAlignment="1" applyProtection="1">
      <alignment horizontal="center" vertical="center" wrapText="1"/>
      <protection locked="0"/>
    </xf>
    <xf numFmtId="0" fontId="27" fillId="0" borderId="6" xfId="2" applyFont="1" applyBorder="1" applyAlignment="1" applyProtection="1">
      <alignment horizontal="center" vertical="center" wrapText="1"/>
      <protection locked="0"/>
    </xf>
    <xf numFmtId="0" fontId="27" fillId="0" borderId="9" xfId="2" applyFont="1" applyBorder="1" applyAlignment="1" applyProtection="1">
      <alignment horizontal="center" vertical="center" wrapText="1"/>
      <protection locked="0"/>
    </xf>
    <xf numFmtId="0" fontId="27" fillId="0" borderId="0" xfId="2" applyFont="1" applyAlignment="1" applyProtection="1">
      <alignment horizontal="center" vertical="center" wrapText="1"/>
      <protection locked="0"/>
    </xf>
    <xf numFmtId="0" fontId="27" fillId="0" borderId="10" xfId="2" applyFont="1" applyBorder="1" applyAlignment="1" applyProtection="1">
      <alignment horizontal="center" vertical="center" wrapText="1"/>
      <protection locked="0"/>
    </xf>
    <xf numFmtId="0" fontId="27" fillId="0" borderId="14" xfId="2" applyFont="1" applyBorder="1" applyAlignment="1" applyProtection="1">
      <alignment horizontal="center" vertical="center" wrapText="1"/>
      <protection locked="0"/>
    </xf>
    <xf numFmtId="0" fontId="27" fillId="0" borderId="15" xfId="2" applyFont="1" applyBorder="1" applyAlignment="1" applyProtection="1">
      <alignment horizontal="center" vertical="center" wrapText="1"/>
      <protection locked="0"/>
    </xf>
    <xf numFmtId="0" fontId="27" fillId="0" borderId="16" xfId="2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14" fontId="4" fillId="0" borderId="7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165" fontId="19" fillId="0" borderId="38" xfId="1" applyNumberFormat="1" applyFont="1" applyBorder="1" applyAlignment="1">
      <alignment horizontal="center" vertical="center" wrapText="1"/>
    </xf>
    <xf numFmtId="165" fontId="19" fillId="0" borderId="16" xfId="1" applyNumberFormat="1" applyFont="1" applyBorder="1" applyAlignment="1" applyProtection="1">
      <alignment horizontal="center" vertical="center"/>
      <protection locked="0"/>
    </xf>
    <xf numFmtId="165" fontId="19" fillId="0" borderId="38" xfId="1" applyNumberFormat="1" applyFont="1" applyBorder="1" applyAlignment="1" applyProtection="1">
      <alignment horizontal="center" vertical="center"/>
      <protection locked="0"/>
    </xf>
    <xf numFmtId="165" fontId="19" fillId="0" borderId="14" xfId="1" applyNumberFormat="1" applyFont="1" applyBorder="1" applyAlignment="1" applyProtection="1">
      <alignment horizontal="center" vertical="center"/>
      <protection locked="0"/>
    </xf>
    <xf numFmtId="165" fontId="19" fillId="0" borderId="38" xfId="1" applyNumberFormat="1" applyFont="1" applyBorder="1" applyAlignment="1">
      <alignment horizontal="center" vertical="center" wrapText="1"/>
    </xf>
    <xf numFmtId="165" fontId="19" fillId="0" borderId="16" xfId="1" applyNumberFormat="1" applyFont="1" applyBorder="1" applyAlignment="1" applyProtection="1">
      <alignment horizontal="center" vertical="center"/>
      <protection locked="0"/>
    </xf>
    <xf numFmtId="165" fontId="19" fillId="0" borderId="38" xfId="1" applyNumberFormat="1" applyFont="1" applyBorder="1" applyAlignment="1" applyProtection="1">
      <alignment horizontal="center" vertical="center"/>
      <protection locked="0"/>
    </xf>
    <xf numFmtId="165" fontId="19" fillId="0" borderId="14" xfId="1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1F9BA8F0-7677-4AD8-98F7-4DCDC19C1E41}"/>
    <cellStyle name="Normal 3" xfId="1" xr:uid="{FAE3D540-E1B4-463C-9858-841FE5BDA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'230126 BBSG Avignon'!$E$52:$R$52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'230126 BBSG Avignon'!$E$59:$R$59</c:f>
              <c:numCache>
                <c:formatCode>0.0</c:formatCode>
                <c:ptCount val="14"/>
                <c:pt idx="0">
                  <c:v>7</c:v>
                </c:pt>
                <c:pt idx="1">
                  <c:v>9</c:v>
                </c:pt>
                <c:pt idx="2">
                  <c:v>12.1</c:v>
                </c:pt>
                <c:pt idx="3">
                  <c:v>15.9</c:v>
                </c:pt>
                <c:pt idx="4">
                  <c:v>20.9</c:v>
                </c:pt>
                <c:pt idx="5">
                  <c:v>30.1</c:v>
                </c:pt>
                <c:pt idx="6">
                  <c:v>44.9</c:v>
                </c:pt>
                <c:pt idx="7">
                  <c:v>60.7</c:v>
                </c:pt>
                <c:pt idx="8">
                  <c:v>78.8</c:v>
                </c:pt>
                <c:pt idx="9">
                  <c:v>95.9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C-4BAD-8CC8-062370BDE4C0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'230126 BBSG Avignon'!$E$52:$R$52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'230126 BBSG Avignon'!$E$60:$R$60</c:f>
              <c:numCache>
                <c:formatCode>0.0</c:formatCode>
                <c:ptCount val="14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CC-4BAD-8CC8-062370BDE4C0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'230126 BBSG Avignon'!$E$52:$W$52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'230126 BBSG Avignon'!$E$62:$W$62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CC-4BAD-8CC8-062370BDE4C0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'230126 BBSG Avignon'!$E$52:$W$52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'230126 BBSG Avignon'!$E$61:$W$61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CC-4BAD-8CC8-062370BDE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'230126 GB Avignon'!$E$52:$R$52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'230126 GB Avignon'!$E$59:$R$59</c:f>
              <c:numCache>
                <c:formatCode>0.0</c:formatCode>
                <c:ptCount val="14"/>
                <c:pt idx="0">
                  <c:v>8.8000000000000007</c:v>
                </c:pt>
                <c:pt idx="1">
                  <c:v>10.6</c:v>
                </c:pt>
                <c:pt idx="2">
                  <c:v>13.2</c:v>
                </c:pt>
                <c:pt idx="3">
                  <c:v>16.8</c:v>
                </c:pt>
                <c:pt idx="4">
                  <c:v>22</c:v>
                </c:pt>
                <c:pt idx="5">
                  <c:v>31.8</c:v>
                </c:pt>
                <c:pt idx="6">
                  <c:v>47.2</c:v>
                </c:pt>
                <c:pt idx="7">
                  <c:v>63</c:v>
                </c:pt>
                <c:pt idx="8">
                  <c:v>73.5</c:v>
                </c:pt>
                <c:pt idx="9">
                  <c:v>84</c:v>
                </c:pt>
                <c:pt idx="10">
                  <c:v>92.9</c:v>
                </c:pt>
                <c:pt idx="11">
                  <c:v>96.6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96-42A8-A64B-BF108F457274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'230126 GB Avignon'!$E$52:$R$52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'230126 GB Avignon'!$E$60:$R$60</c:f>
              <c:numCache>
                <c:formatCode>0.0</c:formatCode>
                <c:ptCount val="14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6-42A8-A64B-BF108F457274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'230126 GB Avignon'!$E$52:$W$52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'230126 GB Avignon'!$E$62:$W$62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96-42A8-A64B-BF108F457274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'230126 GB Avignon'!$E$52:$W$52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'230126 GB Avignon'!$E$61:$W$61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96-42A8-A64B-BF108F45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'241125 BBSG Valence'!$E$52:$R$52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'241125 BBSG Valence'!$E$59:$R$59</c:f>
              <c:numCache>
                <c:formatCode>0.0</c:formatCode>
                <c:ptCount val="14"/>
                <c:pt idx="0">
                  <c:v>7.1</c:v>
                </c:pt>
                <c:pt idx="1">
                  <c:v>9.1</c:v>
                </c:pt>
                <c:pt idx="2">
                  <c:v>12.1</c:v>
                </c:pt>
                <c:pt idx="3">
                  <c:v>15.8</c:v>
                </c:pt>
                <c:pt idx="4">
                  <c:v>21</c:v>
                </c:pt>
                <c:pt idx="5">
                  <c:v>30.3</c:v>
                </c:pt>
                <c:pt idx="6">
                  <c:v>44.8</c:v>
                </c:pt>
                <c:pt idx="7">
                  <c:v>60.4</c:v>
                </c:pt>
                <c:pt idx="8">
                  <c:v>76.7</c:v>
                </c:pt>
                <c:pt idx="9">
                  <c:v>94.5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7C-468F-ADA2-3A5408B1DC6A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'241125 BBSG Valence'!$E$52:$R$52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'241125 BBSG Valence'!$E$60:$R$60</c:f>
              <c:numCache>
                <c:formatCode>0.0</c:formatCode>
                <c:ptCount val="14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7C-468F-ADA2-3A5408B1DC6A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'241125 BBSG Valence'!$E$52:$W$52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'241125 BBSG Valence'!$E$62:$W$62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7C-468F-ADA2-3A5408B1DC6A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'241125 BBSG Valence'!$E$52:$W$52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'241125 BBSG Valence'!$E$61:$W$61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7C-468F-ADA2-3A5408B1D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F219A8-A318-4535-A6F4-768D6F05F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EE8CFA5-0208-4DD2-80B3-4B9B83E896A9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AFD68A2-E9EB-4A50-9925-9231309D8860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5276468-0C3F-408D-9C48-5344C3708088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33C7D02-EEFB-4189-8540-369C62C5F63D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11506A0-E890-4581-938F-E7149167A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FB16A7E2-BA59-4049-8CCB-F719DFB37A81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89BA3F0-2C61-40AE-91B8-71FE6345E8BB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875562B-4DC1-4BDF-B543-42E17E605CA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339090</xdr:colOff>
      <xdr:row>3</xdr:row>
      <xdr:rowOff>148590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DB4452C-00CA-4AD5-B1D7-DE920EFB4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6969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7614538-6A47-47D3-9C2F-1CA3C0C86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CD418D7-B3DE-47DE-9081-1C690A8B1C4A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53FBAEC0-B7C8-4D13-9BC4-C3717BD559EE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1554CE95-B7A4-4AF0-AEF6-2A28290836E1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7D8FB64-8C37-413D-906E-55ADA2FB01C8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C5AFD72-8CE0-4037-8EAE-441B096A6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7545216-9B52-4854-A16B-241574764FF0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95579F2-7A1F-4343-82EE-09829DEBC45E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7B37FCD-46EE-4307-9BBC-17665E450FE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339090</xdr:colOff>
      <xdr:row>3</xdr:row>
      <xdr:rowOff>148590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7A37369-8D53-49B5-B346-0BB4D38E2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6969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28FB3AB-D16A-418B-9386-EBBD98C14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0834FEA-20AD-4019-8CBD-1E5DD4AF5132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C234D3E-A24A-4DD8-8293-29BB0929C8C1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20BCA94-FC06-4C57-9CBE-DCF2D3BAF43D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C9A80C0-0DBD-4E77-8B88-81B466289067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A38DE0D-5789-461F-B7F0-55FDEE394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257C34A-8BA0-4C65-8675-E2129280E4D1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B1261C1-2E3B-4B66-9F1F-891086136643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0C74F0A-1748-43D0-8730-8498B088286C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339090</xdr:colOff>
      <xdr:row>3</xdr:row>
      <xdr:rowOff>148590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B0D682F-F6A1-40A8-A034-08C7C7DF6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6969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A366-21B3-44FE-9B0C-39DA8D4BE988}">
  <sheetPr>
    <pageSetUpPr fitToPage="1"/>
  </sheetPr>
  <dimension ref="A1:AN73"/>
  <sheetViews>
    <sheetView tabSelected="1" topLeftCell="A55" zoomScaleNormal="100" workbookViewId="0">
      <selection activeCell="P15" sqref="P15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6" customHeight="1" x14ac:dyDescent="0.25">
      <c r="A1" s="254"/>
      <c r="B1" s="255"/>
      <c r="C1" s="255"/>
      <c r="D1" s="255"/>
      <c r="E1" s="255"/>
      <c r="F1" s="256"/>
      <c r="G1" s="263" t="s">
        <v>0</v>
      </c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5"/>
      <c r="U1" s="266" t="s">
        <v>59</v>
      </c>
      <c r="V1" s="267"/>
      <c r="W1" s="267"/>
      <c r="X1" s="267"/>
      <c r="Y1" s="267"/>
      <c r="Z1" s="268"/>
      <c r="AA1" s="1"/>
    </row>
    <row r="2" spans="1:36" ht="12.6" customHeight="1" x14ac:dyDescent="0.25">
      <c r="A2" s="257"/>
      <c r="B2" s="258"/>
      <c r="C2" s="258"/>
      <c r="D2" s="258"/>
      <c r="E2" s="258"/>
      <c r="F2" s="259"/>
      <c r="G2" s="275" t="s">
        <v>1</v>
      </c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7"/>
      <c r="U2" s="269"/>
      <c r="V2" s="270"/>
      <c r="W2" s="270"/>
      <c r="X2" s="270"/>
      <c r="Y2" s="270"/>
      <c r="Z2" s="271"/>
      <c r="AA2" s="1"/>
    </row>
    <row r="3" spans="1:36" ht="12.6" customHeight="1" x14ac:dyDescent="0.25">
      <c r="A3" s="257"/>
      <c r="B3" s="258"/>
      <c r="C3" s="258"/>
      <c r="D3" s="258"/>
      <c r="E3" s="258"/>
      <c r="F3" s="259"/>
      <c r="G3" s="278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7"/>
      <c r="U3" s="269"/>
      <c r="V3" s="270"/>
      <c r="W3" s="270"/>
      <c r="X3" s="270"/>
      <c r="Y3" s="270"/>
      <c r="Z3" s="271"/>
      <c r="AA3" s="1"/>
    </row>
    <row r="4" spans="1:36" ht="12.6" customHeight="1" x14ac:dyDescent="0.25">
      <c r="A4" s="257"/>
      <c r="B4" s="258"/>
      <c r="C4" s="258"/>
      <c r="D4" s="258"/>
      <c r="E4" s="258"/>
      <c r="F4" s="259"/>
      <c r="G4" s="278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7"/>
      <c r="U4" s="269"/>
      <c r="V4" s="270"/>
      <c r="W4" s="270"/>
      <c r="X4" s="270"/>
      <c r="Y4" s="270"/>
      <c r="Z4" s="271"/>
      <c r="AA4" s="1"/>
    </row>
    <row r="5" spans="1:36" ht="12.6" customHeight="1" x14ac:dyDescent="0.25">
      <c r="A5" s="257"/>
      <c r="B5" s="258"/>
      <c r="C5" s="258"/>
      <c r="D5" s="258"/>
      <c r="E5" s="258"/>
      <c r="F5" s="259"/>
      <c r="G5" s="278" t="s">
        <v>2</v>
      </c>
      <c r="H5" s="276"/>
      <c r="I5" s="3" t="s">
        <v>3</v>
      </c>
      <c r="J5" s="239">
        <v>3</v>
      </c>
      <c r="K5" s="279"/>
      <c r="L5" s="280" t="s">
        <v>58</v>
      </c>
      <c r="M5" s="239"/>
      <c r="N5" s="239"/>
      <c r="O5" s="279"/>
      <c r="P5" s="281">
        <v>46048</v>
      </c>
      <c r="Q5" s="282"/>
      <c r="R5" s="282"/>
      <c r="S5" s="282"/>
      <c r="T5" s="283"/>
      <c r="U5" s="269"/>
      <c r="V5" s="270"/>
      <c r="W5" s="270"/>
      <c r="X5" s="270"/>
      <c r="Y5" s="270"/>
      <c r="Z5" s="271"/>
      <c r="AA5" s="1"/>
    </row>
    <row r="6" spans="1:36" ht="12.6" customHeight="1" x14ac:dyDescent="0.25">
      <c r="A6" s="260"/>
      <c r="B6" s="261"/>
      <c r="C6" s="261"/>
      <c r="D6" s="261"/>
      <c r="E6" s="261"/>
      <c r="F6" s="262"/>
      <c r="G6" s="4"/>
      <c r="H6" s="5"/>
      <c r="I6" s="5"/>
      <c r="J6" s="250" t="s">
        <v>4</v>
      </c>
      <c r="K6" s="250"/>
      <c r="L6" s="250" t="s">
        <v>5</v>
      </c>
      <c r="M6" s="250"/>
      <c r="N6" s="250"/>
      <c r="O6" s="250"/>
      <c r="P6" s="250" t="s">
        <v>6</v>
      </c>
      <c r="Q6" s="250"/>
      <c r="R6" s="250"/>
      <c r="S6" s="250"/>
      <c r="T6" s="251"/>
      <c r="U6" s="272"/>
      <c r="V6" s="273"/>
      <c r="W6" s="273"/>
      <c r="X6" s="273"/>
      <c r="Y6" s="273"/>
      <c r="Z6" s="274"/>
      <c r="AA6" s="1"/>
    </row>
    <row r="7" spans="1:36" ht="36.6" customHeight="1" x14ac:dyDescent="0.25">
      <c r="A7" s="252" t="s">
        <v>7</v>
      </c>
      <c r="B7" s="252"/>
      <c r="C7" s="252"/>
      <c r="D7" s="252"/>
      <c r="E7" s="252"/>
      <c r="F7" s="252"/>
      <c r="G7" s="253" t="s">
        <v>8</v>
      </c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7.95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238" t="s">
        <v>11</v>
      </c>
      <c r="C10" s="238"/>
      <c r="D10" s="238"/>
      <c r="E10" s="238"/>
      <c r="F10" s="238"/>
      <c r="G10" s="246" t="s">
        <v>12</v>
      </c>
      <c r="H10" s="246"/>
      <c r="I10" s="246"/>
      <c r="J10" s="246"/>
      <c r="K10" s="246"/>
      <c r="L10" s="246"/>
      <c r="M10" s="247" t="s">
        <v>13</v>
      </c>
      <c r="N10" s="247"/>
      <c r="O10" s="247"/>
      <c r="P10" s="247"/>
      <c r="Q10" s="247"/>
      <c r="R10" s="247"/>
      <c r="S10" s="248" t="s">
        <v>60</v>
      </c>
      <c r="T10" s="248"/>
      <c r="U10" s="248"/>
      <c r="V10" s="248"/>
      <c r="W10" s="248"/>
      <c r="X10" s="248"/>
      <c r="Y10" s="248"/>
      <c r="Z10" s="19"/>
      <c r="AA10" s="18"/>
      <c r="AB10" s="14"/>
      <c r="AC10" s="14"/>
      <c r="AD10" s="14"/>
      <c r="AE10" s="20"/>
      <c r="AF10" s="20"/>
      <c r="AG10" s="20"/>
      <c r="AH10" s="20"/>
      <c r="AI10" s="20"/>
    </row>
    <row r="11" spans="1:36" ht="15.9" customHeight="1" x14ac:dyDescent="0.25">
      <c r="A11" s="15"/>
      <c r="B11" s="238" t="s">
        <v>14</v>
      </c>
      <c r="C11" s="238"/>
      <c r="D11" s="238"/>
      <c r="E11" s="238"/>
      <c r="F11" s="238"/>
      <c r="G11" s="246">
        <v>46048</v>
      </c>
      <c r="H11" s="246"/>
      <c r="I11" s="246"/>
      <c r="J11" s="246"/>
      <c r="K11" s="246"/>
      <c r="L11" s="246"/>
      <c r="M11" s="247" t="s">
        <v>15</v>
      </c>
      <c r="N11" s="247"/>
      <c r="O11" s="247"/>
      <c r="P11" s="247"/>
      <c r="Q11" s="247"/>
      <c r="R11" s="247"/>
      <c r="S11" s="248" t="s">
        <v>65</v>
      </c>
      <c r="T11" s="248"/>
      <c r="U11" s="248"/>
      <c r="V11" s="248"/>
      <c r="W11" s="248"/>
      <c r="X11" s="248"/>
      <c r="Y11" s="248"/>
      <c r="Z11" s="19"/>
      <c r="AA11" s="18"/>
      <c r="AB11" s="14"/>
      <c r="AC11" s="14"/>
      <c r="AD11" s="14"/>
      <c r="AE11" s="20"/>
      <c r="AF11" s="20"/>
      <c r="AG11" s="20"/>
      <c r="AH11" s="20"/>
      <c r="AI11" s="20"/>
    </row>
    <row r="12" spans="1:36" ht="15.9" customHeight="1" x14ac:dyDescent="0.25">
      <c r="A12" s="15"/>
      <c r="B12" s="238" t="s">
        <v>16</v>
      </c>
      <c r="C12" s="238"/>
      <c r="D12" s="238"/>
      <c r="E12" s="238"/>
      <c r="F12" s="238"/>
      <c r="G12" s="246">
        <v>46045</v>
      </c>
      <c r="H12" s="246"/>
      <c r="I12" s="246"/>
      <c r="J12" s="246"/>
      <c r="K12" s="246"/>
      <c r="L12" s="246"/>
      <c r="M12" s="249" t="s">
        <v>17</v>
      </c>
      <c r="N12" s="249"/>
      <c r="O12" s="249"/>
      <c r="P12" s="249"/>
      <c r="Q12" s="249"/>
      <c r="R12" s="249"/>
      <c r="S12" s="248">
        <v>110</v>
      </c>
      <c r="T12" s="248"/>
      <c r="U12" s="248"/>
      <c r="V12" s="248"/>
      <c r="W12" s="248"/>
      <c r="X12" s="248"/>
      <c r="Y12" s="248"/>
      <c r="Z12" s="19"/>
      <c r="AA12" s="18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45" t="s">
        <v>18</v>
      </c>
      <c r="C13" s="245"/>
      <c r="D13" s="245"/>
      <c r="E13" s="245"/>
      <c r="F13" s="245"/>
      <c r="G13" s="246" t="s">
        <v>63</v>
      </c>
      <c r="H13" s="246"/>
      <c r="I13" s="246"/>
      <c r="J13" s="246"/>
      <c r="K13" s="246"/>
      <c r="L13" s="246"/>
      <c r="M13" s="247" t="s">
        <v>19</v>
      </c>
      <c r="N13" s="247"/>
      <c r="O13" s="247"/>
      <c r="P13" s="247"/>
      <c r="Q13" s="247"/>
      <c r="R13" s="247"/>
      <c r="S13" s="246" t="s">
        <v>20</v>
      </c>
      <c r="T13" s="246"/>
      <c r="U13" s="246"/>
      <c r="V13" s="246"/>
      <c r="W13" s="246"/>
      <c r="X13" s="246"/>
      <c r="Y13" s="246"/>
      <c r="Z13" s="19"/>
      <c r="AA13" s="18"/>
      <c r="AB13" s="14"/>
      <c r="AC13" s="14"/>
      <c r="AD13" s="14"/>
      <c r="AE13" s="20"/>
      <c r="AF13" s="20"/>
      <c r="AG13" s="20"/>
      <c r="AH13" s="20"/>
      <c r="AI13" s="20"/>
      <c r="AJ13" s="20"/>
    </row>
    <row r="14" spans="1:36" ht="15.9" customHeight="1" x14ac:dyDescent="0.25">
      <c r="A14" s="21"/>
      <c r="B14" s="238" t="s">
        <v>21</v>
      </c>
      <c r="C14" s="238"/>
      <c r="D14" s="238"/>
      <c r="E14" s="238"/>
      <c r="F14" s="238"/>
      <c r="G14" s="246" t="s">
        <v>62</v>
      </c>
      <c r="H14" s="246"/>
      <c r="I14" s="246"/>
      <c r="J14" s="246"/>
      <c r="K14" s="246"/>
      <c r="L14" s="246"/>
      <c r="M14" s="248" t="s">
        <v>22</v>
      </c>
      <c r="N14" s="248"/>
      <c r="O14" s="248"/>
      <c r="P14" s="248"/>
      <c r="Q14" s="248"/>
      <c r="R14" s="248"/>
      <c r="S14" s="248" t="s">
        <v>23</v>
      </c>
      <c r="T14" s="248"/>
      <c r="U14" s="248"/>
      <c r="V14" s="248"/>
      <c r="W14" s="248"/>
      <c r="X14" s="248"/>
      <c r="Y14" s="248"/>
      <c r="Z14" s="22"/>
      <c r="AA14" s="14"/>
      <c r="AB14" s="14"/>
      <c r="AC14" s="14"/>
      <c r="AD14" s="14"/>
      <c r="AE14" s="20"/>
      <c r="AF14" s="20"/>
      <c r="AG14" s="20"/>
      <c r="AH14" s="20"/>
      <c r="AI14" s="20"/>
      <c r="AJ14" s="20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20"/>
      <c r="AF15" s="20"/>
      <c r="AG15" s="20"/>
      <c r="AH15" s="20"/>
      <c r="AI15" s="20"/>
      <c r="AJ15" s="20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20"/>
      <c r="AF16" s="20"/>
      <c r="AG16" s="20"/>
      <c r="AH16" s="20"/>
      <c r="AI16" s="20"/>
      <c r="AJ16" s="20"/>
    </row>
    <row r="17" spans="1:40" ht="15.9" customHeight="1" x14ac:dyDescent="0.25">
      <c r="A17" s="8" t="s">
        <v>24</v>
      </c>
      <c r="B17" s="9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238" t="s">
        <v>26</v>
      </c>
      <c r="C19" s="238"/>
      <c r="D19" s="238"/>
      <c r="E19" s="238"/>
      <c r="F19" s="238"/>
      <c r="G19" s="238"/>
      <c r="H19" s="238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19"/>
      <c r="AA19" s="18"/>
      <c r="AE19" s="30"/>
      <c r="AI19" s="30"/>
    </row>
    <row r="20" spans="1:40" ht="15.9" customHeight="1" x14ac:dyDescent="0.25">
      <c r="A20" s="15"/>
      <c r="B20" s="238" t="s">
        <v>27</v>
      </c>
      <c r="C20" s="238"/>
      <c r="D20" s="238"/>
      <c r="E20" s="238"/>
      <c r="F20" s="238"/>
      <c r="G20" s="238"/>
      <c r="H20" s="238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19"/>
      <c r="AA20" s="18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3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4" t="s">
        <v>28</v>
      </c>
      <c r="B23" s="35" t="s">
        <v>29</v>
      </c>
      <c r="C23" s="35"/>
      <c r="D23" s="36"/>
      <c r="E23" s="36"/>
      <c r="F23" s="37"/>
      <c r="G23" s="37"/>
      <c r="H23" s="37"/>
      <c r="I23" s="37"/>
      <c r="J23" s="37"/>
      <c r="K23" s="37"/>
      <c r="L23" s="37"/>
      <c r="M23" s="37"/>
      <c r="N23" s="36"/>
      <c r="O23" s="36"/>
      <c r="P23" s="36"/>
      <c r="Q23" s="36"/>
      <c r="R23" s="36"/>
      <c r="S23" s="38"/>
      <c r="T23" s="38"/>
      <c r="U23" s="38"/>
      <c r="V23" s="38"/>
      <c r="W23" s="38"/>
      <c r="X23" s="38"/>
      <c r="Y23" s="38"/>
      <c r="Z23" s="39"/>
      <c r="AM23" s="40"/>
      <c r="AN23" s="41"/>
    </row>
    <row r="24" spans="1:40" ht="9" customHeight="1" x14ac:dyDescent="0.25">
      <c r="A24" s="21"/>
      <c r="Z24" s="42"/>
    </row>
    <row r="25" spans="1:40" ht="33.6" customHeight="1" x14ac:dyDescent="0.25">
      <c r="A25" s="21"/>
      <c r="Z25" s="42"/>
    </row>
    <row r="26" spans="1:40" ht="12.75" customHeight="1" x14ac:dyDescent="0.25">
      <c r="A26" s="21"/>
      <c r="Z26" s="42"/>
    </row>
    <row r="27" spans="1:40" ht="12.75" customHeight="1" x14ac:dyDescent="0.25">
      <c r="A27" s="21"/>
      <c r="Z27" s="42"/>
    </row>
    <row r="28" spans="1:40" ht="12.75" customHeight="1" x14ac:dyDescent="0.25">
      <c r="A28" s="21"/>
      <c r="Z28" s="42"/>
    </row>
    <row r="29" spans="1:40" ht="12.75" customHeight="1" x14ac:dyDescent="0.25">
      <c r="A29" s="21"/>
      <c r="Z29" s="42"/>
    </row>
    <row r="30" spans="1:40" ht="12.75" customHeight="1" x14ac:dyDescent="0.25">
      <c r="A30" s="21"/>
      <c r="Z30" s="42"/>
    </row>
    <row r="31" spans="1:40" ht="12.75" customHeight="1" x14ac:dyDescent="0.25">
      <c r="A31" s="21"/>
      <c r="Z31" s="42"/>
    </row>
    <row r="32" spans="1:40" ht="12.75" customHeight="1" x14ac:dyDescent="0.25">
      <c r="A32" s="21"/>
      <c r="Z32" s="42"/>
    </row>
    <row r="33" spans="1:26" ht="12.75" customHeight="1" x14ac:dyDescent="0.25">
      <c r="A33" s="21"/>
      <c r="Z33" s="42"/>
    </row>
    <row r="34" spans="1:26" ht="12.75" customHeight="1" x14ac:dyDescent="0.25">
      <c r="A34" s="21"/>
      <c r="Z34" s="42"/>
    </row>
    <row r="35" spans="1:26" ht="12.75" customHeight="1" x14ac:dyDescent="0.25">
      <c r="A35" s="21"/>
      <c r="Z35" s="42"/>
    </row>
    <row r="36" spans="1:26" ht="12.75" customHeight="1" x14ac:dyDescent="0.25">
      <c r="A36" s="21"/>
      <c r="Z36" s="42"/>
    </row>
    <row r="37" spans="1:26" ht="12.75" customHeight="1" x14ac:dyDescent="0.25">
      <c r="A37" s="21"/>
      <c r="Z37" s="42"/>
    </row>
    <row r="38" spans="1:26" ht="12.75" customHeight="1" x14ac:dyDescent="0.25">
      <c r="A38" s="21"/>
      <c r="Z38" s="42"/>
    </row>
    <row r="39" spans="1:26" ht="12.75" customHeight="1" x14ac:dyDescent="0.25">
      <c r="A39" s="21"/>
      <c r="Z39" s="42"/>
    </row>
    <row r="40" spans="1:26" ht="12.75" customHeight="1" x14ac:dyDescent="0.25">
      <c r="A40" s="21"/>
      <c r="Z40" s="42"/>
    </row>
    <row r="41" spans="1:26" ht="12.75" customHeight="1" x14ac:dyDescent="0.25">
      <c r="A41" s="21"/>
      <c r="Z41" s="42"/>
    </row>
    <row r="42" spans="1:26" ht="12.75" customHeight="1" x14ac:dyDescent="0.25">
      <c r="A42" s="21"/>
      <c r="Z42" s="42"/>
    </row>
    <row r="43" spans="1:26" ht="12.75" customHeight="1" x14ac:dyDescent="0.25">
      <c r="A43" s="21"/>
      <c r="Z43" s="42"/>
    </row>
    <row r="44" spans="1:26" ht="12.75" customHeight="1" x14ac:dyDescent="0.25">
      <c r="A44" s="21"/>
      <c r="Z44" s="42"/>
    </row>
    <row r="45" spans="1:26" ht="12.75" customHeight="1" x14ac:dyDescent="0.25">
      <c r="A45" s="21"/>
      <c r="Z45" s="42"/>
    </row>
    <row r="46" spans="1:26" ht="12.75" customHeight="1" x14ac:dyDescent="0.25">
      <c r="A46" s="21"/>
      <c r="Z46" s="42"/>
    </row>
    <row r="47" spans="1:26" ht="9.75" customHeight="1" x14ac:dyDescent="0.25">
      <c r="A47" s="21"/>
      <c r="Z47" s="42"/>
    </row>
    <row r="48" spans="1:26" ht="37.950000000000003" customHeight="1" thickBot="1" x14ac:dyDescent="0.3">
      <c r="A48" s="21"/>
      <c r="Z48" s="42"/>
    </row>
    <row r="49" spans="1:34" ht="9.75" customHeight="1" x14ac:dyDescent="0.25">
      <c r="A49" s="21"/>
      <c r="Z49" s="42"/>
      <c r="AD49" s="241" t="s">
        <v>30</v>
      </c>
      <c r="AE49" s="243">
        <v>2.6469999999999998</v>
      </c>
      <c r="AF49" s="215"/>
      <c r="AG49" s="219"/>
      <c r="AH49" s="43"/>
    </row>
    <row r="50" spans="1:34" ht="12.75" customHeight="1" thickBot="1" x14ac:dyDescent="0.3">
      <c r="A50" s="21"/>
      <c r="Z50" s="44"/>
      <c r="AD50" s="242"/>
      <c r="AE50" s="244"/>
      <c r="AF50" s="218"/>
      <c r="AG50" s="219"/>
    </row>
    <row r="51" spans="1:34" ht="18.75" customHeight="1" thickBot="1" x14ac:dyDescent="0.3">
      <c r="A51" s="21"/>
      <c r="E51" s="220" t="s">
        <v>31</v>
      </c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2" t="s">
        <v>32</v>
      </c>
      <c r="V51" s="223"/>
      <c r="W51" s="224" t="s">
        <v>33</v>
      </c>
      <c r="X51" s="223"/>
      <c r="Y51" s="225" t="s">
        <v>34</v>
      </c>
      <c r="Z51" s="226"/>
      <c r="AA51" s="47"/>
      <c r="AB51" s="229" t="s">
        <v>35</v>
      </c>
      <c r="AC51" s="230"/>
      <c r="AD51" s="233" t="s">
        <v>36</v>
      </c>
      <c r="AE51" s="235" t="s">
        <v>37</v>
      </c>
      <c r="AF51" s="215"/>
      <c r="AG51" s="215"/>
      <c r="AH51" s="45"/>
    </row>
    <row r="52" spans="1:34" ht="24.9" customHeight="1" thickBot="1" x14ac:dyDescent="0.3">
      <c r="A52" s="48"/>
      <c r="B52" s="46" t="s">
        <v>38</v>
      </c>
      <c r="C52" s="216" t="s">
        <v>39</v>
      </c>
      <c r="D52" s="217"/>
      <c r="E52" s="49">
        <v>6.3E-2</v>
      </c>
      <c r="F52" s="49">
        <v>0.125</v>
      </c>
      <c r="G52" s="50">
        <v>0.25</v>
      </c>
      <c r="H52" s="50">
        <v>0.5</v>
      </c>
      <c r="I52" s="50">
        <v>1</v>
      </c>
      <c r="J52" s="50">
        <v>2</v>
      </c>
      <c r="K52" s="50">
        <v>4</v>
      </c>
      <c r="L52" s="50">
        <v>6.3</v>
      </c>
      <c r="M52" s="50">
        <v>8</v>
      </c>
      <c r="N52" s="50">
        <v>10</v>
      </c>
      <c r="O52" s="50">
        <v>12.5</v>
      </c>
      <c r="P52" s="50">
        <v>14</v>
      </c>
      <c r="Q52" s="51">
        <v>16</v>
      </c>
      <c r="R52" s="51">
        <v>20</v>
      </c>
      <c r="S52" s="50"/>
      <c r="T52" s="51"/>
      <c r="U52" s="170"/>
      <c r="V52" s="172"/>
      <c r="W52" s="171"/>
      <c r="X52" s="172"/>
      <c r="Y52" s="227"/>
      <c r="Z52" s="228"/>
      <c r="AA52" s="47"/>
      <c r="AB52" s="231"/>
      <c r="AC52" s="232"/>
      <c r="AD52" s="234"/>
      <c r="AE52" s="236"/>
      <c r="AF52" s="237"/>
      <c r="AG52" s="215"/>
    </row>
    <row r="53" spans="1:34" ht="24.9" customHeight="1" x14ac:dyDescent="0.25">
      <c r="A53" s="48"/>
      <c r="B53" s="52">
        <v>1</v>
      </c>
      <c r="C53" s="208" t="s">
        <v>69</v>
      </c>
      <c r="D53" s="209"/>
      <c r="E53" s="288">
        <v>7</v>
      </c>
      <c r="F53" s="289">
        <v>9</v>
      </c>
      <c r="G53" s="290">
        <v>12.1</v>
      </c>
      <c r="H53" s="290">
        <v>15.9</v>
      </c>
      <c r="I53" s="290">
        <v>20.9</v>
      </c>
      <c r="J53" s="290">
        <v>30.1</v>
      </c>
      <c r="K53" s="290">
        <v>44.9</v>
      </c>
      <c r="L53" s="290">
        <v>60.7</v>
      </c>
      <c r="M53" s="290">
        <v>78.8</v>
      </c>
      <c r="N53" s="290">
        <v>95.9</v>
      </c>
      <c r="O53" s="290">
        <v>100</v>
      </c>
      <c r="P53" s="290"/>
      <c r="Q53" s="290"/>
      <c r="R53" s="290"/>
      <c r="S53" s="291"/>
      <c r="T53" s="291"/>
      <c r="U53" s="140">
        <v>175</v>
      </c>
      <c r="V53" s="141"/>
      <c r="W53" s="142">
        <v>5.08</v>
      </c>
      <c r="X53" s="143"/>
      <c r="Y53" s="210">
        <f t="shared" ref="Y53:Y56" si="0">IF(W53&lt;&gt;0,AE53,"")</f>
        <v>3.1763803411883318</v>
      </c>
      <c r="Z53" s="211"/>
      <c r="AA53" s="57"/>
      <c r="AB53" s="187">
        <f>(100*W53)/(100-W53)</f>
        <v>5.3518752633796884</v>
      </c>
      <c r="AC53" s="188"/>
      <c r="AD53" s="58">
        <f>(0.25*(100-O53)+2.3*(O53-H53)+12*(H53-E53)+150*(E53))/100</f>
        <v>13.5023</v>
      </c>
      <c r="AE53" s="59">
        <f>(AB53*$AE$49)/(2.65*(AD53)^(1/5))</f>
        <v>3.1763803411883318</v>
      </c>
      <c r="AF53" s="28"/>
      <c r="AG53" s="60"/>
    </row>
    <row r="54" spans="1:34" ht="24.9" customHeight="1" x14ac:dyDescent="0.25">
      <c r="A54" s="48"/>
      <c r="B54" s="61">
        <v>2</v>
      </c>
      <c r="C54" s="208"/>
      <c r="D54" s="209"/>
      <c r="E54" s="53"/>
      <c r="F54" s="5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62"/>
      <c r="R54" s="55"/>
      <c r="S54" s="56"/>
      <c r="T54" s="56"/>
      <c r="U54" s="140"/>
      <c r="V54" s="141"/>
      <c r="W54" s="142"/>
      <c r="X54" s="143"/>
      <c r="Y54" s="210" t="str">
        <f t="shared" si="0"/>
        <v/>
      </c>
      <c r="Z54" s="211"/>
      <c r="AA54" s="57"/>
      <c r="AB54" s="187">
        <f>(100*W54)/(100-W54)</f>
        <v>0</v>
      </c>
      <c r="AC54" s="188"/>
      <c r="AD54" s="58">
        <f>(0.25*(100-O54)+2.3*(O54-H54)+12*(H54-E54)+150*(E54))/100</f>
        <v>0.25</v>
      </c>
      <c r="AE54" s="59">
        <f t="shared" ref="AE54:AE60" si="1">(AB54*$AE$49)/(2.65*(AD54)^(1/5))</f>
        <v>0</v>
      </c>
      <c r="AF54" s="28"/>
      <c r="AG54" s="60"/>
    </row>
    <row r="55" spans="1:34" ht="24.9" customHeight="1" x14ac:dyDescent="0.25">
      <c r="A55" s="48"/>
      <c r="B55" s="61">
        <v>3</v>
      </c>
      <c r="C55" s="164"/>
      <c r="D55" s="212"/>
      <c r="E55" s="63"/>
      <c r="F55" s="64"/>
      <c r="G55" s="64"/>
      <c r="H55" s="65"/>
      <c r="I55" s="65"/>
      <c r="J55" s="65"/>
      <c r="K55" s="65"/>
      <c r="L55" s="65"/>
      <c r="M55" s="65"/>
      <c r="N55" s="65"/>
      <c r="O55" s="65"/>
      <c r="P55" s="65"/>
      <c r="Q55" s="66"/>
      <c r="R55" s="65"/>
      <c r="S55" s="65"/>
      <c r="T55" s="67"/>
      <c r="U55" s="161"/>
      <c r="V55" s="162"/>
      <c r="W55" s="213"/>
      <c r="X55" s="214"/>
      <c r="Y55" s="210" t="str">
        <f t="shared" si="0"/>
        <v/>
      </c>
      <c r="Z55" s="211"/>
      <c r="AA55" s="57"/>
      <c r="AB55" s="187">
        <f>(100*W55)/(100-W55)</f>
        <v>0</v>
      </c>
      <c r="AC55" s="188"/>
      <c r="AD55" s="58">
        <f t="shared" ref="AD55:AD60" si="2">(0.25*(100-O55)+2.3*(O55-H55)+12*(H55-E55)+150*(E55))/100</f>
        <v>0.25</v>
      </c>
      <c r="AE55" s="59">
        <f t="shared" si="1"/>
        <v>0</v>
      </c>
      <c r="AF55" s="28"/>
      <c r="AG55" s="60"/>
    </row>
    <row r="56" spans="1:34" ht="24.9" customHeight="1" thickBot="1" x14ac:dyDescent="0.3">
      <c r="A56" s="48"/>
      <c r="B56" s="68">
        <v>4</v>
      </c>
      <c r="C56" s="176"/>
      <c r="D56" s="198"/>
      <c r="E56" s="69"/>
      <c r="F56" s="70"/>
      <c r="G56" s="70"/>
      <c r="H56" s="71"/>
      <c r="I56" s="71"/>
      <c r="J56" s="71"/>
      <c r="K56" s="71"/>
      <c r="L56" s="71"/>
      <c r="M56" s="71"/>
      <c r="N56" s="71"/>
      <c r="O56" s="71"/>
      <c r="P56" s="71"/>
      <c r="Q56" s="72"/>
      <c r="R56" s="71"/>
      <c r="S56" s="71"/>
      <c r="T56" s="73"/>
      <c r="U56" s="199"/>
      <c r="V56" s="200"/>
      <c r="W56" s="201"/>
      <c r="X56" s="202"/>
      <c r="Y56" s="203" t="str">
        <f t="shared" si="0"/>
        <v/>
      </c>
      <c r="Z56" s="204"/>
      <c r="AA56" s="57"/>
      <c r="AB56" s="187">
        <f>(100*W56)/(100-W56)</f>
        <v>0</v>
      </c>
      <c r="AC56" s="188"/>
      <c r="AD56" s="58">
        <f t="shared" si="2"/>
        <v>0.25</v>
      </c>
      <c r="AE56" s="59">
        <f t="shared" si="1"/>
        <v>0</v>
      </c>
      <c r="AF56" s="28"/>
      <c r="AG56" s="60"/>
    </row>
    <row r="57" spans="1:34" ht="10.5" customHeight="1" thickBot="1" x14ac:dyDescent="0.3">
      <c r="A57" s="48"/>
      <c r="B57" s="2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74"/>
      <c r="S57" s="74"/>
      <c r="T57" s="74"/>
      <c r="U57" s="74"/>
      <c r="V57" s="74"/>
      <c r="W57" s="76"/>
      <c r="Z57" s="77"/>
      <c r="AB57" s="78"/>
      <c r="AC57" s="79"/>
      <c r="AD57" s="58"/>
      <c r="AE57" s="59"/>
      <c r="AF57" s="28"/>
      <c r="AG57" s="60"/>
    </row>
    <row r="58" spans="1:34" ht="24.75" hidden="1" customHeight="1" x14ac:dyDescent="0.25">
      <c r="A58" s="48"/>
      <c r="B58" s="205" t="s">
        <v>41</v>
      </c>
      <c r="C58" s="206"/>
      <c r="D58" s="207"/>
      <c r="E58" s="80"/>
      <c r="F58" s="80"/>
      <c r="G58" s="80"/>
      <c r="H58" s="80"/>
      <c r="I58" s="80"/>
      <c r="J58" s="80"/>
      <c r="K58" s="80"/>
      <c r="L58" s="80"/>
      <c r="M58" s="80">
        <v>10</v>
      </c>
      <c r="N58" s="80">
        <v>10</v>
      </c>
      <c r="O58" s="80"/>
      <c r="P58" s="80"/>
      <c r="Q58" s="81">
        <v>50</v>
      </c>
      <c r="R58" s="80"/>
      <c r="S58" s="80">
        <v>70</v>
      </c>
      <c r="T58" s="80"/>
      <c r="U58" s="80"/>
      <c r="V58" s="80"/>
      <c r="W58" s="80"/>
      <c r="X58" s="82"/>
      <c r="Y58" s="83">
        <v>4.5</v>
      </c>
      <c r="Z58" s="83"/>
      <c r="AA58" s="28"/>
      <c r="AB58" s="78"/>
      <c r="AC58" s="79"/>
      <c r="AD58" s="58">
        <f t="shared" si="2"/>
        <v>0.25</v>
      </c>
      <c r="AE58" s="59">
        <f t="shared" si="1"/>
        <v>0</v>
      </c>
      <c r="AF58" s="28"/>
      <c r="AG58" s="60"/>
    </row>
    <row r="59" spans="1:34" ht="18.75" customHeight="1" x14ac:dyDescent="0.25">
      <c r="A59" s="48"/>
      <c r="B59" s="178" t="s">
        <v>42</v>
      </c>
      <c r="C59" s="179"/>
      <c r="D59" s="180"/>
      <c r="E59" s="84">
        <f>IF(E53&lt;&gt;0,AVERAGE(E53:E56),"")</f>
        <v>7</v>
      </c>
      <c r="F59" s="84">
        <f t="shared" ref="F59:O59" si="3">IF(F53&lt;&gt;0,AVERAGE(F53:F56),"")</f>
        <v>9</v>
      </c>
      <c r="G59" s="84">
        <f t="shared" si="3"/>
        <v>12.1</v>
      </c>
      <c r="H59" s="84">
        <f t="shared" si="3"/>
        <v>15.9</v>
      </c>
      <c r="I59" s="84">
        <f t="shared" si="3"/>
        <v>20.9</v>
      </c>
      <c r="J59" s="84">
        <f t="shared" si="3"/>
        <v>30.1</v>
      </c>
      <c r="K59" s="84">
        <f t="shared" si="3"/>
        <v>44.9</v>
      </c>
      <c r="L59" s="84">
        <f t="shared" si="3"/>
        <v>60.7</v>
      </c>
      <c r="M59" s="84">
        <f t="shared" si="3"/>
        <v>78.8</v>
      </c>
      <c r="N59" s="84">
        <f t="shared" si="3"/>
        <v>95.9</v>
      </c>
      <c r="O59" s="84">
        <f t="shared" si="3"/>
        <v>100</v>
      </c>
      <c r="P59" s="84"/>
      <c r="Q59" s="85"/>
      <c r="R59" s="86"/>
      <c r="S59" s="86" t="str">
        <f t="shared" ref="S59:T59" si="4">IF(S53&lt;&gt;0,AVERAGE(S53:S56),"")</f>
        <v/>
      </c>
      <c r="T59" s="87" t="str">
        <f t="shared" si="4"/>
        <v/>
      </c>
      <c r="U59" s="181">
        <f>IF(U53&lt;&gt;0,AVERAGE(U53:V56),"")</f>
        <v>175</v>
      </c>
      <c r="V59" s="182"/>
      <c r="W59" s="183">
        <f>IF(W53&lt;&gt;0,AVERAGE(W53:X56),"")</f>
        <v>5.08</v>
      </c>
      <c r="X59" s="184"/>
      <c r="Y59" s="185">
        <f>IF(W53&lt;&gt;0,AVERAGE(Y53:Z56),"")</f>
        <v>3.1763803411883318</v>
      </c>
      <c r="Z59" s="186"/>
      <c r="AA59" s="60"/>
      <c r="AB59" s="187">
        <f>(100*W59)/(100-W59)</f>
        <v>5.3518752633796884</v>
      </c>
      <c r="AC59" s="188"/>
      <c r="AD59" s="58">
        <f t="shared" si="2"/>
        <v>13.5023</v>
      </c>
      <c r="AE59" s="59">
        <f t="shared" si="1"/>
        <v>3.1763803411883318</v>
      </c>
      <c r="AF59" s="28"/>
      <c r="AG59" s="60"/>
    </row>
    <row r="60" spans="1:34" ht="21" customHeight="1" x14ac:dyDescent="0.25">
      <c r="A60" s="48"/>
      <c r="B60" s="189" t="s">
        <v>43</v>
      </c>
      <c r="C60" s="190"/>
      <c r="D60" s="191"/>
      <c r="E60" s="88">
        <v>6.5</v>
      </c>
      <c r="F60" s="88">
        <v>8</v>
      </c>
      <c r="G60" s="88">
        <v>11</v>
      </c>
      <c r="H60" s="88">
        <v>16</v>
      </c>
      <c r="I60" s="88">
        <v>21</v>
      </c>
      <c r="J60" s="88">
        <v>30</v>
      </c>
      <c r="K60" s="88">
        <v>44</v>
      </c>
      <c r="L60" s="88">
        <v>60</v>
      </c>
      <c r="M60" s="88">
        <v>76</v>
      </c>
      <c r="N60" s="88">
        <v>95</v>
      </c>
      <c r="O60" s="88">
        <v>100</v>
      </c>
      <c r="P60" s="88"/>
      <c r="Q60" s="89"/>
      <c r="R60" s="88"/>
      <c r="S60" s="88"/>
      <c r="T60" s="90"/>
      <c r="U60" s="192"/>
      <c r="V60" s="193"/>
      <c r="W60" s="194">
        <v>5.4</v>
      </c>
      <c r="X60" s="195"/>
      <c r="Y60" s="196">
        <f>AE60</f>
        <v>3.4230996041984052</v>
      </c>
      <c r="Z60" s="197"/>
      <c r="AA60" s="60"/>
      <c r="AB60" s="187">
        <f>(100*W60)/(100-W60)</f>
        <v>5.7082452431289648</v>
      </c>
      <c r="AC60" s="188"/>
      <c r="AD60" s="58">
        <f t="shared" si="2"/>
        <v>12.822000000000001</v>
      </c>
      <c r="AE60" s="59">
        <f t="shared" si="1"/>
        <v>3.4230996041984052</v>
      </c>
      <c r="AF60" s="28"/>
      <c r="AG60" s="60"/>
    </row>
    <row r="61" spans="1:34" ht="13.5" customHeight="1" x14ac:dyDescent="0.25">
      <c r="A61" s="48"/>
      <c r="B61" s="91"/>
      <c r="C61" s="92" t="s">
        <v>44</v>
      </c>
      <c r="D61" s="93"/>
      <c r="E61" s="65">
        <f>E60+2</f>
        <v>8.5</v>
      </c>
      <c r="F61" s="65"/>
      <c r="G61" s="65"/>
      <c r="H61" s="65"/>
      <c r="I61" s="65"/>
      <c r="J61" s="65">
        <f>J60+6</f>
        <v>36</v>
      </c>
      <c r="K61" s="65"/>
      <c r="L61" s="65">
        <f>L60+7</f>
        <v>67</v>
      </c>
      <c r="M61" s="65"/>
      <c r="N61" s="65"/>
      <c r="O61" s="65"/>
      <c r="P61" s="65"/>
      <c r="Q61" s="65"/>
      <c r="R61" s="65"/>
      <c r="S61" s="65"/>
      <c r="T61" s="67"/>
      <c r="U61" s="161"/>
      <c r="V61" s="162"/>
      <c r="W61" s="163">
        <f>W60+0.5</f>
        <v>5.9</v>
      </c>
      <c r="X61" s="162"/>
      <c r="Y61" s="164"/>
      <c r="Z61" s="165"/>
      <c r="AA61" s="94"/>
      <c r="AB61" s="95"/>
      <c r="AC61" s="96"/>
      <c r="AD61" s="166"/>
      <c r="AE61" s="168" t="s">
        <v>45</v>
      </c>
      <c r="AF61" s="28"/>
      <c r="AG61" s="60"/>
    </row>
    <row r="62" spans="1:34" ht="13.5" customHeight="1" thickBot="1" x14ac:dyDescent="0.3">
      <c r="A62" s="48"/>
      <c r="B62" s="170" t="s">
        <v>46</v>
      </c>
      <c r="C62" s="171"/>
      <c r="D62" s="172"/>
      <c r="E62" s="97">
        <f>E60-2</f>
        <v>4.5</v>
      </c>
      <c r="F62" s="97"/>
      <c r="G62" s="98"/>
      <c r="H62" s="98"/>
      <c r="I62" s="98"/>
      <c r="J62" s="97">
        <f>J60-6</f>
        <v>24</v>
      </c>
      <c r="K62" s="98"/>
      <c r="L62" s="97">
        <f>L60-7</f>
        <v>53</v>
      </c>
      <c r="M62" s="97"/>
      <c r="N62" s="98"/>
      <c r="O62" s="98"/>
      <c r="P62" s="98"/>
      <c r="Q62" s="97"/>
      <c r="R62" s="98"/>
      <c r="S62" s="98"/>
      <c r="T62" s="99"/>
      <c r="U62" s="173"/>
      <c r="V62" s="174"/>
      <c r="W62" s="175">
        <f>W60-0.5</f>
        <v>4.9000000000000004</v>
      </c>
      <c r="X62" s="174"/>
      <c r="Y62" s="176"/>
      <c r="Z62" s="177"/>
      <c r="AA62" s="100"/>
      <c r="AB62" s="101"/>
      <c r="AC62" s="102"/>
      <c r="AD62" s="167"/>
      <c r="AE62" s="169"/>
      <c r="AF62" s="28"/>
      <c r="AG62" s="60"/>
    </row>
    <row r="63" spans="1:34" ht="6.75" customHeigh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103"/>
    </row>
    <row r="64" spans="1:34" ht="8.25" customHeight="1" x14ac:dyDescent="0.25"/>
    <row r="65" spans="1:30" ht="15.6" customHeight="1" x14ac:dyDescent="0.25">
      <c r="A65" s="104" t="s">
        <v>47</v>
      </c>
      <c r="B65" s="105" t="s">
        <v>48</v>
      </c>
      <c r="C65" s="106"/>
      <c r="D65" s="106"/>
      <c r="E65" s="106"/>
      <c r="F65" s="107"/>
      <c r="G65" s="107"/>
      <c r="H65" s="107"/>
      <c r="I65" s="10"/>
      <c r="J65" s="10"/>
      <c r="K65" s="10"/>
      <c r="L65" s="10"/>
      <c r="M65" s="10"/>
      <c r="N65" s="10"/>
      <c r="O65" s="10"/>
      <c r="P65" s="10"/>
      <c r="Q65" s="107"/>
      <c r="R65" s="10"/>
      <c r="S65" s="10"/>
      <c r="T65" s="10"/>
      <c r="U65" s="144"/>
      <c r="V65" s="144"/>
      <c r="W65" s="144"/>
      <c r="X65" s="144"/>
      <c r="Y65" s="144"/>
      <c r="Z65" s="145"/>
      <c r="AA65" s="108"/>
      <c r="AB65" s="109"/>
      <c r="AC65" s="109"/>
      <c r="AD65" s="110"/>
    </row>
    <row r="66" spans="1:30" ht="26.4" customHeight="1" x14ac:dyDescent="0.25">
      <c r="A66" s="146" t="s">
        <v>49</v>
      </c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8"/>
      <c r="R66" s="133" t="s">
        <v>50</v>
      </c>
      <c r="S66" s="134"/>
      <c r="T66" s="135"/>
      <c r="U66" s="149" t="s">
        <v>51</v>
      </c>
      <c r="V66" s="150"/>
      <c r="W66" s="150"/>
      <c r="X66" s="150"/>
      <c r="Y66" s="150"/>
      <c r="Z66" s="151"/>
      <c r="AA66" s="32"/>
      <c r="AB66" s="111"/>
      <c r="AC66" s="111"/>
      <c r="AD66" s="110"/>
    </row>
    <row r="67" spans="1:30" ht="26.4" customHeight="1" x14ac:dyDescent="0.25">
      <c r="A67" s="152" t="s">
        <v>52</v>
      </c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4"/>
      <c r="R67" s="133" t="s">
        <v>53</v>
      </c>
      <c r="S67" s="134"/>
      <c r="T67" s="135"/>
      <c r="U67" s="155" t="s">
        <v>54</v>
      </c>
      <c r="V67" s="156"/>
      <c r="W67" s="156"/>
      <c r="X67" s="156"/>
      <c r="Y67" s="156"/>
      <c r="Z67" s="157"/>
      <c r="AA67" s="32"/>
      <c r="AB67" s="111"/>
      <c r="AC67" s="111"/>
      <c r="AD67" s="110"/>
    </row>
    <row r="68" spans="1:30" ht="15.6" customHeight="1" x14ac:dyDescent="0.25">
      <c r="A68" s="112" t="s">
        <v>55</v>
      </c>
      <c r="B68" s="113" t="s">
        <v>56</v>
      </c>
      <c r="C68" s="13"/>
      <c r="D68" s="13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5"/>
      <c r="R68" s="133"/>
      <c r="S68" s="134"/>
      <c r="T68" s="135"/>
      <c r="U68" s="158"/>
      <c r="V68" s="159"/>
      <c r="W68" s="159"/>
      <c r="X68" s="159"/>
      <c r="Y68" s="159"/>
      <c r="Z68" s="160"/>
      <c r="AA68" s="32"/>
      <c r="AB68" s="111"/>
      <c r="AC68" s="111"/>
      <c r="AD68" s="110"/>
    </row>
    <row r="69" spans="1:30" ht="15.6" customHeight="1" x14ac:dyDescent="0.25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9"/>
      <c r="R69" s="133" t="s">
        <v>57</v>
      </c>
      <c r="S69" s="134"/>
      <c r="T69" s="135"/>
      <c r="U69" s="116"/>
      <c r="V69" s="117"/>
      <c r="W69" s="117"/>
      <c r="X69" s="117"/>
      <c r="Y69" s="117"/>
      <c r="Z69" s="118"/>
      <c r="AA69" s="119"/>
      <c r="AB69" s="120"/>
      <c r="AC69" s="120"/>
      <c r="AD69" s="110"/>
    </row>
    <row r="70" spans="1:30" ht="15.6" customHeight="1" x14ac:dyDescent="0.25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9"/>
      <c r="R70" s="133"/>
      <c r="S70" s="134"/>
      <c r="T70" s="135"/>
      <c r="U70" s="121"/>
      <c r="V70" s="139"/>
      <c r="W70" s="139"/>
      <c r="X70" s="139"/>
      <c r="Y70" s="139"/>
      <c r="Z70" s="122"/>
      <c r="AA70" s="119"/>
      <c r="AB70" s="120"/>
      <c r="AC70" s="120"/>
      <c r="AD70" s="110"/>
    </row>
    <row r="71" spans="1:30" ht="15.6" customHeight="1" x14ac:dyDescent="0.25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9"/>
      <c r="R71" s="133"/>
      <c r="S71" s="134"/>
      <c r="T71" s="135"/>
      <c r="U71" s="121"/>
      <c r="V71" s="139"/>
      <c r="W71" s="139"/>
      <c r="X71" s="139"/>
      <c r="Y71" s="139"/>
      <c r="Z71" s="122"/>
      <c r="AA71" s="119"/>
      <c r="AB71" s="120"/>
      <c r="AC71" s="120"/>
      <c r="AD71" s="110"/>
    </row>
    <row r="72" spans="1:30" ht="15.6" customHeight="1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2"/>
      <c r="R72" s="136"/>
      <c r="S72" s="137"/>
      <c r="T72" s="138"/>
      <c r="U72" s="123"/>
      <c r="V72" s="124"/>
      <c r="W72" s="124"/>
      <c r="X72" s="124"/>
      <c r="Y72" s="124"/>
      <c r="Z72" s="125"/>
      <c r="AA72" s="119"/>
      <c r="AB72" s="120"/>
      <c r="AC72" s="120"/>
      <c r="AD72" s="110"/>
    </row>
    <row r="73" spans="1:30" ht="12.75" customHeight="1" x14ac:dyDescent="0.25">
      <c r="U73" s="126"/>
      <c r="V73" s="126"/>
      <c r="W73" s="126"/>
      <c r="X73" s="126"/>
      <c r="Y73" s="126"/>
      <c r="Z73" s="126"/>
    </row>
  </sheetData>
  <mergeCells count="101">
    <mergeCell ref="A69:Q72"/>
    <mergeCell ref="R69:T72"/>
    <mergeCell ref="V70:Y71"/>
    <mergeCell ref="C53:D53"/>
    <mergeCell ref="U53:V53"/>
    <mergeCell ref="W53:X53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C56:D56"/>
    <mergeCell ref="U56:V56"/>
    <mergeCell ref="W56:X56"/>
    <mergeCell ref="Y56:Z56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G51:AG52"/>
    <mergeCell ref="C52:D52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E95C-DD27-4967-9B93-A59830679DB8}">
  <sheetPr>
    <pageSetUpPr fitToPage="1"/>
  </sheetPr>
  <dimension ref="A1:AN73"/>
  <sheetViews>
    <sheetView topLeftCell="A60" zoomScaleNormal="100" workbookViewId="0">
      <selection activeCell="AB49" sqref="AB49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6" customHeight="1" x14ac:dyDescent="0.25">
      <c r="A1" s="254"/>
      <c r="B1" s="255"/>
      <c r="C1" s="255"/>
      <c r="D1" s="255"/>
      <c r="E1" s="255"/>
      <c r="F1" s="256"/>
      <c r="G1" s="263" t="s">
        <v>0</v>
      </c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5"/>
      <c r="U1" s="266" t="s">
        <v>59</v>
      </c>
      <c r="V1" s="267"/>
      <c r="W1" s="267"/>
      <c r="X1" s="267"/>
      <c r="Y1" s="267"/>
      <c r="Z1" s="268"/>
      <c r="AA1" s="1"/>
    </row>
    <row r="2" spans="1:36" ht="12.6" customHeight="1" x14ac:dyDescent="0.25">
      <c r="A2" s="257"/>
      <c r="B2" s="258"/>
      <c r="C2" s="258"/>
      <c r="D2" s="258"/>
      <c r="E2" s="258"/>
      <c r="F2" s="259"/>
      <c r="G2" s="275" t="s">
        <v>1</v>
      </c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7"/>
      <c r="U2" s="269"/>
      <c r="V2" s="270"/>
      <c r="W2" s="270"/>
      <c r="X2" s="270"/>
      <c r="Y2" s="270"/>
      <c r="Z2" s="271"/>
      <c r="AA2" s="1"/>
    </row>
    <row r="3" spans="1:36" ht="12.6" customHeight="1" x14ac:dyDescent="0.25">
      <c r="A3" s="257"/>
      <c r="B3" s="258"/>
      <c r="C3" s="258"/>
      <c r="D3" s="258"/>
      <c r="E3" s="258"/>
      <c r="F3" s="259"/>
      <c r="G3" s="278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7"/>
      <c r="U3" s="269"/>
      <c r="V3" s="270"/>
      <c r="W3" s="270"/>
      <c r="X3" s="270"/>
      <c r="Y3" s="270"/>
      <c r="Z3" s="271"/>
      <c r="AA3" s="1"/>
    </row>
    <row r="4" spans="1:36" ht="12.6" customHeight="1" x14ac:dyDescent="0.25">
      <c r="A4" s="257"/>
      <c r="B4" s="258"/>
      <c r="C4" s="258"/>
      <c r="D4" s="258"/>
      <c r="E4" s="258"/>
      <c r="F4" s="259"/>
      <c r="G4" s="278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7"/>
      <c r="U4" s="269"/>
      <c r="V4" s="270"/>
      <c r="W4" s="270"/>
      <c r="X4" s="270"/>
      <c r="Y4" s="270"/>
      <c r="Z4" s="271"/>
      <c r="AA4" s="1"/>
    </row>
    <row r="5" spans="1:36" ht="12.6" customHeight="1" x14ac:dyDescent="0.25">
      <c r="A5" s="257"/>
      <c r="B5" s="258"/>
      <c r="C5" s="258"/>
      <c r="D5" s="258"/>
      <c r="E5" s="258"/>
      <c r="F5" s="259"/>
      <c r="G5" s="278" t="s">
        <v>2</v>
      </c>
      <c r="H5" s="276"/>
      <c r="I5" s="3" t="s">
        <v>3</v>
      </c>
      <c r="J5" s="239">
        <v>2</v>
      </c>
      <c r="K5" s="279"/>
      <c r="L5" s="280" t="s">
        <v>58</v>
      </c>
      <c r="M5" s="239"/>
      <c r="N5" s="239"/>
      <c r="O5" s="279"/>
      <c r="P5" s="281">
        <v>46048</v>
      </c>
      <c r="Q5" s="282"/>
      <c r="R5" s="282"/>
      <c r="S5" s="282"/>
      <c r="T5" s="283"/>
      <c r="U5" s="269"/>
      <c r="V5" s="270"/>
      <c r="W5" s="270"/>
      <c r="X5" s="270"/>
      <c r="Y5" s="270"/>
      <c r="Z5" s="271"/>
      <c r="AA5" s="1"/>
    </row>
    <row r="6" spans="1:36" ht="12.6" customHeight="1" x14ac:dyDescent="0.25">
      <c r="A6" s="260"/>
      <c r="B6" s="261"/>
      <c r="C6" s="261"/>
      <c r="D6" s="261"/>
      <c r="E6" s="261"/>
      <c r="F6" s="262"/>
      <c r="G6" s="4"/>
      <c r="H6" s="5"/>
      <c r="I6" s="5"/>
      <c r="J6" s="250" t="s">
        <v>4</v>
      </c>
      <c r="K6" s="250"/>
      <c r="L6" s="250" t="s">
        <v>5</v>
      </c>
      <c r="M6" s="250"/>
      <c r="N6" s="250"/>
      <c r="O6" s="250"/>
      <c r="P6" s="250" t="s">
        <v>6</v>
      </c>
      <c r="Q6" s="250"/>
      <c r="R6" s="250"/>
      <c r="S6" s="250"/>
      <c r="T6" s="251"/>
      <c r="U6" s="272"/>
      <c r="V6" s="273"/>
      <c r="W6" s="273"/>
      <c r="X6" s="273"/>
      <c r="Y6" s="273"/>
      <c r="Z6" s="274"/>
      <c r="AA6" s="1"/>
    </row>
    <row r="7" spans="1:36" ht="36.6" customHeight="1" x14ac:dyDescent="0.25">
      <c r="A7" s="252" t="s">
        <v>7</v>
      </c>
      <c r="B7" s="252"/>
      <c r="C7" s="252"/>
      <c r="D7" s="252"/>
      <c r="E7" s="252"/>
      <c r="F7" s="252"/>
      <c r="G7" s="253" t="s">
        <v>8</v>
      </c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7.95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238" t="s">
        <v>11</v>
      </c>
      <c r="C10" s="238"/>
      <c r="D10" s="238"/>
      <c r="E10" s="238"/>
      <c r="F10" s="238"/>
      <c r="G10" s="246" t="s">
        <v>12</v>
      </c>
      <c r="H10" s="246"/>
      <c r="I10" s="246"/>
      <c r="J10" s="246"/>
      <c r="K10" s="246"/>
      <c r="L10" s="246"/>
      <c r="M10" s="247" t="s">
        <v>13</v>
      </c>
      <c r="N10" s="247"/>
      <c r="O10" s="247"/>
      <c r="P10" s="247"/>
      <c r="Q10" s="247"/>
      <c r="R10" s="247"/>
      <c r="S10" s="248" t="s">
        <v>60</v>
      </c>
      <c r="T10" s="248"/>
      <c r="U10" s="248"/>
      <c r="V10" s="248"/>
      <c r="W10" s="248"/>
      <c r="X10" s="248"/>
      <c r="Y10" s="248"/>
      <c r="Z10" s="19"/>
      <c r="AA10" s="18"/>
      <c r="AB10" s="14"/>
      <c r="AC10" s="14"/>
      <c r="AD10" s="14"/>
      <c r="AE10" s="20"/>
      <c r="AF10" s="20"/>
      <c r="AG10" s="20"/>
      <c r="AH10" s="20"/>
      <c r="AI10" s="20"/>
    </row>
    <row r="11" spans="1:36" ht="15.9" customHeight="1" x14ac:dyDescent="0.25">
      <c r="A11" s="15"/>
      <c r="B11" s="238" t="s">
        <v>14</v>
      </c>
      <c r="C11" s="238"/>
      <c r="D11" s="238"/>
      <c r="E11" s="238"/>
      <c r="F11" s="238"/>
      <c r="G11" s="246">
        <v>46048</v>
      </c>
      <c r="H11" s="246"/>
      <c r="I11" s="246"/>
      <c r="J11" s="246"/>
      <c r="K11" s="246"/>
      <c r="L11" s="246"/>
      <c r="M11" s="247" t="s">
        <v>15</v>
      </c>
      <c r="N11" s="247"/>
      <c r="O11" s="247"/>
      <c r="P11" s="247"/>
      <c r="Q11" s="247"/>
      <c r="R11" s="247"/>
      <c r="S11" s="248" t="s">
        <v>65</v>
      </c>
      <c r="T11" s="248"/>
      <c r="U11" s="248"/>
      <c r="V11" s="248"/>
      <c r="W11" s="248"/>
      <c r="X11" s="248"/>
      <c r="Y11" s="248"/>
      <c r="Z11" s="19"/>
      <c r="AA11" s="18"/>
      <c r="AB11" s="14"/>
      <c r="AC11" s="14"/>
      <c r="AD11" s="14"/>
      <c r="AE11" s="20"/>
      <c r="AF11" s="20"/>
      <c r="AG11" s="20"/>
      <c r="AH11" s="20"/>
      <c r="AI11" s="20"/>
    </row>
    <row r="12" spans="1:36" ht="15.9" customHeight="1" x14ac:dyDescent="0.25">
      <c r="A12" s="15"/>
      <c r="B12" s="238" t="s">
        <v>16</v>
      </c>
      <c r="C12" s="238"/>
      <c r="D12" s="238"/>
      <c r="E12" s="238"/>
      <c r="F12" s="238"/>
      <c r="G12" s="246">
        <v>46045</v>
      </c>
      <c r="H12" s="246"/>
      <c r="I12" s="246"/>
      <c r="J12" s="246"/>
      <c r="K12" s="246"/>
      <c r="L12" s="246"/>
      <c r="M12" s="249" t="s">
        <v>17</v>
      </c>
      <c r="N12" s="249"/>
      <c r="O12" s="249"/>
      <c r="P12" s="249"/>
      <c r="Q12" s="249"/>
      <c r="R12" s="249"/>
      <c r="S12" s="248">
        <v>157</v>
      </c>
      <c r="T12" s="248"/>
      <c r="U12" s="248"/>
      <c r="V12" s="248"/>
      <c r="W12" s="248"/>
      <c r="X12" s="248"/>
      <c r="Y12" s="248"/>
      <c r="Z12" s="19"/>
      <c r="AA12" s="18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45" t="s">
        <v>18</v>
      </c>
      <c r="C13" s="245"/>
      <c r="D13" s="245"/>
      <c r="E13" s="245"/>
      <c r="F13" s="245"/>
      <c r="G13" s="246" t="s">
        <v>67</v>
      </c>
      <c r="H13" s="246"/>
      <c r="I13" s="246"/>
      <c r="J13" s="246"/>
      <c r="K13" s="246"/>
      <c r="L13" s="246"/>
      <c r="M13" s="247" t="s">
        <v>19</v>
      </c>
      <c r="N13" s="247"/>
      <c r="O13" s="247"/>
      <c r="P13" s="247"/>
      <c r="Q13" s="247"/>
      <c r="R13" s="247"/>
      <c r="S13" s="246" t="s">
        <v>66</v>
      </c>
      <c r="T13" s="246"/>
      <c r="U13" s="246"/>
      <c r="V13" s="246"/>
      <c r="W13" s="246"/>
      <c r="X13" s="246"/>
      <c r="Y13" s="246"/>
      <c r="Z13" s="19"/>
      <c r="AA13" s="18"/>
      <c r="AB13" s="14"/>
      <c r="AC13" s="14"/>
      <c r="AD13" s="14"/>
      <c r="AE13" s="20"/>
      <c r="AF13" s="20"/>
      <c r="AG13" s="20"/>
      <c r="AH13" s="20"/>
      <c r="AI13" s="20"/>
      <c r="AJ13" s="20"/>
    </row>
    <row r="14" spans="1:36" ht="15.9" customHeight="1" x14ac:dyDescent="0.25">
      <c r="A14" s="21"/>
      <c r="B14" s="238" t="s">
        <v>21</v>
      </c>
      <c r="C14" s="238"/>
      <c r="D14" s="238"/>
      <c r="E14" s="238"/>
      <c r="F14" s="238"/>
      <c r="G14" s="246" t="s">
        <v>68</v>
      </c>
      <c r="H14" s="246"/>
      <c r="I14" s="246"/>
      <c r="J14" s="246"/>
      <c r="K14" s="246"/>
      <c r="L14" s="246"/>
      <c r="M14" s="248" t="s">
        <v>22</v>
      </c>
      <c r="N14" s="248"/>
      <c r="O14" s="248"/>
      <c r="P14" s="248"/>
      <c r="Q14" s="248"/>
      <c r="R14" s="248"/>
      <c r="S14" s="248" t="s">
        <v>23</v>
      </c>
      <c r="T14" s="248"/>
      <c r="U14" s="248"/>
      <c r="V14" s="248"/>
      <c r="W14" s="248"/>
      <c r="X14" s="248"/>
      <c r="Y14" s="248"/>
      <c r="Z14" s="22"/>
      <c r="AA14" s="14"/>
      <c r="AB14" s="14"/>
      <c r="AC14" s="14"/>
      <c r="AD14" s="14"/>
      <c r="AE14" s="20"/>
      <c r="AF14" s="20"/>
      <c r="AG14" s="20"/>
      <c r="AH14" s="20"/>
      <c r="AI14" s="20"/>
      <c r="AJ14" s="20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20"/>
      <c r="AF15" s="20"/>
      <c r="AG15" s="20"/>
      <c r="AH15" s="20"/>
      <c r="AI15" s="20"/>
      <c r="AJ15" s="20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20"/>
      <c r="AF16" s="20"/>
      <c r="AG16" s="20"/>
      <c r="AH16" s="20"/>
      <c r="AI16" s="20"/>
      <c r="AJ16" s="20"/>
    </row>
    <row r="17" spans="1:40" ht="15.9" customHeight="1" x14ac:dyDescent="0.25">
      <c r="A17" s="8" t="s">
        <v>24</v>
      </c>
      <c r="B17" s="9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238" t="s">
        <v>26</v>
      </c>
      <c r="C19" s="238"/>
      <c r="D19" s="238"/>
      <c r="E19" s="238"/>
      <c r="F19" s="238"/>
      <c r="G19" s="238"/>
      <c r="H19" s="238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19"/>
      <c r="AA19" s="18"/>
      <c r="AE19" s="30"/>
      <c r="AI19" s="30"/>
    </row>
    <row r="20" spans="1:40" ht="15.9" customHeight="1" x14ac:dyDescent="0.25">
      <c r="A20" s="15"/>
      <c r="B20" s="238" t="s">
        <v>27</v>
      </c>
      <c r="C20" s="238"/>
      <c r="D20" s="238"/>
      <c r="E20" s="238"/>
      <c r="F20" s="238"/>
      <c r="G20" s="238"/>
      <c r="H20" s="238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19"/>
      <c r="AA20" s="18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3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4" t="s">
        <v>28</v>
      </c>
      <c r="B23" s="35" t="s">
        <v>29</v>
      </c>
      <c r="C23" s="35"/>
      <c r="D23" s="36"/>
      <c r="E23" s="36"/>
      <c r="F23" s="37"/>
      <c r="G23" s="37"/>
      <c r="H23" s="37"/>
      <c r="I23" s="37"/>
      <c r="J23" s="37"/>
      <c r="K23" s="37"/>
      <c r="L23" s="37"/>
      <c r="M23" s="37"/>
      <c r="N23" s="36"/>
      <c r="O23" s="36"/>
      <c r="P23" s="36"/>
      <c r="Q23" s="36"/>
      <c r="R23" s="36"/>
      <c r="S23" s="38"/>
      <c r="T23" s="38"/>
      <c r="U23" s="38"/>
      <c r="V23" s="38"/>
      <c r="W23" s="38"/>
      <c r="X23" s="38"/>
      <c r="Y23" s="38"/>
      <c r="Z23" s="39"/>
      <c r="AM23" s="40"/>
      <c r="AN23" s="41"/>
    </row>
    <row r="24" spans="1:40" ht="9" customHeight="1" x14ac:dyDescent="0.25">
      <c r="A24" s="21"/>
      <c r="Z24" s="42"/>
    </row>
    <row r="25" spans="1:40" ht="33.6" customHeight="1" x14ac:dyDescent="0.25">
      <c r="A25" s="21"/>
      <c r="Z25" s="42"/>
    </row>
    <row r="26" spans="1:40" ht="12.75" customHeight="1" x14ac:dyDescent="0.25">
      <c r="A26" s="21"/>
      <c r="Z26" s="42"/>
    </row>
    <row r="27" spans="1:40" ht="12.75" customHeight="1" x14ac:dyDescent="0.25">
      <c r="A27" s="21"/>
      <c r="Z27" s="42"/>
    </row>
    <row r="28" spans="1:40" ht="12.75" customHeight="1" x14ac:dyDescent="0.25">
      <c r="A28" s="21"/>
      <c r="Z28" s="42"/>
    </row>
    <row r="29" spans="1:40" ht="12.75" customHeight="1" x14ac:dyDescent="0.25">
      <c r="A29" s="21"/>
      <c r="Z29" s="42"/>
    </row>
    <row r="30" spans="1:40" ht="12.75" customHeight="1" x14ac:dyDescent="0.25">
      <c r="A30" s="21"/>
      <c r="Z30" s="42"/>
    </row>
    <row r="31" spans="1:40" ht="12.75" customHeight="1" x14ac:dyDescent="0.25">
      <c r="A31" s="21"/>
      <c r="Z31" s="42"/>
    </row>
    <row r="32" spans="1:40" ht="12.75" customHeight="1" x14ac:dyDescent="0.25">
      <c r="A32" s="21"/>
      <c r="Z32" s="42"/>
    </row>
    <row r="33" spans="1:26" ht="12.75" customHeight="1" x14ac:dyDescent="0.25">
      <c r="A33" s="21"/>
      <c r="Z33" s="42"/>
    </row>
    <row r="34" spans="1:26" ht="12.75" customHeight="1" x14ac:dyDescent="0.25">
      <c r="A34" s="21"/>
      <c r="Z34" s="42"/>
    </row>
    <row r="35" spans="1:26" ht="12.75" customHeight="1" x14ac:dyDescent="0.25">
      <c r="A35" s="21"/>
      <c r="Z35" s="42"/>
    </row>
    <row r="36" spans="1:26" ht="12.75" customHeight="1" x14ac:dyDescent="0.25">
      <c r="A36" s="21"/>
      <c r="Z36" s="42"/>
    </row>
    <row r="37" spans="1:26" ht="12.75" customHeight="1" x14ac:dyDescent="0.25">
      <c r="A37" s="21"/>
      <c r="Z37" s="42"/>
    </row>
    <row r="38" spans="1:26" ht="12.75" customHeight="1" x14ac:dyDescent="0.25">
      <c r="A38" s="21"/>
      <c r="Z38" s="42"/>
    </row>
    <row r="39" spans="1:26" ht="12.75" customHeight="1" x14ac:dyDescent="0.25">
      <c r="A39" s="21"/>
      <c r="Z39" s="42"/>
    </row>
    <row r="40" spans="1:26" ht="12.75" customHeight="1" x14ac:dyDescent="0.25">
      <c r="A40" s="21"/>
      <c r="Z40" s="42"/>
    </row>
    <row r="41" spans="1:26" ht="12.75" customHeight="1" x14ac:dyDescent="0.25">
      <c r="A41" s="21"/>
      <c r="Z41" s="42"/>
    </row>
    <row r="42" spans="1:26" ht="12.75" customHeight="1" x14ac:dyDescent="0.25">
      <c r="A42" s="21"/>
      <c r="Z42" s="42"/>
    </row>
    <row r="43" spans="1:26" ht="12.75" customHeight="1" x14ac:dyDescent="0.25">
      <c r="A43" s="21"/>
      <c r="Z43" s="42"/>
    </row>
    <row r="44" spans="1:26" ht="12.75" customHeight="1" x14ac:dyDescent="0.25">
      <c r="A44" s="21"/>
      <c r="Z44" s="42"/>
    </row>
    <row r="45" spans="1:26" ht="12.75" customHeight="1" x14ac:dyDescent="0.25">
      <c r="A45" s="21"/>
      <c r="Z45" s="42"/>
    </row>
    <row r="46" spans="1:26" ht="12.75" customHeight="1" x14ac:dyDescent="0.25">
      <c r="A46" s="21"/>
      <c r="Z46" s="42"/>
    </row>
    <row r="47" spans="1:26" ht="9.75" customHeight="1" x14ac:dyDescent="0.25">
      <c r="A47" s="21"/>
      <c r="Z47" s="42"/>
    </row>
    <row r="48" spans="1:26" ht="37.950000000000003" customHeight="1" thickBot="1" x14ac:dyDescent="0.3">
      <c r="A48" s="21"/>
      <c r="Z48" s="42"/>
    </row>
    <row r="49" spans="1:34" ht="9.75" customHeight="1" x14ac:dyDescent="0.25">
      <c r="A49" s="21"/>
      <c r="Z49" s="42"/>
      <c r="AD49" s="241" t="s">
        <v>30</v>
      </c>
      <c r="AE49" s="243">
        <v>2.6779999999999999</v>
      </c>
      <c r="AF49" s="215"/>
      <c r="AG49" s="219"/>
      <c r="AH49" s="43"/>
    </row>
    <row r="50" spans="1:34" ht="12.75" customHeight="1" thickBot="1" x14ac:dyDescent="0.3">
      <c r="A50" s="21"/>
      <c r="Z50" s="44"/>
      <c r="AD50" s="242"/>
      <c r="AE50" s="244"/>
      <c r="AF50" s="218"/>
      <c r="AG50" s="219"/>
    </row>
    <row r="51" spans="1:34" ht="18.75" customHeight="1" thickBot="1" x14ac:dyDescent="0.3">
      <c r="A51" s="21"/>
      <c r="E51" s="220" t="s">
        <v>31</v>
      </c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2" t="s">
        <v>32</v>
      </c>
      <c r="V51" s="223"/>
      <c r="W51" s="224" t="s">
        <v>33</v>
      </c>
      <c r="X51" s="223"/>
      <c r="Y51" s="225" t="s">
        <v>34</v>
      </c>
      <c r="Z51" s="226"/>
      <c r="AA51" s="47"/>
      <c r="AB51" s="229" t="s">
        <v>35</v>
      </c>
      <c r="AC51" s="230"/>
      <c r="AD51" s="233" t="s">
        <v>36</v>
      </c>
      <c r="AE51" s="235" t="s">
        <v>37</v>
      </c>
      <c r="AF51" s="215"/>
      <c r="AG51" s="215"/>
      <c r="AH51" s="45"/>
    </row>
    <row r="52" spans="1:34" ht="24.9" customHeight="1" thickBot="1" x14ac:dyDescent="0.3">
      <c r="A52" s="48"/>
      <c r="B52" s="46" t="s">
        <v>38</v>
      </c>
      <c r="C52" s="216" t="s">
        <v>39</v>
      </c>
      <c r="D52" s="217"/>
      <c r="E52" s="49">
        <v>6.3E-2</v>
      </c>
      <c r="F52" s="49">
        <v>0.125</v>
      </c>
      <c r="G52" s="50">
        <v>0.25</v>
      </c>
      <c r="H52" s="50">
        <v>0.5</v>
      </c>
      <c r="I52" s="50">
        <v>1</v>
      </c>
      <c r="J52" s="50">
        <v>2</v>
      </c>
      <c r="K52" s="50">
        <v>4</v>
      </c>
      <c r="L52" s="50">
        <v>6.3</v>
      </c>
      <c r="M52" s="50">
        <v>8</v>
      </c>
      <c r="N52" s="50">
        <v>10</v>
      </c>
      <c r="O52" s="50">
        <v>12.5</v>
      </c>
      <c r="P52" s="50">
        <v>14</v>
      </c>
      <c r="Q52" s="51">
        <v>16</v>
      </c>
      <c r="R52" s="51">
        <v>20</v>
      </c>
      <c r="S52" s="50"/>
      <c r="T52" s="51"/>
      <c r="U52" s="170"/>
      <c r="V52" s="172"/>
      <c r="W52" s="171"/>
      <c r="X52" s="172"/>
      <c r="Y52" s="227"/>
      <c r="Z52" s="228"/>
      <c r="AA52" s="47"/>
      <c r="AB52" s="231"/>
      <c r="AC52" s="232"/>
      <c r="AD52" s="234"/>
      <c r="AE52" s="236"/>
      <c r="AF52" s="237"/>
      <c r="AG52" s="215"/>
    </row>
    <row r="53" spans="1:34" ht="24.9" customHeight="1" x14ac:dyDescent="0.25">
      <c r="A53" s="48"/>
      <c r="B53" s="52">
        <v>1</v>
      </c>
      <c r="C53" s="208" t="s">
        <v>64</v>
      </c>
      <c r="D53" s="209"/>
      <c r="E53" s="284">
        <v>8.8000000000000007</v>
      </c>
      <c r="F53" s="285">
        <v>10.6</v>
      </c>
      <c r="G53" s="286">
        <v>13.2</v>
      </c>
      <c r="H53" s="286">
        <v>16.8</v>
      </c>
      <c r="I53" s="286">
        <v>22</v>
      </c>
      <c r="J53" s="286">
        <v>31.8</v>
      </c>
      <c r="K53" s="286">
        <v>47.2</v>
      </c>
      <c r="L53" s="286">
        <v>63</v>
      </c>
      <c r="M53" s="286">
        <v>73.5</v>
      </c>
      <c r="N53" s="286">
        <v>84</v>
      </c>
      <c r="O53" s="286">
        <v>92.9</v>
      </c>
      <c r="P53" s="286">
        <v>96.6</v>
      </c>
      <c r="Q53" s="286">
        <v>100</v>
      </c>
      <c r="R53" s="286"/>
      <c r="S53" s="287"/>
      <c r="T53" s="287"/>
      <c r="U53" s="140">
        <v>180</v>
      </c>
      <c r="V53" s="141"/>
      <c r="W53" s="142">
        <v>4.5599999999999996</v>
      </c>
      <c r="X53" s="143"/>
      <c r="Y53" s="210">
        <f t="shared" ref="Y53:Y56" si="0">IF(W53&lt;&gt;0,AE53,"")</f>
        <v>2.7756620569359889</v>
      </c>
      <c r="Z53" s="211"/>
      <c r="AA53" s="57"/>
      <c r="AB53" s="187">
        <f>(100*W53)/(100-W53)</f>
        <v>4.7778709136630342</v>
      </c>
      <c r="AC53" s="188"/>
      <c r="AD53" s="58">
        <f>(0.25*(100-O53)+2.3*(O53-H53)+12*(H53-E53)+150*(E53))/100</f>
        <v>15.928050000000001</v>
      </c>
      <c r="AE53" s="59">
        <f>(AB53*$AE$49)/(2.65*(AD53)^(1/5))</f>
        <v>2.7756620569359889</v>
      </c>
      <c r="AF53" s="28"/>
      <c r="AG53" s="60"/>
    </row>
    <row r="54" spans="1:34" ht="24.9" customHeight="1" x14ac:dyDescent="0.25">
      <c r="A54" s="48"/>
      <c r="B54" s="61">
        <v>2</v>
      </c>
      <c r="C54" s="208"/>
      <c r="D54" s="209"/>
      <c r="E54" s="53"/>
      <c r="F54" s="5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62"/>
      <c r="R54" s="55"/>
      <c r="S54" s="56"/>
      <c r="T54" s="56"/>
      <c r="U54" s="140"/>
      <c r="V54" s="141"/>
      <c r="W54" s="142"/>
      <c r="X54" s="143"/>
      <c r="Y54" s="210" t="str">
        <f t="shared" si="0"/>
        <v/>
      </c>
      <c r="Z54" s="211"/>
      <c r="AA54" s="57"/>
      <c r="AB54" s="187">
        <f>(100*W54)/(100-W54)</f>
        <v>0</v>
      </c>
      <c r="AC54" s="188"/>
      <c r="AD54" s="58">
        <f>(0.25*(100-O54)+2.3*(O54-H54)+12*(H54-E54)+150*(E54))/100</f>
        <v>0.25</v>
      </c>
      <c r="AE54" s="59">
        <f t="shared" ref="AE54:AE60" si="1">(AB54*$AE$49)/(2.65*(AD54)^(1/5))</f>
        <v>0</v>
      </c>
      <c r="AF54" s="28"/>
      <c r="AG54" s="60"/>
    </row>
    <row r="55" spans="1:34" ht="24.9" customHeight="1" x14ac:dyDescent="0.25">
      <c r="A55" s="48"/>
      <c r="B55" s="61">
        <v>3</v>
      </c>
      <c r="C55" s="164"/>
      <c r="D55" s="212"/>
      <c r="E55" s="63"/>
      <c r="F55" s="64"/>
      <c r="G55" s="64"/>
      <c r="H55" s="65"/>
      <c r="I55" s="65"/>
      <c r="J55" s="65"/>
      <c r="K55" s="65"/>
      <c r="L55" s="65"/>
      <c r="M55" s="65"/>
      <c r="N55" s="65"/>
      <c r="O55" s="65"/>
      <c r="P55" s="65"/>
      <c r="Q55" s="66"/>
      <c r="R55" s="65"/>
      <c r="S55" s="65"/>
      <c r="T55" s="67"/>
      <c r="U55" s="161"/>
      <c r="V55" s="162"/>
      <c r="W55" s="213"/>
      <c r="X55" s="214"/>
      <c r="Y55" s="210" t="str">
        <f t="shared" si="0"/>
        <v/>
      </c>
      <c r="Z55" s="211"/>
      <c r="AA55" s="57"/>
      <c r="AB55" s="187">
        <f>(100*W55)/(100-W55)</f>
        <v>0</v>
      </c>
      <c r="AC55" s="188"/>
      <c r="AD55" s="58">
        <f t="shared" ref="AD55:AD60" si="2">(0.25*(100-O55)+2.3*(O55-H55)+12*(H55-E55)+150*(E55))/100</f>
        <v>0.25</v>
      </c>
      <c r="AE55" s="59">
        <f t="shared" si="1"/>
        <v>0</v>
      </c>
      <c r="AF55" s="28"/>
      <c r="AG55" s="60"/>
    </row>
    <row r="56" spans="1:34" ht="24.9" customHeight="1" thickBot="1" x14ac:dyDescent="0.3">
      <c r="A56" s="48"/>
      <c r="B56" s="68">
        <v>4</v>
      </c>
      <c r="C56" s="176"/>
      <c r="D56" s="198"/>
      <c r="E56" s="69"/>
      <c r="F56" s="70"/>
      <c r="G56" s="70"/>
      <c r="H56" s="71"/>
      <c r="I56" s="71"/>
      <c r="J56" s="71"/>
      <c r="K56" s="71"/>
      <c r="L56" s="71"/>
      <c r="M56" s="71"/>
      <c r="N56" s="71"/>
      <c r="O56" s="71"/>
      <c r="P56" s="71"/>
      <c r="Q56" s="72"/>
      <c r="R56" s="71"/>
      <c r="S56" s="71"/>
      <c r="T56" s="73"/>
      <c r="U56" s="199"/>
      <c r="V56" s="200"/>
      <c r="W56" s="201"/>
      <c r="X56" s="202"/>
      <c r="Y56" s="203" t="str">
        <f t="shared" si="0"/>
        <v/>
      </c>
      <c r="Z56" s="204"/>
      <c r="AA56" s="57"/>
      <c r="AB56" s="187">
        <f>(100*W56)/(100-W56)</f>
        <v>0</v>
      </c>
      <c r="AC56" s="188"/>
      <c r="AD56" s="58">
        <f t="shared" si="2"/>
        <v>0.25</v>
      </c>
      <c r="AE56" s="59">
        <f t="shared" si="1"/>
        <v>0</v>
      </c>
      <c r="AF56" s="28"/>
      <c r="AG56" s="60"/>
    </row>
    <row r="57" spans="1:34" ht="10.5" customHeight="1" thickBot="1" x14ac:dyDescent="0.3">
      <c r="A57" s="48"/>
      <c r="B57" s="2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74"/>
      <c r="S57" s="74"/>
      <c r="T57" s="74"/>
      <c r="U57" s="74"/>
      <c r="V57" s="74"/>
      <c r="W57" s="76"/>
      <c r="Z57" s="77"/>
      <c r="AB57" s="78"/>
      <c r="AC57" s="79"/>
      <c r="AD57" s="58"/>
      <c r="AE57" s="59"/>
      <c r="AF57" s="28"/>
      <c r="AG57" s="60"/>
    </row>
    <row r="58" spans="1:34" ht="24.75" hidden="1" customHeight="1" x14ac:dyDescent="0.25">
      <c r="A58" s="48"/>
      <c r="B58" s="205" t="s">
        <v>41</v>
      </c>
      <c r="C58" s="206"/>
      <c r="D58" s="207"/>
      <c r="E58" s="80"/>
      <c r="F58" s="80"/>
      <c r="G58" s="80"/>
      <c r="H58" s="80"/>
      <c r="I58" s="80"/>
      <c r="J58" s="80"/>
      <c r="K58" s="80"/>
      <c r="L58" s="80"/>
      <c r="M58" s="80">
        <v>10</v>
      </c>
      <c r="N58" s="80">
        <v>10</v>
      </c>
      <c r="O58" s="80"/>
      <c r="P58" s="80"/>
      <c r="Q58" s="81">
        <v>50</v>
      </c>
      <c r="R58" s="80"/>
      <c r="S58" s="80">
        <v>70</v>
      </c>
      <c r="T58" s="80"/>
      <c r="U58" s="80"/>
      <c r="V58" s="80"/>
      <c r="W58" s="80"/>
      <c r="X58" s="82"/>
      <c r="Y58" s="83">
        <v>4.5</v>
      </c>
      <c r="Z58" s="83"/>
      <c r="AA58" s="28"/>
      <c r="AB58" s="78"/>
      <c r="AC58" s="79"/>
      <c r="AD58" s="58">
        <f t="shared" si="2"/>
        <v>0.25</v>
      </c>
      <c r="AE58" s="59">
        <f t="shared" si="1"/>
        <v>0</v>
      </c>
      <c r="AF58" s="28"/>
      <c r="AG58" s="60"/>
    </row>
    <row r="59" spans="1:34" ht="18.75" customHeight="1" x14ac:dyDescent="0.25">
      <c r="A59" s="48"/>
      <c r="B59" s="178" t="s">
        <v>42</v>
      </c>
      <c r="C59" s="179"/>
      <c r="D59" s="180"/>
      <c r="E59" s="84">
        <f>IF(E53&lt;&gt;0,AVERAGE(E53:E56),"")</f>
        <v>8.8000000000000007</v>
      </c>
      <c r="F59" s="84">
        <f t="shared" ref="F59:Q59" si="3">IF(F53&lt;&gt;0,AVERAGE(F53:F56),"")</f>
        <v>10.6</v>
      </c>
      <c r="G59" s="84">
        <f t="shared" si="3"/>
        <v>13.2</v>
      </c>
      <c r="H59" s="84">
        <f t="shared" si="3"/>
        <v>16.8</v>
      </c>
      <c r="I59" s="84">
        <f t="shared" si="3"/>
        <v>22</v>
      </c>
      <c r="J59" s="84">
        <f t="shared" si="3"/>
        <v>31.8</v>
      </c>
      <c r="K59" s="84">
        <f t="shared" si="3"/>
        <v>47.2</v>
      </c>
      <c r="L59" s="84">
        <f t="shared" si="3"/>
        <v>63</v>
      </c>
      <c r="M59" s="84">
        <f t="shared" si="3"/>
        <v>73.5</v>
      </c>
      <c r="N59" s="84">
        <f t="shared" si="3"/>
        <v>84</v>
      </c>
      <c r="O59" s="84">
        <f t="shared" si="3"/>
        <v>92.9</v>
      </c>
      <c r="P59" s="84">
        <f t="shared" si="3"/>
        <v>96.6</v>
      </c>
      <c r="Q59" s="84">
        <f t="shared" si="3"/>
        <v>100</v>
      </c>
      <c r="R59" s="86"/>
      <c r="S59" s="86" t="str">
        <f t="shared" ref="S59:T59" si="4">IF(S53&lt;&gt;0,AVERAGE(S53:S56),"")</f>
        <v/>
      </c>
      <c r="T59" s="87" t="str">
        <f t="shared" si="4"/>
        <v/>
      </c>
      <c r="U59" s="181">
        <f>IF(U53&lt;&gt;0,AVERAGE(U53:V56),"")</f>
        <v>180</v>
      </c>
      <c r="V59" s="182"/>
      <c r="W59" s="183">
        <f>IF(W53&lt;&gt;0,AVERAGE(W53:X56),"")</f>
        <v>4.5599999999999996</v>
      </c>
      <c r="X59" s="184"/>
      <c r="Y59" s="185">
        <f>IF(W53&lt;&gt;0,AVERAGE(Y53:Z56),"")</f>
        <v>2.7756620569359889</v>
      </c>
      <c r="Z59" s="186"/>
      <c r="AA59" s="60"/>
      <c r="AB59" s="187">
        <f>(100*W59)/(100-W59)</f>
        <v>4.7778709136630342</v>
      </c>
      <c r="AC59" s="188"/>
      <c r="AD59" s="58">
        <f t="shared" si="2"/>
        <v>15.928050000000001</v>
      </c>
      <c r="AE59" s="59">
        <f t="shared" si="1"/>
        <v>2.7756620569359889</v>
      </c>
      <c r="AF59" s="28"/>
      <c r="AG59" s="60"/>
    </row>
    <row r="60" spans="1:34" ht="21" customHeight="1" x14ac:dyDescent="0.25">
      <c r="A60" s="48"/>
      <c r="B60" s="189" t="s">
        <v>43</v>
      </c>
      <c r="C60" s="190"/>
      <c r="D60" s="191"/>
      <c r="E60" s="88">
        <v>6.9</v>
      </c>
      <c r="F60" s="88">
        <v>9</v>
      </c>
      <c r="G60" s="88">
        <v>12</v>
      </c>
      <c r="H60" s="88">
        <v>16</v>
      </c>
      <c r="I60" s="88">
        <v>22</v>
      </c>
      <c r="J60" s="88">
        <v>32</v>
      </c>
      <c r="K60" s="88">
        <v>47</v>
      </c>
      <c r="L60" s="88">
        <v>61</v>
      </c>
      <c r="M60" s="88">
        <v>69</v>
      </c>
      <c r="N60" s="88">
        <v>80</v>
      </c>
      <c r="O60" s="88">
        <v>92</v>
      </c>
      <c r="P60" s="88">
        <v>98</v>
      </c>
      <c r="Q60" s="89">
        <v>100</v>
      </c>
      <c r="R60" s="88"/>
      <c r="S60" s="88"/>
      <c r="T60" s="90"/>
      <c r="U60" s="192"/>
      <c r="V60" s="193"/>
      <c r="W60" s="194">
        <v>4.4000000000000004</v>
      </c>
      <c r="X60" s="195"/>
      <c r="Y60" s="196">
        <f>AE60</f>
        <v>2.7757408663172658</v>
      </c>
      <c r="Z60" s="197"/>
      <c r="AA60" s="60"/>
      <c r="AB60" s="187">
        <f>(100*W60)/(100-W60)</f>
        <v>4.6025104602510467</v>
      </c>
      <c r="AC60" s="188"/>
      <c r="AD60" s="58">
        <f t="shared" si="2"/>
        <v>13.21</v>
      </c>
      <c r="AE60" s="59">
        <f t="shared" si="1"/>
        <v>2.7757408663172658</v>
      </c>
      <c r="AF60" s="28"/>
      <c r="AG60" s="60"/>
    </row>
    <row r="61" spans="1:34" ht="13.5" customHeight="1" x14ac:dyDescent="0.25">
      <c r="A61" s="48"/>
      <c r="B61" s="91"/>
      <c r="C61" s="92" t="s">
        <v>44</v>
      </c>
      <c r="D61" s="93"/>
      <c r="E61" s="65">
        <f>E60+2</f>
        <v>8.9</v>
      </c>
      <c r="F61" s="65"/>
      <c r="G61" s="65"/>
      <c r="H61" s="65"/>
      <c r="I61" s="65"/>
      <c r="J61" s="65">
        <f>J60+6</f>
        <v>38</v>
      </c>
      <c r="K61" s="65"/>
      <c r="L61" s="65">
        <f>L60+7</f>
        <v>68</v>
      </c>
      <c r="M61" s="65"/>
      <c r="N61" s="65"/>
      <c r="O61" s="65"/>
      <c r="P61" s="65"/>
      <c r="Q61" s="65"/>
      <c r="R61" s="65"/>
      <c r="S61" s="65"/>
      <c r="T61" s="67"/>
      <c r="U61" s="161"/>
      <c r="V61" s="162"/>
      <c r="W61" s="163">
        <f>W60+0.5</f>
        <v>4.9000000000000004</v>
      </c>
      <c r="X61" s="162"/>
      <c r="Y61" s="164"/>
      <c r="Z61" s="165"/>
      <c r="AA61" s="94"/>
      <c r="AB61" s="95"/>
      <c r="AC61" s="96"/>
      <c r="AD61" s="166"/>
      <c r="AE61" s="168" t="s">
        <v>45</v>
      </c>
      <c r="AF61" s="28"/>
      <c r="AG61" s="60"/>
    </row>
    <row r="62" spans="1:34" ht="13.5" customHeight="1" thickBot="1" x14ac:dyDescent="0.3">
      <c r="A62" s="48"/>
      <c r="B62" s="170" t="s">
        <v>46</v>
      </c>
      <c r="C62" s="171"/>
      <c r="D62" s="172"/>
      <c r="E62" s="97">
        <f>E60-2</f>
        <v>4.9000000000000004</v>
      </c>
      <c r="F62" s="97"/>
      <c r="G62" s="98"/>
      <c r="H62" s="98"/>
      <c r="I62" s="98"/>
      <c r="J62" s="97">
        <f>J60-6</f>
        <v>26</v>
      </c>
      <c r="K62" s="98"/>
      <c r="L62" s="97">
        <f>L60-7</f>
        <v>54</v>
      </c>
      <c r="M62" s="97"/>
      <c r="N62" s="98"/>
      <c r="O62" s="98"/>
      <c r="P62" s="98"/>
      <c r="Q62" s="97"/>
      <c r="R62" s="98"/>
      <c r="S62" s="98"/>
      <c r="T62" s="99"/>
      <c r="U62" s="173"/>
      <c r="V62" s="174"/>
      <c r="W62" s="175">
        <f>W60-0.5</f>
        <v>3.9000000000000004</v>
      </c>
      <c r="X62" s="174"/>
      <c r="Y62" s="176"/>
      <c r="Z62" s="177"/>
      <c r="AA62" s="100"/>
      <c r="AB62" s="101"/>
      <c r="AC62" s="102"/>
      <c r="AD62" s="167"/>
      <c r="AE62" s="169"/>
      <c r="AF62" s="28"/>
      <c r="AG62" s="60"/>
    </row>
    <row r="63" spans="1:34" ht="6.75" customHeigh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103"/>
    </row>
    <row r="64" spans="1:34" ht="8.25" customHeight="1" x14ac:dyDescent="0.25"/>
    <row r="65" spans="1:30" ht="15.6" customHeight="1" x14ac:dyDescent="0.25">
      <c r="A65" s="104" t="s">
        <v>47</v>
      </c>
      <c r="B65" s="105" t="s">
        <v>48</v>
      </c>
      <c r="C65" s="106"/>
      <c r="D65" s="106"/>
      <c r="E65" s="106"/>
      <c r="F65" s="107"/>
      <c r="G65" s="107"/>
      <c r="H65" s="107"/>
      <c r="I65" s="10"/>
      <c r="J65" s="10"/>
      <c r="K65" s="10"/>
      <c r="L65" s="10"/>
      <c r="M65" s="10"/>
      <c r="N65" s="10"/>
      <c r="O65" s="10"/>
      <c r="P65" s="10"/>
      <c r="Q65" s="107"/>
      <c r="R65" s="10"/>
      <c r="S65" s="10"/>
      <c r="T65" s="10"/>
      <c r="U65" s="144"/>
      <c r="V65" s="144"/>
      <c r="W65" s="144"/>
      <c r="X65" s="144"/>
      <c r="Y65" s="144"/>
      <c r="Z65" s="145"/>
      <c r="AA65" s="108"/>
      <c r="AB65" s="109"/>
      <c r="AC65" s="109"/>
      <c r="AD65" s="110"/>
    </row>
    <row r="66" spans="1:30" ht="26.4" customHeight="1" x14ac:dyDescent="0.25">
      <c r="A66" s="146" t="s">
        <v>49</v>
      </c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8"/>
      <c r="R66" s="133" t="s">
        <v>50</v>
      </c>
      <c r="S66" s="134"/>
      <c r="T66" s="135"/>
      <c r="U66" s="149" t="s">
        <v>51</v>
      </c>
      <c r="V66" s="150"/>
      <c r="W66" s="150"/>
      <c r="X66" s="150"/>
      <c r="Y66" s="150"/>
      <c r="Z66" s="151"/>
      <c r="AA66" s="32"/>
      <c r="AB66" s="111"/>
      <c r="AC66" s="111"/>
      <c r="AD66" s="110"/>
    </row>
    <row r="67" spans="1:30" ht="26.4" customHeight="1" x14ac:dyDescent="0.25">
      <c r="A67" s="152" t="s">
        <v>52</v>
      </c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4"/>
      <c r="R67" s="133" t="s">
        <v>53</v>
      </c>
      <c r="S67" s="134"/>
      <c r="T67" s="135"/>
      <c r="U67" s="155" t="s">
        <v>54</v>
      </c>
      <c r="V67" s="156"/>
      <c r="W67" s="156"/>
      <c r="X67" s="156"/>
      <c r="Y67" s="156"/>
      <c r="Z67" s="157"/>
      <c r="AA67" s="32"/>
      <c r="AB67" s="111"/>
      <c r="AC67" s="111"/>
      <c r="AD67" s="110"/>
    </row>
    <row r="68" spans="1:30" ht="15.6" customHeight="1" x14ac:dyDescent="0.25">
      <c r="A68" s="112" t="s">
        <v>55</v>
      </c>
      <c r="B68" s="113" t="s">
        <v>56</v>
      </c>
      <c r="C68" s="13"/>
      <c r="D68" s="13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5"/>
      <c r="R68" s="133"/>
      <c r="S68" s="134"/>
      <c r="T68" s="135"/>
      <c r="U68" s="158"/>
      <c r="V68" s="159"/>
      <c r="W68" s="159"/>
      <c r="X68" s="159"/>
      <c r="Y68" s="159"/>
      <c r="Z68" s="160"/>
      <c r="AA68" s="32"/>
      <c r="AB68" s="111"/>
      <c r="AC68" s="111"/>
      <c r="AD68" s="110"/>
    </row>
    <row r="69" spans="1:30" ht="15.6" customHeight="1" x14ac:dyDescent="0.25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9"/>
      <c r="R69" s="133" t="s">
        <v>57</v>
      </c>
      <c r="S69" s="134"/>
      <c r="T69" s="135"/>
      <c r="U69" s="116"/>
      <c r="V69" s="117"/>
      <c r="W69" s="117"/>
      <c r="X69" s="117"/>
      <c r="Y69" s="117"/>
      <c r="Z69" s="118"/>
      <c r="AA69" s="119"/>
      <c r="AB69" s="120"/>
      <c r="AC69" s="120"/>
      <c r="AD69" s="110"/>
    </row>
    <row r="70" spans="1:30" ht="15.6" customHeight="1" x14ac:dyDescent="0.25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9"/>
      <c r="R70" s="133"/>
      <c r="S70" s="134"/>
      <c r="T70" s="135"/>
      <c r="U70" s="121"/>
      <c r="V70" s="139"/>
      <c r="W70" s="139"/>
      <c r="X70" s="139"/>
      <c r="Y70" s="139"/>
      <c r="Z70" s="122"/>
      <c r="AA70" s="119"/>
      <c r="AB70" s="120"/>
      <c r="AC70" s="120"/>
      <c r="AD70" s="110"/>
    </row>
    <row r="71" spans="1:30" ht="15.6" customHeight="1" x14ac:dyDescent="0.25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9"/>
      <c r="R71" s="133"/>
      <c r="S71" s="134"/>
      <c r="T71" s="135"/>
      <c r="U71" s="121"/>
      <c r="V71" s="139"/>
      <c r="W71" s="139"/>
      <c r="X71" s="139"/>
      <c r="Y71" s="139"/>
      <c r="Z71" s="122"/>
      <c r="AA71" s="119"/>
      <c r="AB71" s="120"/>
      <c r="AC71" s="120"/>
      <c r="AD71" s="110"/>
    </row>
    <row r="72" spans="1:30" ht="15.6" customHeight="1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2"/>
      <c r="R72" s="136"/>
      <c r="S72" s="137"/>
      <c r="T72" s="138"/>
      <c r="U72" s="123"/>
      <c r="V72" s="124"/>
      <c r="W72" s="124"/>
      <c r="X72" s="124"/>
      <c r="Y72" s="124"/>
      <c r="Z72" s="125"/>
      <c r="AA72" s="119"/>
      <c r="AB72" s="120"/>
      <c r="AC72" s="120"/>
      <c r="AD72" s="110"/>
    </row>
    <row r="73" spans="1:30" ht="12.75" customHeight="1" x14ac:dyDescent="0.25">
      <c r="U73" s="126"/>
      <c r="V73" s="126"/>
      <c r="W73" s="126"/>
      <c r="X73" s="126"/>
      <c r="Y73" s="126"/>
      <c r="Z73" s="126"/>
    </row>
  </sheetData>
  <mergeCells count="101">
    <mergeCell ref="A69:Q72"/>
    <mergeCell ref="R69:T72"/>
    <mergeCell ref="V70:Y71"/>
    <mergeCell ref="U53:V53"/>
    <mergeCell ref="W53:X53"/>
    <mergeCell ref="C53:D53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C56:D56"/>
    <mergeCell ref="U56:V56"/>
    <mergeCell ref="W56:X56"/>
    <mergeCell ref="Y56:Z56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G51:AG52"/>
    <mergeCell ref="C52:D52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8D9C-0FB8-4E03-ACB6-340FF5DBB8B2}">
  <sheetPr>
    <pageSetUpPr fitToPage="1"/>
  </sheetPr>
  <dimension ref="A1:AN73"/>
  <sheetViews>
    <sheetView topLeftCell="A48" zoomScaleNormal="100" workbookViewId="0">
      <selection activeCell="E53" sqref="E53:X53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6" customHeight="1" x14ac:dyDescent="0.25">
      <c r="A1" s="254"/>
      <c r="B1" s="255"/>
      <c r="C1" s="255"/>
      <c r="D1" s="255"/>
      <c r="E1" s="255"/>
      <c r="F1" s="256"/>
      <c r="G1" s="263" t="s">
        <v>0</v>
      </c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5"/>
      <c r="U1" s="266" t="s">
        <v>59</v>
      </c>
      <c r="V1" s="267"/>
      <c r="W1" s="267"/>
      <c r="X1" s="267"/>
      <c r="Y1" s="267"/>
      <c r="Z1" s="268"/>
      <c r="AA1" s="1"/>
    </row>
    <row r="2" spans="1:36" ht="12.6" customHeight="1" x14ac:dyDescent="0.25">
      <c r="A2" s="257"/>
      <c r="B2" s="258"/>
      <c r="C2" s="258"/>
      <c r="D2" s="258"/>
      <c r="E2" s="258"/>
      <c r="F2" s="259"/>
      <c r="G2" s="275" t="s">
        <v>1</v>
      </c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7"/>
      <c r="U2" s="269"/>
      <c r="V2" s="270"/>
      <c r="W2" s="270"/>
      <c r="X2" s="270"/>
      <c r="Y2" s="270"/>
      <c r="Z2" s="271"/>
      <c r="AA2" s="1"/>
    </row>
    <row r="3" spans="1:36" ht="12.6" customHeight="1" x14ac:dyDescent="0.25">
      <c r="A3" s="257"/>
      <c r="B3" s="258"/>
      <c r="C3" s="258"/>
      <c r="D3" s="258"/>
      <c r="E3" s="258"/>
      <c r="F3" s="259"/>
      <c r="G3" s="278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7"/>
      <c r="U3" s="269"/>
      <c r="V3" s="270"/>
      <c r="W3" s="270"/>
      <c r="X3" s="270"/>
      <c r="Y3" s="270"/>
      <c r="Z3" s="271"/>
      <c r="AA3" s="1"/>
    </row>
    <row r="4" spans="1:36" ht="12.6" customHeight="1" x14ac:dyDescent="0.25">
      <c r="A4" s="257"/>
      <c r="B4" s="258"/>
      <c r="C4" s="258"/>
      <c r="D4" s="258"/>
      <c r="E4" s="258"/>
      <c r="F4" s="259"/>
      <c r="G4" s="278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7"/>
      <c r="U4" s="269"/>
      <c r="V4" s="270"/>
      <c r="W4" s="270"/>
      <c r="X4" s="270"/>
      <c r="Y4" s="270"/>
      <c r="Z4" s="271"/>
      <c r="AA4" s="1"/>
    </row>
    <row r="5" spans="1:36" ht="12.6" customHeight="1" x14ac:dyDescent="0.25">
      <c r="A5" s="257"/>
      <c r="B5" s="258"/>
      <c r="C5" s="258"/>
      <c r="D5" s="258"/>
      <c r="E5" s="258"/>
      <c r="F5" s="259"/>
      <c r="G5" s="278" t="s">
        <v>2</v>
      </c>
      <c r="H5" s="276"/>
      <c r="I5" s="3" t="s">
        <v>3</v>
      </c>
      <c r="J5" s="239">
        <v>1</v>
      </c>
      <c r="K5" s="279"/>
      <c r="L5" s="280" t="s">
        <v>58</v>
      </c>
      <c r="M5" s="239"/>
      <c r="N5" s="239"/>
      <c r="O5" s="279"/>
      <c r="P5" s="281">
        <v>45985</v>
      </c>
      <c r="Q5" s="282"/>
      <c r="R5" s="282"/>
      <c r="S5" s="282"/>
      <c r="T5" s="283"/>
      <c r="U5" s="269"/>
      <c r="V5" s="270"/>
      <c r="W5" s="270"/>
      <c r="X5" s="270"/>
      <c r="Y5" s="270"/>
      <c r="Z5" s="271"/>
      <c r="AA5" s="1"/>
    </row>
    <row r="6" spans="1:36" ht="12.6" customHeight="1" x14ac:dyDescent="0.25">
      <c r="A6" s="260"/>
      <c r="B6" s="261"/>
      <c r="C6" s="261"/>
      <c r="D6" s="261"/>
      <c r="E6" s="261"/>
      <c r="F6" s="262"/>
      <c r="G6" s="4"/>
      <c r="H6" s="5"/>
      <c r="I6" s="5"/>
      <c r="J6" s="250" t="s">
        <v>4</v>
      </c>
      <c r="K6" s="250"/>
      <c r="L6" s="250" t="s">
        <v>5</v>
      </c>
      <c r="M6" s="250"/>
      <c r="N6" s="250"/>
      <c r="O6" s="250"/>
      <c r="P6" s="250" t="s">
        <v>6</v>
      </c>
      <c r="Q6" s="250"/>
      <c r="R6" s="250"/>
      <c r="S6" s="250"/>
      <c r="T6" s="251"/>
      <c r="U6" s="272"/>
      <c r="V6" s="273"/>
      <c r="W6" s="273"/>
      <c r="X6" s="273"/>
      <c r="Y6" s="273"/>
      <c r="Z6" s="274"/>
      <c r="AA6" s="1"/>
    </row>
    <row r="7" spans="1:36" ht="36.6" customHeight="1" x14ac:dyDescent="0.25">
      <c r="A7" s="252" t="s">
        <v>7</v>
      </c>
      <c r="B7" s="252"/>
      <c r="C7" s="252"/>
      <c r="D7" s="252"/>
      <c r="E7" s="252"/>
      <c r="F7" s="252"/>
      <c r="G7" s="253" t="s">
        <v>8</v>
      </c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7.95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238" t="s">
        <v>11</v>
      </c>
      <c r="C10" s="238"/>
      <c r="D10" s="238"/>
      <c r="E10" s="238"/>
      <c r="F10" s="238"/>
      <c r="G10" s="246" t="s">
        <v>12</v>
      </c>
      <c r="H10" s="246"/>
      <c r="I10" s="246"/>
      <c r="J10" s="246"/>
      <c r="K10" s="246"/>
      <c r="L10" s="246"/>
      <c r="M10" s="247" t="s">
        <v>13</v>
      </c>
      <c r="N10" s="247"/>
      <c r="O10" s="247"/>
      <c r="P10" s="247"/>
      <c r="Q10" s="247"/>
      <c r="R10" s="247"/>
      <c r="S10" s="248" t="s">
        <v>60</v>
      </c>
      <c r="T10" s="248"/>
      <c r="U10" s="248"/>
      <c r="V10" s="248"/>
      <c r="W10" s="248"/>
      <c r="X10" s="248"/>
      <c r="Y10" s="248"/>
      <c r="Z10" s="19"/>
      <c r="AA10" s="18"/>
      <c r="AB10" s="14"/>
      <c r="AC10" s="14"/>
      <c r="AD10" s="14"/>
      <c r="AE10" s="20"/>
      <c r="AF10" s="20"/>
      <c r="AG10" s="20"/>
      <c r="AH10" s="20"/>
      <c r="AI10" s="20"/>
    </row>
    <row r="11" spans="1:36" ht="15.9" customHeight="1" x14ac:dyDescent="0.25">
      <c r="A11" s="15"/>
      <c r="B11" s="238" t="s">
        <v>14</v>
      </c>
      <c r="C11" s="238"/>
      <c r="D11" s="238"/>
      <c r="E11" s="238"/>
      <c r="F11" s="238"/>
      <c r="G11" s="246">
        <v>45985</v>
      </c>
      <c r="H11" s="246"/>
      <c r="I11" s="246"/>
      <c r="J11" s="246"/>
      <c r="K11" s="246"/>
      <c r="L11" s="246"/>
      <c r="M11" s="247" t="s">
        <v>15</v>
      </c>
      <c r="N11" s="247"/>
      <c r="O11" s="247"/>
      <c r="P11" s="247"/>
      <c r="Q11" s="247"/>
      <c r="R11" s="247"/>
      <c r="S11" s="248" t="s">
        <v>61</v>
      </c>
      <c r="T11" s="248"/>
      <c r="U11" s="248"/>
      <c r="V11" s="248"/>
      <c r="W11" s="248"/>
      <c r="X11" s="248"/>
      <c r="Y11" s="248"/>
      <c r="Z11" s="19"/>
      <c r="AA11" s="18"/>
      <c r="AB11" s="14"/>
      <c r="AC11" s="14"/>
      <c r="AD11" s="14"/>
      <c r="AE11" s="20"/>
      <c r="AF11" s="20"/>
      <c r="AG11" s="20"/>
      <c r="AH11" s="20"/>
      <c r="AI11" s="20"/>
    </row>
    <row r="12" spans="1:36" ht="15.9" customHeight="1" x14ac:dyDescent="0.25">
      <c r="A12" s="15"/>
      <c r="B12" s="238" t="s">
        <v>16</v>
      </c>
      <c r="C12" s="238"/>
      <c r="D12" s="238"/>
      <c r="E12" s="238"/>
      <c r="F12" s="238"/>
      <c r="G12" s="246">
        <v>45985</v>
      </c>
      <c r="H12" s="246"/>
      <c r="I12" s="246"/>
      <c r="J12" s="246"/>
      <c r="K12" s="246"/>
      <c r="L12" s="246"/>
      <c r="M12" s="249" t="s">
        <v>17</v>
      </c>
      <c r="N12" s="249"/>
      <c r="O12" s="249"/>
      <c r="P12" s="249"/>
      <c r="Q12" s="249"/>
      <c r="R12" s="249"/>
      <c r="S12" s="248">
        <v>110</v>
      </c>
      <c r="T12" s="248"/>
      <c r="U12" s="248"/>
      <c r="V12" s="248"/>
      <c r="W12" s="248"/>
      <c r="X12" s="248"/>
      <c r="Y12" s="248"/>
      <c r="Z12" s="19"/>
      <c r="AA12" s="18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45" t="s">
        <v>18</v>
      </c>
      <c r="C13" s="245"/>
      <c r="D13" s="245"/>
      <c r="E13" s="245"/>
      <c r="F13" s="245"/>
      <c r="G13" s="246" t="s">
        <v>63</v>
      </c>
      <c r="H13" s="246"/>
      <c r="I13" s="246"/>
      <c r="J13" s="246"/>
      <c r="K13" s="246"/>
      <c r="L13" s="246"/>
      <c r="M13" s="247" t="s">
        <v>19</v>
      </c>
      <c r="N13" s="247"/>
      <c r="O13" s="247"/>
      <c r="P13" s="247"/>
      <c r="Q13" s="247"/>
      <c r="R13" s="247"/>
      <c r="S13" s="246" t="s">
        <v>20</v>
      </c>
      <c r="T13" s="246"/>
      <c r="U13" s="246"/>
      <c r="V13" s="246"/>
      <c r="W13" s="246"/>
      <c r="X13" s="246"/>
      <c r="Y13" s="246"/>
      <c r="Z13" s="19"/>
      <c r="AA13" s="18"/>
      <c r="AB13" s="14"/>
      <c r="AC13" s="14"/>
      <c r="AD13" s="14"/>
      <c r="AE13" s="20"/>
      <c r="AF13" s="20"/>
      <c r="AG13" s="20"/>
      <c r="AH13" s="20"/>
      <c r="AI13" s="20"/>
      <c r="AJ13" s="20"/>
    </row>
    <row r="14" spans="1:36" ht="15.9" customHeight="1" x14ac:dyDescent="0.25">
      <c r="A14" s="21"/>
      <c r="B14" s="238" t="s">
        <v>21</v>
      </c>
      <c r="C14" s="238"/>
      <c r="D14" s="238"/>
      <c r="E14" s="238"/>
      <c r="F14" s="238"/>
      <c r="G14" s="246" t="s">
        <v>62</v>
      </c>
      <c r="H14" s="246"/>
      <c r="I14" s="246"/>
      <c r="J14" s="246"/>
      <c r="K14" s="246"/>
      <c r="L14" s="246"/>
      <c r="M14" s="248" t="s">
        <v>22</v>
      </c>
      <c r="N14" s="248"/>
      <c r="O14" s="248"/>
      <c r="P14" s="248"/>
      <c r="Q14" s="248"/>
      <c r="R14" s="248"/>
      <c r="S14" s="248" t="s">
        <v>23</v>
      </c>
      <c r="T14" s="248"/>
      <c r="U14" s="248"/>
      <c r="V14" s="248"/>
      <c r="W14" s="248"/>
      <c r="X14" s="248"/>
      <c r="Y14" s="248"/>
      <c r="Z14" s="22"/>
      <c r="AA14" s="14"/>
      <c r="AB14" s="14"/>
      <c r="AC14" s="14"/>
      <c r="AD14" s="14"/>
      <c r="AE14" s="20"/>
      <c r="AF14" s="20"/>
      <c r="AG14" s="20"/>
      <c r="AH14" s="20"/>
      <c r="AI14" s="20"/>
      <c r="AJ14" s="20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20"/>
      <c r="AF15" s="20"/>
      <c r="AG15" s="20"/>
      <c r="AH15" s="20"/>
      <c r="AI15" s="20"/>
      <c r="AJ15" s="20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20"/>
      <c r="AF16" s="20"/>
      <c r="AG16" s="20"/>
      <c r="AH16" s="20"/>
      <c r="AI16" s="20"/>
      <c r="AJ16" s="20"/>
    </row>
    <row r="17" spans="1:40" ht="15.9" customHeight="1" x14ac:dyDescent="0.25">
      <c r="A17" s="8" t="s">
        <v>24</v>
      </c>
      <c r="B17" s="9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238" t="s">
        <v>26</v>
      </c>
      <c r="C19" s="238"/>
      <c r="D19" s="238"/>
      <c r="E19" s="238"/>
      <c r="F19" s="238"/>
      <c r="G19" s="238"/>
      <c r="H19" s="238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19"/>
      <c r="AA19" s="18"/>
      <c r="AE19" s="30"/>
      <c r="AI19" s="30"/>
    </row>
    <row r="20" spans="1:40" ht="15.9" customHeight="1" x14ac:dyDescent="0.25">
      <c r="A20" s="15"/>
      <c r="B20" s="238" t="s">
        <v>27</v>
      </c>
      <c r="C20" s="238"/>
      <c r="D20" s="238"/>
      <c r="E20" s="238"/>
      <c r="F20" s="238"/>
      <c r="G20" s="238"/>
      <c r="H20" s="238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19"/>
      <c r="AA20" s="18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3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4" t="s">
        <v>28</v>
      </c>
      <c r="B23" s="35" t="s">
        <v>29</v>
      </c>
      <c r="C23" s="35"/>
      <c r="D23" s="36"/>
      <c r="E23" s="36"/>
      <c r="F23" s="37"/>
      <c r="G23" s="37"/>
      <c r="H23" s="37"/>
      <c r="I23" s="37"/>
      <c r="J23" s="37"/>
      <c r="K23" s="37"/>
      <c r="L23" s="37"/>
      <c r="M23" s="37"/>
      <c r="N23" s="36"/>
      <c r="O23" s="36"/>
      <c r="P23" s="36"/>
      <c r="Q23" s="36"/>
      <c r="R23" s="36"/>
      <c r="S23" s="38"/>
      <c r="T23" s="38"/>
      <c r="U23" s="38"/>
      <c r="V23" s="38"/>
      <c r="W23" s="38"/>
      <c r="X23" s="38"/>
      <c r="Y23" s="38"/>
      <c r="Z23" s="39"/>
      <c r="AM23" s="40"/>
      <c r="AN23" s="41"/>
    </row>
    <row r="24" spans="1:40" ht="9" customHeight="1" x14ac:dyDescent="0.25">
      <c r="A24" s="21"/>
      <c r="Z24" s="42"/>
    </row>
    <row r="25" spans="1:40" ht="33.6" customHeight="1" x14ac:dyDescent="0.25">
      <c r="A25" s="21"/>
      <c r="Z25" s="42"/>
    </row>
    <row r="26" spans="1:40" ht="12.75" customHeight="1" x14ac:dyDescent="0.25">
      <c r="A26" s="21"/>
      <c r="Z26" s="42"/>
    </row>
    <row r="27" spans="1:40" ht="12.75" customHeight="1" x14ac:dyDescent="0.25">
      <c r="A27" s="21"/>
      <c r="Z27" s="42"/>
    </row>
    <row r="28" spans="1:40" ht="12.75" customHeight="1" x14ac:dyDescent="0.25">
      <c r="A28" s="21"/>
      <c r="Z28" s="42"/>
    </row>
    <row r="29" spans="1:40" ht="12.75" customHeight="1" x14ac:dyDescent="0.25">
      <c r="A29" s="21"/>
      <c r="Z29" s="42"/>
    </row>
    <row r="30" spans="1:40" ht="12.75" customHeight="1" x14ac:dyDescent="0.25">
      <c r="A30" s="21"/>
      <c r="Z30" s="42"/>
    </row>
    <row r="31" spans="1:40" ht="12.75" customHeight="1" x14ac:dyDescent="0.25">
      <c r="A31" s="21"/>
      <c r="Z31" s="42"/>
    </row>
    <row r="32" spans="1:40" ht="12.75" customHeight="1" x14ac:dyDescent="0.25">
      <c r="A32" s="21"/>
      <c r="Z32" s="42"/>
    </row>
    <row r="33" spans="1:26" ht="12.75" customHeight="1" x14ac:dyDescent="0.25">
      <c r="A33" s="21"/>
      <c r="Z33" s="42"/>
    </row>
    <row r="34" spans="1:26" ht="12.75" customHeight="1" x14ac:dyDescent="0.25">
      <c r="A34" s="21"/>
      <c r="Z34" s="42"/>
    </row>
    <row r="35" spans="1:26" ht="12.75" customHeight="1" x14ac:dyDescent="0.25">
      <c r="A35" s="21"/>
      <c r="Z35" s="42"/>
    </row>
    <row r="36" spans="1:26" ht="12.75" customHeight="1" x14ac:dyDescent="0.25">
      <c r="A36" s="21"/>
      <c r="Z36" s="42"/>
    </row>
    <row r="37" spans="1:26" ht="12.75" customHeight="1" x14ac:dyDescent="0.25">
      <c r="A37" s="21"/>
      <c r="Z37" s="42"/>
    </row>
    <row r="38" spans="1:26" ht="12.75" customHeight="1" x14ac:dyDescent="0.25">
      <c r="A38" s="21"/>
      <c r="Z38" s="42"/>
    </row>
    <row r="39" spans="1:26" ht="12.75" customHeight="1" x14ac:dyDescent="0.25">
      <c r="A39" s="21"/>
      <c r="Z39" s="42"/>
    </row>
    <row r="40" spans="1:26" ht="12.75" customHeight="1" x14ac:dyDescent="0.25">
      <c r="A40" s="21"/>
      <c r="Z40" s="42"/>
    </row>
    <row r="41" spans="1:26" ht="12.75" customHeight="1" x14ac:dyDescent="0.25">
      <c r="A41" s="21"/>
      <c r="Z41" s="42"/>
    </row>
    <row r="42" spans="1:26" ht="12.75" customHeight="1" x14ac:dyDescent="0.25">
      <c r="A42" s="21"/>
      <c r="Z42" s="42"/>
    </row>
    <row r="43" spans="1:26" ht="12.75" customHeight="1" x14ac:dyDescent="0.25">
      <c r="A43" s="21"/>
      <c r="Z43" s="42"/>
    </row>
    <row r="44" spans="1:26" ht="12.75" customHeight="1" x14ac:dyDescent="0.25">
      <c r="A44" s="21"/>
      <c r="Z44" s="42"/>
    </row>
    <row r="45" spans="1:26" ht="12.75" customHeight="1" x14ac:dyDescent="0.25">
      <c r="A45" s="21"/>
      <c r="Z45" s="42"/>
    </row>
    <row r="46" spans="1:26" ht="12.75" customHeight="1" x14ac:dyDescent="0.25">
      <c r="A46" s="21"/>
      <c r="Z46" s="42"/>
    </row>
    <row r="47" spans="1:26" ht="9.75" customHeight="1" x14ac:dyDescent="0.25">
      <c r="A47" s="21"/>
      <c r="Z47" s="42"/>
    </row>
    <row r="48" spans="1:26" ht="37.950000000000003" customHeight="1" thickBot="1" x14ac:dyDescent="0.3">
      <c r="A48" s="21"/>
      <c r="Z48" s="42"/>
    </row>
    <row r="49" spans="1:34" ht="9.75" customHeight="1" x14ac:dyDescent="0.25">
      <c r="A49" s="21"/>
      <c r="Z49" s="42"/>
      <c r="AD49" s="241" t="s">
        <v>30</v>
      </c>
      <c r="AE49" s="243">
        <v>2.6469999999999998</v>
      </c>
      <c r="AF49" s="215"/>
      <c r="AG49" s="219"/>
      <c r="AH49" s="43"/>
    </row>
    <row r="50" spans="1:34" ht="12.75" customHeight="1" thickBot="1" x14ac:dyDescent="0.3">
      <c r="A50" s="21"/>
      <c r="Z50" s="44"/>
      <c r="AD50" s="242"/>
      <c r="AE50" s="244"/>
      <c r="AF50" s="218"/>
      <c r="AG50" s="219"/>
    </row>
    <row r="51" spans="1:34" ht="18.75" customHeight="1" thickBot="1" x14ac:dyDescent="0.3">
      <c r="A51" s="21"/>
      <c r="E51" s="220" t="s">
        <v>31</v>
      </c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2" t="s">
        <v>32</v>
      </c>
      <c r="V51" s="223"/>
      <c r="W51" s="224" t="s">
        <v>33</v>
      </c>
      <c r="X51" s="223"/>
      <c r="Y51" s="225" t="s">
        <v>34</v>
      </c>
      <c r="Z51" s="226"/>
      <c r="AA51" s="47"/>
      <c r="AB51" s="229" t="s">
        <v>35</v>
      </c>
      <c r="AC51" s="230"/>
      <c r="AD51" s="233" t="s">
        <v>36</v>
      </c>
      <c r="AE51" s="235" t="s">
        <v>37</v>
      </c>
      <c r="AF51" s="215"/>
      <c r="AG51" s="215"/>
      <c r="AH51" s="45"/>
    </row>
    <row r="52" spans="1:34" ht="24.9" customHeight="1" thickBot="1" x14ac:dyDescent="0.3">
      <c r="A52" s="48"/>
      <c r="B52" s="46" t="s">
        <v>38</v>
      </c>
      <c r="C52" s="216" t="s">
        <v>39</v>
      </c>
      <c r="D52" s="217"/>
      <c r="E52" s="49">
        <v>6.3E-2</v>
      </c>
      <c r="F52" s="49">
        <v>0.125</v>
      </c>
      <c r="G52" s="50">
        <v>0.25</v>
      </c>
      <c r="H52" s="50">
        <v>0.5</v>
      </c>
      <c r="I52" s="50">
        <v>1</v>
      </c>
      <c r="J52" s="50">
        <v>2</v>
      </c>
      <c r="K52" s="50">
        <v>4</v>
      </c>
      <c r="L52" s="50">
        <v>6.3</v>
      </c>
      <c r="M52" s="50">
        <v>8</v>
      </c>
      <c r="N52" s="50">
        <v>10</v>
      </c>
      <c r="O52" s="50">
        <v>12.5</v>
      </c>
      <c r="P52" s="50">
        <v>14</v>
      </c>
      <c r="Q52" s="51">
        <v>16</v>
      </c>
      <c r="R52" s="51">
        <v>20</v>
      </c>
      <c r="S52" s="50"/>
      <c r="T52" s="51"/>
      <c r="U52" s="170"/>
      <c r="V52" s="172"/>
      <c r="W52" s="171"/>
      <c r="X52" s="172"/>
      <c r="Y52" s="227"/>
      <c r="Z52" s="228"/>
      <c r="AA52" s="47"/>
      <c r="AB52" s="231"/>
      <c r="AC52" s="232"/>
      <c r="AD52" s="234"/>
      <c r="AE52" s="236"/>
      <c r="AF52" s="237"/>
      <c r="AG52" s="215"/>
    </row>
    <row r="53" spans="1:34" ht="24.9" customHeight="1" x14ac:dyDescent="0.25">
      <c r="A53" s="48"/>
      <c r="B53" s="52">
        <v>1</v>
      </c>
      <c r="C53" s="208" t="s">
        <v>40</v>
      </c>
      <c r="D53" s="209"/>
      <c r="E53" s="53">
        <v>7.1</v>
      </c>
      <c r="F53" s="54">
        <v>9.1</v>
      </c>
      <c r="G53" s="55">
        <v>12.1</v>
      </c>
      <c r="H53" s="55">
        <v>15.8</v>
      </c>
      <c r="I53" s="55">
        <v>21</v>
      </c>
      <c r="J53" s="55">
        <v>30.3</v>
      </c>
      <c r="K53" s="55">
        <v>44.8</v>
      </c>
      <c r="L53" s="55">
        <v>60.4</v>
      </c>
      <c r="M53" s="55">
        <v>76.7</v>
      </c>
      <c r="N53" s="55">
        <v>94.5</v>
      </c>
      <c r="O53" s="55">
        <v>100</v>
      </c>
      <c r="P53" s="55"/>
      <c r="Q53" s="55"/>
      <c r="R53" s="55"/>
      <c r="S53" s="56"/>
      <c r="T53" s="56"/>
      <c r="U53" s="140">
        <v>183</v>
      </c>
      <c r="V53" s="141"/>
      <c r="W53" s="142">
        <v>5.3</v>
      </c>
      <c r="X53" s="143"/>
      <c r="Y53" s="210">
        <f t="shared" ref="Y53:Y56" si="0">IF(W53&lt;&gt;0,AE53,"")</f>
        <v>3.3153620605560126</v>
      </c>
      <c r="Z53" s="211"/>
      <c r="AA53" s="57"/>
      <c r="AB53" s="187">
        <f>(100*W53)/(100-W53)</f>
        <v>5.5966209081309399</v>
      </c>
      <c r="AC53" s="188"/>
      <c r="AD53" s="58">
        <f>(0.25*(100-O53)+2.3*(O53-H53)+12*(H53-E53)+150*(E53))/100</f>
        <v>13.630599999999999</v>
      </c>
      <c r="AE53" s="59">
        <f>(AB53*$AE$49)/(2.65*(AD53)^(1/5))</f>
        <v>3.3153620605560126</v>
      </c>
      <c r="AF53" s="28"/>
      <c r="AG53" s="60"/>
    </row>
    <row r="54" spans="1:34" ht="24.9" customHeight="1" x14ac:dyDescent="0.25">
      <c r="A54" s="48"/>
      <c r="B54" s="61">
        <v>2</v>
      </c>
      <c r="C54" s="208"/>
      <c r="D54" s="209"/>
      <c r="E54" s="53"/>
      <c r="F54" s="5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62"/>
      <c r="R54" s="55"/>
      <c r="S54" s="56"/>
      <c r="T54" s="56"/>
      <c r="U54" s="140"/>
      <c r="V54" s="141"/>
      <c r="W54" s="142"/>
      <c r="X54" s="143"/>
      <c r="Y54" s="210" t="str">
        <f t="shared" si="0"/>
        <v/>
      </c>
      <c r="Z54" s="211"/>
      <c r="AA54" s="57"/>
      <c r="AB54" s="187">
        <f>(100*W54)/(100-W54)</f>
        <v>0</v>
      </c>
      <c r="AC54" s="188"/>
      <c r="AD54" s="58">
        <f>(0.25*(100-O54)+2.3*(O54-H54)+12*(H54-E54)+150*(E54))/100</f>
        <v>0.25</v>
      </c>
      <c r="AE54" s="59">
        <f t="shared" ref="AE54:AE60" si="1">(AB54*$AE$49)/(2.65*(AD54)^(1/5))</f>
        <v>0</v>
      </c>
      <c r="AF54" s="28"/>
      <c r="AG54" s="60"/>
    </row>
    <row r="55" spans="1:34" ht="24.9" customHeight="1" x14ac:dyDescent="0.25">
      <c r="A55" s="48"/>
      <c r="B55" s="61">
        <v>3</v>
      </c>
      <c r="C55" s="164"/>
      <c r="D55" s="212"/>
      <c r="E55" s="63"/>
      <c r="F55" s="64"/>
      <c r="G55" s="64"/>
      <c r="H55" s="65"/>
      <c r="I55" s="65"/>
      <c r="J55" s="65"/>
      <c r="K55" s="65"/>
      <c r="L55" s="65"/>
      <c r="M55" s="65"/>
      <c r="N55" s="65"/>
      <c r="O55" s="65"/>
      <c r="P55" s="65"/>
      <c r="Q55" s="66"/>
      <c r="R55" s="65"/>
      <c r="S55" s="65"/>
      <c r="T55" s="67"/>
      <c r="U55" s="161"/>
      <c r="V55" s="162"/>
      <c r="W55" s="213"/>
      <c r="X55" s="214"/>
      <c r="Y55" s="210" t="str">
        <f t="shared" si="0"/>
        <v/>
      </c>
      <c r="Z55" s="211"/>
      <c r="AA55" s="57"/>
      <c r="AB55" s="187">
        <f>(100*W55)/(100-W55)</f>
        <v>0</v>
      </c>
      <c r="AC55" s="188"/>
      <c r="AD55" s="58">
        <f t="shared" ref="AD55:AD60" si="2">(0.25*(100-O55)+2.3*(O55-H55)+12*(H55-E55)+150*(E55))/100</f>
        <v>0.25</v>
      </c>
      <c r="AE55" s="59">
        <f t="shared" si="1"/>
        <v>0</v>
      </c>
      <c r="AF55" s="28"/>
      <c r="AG55" s="60"/>
    </row>
    <row r="56" spans="1:34" ht="24.9" customHeight="1" thickBot="1" x14ac:dyDescent="0.3">
      <c r="A56" s="48"/>
      <c r="B56" s="68">
        <v>4</v>
      </c>
      <c r="C56" s="176"/>
      <c r="D56" s="198"/>
      <c r="E56" s="69"/>
      <c r="F56" s="70"/>
      <c r="G56" s="70"/>
      <c r="H56" s="71"/>
      <c r="I56" s="71"/>
      <c r="J56" s="71"/>
      <c r="K56" s="71"/>
      <c r="L56" s="71"/>
      <c r="M56" s="71"/>
      <c r="N56" s="71"/>
      <c r="O56" s="71"/>
      <c r="P56" s="71"/>
      <c r="Q56" s="72"/>
      <c r="R56" s="71"/>
      <c r="S56" s="71"/>
      <c r="T56" s="73"/>
      <c r="U56" s="199"/>
      <c r="V56" s="200"/>
      <c r="W56" s="201"/>
      <c r="X56" s="202"/>
      <c r="Y56" s="203" t="str">
        <f t="shared" si="0"/>
        <v/>
      </c>
      <c r="Z56" s="204"/>
      <c r="AA56" s="57"/>
      <c r="AB56" s="187">
        <f>(100*W56)/(100-W56)</f>
        <v>0</v>
      </c>
      <c r="AC56" s="188"/>
      <c r="AD56" s="58">
        <f t="shared" si="2"/>
        <v>0.25</v>
      </c>
      <c r="AE56" s="59">
        <f t="shared" si="1"/>
        <v>0</v>
      </c>
      <c r="AF56" s="28"/>
      <c r="AG56" s="60"/>
    </row>
    <row r="57" spans="1:34" ht="10.5" customHeight="1" thickBot="1" x14ac:dyDescent="0.3">
      <c r="A57" s="48"/>
      <c r="B57" s="2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74"/>
      <c r="S57" s="74"/>
      <c r="T57" s="74"/>
      <c r="U57" s="74"/>
      <c r="V57" s="74"/>
      <c r="W57" s="76"/>
      <c r="Z57" s="77"/>
      <c r="AB57" s="78"/>
      <c r="AC57" s="79"/>
      <c r="AD57" s="58"/>
      <c r="AE57" s="59"/>
      <c r="AF57" s="28"/>
      <c r="AG57" s="60"/>
    </row>
    <row r="58" spans="1:34" ht="24.75" hidden="1" customHeight="1" x14ac:dyDescent="0.25">
      <c r="A58" s="48"/>
      <c r="B58" s="205" t="s">
        <v>41</v>
      </c>
      <c r="C58" s="206"/>
      <c r="D58" s="207"/>
      <c r="E58" s="80"/>
      <c r="F58" s="80"/>
      <c r="G58" s="80"/>
      <c r="H58" s="80"/>
      <c r="I58" s="80"/>
      <c r="J58" s="80"/>
      <c r="K58" s="80"/>
      <c r="L58" s="80"/>
      <c r="M58" s="80">
        <v>10</v>
      </c>
      <c r="N58" s="80">
        <v>10</v>
      </c>
      <c r="O58" s="80"/>
      <c r="P58" s="80"/>
      <c r="Q58" s="81">
        <v>50</v>
      </c>
      <c r="R58" s="80"/>
      <c r="S58" s="80">
        <v>70</v>
      </c>
      <c r="T58" s="80"/>
      <c r="U58" s="80"/>
      <c r="V58" s="80"/>
      <c r="W58" s="80"/>
      <c r="X58" s="82"/>
      <c r="Y58" s="83">
        <v>4.5</v>
      </c>
      <c r="Z58" s="83"/>
      <c r="AA58" s="28"/>
      <c r="AB58" s="78"/>
      <c r="AC58" s="79"/>
      <c r="AD58" s="58">
        <f t="shared" si="2"/>
        <v>0.25</v>
      </c>
      <c r="AE58" s="59">
        <f t="shared" si="1"/>
        <v>0</v>
      </c>
      <c r="AF58" s="28"/>
      <c r="AG58" s="60"/>
    </row>
    <row r="59" spans="1:34" ht="18.75" customHeight="1" x14ac:dyDescent="0.25">
      <c r="A59" s="48"/>
      <c r="B59" s="178" t="s">
        <v>42</v>
      </c>
      <c r="C59" s="179"/>
      <c r="D59" s="180"/>
      <c r="E59" s="84">
        <f>IF(E53&lt;&gt;0,AVERAGE(E53:E56),"")</f>
        <v>7.1</v>
      </c>
      <c r="F59" s="84">
        <f t="shared" ref="F59:O59" si="3">IF(F53&lt;&gt;0,AVERAGE(F53:F56),"")</f>
        <v>9.1</v>
      </c>
      <c r="G59" s="84">
        <f t="shared" si="3"/>
        <v>12.1</v>
      </c>
      <c r="H59" s="84">
        <f t="shared" si="3"/>
        <v>15.8</v>
      </c>
      <c r="I59" s="84">
        <f t="shared" si="3"/>
        <v>21</v>
      </c>
      <c r="J59" s="84">
        <f t="shared" si="3"/>
        <v>30.3</v>
      </c>
      <c r="K59" s="84">
        <f t="shared" si="3"/>
        <v>44.8</v>
      </c>
      <c r="L59" s="84">
        <f t="shared" si="3"/>
        <v>60.4</v>
      </c>
      <c r="M59" s="84">
        <f t="shared" si="3"/>
        <v>76.7</v>
      </c>
      <c r="N59" s="84">
        <f t="shared" si="3"/>
        <v>94.5</v>
      </c>
      <c r="O59" s="84">
        <f t="shared" si="3"/>
        <v>100</v>
      </c>
      <c r="P59" s="84"/>
      <c r="Q59" s="85"/>
      <c r="R59" s="86"/>
      <c r="S59" s="86" t="str">
        <f t="shared" ref="S59:T59" si="4">IF(S53&lt;&gt;0,AVERAGE(S53:S56),"")</f>
        <v/>
      </c>
      <c r="T59" s="87" t="str">
        <f t="shared" si="4"/>
        <v/>
      </c>
      <c r="U59" s="181">
        <f>IF(U53&lt;&gt;0,AVERAGE(U53:V56),"")</f>
        <v>183</v>
      </c>
      <c r="V59" s="182"/>
      <c r="W59" s="183">
        <f>IF(W53&lt;&gt;0,AVERAGE(W53:X56),"")</f>
        <v>5.3</v>
      </c>
      <c r="X59" s="184"/>
      <c r="Y59" s="185">
        <f>IF(W53&lt;&gt;0,AVERAGE(Y53:Z56),"")</f>
        <v>3.3153620605560126</v>
      </c>
      <c r="Z59" s="186"/>
      <c r="AA59" s="60"/>
      <c r="AB59" s="187">
        <f>(100*W59)/(100-W59)</f>
        <v>5.5966209081309399</v>
      </c>
      <c r="AC59" s="188"/>
      <c r="AD59" s="58">
        <f t="shared" si="2"/>
        <v>13.630599999999999</v>
      </c>
      <c r="AE59" s="59">
        <f t="shared" si="1"/>
        <v>3.3153620605560126</v>
      </c>
      <c r="AF59" s="28"/>
      <c r="AG59" s="60"/>
    </row>
    <row r="60" spans="1:34" ht="21" customHeight="1" x14ac:dyDescent="0.25">
      <c r="A60" s="48"/>
      <c r="B60" s="189" t="s">
        <v>43</v>
      </c>
      <c r="C60" s="190"/>
      <c r="D60" s="191"/>
      <c r="E60" s="88">
        <v>6.5</v>
      </c>
      <c r="F60" s="88">
        <v>8</v>
      </c>
      <c r="G60" s="88">
        <v>11</v>
      </c>
      <c r="H60" s="88">
        <v>16</v>
      </c>
      <c r="I60" s="88">
        <v>21</v>
      </c>
      <c r="J60" s="88">
        <v>30</v>
      </c>
      <c r="K60" s="88">
        <v>44</v>
      </c>
      <c r="L60" s="88">
        <v>60</v>
      </c>
      <c r="M60" s="88">
        <v>76</v>
      </c>
      <c r="N60" s="88">
        <v>95</v>
      </c>
      <c r="O60" s="88">
        <v>100</v>
      </c>
      <c r="P60" s="88"/>
      <c r="Q60" s="89"/>
      <c r="R60" s="88"/>
      <c r="S60" s="88"/>
      <c r="T60" s="90"/>
      <c r="U60" s="192"/>
      <c r="V60" s="193"/>
      <c r="W60" s="194">
        <v>5.4</v>
      </c>
      <c r="X60" s="195"/>
      <c r="Y60" s="196">
        <f>AE60</f>
        <v>3.4230996041984052</v>
      </c>
      <c r="Z60" s="197"/>
      <c r="AA60" s="60"/>
      <c r="AB60" s="187">
        <f>(100*W60)/(100-W60)</f>
        <v>5.7082452431289648</v>
      </c>
      <c r="AC60" s="188"/>
      <c r="AD60" s="58">
        <f t="shared" si="2"/>
        <v>12.822000000000001</v>
      </c>
      <c r="AE60" s="59">
        <f t="shared" si="1"/>
        <v>3.4230996041984052</v>
      </c>
      <c r="AF60" s="28"/>
      <c r="AG60" s="60"/>
    </row>
    <row r="61" spans="1:34" ht="13.5" customHeight="1" x14ac:dyDescent="0.25">
      <c r="A61" s="48"/>
      <c r="B61" s="91"/>
      <c r="C61" s="92" t="s">
        <v>44</v>
      </c>
      <c r="D61" s="93"/>
      <c r="E61" s="65">
        <f>E60+2</f>
        <v>8.5</v>
      </c>
      <c r="F61" s="65"/>
      <c r="G61" s="65"/>
      <c r="H61" s="65"/>
      <c r="I61" s="65"/>
      <c r="J61" s="65">
        <f>J60+6</f>
        <v>36</v>
      </c>
      <c r="K61" s="65"/>
      <c r="L61" s="65">
        <f>L60+7</f>
        <v>67</v>
      </c>
      <c r="M61" s="65"/>
      <c r="N61" s="65"/>
      <c r="O61" s="65"/>
      <c r="P61" s="65"/>
      <c r="Q61" s="65"/>
      <c r="R61" s="65"/>
      <c r="S61" s="65"/>
      <c r="T61" s="67"/>
      <c r="U61" s="161"/>
      <c r="V61" s="162"/>
      <c r="W61" s="163">
        <f>W60+0.5</f>
        <v>5.9</v>
      </c>
      <c r="X61" s="162"/>
      <c r="Y61" s="164"/>
      <c r="Z61" s="165"/>
      <c r="AA61" s="94"/>
      <c r="AB61" s="95"/>
      <c r="AC61" s="96"/>
      <c r="AD61" s="166"/>
      <c r="AE61" s="168" t="s">
        <v>45</v>
      </c>
      <c r="AF61" s="28"/>
      <c r="AG61" s="60"/>
    </row>
    <row r="62" spans="1:34" ht="13.5" customHeight="1" thickBot="1" x14ac:dyDescent="0.3">
      <c r="A62" s="48"/>
      <c r="B62" s="170" t="s">
        <v>46</v>
      </c>
      <c r="C62" s="171"/>
      <c r="D62" s="172"/>
      <c r="E62" s="97">
        <f>E60-2</f>
        <v>4.5</v>
      </c>
      <c r="F62" s="97"/>
      <c r="G62" s="98"/>
      <c r="H62" s="98"/>
      <c r="I62" s="98"/>
      <c r="J62" s="97">
        <f>J60-6</f>
        <v>24</v>
      </c>
      <c r="K62" s="98"/>
      <c r="L62" s="97">
        <f>L60-7</f>
        <v>53</v>
      </c>
      <c r="M62" s="97"/>
      <c r="N62" s="98"/>
      <c r="O62" s="98"/>
      <c r="P62" s="98"/>
      <c r="Q62" s="97"/>
      <c r="R62" s="98"/>
      <c r="S62" s="98"/>
      <c r="T62" s="99"/>
      <c r="U62" s="173"/>
      <c r="V62" s="174"/>
      <c r="W62" s="175">
        <f>W60-0.5</f>
        <v>4.9000000000000004</v>
      </c>
      <c r="X62" s="174"/>
      <c r="Y62" s="176"/>
      <c r="Z62" s="177"/>
      <c r="AA62" s="100"/>
      <c r="AB62" s="101"/>
      <c r="AC62" s="102"/>
      <c r="AD62" s="167"/>
      <c r="AE62" s="169"/>
      <c r="AF62" s="28"/>
      <c r="AG62" s="60"/>
    </row>
    <row r="63" spans="1:34" ht="6.75" customHeigh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103"/>
    </row>
    <row r="64" spans="1:34" ht="8.25" customHeight="1" x14ac:dyDescent="0.25"/>
    <row r="65" spans="1:30" ht="15.6" customHeight="1" x14ac:dyDescent="0.25">
      <c r="A65" s="104" t="s">
        <v>47</v>
      </c>
      <c r="B65" s="105" t="s">
        <v>48</v>
      </c>
      <c r="C65" s="106"/>
      <c r="D65" s="106"/>
      <c r="E65" s="106"/>
      <c r="F65" s="107"/>
      <c r="G65" s="107"/>
      <c r="H65" s="107"/>
      <c r="I65" s="10"/>
      <c r="J65" s="10"/>
      <c r="K65" s="10"/>
      <c r="L65" s="10"/>
      <c r="M65" s="10"/>
      <c r="N65" s="10"/>
      <c r="O65" s="10"/>
      <c r="P65" s="10"/>
      <c r="Q65" s="107"/>
      <c r="R65" s="10"/>
      <c r="S65" s="10"/>
      <c r="T65" s="10"/>
      <c r="U65" s="144"/>
      <c r="V65" s="144"/>
      <c r="W65" s="144"/>
      <c r="X65" s="144"/>
      <c r="Y65" s="144"/>
      <c r="Z65" s="145"/>
      <c r="AA65" s="108"/>
      <c r="AB65" s="109"/>
      <c r="AC65" s="109"/>
      <c r="AD65" s="110"/>
    </row>
    <row r="66" spans="1:30" ht="26.4" customHeight="1" x14ac:dyDescent="0.25">
      <c r="A66" s="146" t="s">
        <v>49</v>
      </c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8"/>
      <c r="R66" s="133" t="s">
        <v>50</v>
      </c>
      <c r="S66" s="134"/>
      <c r="T66" s="135"/>
      <c r="U66" s="149" t="s">
        <v>51</v>
      </c>
      <c r="V66" s="150"/>
      <c r="W66" s="150"/>
      <c r="X66" s="150"/>
      <c r="Y66" s="150"/>
      <c r="Z66" s="151"/>
      <c r="AA66" s="32"/>
      <c r="AB66" s="111"/>
      <c r="AC66" s="111"/>
      <c r="AD66" s="110"/>
    </row>
    <row r="67" spans="1:30" ht="26.4" customHeight="1" x14ac:dyDescent="0.25">
      <c r="A67" s="152" t="s">
        <v>52</v>
      </c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4"/>
      <c r="R67" s="133" t="s">
        <v>53</v>
      </c>
      <c r="S67" s="134"/>
      <c r="T67" s="135"/>
      <c r="U67" s="155" t="s">
        <v>54</v>
      </c>
      <c r="V67" s="156"/>
      <c r="W67" s="156"/>
      <c r="X67" s="156"/>
      <c r="Y67" s="156"/>
      <c r="Z67" s="157"/>
      <c r="AA67" s="32"/>
      <c r="AB67" s="111"/>
      <c r="AC67" s="111"/>
      <c r="AD67" s="110"/>
    </row>
    <row r="68" spans="1:30" ht="15.6" customHeight="1" x14ac:dyDescent="0.25">
      <c r="A68" s="112" t="s">
        <v>55</v>
      </c>
      <c r="B68" s="113" t="s">
        <v>56</v>
      </c>
      <c r="C68" s="13"/>
      <c r="D68" s="13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5"/>
      <c r="R68" s="133"/>
      <c r="S68" s="134"/>
      <c r="T68" s="135"/>
      <c r="U68" s="158"/>
      <c r="V68" s="159"/>
      <c r="W68" s="159"/>
      <c r="X68" s="159"/>
      <c r="Y68" s="159"/>
      <c r="Z68" s="160"/>
      <c r="AA68" s="32"/>
      <c r="AB68" s="111"/>
      <c r="AC68" s="111"/>
      <c r="AD68" s="110"/>
    </row>
    <row r="69" spans="1:30" ht="15.6" customHeight="1" x14ac:dyDescent="0.25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9"/>
      <c r="R69" s="133" t="s">
        <v>57</v>
      </c>
      <c r="S69" s="134"/>
      <c r="T69" s="135"/>
      <c r="U69" s="116"/>
      <c r="V69" s="117"/>
      <c r="W69" s="117"/>
      <c r="X69" s="117"/>
      <c r="Y69" s="117"/>
      <c r="Z69" s="118"/>
      <c r="AA69" s="119"/>
      <c r="AB69" s="120"/>
      <c r="AC69" s="120"/>
      <c r="AD69" s="110"/>
    </row>
    <row r="70" spans="1:30" ht="15.6" customHeight="1" x14ac:dyDescent="0.25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9"/>
      <c r="R70" s="133"/>
      <c r="S70" s="134"/>
      <c r="T70" s="135"/>
      <c r="U70" s="121"/>
      <c r="V70" s="139"/>
      <c r="W70" s="139"/>
      <c r="X70" s="139"/>
      <c r="Y70" s="139"/>
      <c r="Z70" s="122"/>
      <c r="AA70" s="119"/>
      <c r="AB70" s="120"/>
      <c r="AC70" s="120"/>
      <c r="AD70" s="110"/>
    </row>
    <row r="71" spans="1:30" ht="15.6" customHeight="1" x14ac:dyDescent="0.25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9"/>
      <c r="R71" s="133"/>
      <c r="S71" s="134"/>
      <c r="T71" s="135"/>
      <c r="U71" s="121"/>
      <c r="V71" s="139"/>
      <c r="W71" s="139"/>
      <c r="X71" s="139"/>
      <c r="Y71" s="139"/>
      <c r="Z71" s="122"/>
      <c r="AA71" s="119"/>
      <c r="AB71" s="120"/>
      <c r="AC71" s="120"/>
      <c r="AD71" s="110"/>
    </row>
    <row r="72" spans="1:30" ht="15.6" customHeight="1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2"/>
      <c r="R72" s="136"/>
      <c r="S72" s="137"/>
      <c r="T72" s="138"/>
      <c r="U72" s="123"/>
      <c r="V72" s="124"/>
      <c r="W72" s="124"/>
      <c r="X72" s="124"/>
      <c r="Y72" s="124"/>
      <c r="Z72" s="125"/>
      <c r="AA72" s="119"/>
      <c r="AB72" s="120"/>
      <c r="AC72" s="120"/>
      <c r="AD72" s="110"/>
    </row>
    <row r="73" spans="1:30" ht="12.75" customHeight="1" x14ac:dyDescent="0.25">
      <c r="U73" s="126"/>
      <c r="V73" s="126"/>
      <c r="W73" s="126"/>
      <c r="X73" s="126"/>
      <c r="Y73" s="126"/>
      <c r="Z73" s="126"/>
    </row>
  </sheetData>
  <mergeCells count="101"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AG51:AG52"/>
    <mergeCell ref="C52:D52"/>
    <mergeCell ref="C53:D53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A69:Q72"/>
    <mergeCell ref="R69:T72"/>
    <mergeCell ref="V70:Y71"/>
    <mergeCell ref="U53:V53"/>
    <mergeCell ref="W53:X53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C56:D56"/>
    <mergeCell ref="U56:V56"/>
    <mergeCell ref="W56:X56"/>
    <mergeCell ref="Y56:Z5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230126 BBSG Avignon</vt:lpstr>
      <vt:lpstr>230126 GB Avignon</vt:lpstr>
      <vt:lpstr>241125 BBSG Valence</vt:lpstr>
      <vt:lpstr>'230126 BBSG Avignon'!Zone_d_impression</vt:lpstr>
      <vt:lpstr>'230126 GB Avignon'!Zone_d_impression</vt:lpstr>
      <vt:lpstr>'241125 BBSG Valence'!Zone_d_impression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MONTET</dc:creator>
  <cp:lastModifiedBy>MONTET Frédéric</cp:lastModifiedBy>
  <cp:lastPrinted>2026-01-26T13:10:04Z</cp:lastPrinted>
  <dcterms:created xsi:type="dcterms:W3CDTF">2025-11-24T12:32:32Z</dcterms:created>
  <dcterms:modified xsi:type="dcterms:W3CDTF">2026-01-26T13:10:08Z</dcterms:modified>
</cp:coreProperties>
</file>