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42\RA ALHL  Andrézieux Bouthéon - Aire des gens du voyage\Essais de Laboratoire\Sondages\"/>
    </mc:Choice>
  </mc:AlternateContent>
  <xr:revisionPtr revIDLastSave="0" documentId="13_ncr:1_{88E87AA9-9652-4B1C-960E-9F7E620E3256}" xr6:coauthVersionLast="47" xr6:coauthVersionMax="47" xr10:uidLastSave="{00000000-0000-0000-0000-000000000000}"/>
  <bookViews>
    <workbookView xWindow="58560" yWindow="960" windowWidth="17280" windowHeight="8880" xr2:uid="{00000000-000D-0000-FFFF-FFFF00000000}"/>
  </bookViews>
  <sheets>
    <sheet name="S4E1" sheetId="11" r:id="rId1"/>
    <sheet name="S3E1" sheetId="10" r:id="rId2"/>
    <sheet name="S2E1" sheetId="9" r:id="rId3"/>
    <sheet name="250325 S1E1" sheetId="8" r:id="rId4"/>
  </sheets>
  <definedNames>
    <definedName name="_xlnm.Print_Area" localSheetId="3">'250325 S1E1'!$A$1:$Z$86</definedName>
    <definedName name="_xlnm.Print_Area" localSheetId="2">S2E1!$A$1:$Z$86</definedName>
    <definedName name="_xlnm.Print_Area" localSheetId="1">S3E1!$A$1:$Z$86</definedName>
    <definedName name="_xlnm.Print_Area" localSheetId="0">S4E1!$A$1:$Z$86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11" l="1"/>
  <c r="E69" i="11" s="1"/>
  <c r="F75" i="11" s="1"/>
  <c r="G64" i="10"/>
  <c r="E69" i="10" s="1"/>
  <c r="F75" i="10" s="1"/>
  <c r="G64" i="9"/>
  <c r="E69" i="9" s="1"/>
  <c r="F75" i="9" s="1"/>
  <c r="G64" i="8"/>
  <c r="E69" i="8" s="1"/>
  <c r="F75" i="8" s="1"/>
</calcChain>
</file>

<file path=xl/sharedStrings.xml><?xml version="1.0" encoding="utf-8"?>
<sst xmlns="http://schemas.openxmlformats.org/spreadsheetml/2006/main" count="249" uniqueCount="64">
  <si>
    <t>RENSEIGNEMENTS GENERAUX</t>
  </si>
  <si>
    <t>Nature du matériau :</t>
  </si>
  <si>
    <t>RESULTATS DES ESSAIS</t>
  </si>
  <si>
    <t>1/</t>
  </si>
  <si>
    <t>2/</t>
  </si>
  <si>
    <t>3/</t>
  </si>
  <si>
    <t>Date du prélèvement :</t>
  </si>
  <si>
    <t>Opérateur :</t>
  </si>
  <si>
    <t xml:space="preserve">Date des essais : </t>
  </si>
  <si>
    <t>Teneur en eau (%)</t>
  </si>
  <si>
    <t>Elle est atteinte lorsque, simultanément, le rouleau se fissure et atteint un diamètre de 3 mm +/-0.5 mm.</t>
  </si>
  <si>
    <t>Teneurs en eau de plasticité :</t>
  </si>
  <si>
    <t>(si les valeurs s'écartent de plus de 2% de la valeur moyenne, un nouvel essai est à effectuer)</t>
  </si>
  <si>
    <t>3. Indice de plasticité Ip</t>
  </si>
  <si>
    <t>4. Indice de consistance Ic</t>
  </si>
  <si>
    <t xml:space="preserve">Teneur en eau du matériau : Wnat = </t>
  </si>
  <si>
    <t>(moyenne arithmétique des 2 essais réalisés, arrondie au nombre entier le plus proche)</t>
  </si>
  <si>
    <t>COMMENTAIRES</t>
  </si>
  <si>
    <t>Origine du matériau :</t>
  </si>
  <si>
    <t>Destination du matériau :</t>
  </si>
  <si>
    <t>Nom</t>
  </si>
  <si>
    <t>Fonction</t>
  </si>
  <si>
    <t>Visa</t>
  </si>
  <si>
    <t>Laboratoire :</t>
  </si>
  <si>
    <t>Mesure n°</t>
  </si>
  <si>
    <t>COMPTE RENDU D'ESSAIS</t>
  </si>
  <si>
    <t>n°</t>
  </si>
  <si>
    <t>Chrono</t>
  </si>
  <si>
    <t>N° d'affaire</t>
  </si>
  <si>
    <t>Date de rédaction</t>
  </si>
  <si>
    <t>1. Limite de liquidité - Méthode au cône de pénétration</t>
  </si>
  <si>
    <t>LCP</t>
  </si>
  <si>
    <t xml:space="preserve">Limite de liquidité WL = </t>
  </si>
  <si>
    <t>(La limite de liquidité est la teneur en eau du matériau qui correspond conventionnellement à l'enfoncement</t>
  </si>
  <si>
    <t>de 17 mm du cône)</t>
  </si>
  <si>
    <t>Enfoncement (h en mm)</t>
  </si>
  <si>
    <t>Vérification masse "tige+cône" :</t>
  </si>
  <si>
    <t>Vétification angle du cône :</t>
  </si>
  <si>
    <t>80 g (-0,5 g à + 0,1 g)</t>
  </si>
  <si>
    <t xml:space="preserve">Tolérances : </t>
  </si>
  <si>
    <t>30° (-2° à +1°)</t>
  </si>
  <si>
    <r>
      <t>2. Limite de plasticité au rouleau W</t>
    </r>
    <r>
      <rPr>
        <b/>
        <sz val="8"/>
        <rFont val="Century Gothic"/>
        <family val="2"/>
      </rPr>
      <t>P</t>
    </r>
  </si>
  <si>
    <r>
      <t xml:space="preserve">1er essai </t>
    </r>
    <r>
      <rPr>
        <sz val="10"/>
        <rFont val="Century Gothic"/>
        <family val="2"/>
      </rPr>
      <t xml:space="preserve">: W = </t>
    </r>
  </si>
  <si>
    <r>
      <t xml:space="preserve">2ème essai </t>
    </r>
    <r>
      <rPr>
        <sz val="10"/>
        <rFont val="Century Gothic"/>
        <family val="2"/>
      </rPr>
      <t xml:space="preserve">: W = </t>
    </r>
  </si>
  <si>
    <r>
      <t>Limite de plasticité : W</t>
    </r>
    <r>
      <rPr>
        <sz val="8"/>
        <rFont val="Century Gothic"/>
        <family val="2"/>
      </rPr>
      <t>P =</t>
    </r>
  </si>
  <si>
    <r>
      <t>Ip = W</t>
    </r>
    <r>
      <rPr>
        <sz val="8"/>
        <rFont val="Century Gothic"/>
        <family val="2"/>
      </rPr>
      <t>L</t>
    </r>
    <r>
      <rPr>
        <sz val="10"/>
        <rFont val="Century Gothic"/>
        <family val="2"/>
      </rPr>
      <t xml:space="preserve"> - W</t>
    </r>
    <r>
      <rPr>
        <sz val="8"/>
        <rFont val="Century Gothic"/>
        <family val="2"/>
      </rPr>
      <t>P =</t>
    </r>
  </si>
  <si>
    <r>
      <t>Ic = (W</t>
    </r>
    <r>
      <rPr>
        <sz val="8"/>
        <rFont val="Century Gothic"/>
        <family val="2"/>
      </rPr>
      <t>L</t>
    </r>
    <r>
      <rPr>
        <sz val="10"/>
        <rFont val="Century Gothic"/>
        <family val="2"/>
      </rPr>
      <t xml:space="preserve"> - W</t>
    </r>
    <r>
      <rPr>
        <sz val="8"/>
        <rFont val="Century Gothic"/>
        <family val="2"/>
      </rPr>
      <t xml:space="preserve">nat) </t>
    </r>
    <r>
      <rPr>
        <sz val="10"/>
        <rFont val="Century Gothic"/>
        <family val="2"/>
      </rPr>
      <t>/ Ip</t>
    </r>
    <r>
      <rPr>
        <sz val="8"/>
        <rFont val="Century Gothic"/>
        <family val="2"/>
      </rPr>
      <t xml:space="preserve"> =</t>
    </r>
  </si>
  <si>
    <t>DETERMINATION DES LIMITES D'ATTERBERG
(NF P 94-052-1 de novembre 1995)</t>
  </si>
  <si>
    <t>Andrézieux Bouthéon
Aire des gens du voyage</t>
  </si>
  <si>
    <t>RA ALHL</t>
  </si>
  <si>
    <t>27/03/2025</t>
  </si>
  <si>
    <t>Laboratoire Rhône Auvergne - 29-31 rue des tâches - ZI mi-plaine - 69800 SAINT PRIEST</t>
  </si>
  <si>
    <t>Sylvain LHOPITAL</t>
  </si>
  <si>
    <t>Argile sableuse</t>
  </si>
  <si>
    <t>25/03/2025</t>
  </si>
  <si>
    <t>S1E1</t>
  </si>
  <si>
    <t>AT</t>
  </si>
  <si>
    <t>Conforme</t>
  </si>
  <si>
    <t>Chef de Section Laboratoire</t>
  </si>
  <si>
    <t>S2E1</t>
  </si>
  <si>
    <r>
      <t xml:space="preserve">2ème essai </t>
    </r>
    <r>
      <rPr>
        <sz val="10"/>
        <color rgb="FF000000"/>
        <rFont val="Century Gothic"/>
      </rPr>
      <t xml:space="preserve">: W = </t>
    </r>
  </si>
  <si>
    <t xml:space="preserve">A4 </t>
  </si>
  <si>
    <t>S3E1</t>
  </si>
  <si>
    <t>S4E1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</si>
</sst>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#,##0.0"/>
    <numFmt numFmtId="168" formatCode="0.0%"/>
  </numFmts>
  <fonts count="30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sz val="11"/>
      <name val="Century Gothic"/>
      <family val="2"/>
    </font>
    <font>
      <b/>
      <sz val="16"/>
      <name val="Century Gothic"/>
      <family val="2"/>
    </font>
    <font>
      <sz val="16"/>
      <name val="Century Gothic"/>
      <family val="2"/>
    </font>
    <font>
      <sz val="14"/>
      <name val="Century Gothic"/>
      <family val="2"/>
    </font>
    <font>
      <i/>
      <sz val="10"/>
      <name val="Century Gothic"/>
      <family val="2"/>
    </font>
    <font>
      <b/>
      <sz val="8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b/>
      <u/>
      <sz val="11"/>
      <color indexed="51"/>
      <name val="Century Gothic"/>
      <family val="2"/>
    </font>
    <font>
      <sz val="9"/>
      <name val="Century Gothic"/>
      <family val="2"/>
    </font>
    <font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b/>
      <sz val="12"/>
      <color rgb="FF000000"/>
      <name val="Century Gothic"/>
    </font>
    <font>
      <b/>
      <sz val="11"/>
      <color rgb="FF000000"/>
      <name val="Century Gothic"/>
    </font>
    <font>
      <sz val="8"/>
      <color rgb="FF000000"/>
      <name val="Century Gothic"/>
    </font>
    <font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sz val="10"/>
      <color rgb="FF000000"/>
      <name val="Arial"/>
    </font>
    <font>
      <u/>
      <sz val="10"/>
      <color rgb="FF000000"/>
      <name val="Century Gothic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28" fillId="0" borderId="0"/>
  </cellStyleXfs>
  <cellXfs count="172">
    <xf numFmtId="0" fontId="0" fillId="0" borderId="0" xfId="0"/>
    <xf numFmtId="0" fontId="3" fillId="0" borderId="0" xfId="0" applyFont="1" applyProtection="1"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3" fillId="0" borderId="5" xfId="0" applyFont="1" applyBorder="1" applyProtection="1"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7" xfId="0" applyFont="1" applyBorder="1" applyProtection="1"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3" fillId="0" borderId="2" xfId="0" applyFont="1" applyBorder="1" applyProtection="1">
      <protection hidden="1"/>
    </xf>
    <xf numFmtId="0" fontId="3" fillId="0" borderId="8" xfId="0" applyFont="1" applyBorder="1" applyProtection="1">
      <protection hidden="1"/>
    </xf>
    <xf numFmtId="0" fontId="7" fillId="0" borderId="0" xfId="0" applyFont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10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7" fillId="0" borderId="4" xfId="0" applyFont="1" applyBorder="1" applyProtection="1">
      <protection hidden="1"/>
    </xf>
    <xf numFmtId="0" fontId="10" fillId="0" borderId="6" xfId="0" applyFont="1" applyBorder="1" applyAlignment="1" applyProtection="1">
      <alignment horizontal="center"/>
      <protection hidden="1"/>
    </xf>
    <xf numFmtId="164" fontId="11" fillId="0" borderId="0" xfId="0" applyNumberFormat="1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2" fontId="11" fillId="0" borderId="0" xfId="0" applyNumberFormat="1" applyFont="1" applyAlignment="1" applyProtection="1">
      <alignment horizontal="center"/>
      <protection hidden="1"/>
    </xf>
    <xf numFmtId="2" fontId="12" fillId="0" borderId="0" xfId="0" applyNumberFormat="1" applyFont="1" applyAlignment="1" applyProtection="1">
      <alignment horizontal="center"/>
      <protection hidden="1"/>
    </xf>
    <xf numFmtId="0" fontId="4" fillId="0" borderId="0" xfId="0" quotePrefix="1" applyFont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0" fontId="4" fillId="0" borderId="0" xfId="0" applyFont="1" applyProtection="1">
      <protection hidden="1"/>
    </xf>
    <xf numFmtId="167" fontId="3" fillId="0" borderId="0" xfId="0" applyNumberFormat="1" applyFont="1" applyProtection="1">
      <protection hidden="1"/>
    </xf>
    <xf numFmtId="4" fontId="3" fillId="0" borderId="0" xfId="0" applyNumberFormat="1" applyFont="1" applyAlignment="1" applyProtection="1">
      <alignment horizont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3" fillId="0" borderId="7" xfId="0" applyFont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0" fontId="13" fillId="0" borderId="6" xfId="0" applyFont="1" applyBorder="1" applyProtection="1">
      <protection hidden="1"/>
    </xf>
    <xf numFmtId="0" fontId="13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left"/>
      <protection hidden="1"/>
    </xf>
    <xf numFmtId="0" fontId="3" fillId="0" borderId="10" xfId="0" applyFont="1" applyBorder="1" applyProtection="1">
      <protection hidden="1"/>
    </xf>
    <xf numFmtId="0" fontId="3" fillId="0" borderId="9" xfId="0" applyFont="1" applyBorder="1" applyProtection="1">
      <protection hidden="1"/>
    </xf>
    <xf numFmtId="0" fontId="15" fillId="0" borderId="4" xfId="0" applyFont="1" applyBorder="1" applyAlignment="1" applyProtection="1">
      <alignment vertical="center"/>
      <protection hidden="1"/>
    </xf>
    <xf numFmtId="0" fontId="3" fillId="0" borderId="5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9" fillId="0" borderId="2" xfId="0" applyFont="1" applyBorder="1" applyProtection="1">
      <protection hidden="1"/>
    </xf>
    <xf numFmtId="0" fontId="9" fillId="0" borderId="2" xfId="0" applyFont="1" applyBorder="1" applyAlignment="1" applyProtection="1">
      <alignment horizontal="center"/>
      <protection hidden="1"/>
    </xf>
    <xf numFmtId="0" fontId="9" fillId="0" borderId="2" xfId="0" applyFont="1" applyBorder="1" applyAlignment="1" applyProtection="1">
      <alignment horizontal="left"/>
      <protection hidden="1"/>
    </xf>
    <xf numFmtId="0" fontId="17" fillId="0" borderId="3" xfId="0" applyFont="1" applyBorder="1" applyAlignment="1" applyProtection="1">
      <alignment vertical="center"/>
      <protection locked="0"/>
    </xf>
    <xf numFmtId="0" fontId="17" fillId="0" borderId="4" xfId="0" applyFont="1" applyBorder="1" applyAlignment="1" applyProtection="1">
      <alignment vertical="center"/>
      <protection locked="0"/>
    </xf>
    <xf numFmtId="0" fontId="17" fillId="0" borderId="5" xfId="0" applyFont="1" applyBorder="1" applyAlignment="1" applyProtection="1">
      <alignment vertical="center"/>
      <protection locked="0"/>
    </xf>
    <xf numFmtId="0" fontId="17" fillId="0" borderId="6" xfId="0" applyFont="1" applyBorder="1" applyAlignment="1" applyProtection="1">
      <alignment vertical="center"/>
      <protection locked="0"/>
    </xf>
    <xf numFmtId="0" fontId="17" fillId="0" borderId="7" xfId="0" applyFont="1" applyBorder="1" applyAlignment="1" applyProtection="1">
      <alignment vertical="center"/>
      <protection locked="0"/>
    </xf>
    <xf numFmtId="0" fontId="17" fillId="0" borderId="1" xfId="0" applyFont="1" applyBorder="1" applyAlignment="1" applyProtection="1">
      <alignment vertical="center"/>
      <protection locked="0"/>
    </xf>
    <xf numFmtId="0" fontId="17" fillId="0" borderId="2" xfId="0" applyFont="1" applyBorder="1" applyAlignment="1" applyProtection="1">
      <alignment vertical="center"/>
      <protection locked="0"/>
    </xf>
    <xf numFmtId="0" fontId="17" fillId="0" borderId="8" xfId="0" applyFont="1" applyBorder="1" applyAlignment="1" applyProtection="1">
      <alignment vertical="center"/>
      <protection locked="0"/>
    </xf>
    <xf numFmtId="0" fontId="19" fillId="0" borderId="0" xfId="0" applyFont="1" applyAlignment="1" applyProtection="1">
      <alignment horizontal="right" vertical="center"/>
      <protection hidden="1"/>
    </xf>
    <xf numFmtId="0" fontId="19" fillId="0" borderId="18" xfId="0" applyFont="1" applyBorder="1" applyAlignment="1" applyProtection="1">
      <alignment vertical="center"/>
      <protection hidden="1"/>
    </xf>
    <xf numFmtId="0" fontId="19" fillId="0" borderId="19" xfId="0" applyFont="1" applyBorder="1" applyAlignment="1" applyProtection="1">
      <alignment vertical="center"/>
      <protection hidden="1"/>
    </xf>
    <xf numFmtId="0" fontId="22" fillId="0" borderId="13" xfId="0" applyFont="1" applyBorder="1" applyAlignment="1" applyProtection="1">
      <alignment horizontal="center" vertical="center"/>
      <protection hidden="1"/>
    </xf>
    <xf numFmtId="0" fontId="26" fillId="0" borderId="14" xfId="0" applyFont="1" applyBorder="1" applyAlignment="1" applyProtection="1">
      <alignment vertical="center"/>
      <protection hidden="1"/>
    </xf>
    <xf numFmtId="0" fontId="19" fillId="0" borderId="14" xfId="0" applyFont="1" applyBorder="1" applyAlignment="1" applyProtection="1">
      <alignment vertical="center"/>
      <protection hidden="1"/>
    </xf>
    <xf numFmtId="0" fontId="19" fillId="0" borderId="14" xfId="0" applyFont="1" applyBorder="1" applyAlignment="1" applyProtection="1">
      <alignment horizontal="center"/>
      <protection hidden="1"/>
    </xf>
    <xf numFmtId="0" fontId="19" fillId="0" borderId="14" xfId="0" applyFont="1" applyBorder="1" applyProtection="1">
      <protection hidden="1"/>
    </xf>
    <xf numFmtId="0" fontId="19" fillId="0" borderId="15" xfId="0" applyFont="1" applyBorder="1" applyProtection="1">
      <protection hidden="1"/>
    </xf>
    <xf numFmtId="0" fontId="19" fillId="0" borderId="16" xfId="0" applyFont="1" applyBorder="1" applyAlignment="1" applyProtection="1">
      <alignment horizontal="center"/>
      <protection hidden="1"/>
    </xf>
    <xf numFmtId="0" fontId="19" fillId="0" borderId="0" xfId="0" applyFont="1" applyProtection="1">
      <protection hidden="1"/>
    </xf>
    <xf numFmtId="0" fontId="19" fillId="0" borderId="0" xfId="0" applyFont="1" applyAlignment="1" applyProtection="1">
      <alignment horizontal="center"/>
      <protection hidden="1"/>
    </xf>
    <xf numFmtId="0" fontId="19" fillId="0" borderId="17" xfId="0" applyFont="1" applyBorder="1" applyProtection="1">
      <protection hidden="1"/>
    </xf>
    <xf numFmtId="0" fontId="28" fillId="0" borderId="0" xfId="3"/>
    <xf numFmtId="0" fontId="3" fillId="0" borderId="10" xfId="0" applyFont="1" applyBorder="1" applyAlignment="1" applyProtection="1">
      <alignment horizontal="center"/>
      <protection hidden="1"/>
    </xf>
    <xf numFmtId="0" fontId="3" fillId="0" borderId="9" xfId="0" applyFont="1" applyBorder="1" applyAlignment="1" applyProtection="1">
      <alignment horizontal="center"/>
      <protection hidden="1"/>
    </xf>
    <xf numFmtId="2" fontId="3" fillId="0" borderId="9" xfId="0" applyNumberFormat="1" applyFont="1" applyBorder="1" applyAlignment="1" applyProtection="1">
      <alignment horizontal="right"/>
      <protection hidden="1"/>
    </xf>
    <xf numFmtId="2" fontId="3" fillId="0" borderId="12" xfId="0" applyNumberFormat="1" applyFont="1" applyBorder="1" applyAlignment="1" applyProtection="1">
      <alignment horizontal="right"/>
      <protection hidden="1"/>
    </xf>
    <xf numFmtId="0" fontId="16" fillId="0" borderId="9" xfId="0" applyFont="1" applyBorder="1" applyAlignment="1" applyProtection="1">
      <alignment horizontal="center" vertical="center" wrapText="1"/>
      <protection hidden="1"/>
    </xf>
    <xf numFmtId="0" fontId="16" fillId="0" borderId="12" xfId="0" applyFont="1" applyBorder="1" applyAlignment="1" applyProtection="1">
      <alignment horizontal="center" vertical="center" wrapText="1"/>
      <protection hidden="1"/>
    </xf>
    <xf numFmtId="0" fontId="9" fillId="0" borderId="6" xfId="0" applyFont="1" applyBorder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9" fillId="0" borderId="7" xfId="0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9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 applyProtection="1">
      <alignment horizontal="left" vertical="center" wrapText="1"/>
      <protection locked="0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7" xfId="0" applyFont="1" applyBorder="1" applyAlignment="1" applyProtection="1">
      <alignment horizontal="center" vertical="center"/>
      <protection hidden="1"/>
    </xf>
    <xf numFmtId="0" fontId="9" fillId="0" borderId="10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16" fillId="0" borderId="2" xfId="0" applyFont="1" applyBorder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locked="0"/>
    </xf>
    <xf numFmtId="9" fontId="3" fillId="0" borderId="9" xfId="1" applyFont="1" applyFill="1" applyBorder="1" applyAlignment="1" applyProtection="1">
      <alignment horizontal="right"/>
      <protection hidden="1"/>
    </xf>
    <xf numFmtId="9" fontId="3" fillId="0" borderId="12" xfId="1" applyFont="1" applyFill="1" applyBorder="1" applyAlignment="1" applyProtection="1">
      <alignment horizontal="right"/>
      <protection hidden="1"/>
    </xf>
    <xf numFmtId="0" fontId="13" fillId="0" borderId="6" xfId="0" applyFont="1" applyBorder="1" applyAlignment="1" applyProtection="1">
      <alignment horizontal="left"/>
      <protection hidden="1"/>
    </xf>
    <xf numFmtId="0" fontId="13" fillId="0" borderId="0" xfId="0" applyFont="1" applyAlignment="1" applyProtection="1">
      <alignment horizontal="left"/>
      <protection hidden="1"/>
    </xf>
    <xf numFmtId="0" fontId="3" fillId="0" borderId="10" xfId="0" applyFont="1" applyBorder="1" applyAlignment="1" applyProtection="1">
      <alignment horizontal="left"/>
      <protection hidden="1"/>
    </xf>
    <xf numFmtId="0" fontId="3" fillId="0" borderId="9" xfId="0" applyFont="1" applyBorder="1" applyAlignment="1" applyProtection="1">
      <alignment horizontal="left"/>
      <protection hidden="1"/>
    </xf>
    <xf numFmtId="0" fontId="3" fillId="0" borderId="9" xfId="0" applyFont="1" applyBorder="1" applyAlignment="1" applyProtection="1">
      <alignment horizontal="right"/>
      <protection hidden="1"/>
    </xf>
    <xf numFmtId="0" fontId="3" fillId="0" borderId="12" xfId="0" applyFont="1" applyBorder="1" applyAlignment="1" applyProtection="1">
      <alignment horizontal="right"/>
      <protection hidden="1"/>
    </xf>
    <xf numFmtId="0" fontId="18" fillId="0" borderId="10" xfId="0" applyFont="1" applyBorder="1" applyAlignment="1" applyProtection="1">
      <alignment horizontal="center"/>
      <protection hidden="1"/>
    </xf>
    <xf numFmtId="0" fontId="18" fillId="0" borderId="9" xfId="0" applyFont="1" applyBorder="1" applyAlignment="1" applyProtection="1">
      <alignment horizontal="center"/>
      <protection hidden="1"/>
    </xf>
    <xf numFmtId="168" fontId="3" fillId="0" borderId="9" xfId="1" applyNumberFormat="1" applyFont="1" applyFill="1" applyBorder="1" applyAlignment="1" applyProtection="1">
      <alignment horizontal="right"/>
      <protection hidden="1"/>
    </xf>
    <xf numFmtId="168" fontId="3" fillId="0" borderId="12" xfId="1" applyNumberFormat="1" applyFont="1" applyFill="1" applyBorder="1" applyAlignment="1" applyProtection="1">
      <alignment horizontal="right"/>
      <protection hidden="1"/>
    </xf>
    <xf numFmtId="0" fontId="9" fillId="0" borderId="9" xfId="0" applyFont="1" applyBorder="1" applyAlignment="1" applyProtection="1">
      <alignment horizontal="right"/>
      <protection hidden="1"/>
    </xf>
    <xf numFmtId="0" fontId="9" fillId="0" borderId="12" xfId="0" applyFont="1" applyBorder="1" applyAlignment="1" applyProtection="1">
      <alignment horizontal="right"/>
      <protection hidden="1"/>
    </xf>
    <xf numFmtId="0" fontId="15" fillId="0" borderId="10" xfId="0" applyFont="1" applyBorder="1" applyAlignment="1" applyProtection="1">
      <alignment horizontal="center"/>
      <protection hidden="1"/>
    </xf>
    <xf numFmtId="0" fontId="15" fillId="0" borderId="9" xfId="0" applyFont="1" applyBorder="1" applyAlignment="1" applyProtection="1">
      <alignment horizontal="center"/>
      <protection hidden="1"/>
    </xf>
    <xf numFmtId="168" fontId="27" fillId="0" borderId="21" xfId="3" applyNumberFormat="1" applyFont="1" applyBorder="1" applyAlignment="1" applyProtection="1">
      <alignment horizontal="right"/>
      <protection hidden="1"/>
    </xf>
    <xf numFmtId="168" fontId="27" fillId="0" borderId="24" xfId="3" applyNumberFormat="1" applyFont="1" applyBorder="1" applyAlignment="1" applyProtection="1">
      <alignment horizontal="right"/>
      <protection hidden="1"/>
    </xf>
    <xf numFmtId="0" fontId="29" fillId="0" borderId="23" xfId="3" applyFont="1" applyBorder="1" applyAlignment="1" applyProtection="1">
      <alignment horizontal="center"/>
      <protection hidden="1"/>
    </xf>
    <xf numFmtId="0" fontId="29" fillId="0" borderId="21" xfId="3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Protection="1"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3" fillId="0" borderId="0" xfId="0" applyNumberFormat="1" applyFont="1" applyAlignment="1" applyProtection="1">
      <alignment horizontal="center"/>
      <protection hidden="1"/>
    </xf>
    <xf numFmtId="165" fontId="3" fillId="0" borderId="0" xfId="0" applyNumberFormat="1" applyFont="1" applyAlignment="1" applyProtection="1">
      <alignment horizontal="center"/>
      <protection hidden="1"/>
    </xf>
    <xf numFmtId="167" fontId="3" fillId="0" borderId="0" xfId="0" applyNumberFormat="1" applyFont="1" applyAlignment="1" applyProtection="1">
      <alignment horizont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2" fontId="3" fillId="0" borderId="0" xfId="0" applyNumberFormat="1" applyFont="1" applyAlignment="1" applyProtection="1">
      <alignment horizontal="center"/>
      <protection hidden="1"/>
    </xf>
    <xf numFmtId="0" fontId="27" fillId="0" borderId="22" xfId="3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/>
      <protection hidden="1"/>
    </xf>
    <xf numFmtId="0" fontId="27" fillId="0" borderId="0" xfId="0" applyFont="1" applyAlignment="1" applyProtection="1">
      <alignment horizontal="left"/>
      <protection locked="0"/>
    </xf>
    <xf numFmtId="0" fontId="27" fillId="0" borderId="0" xfId="0" applyFont="1" applyAlignment="1" applyProtection="1">
      <alignment horizontal="left" vertical="center"/>
      <protection hidden="1"/>
    </xf>
    <xf numFmtId="14" fontId="27" fillId="0" borderId="0" xfId="0" applyNumberFormat="1" applyFont="1" applyAlignment="1" applyProtection="1">
      <alignment horizontal="left"/>
      <protection locked="0"/>
    </xf>
    <xf numFmtId="0" fontId="24" fillId="0" borderId="19" xfId="0" applyFont="1" applyBorder="1" applyAlignment="1" applyProtection="1">
      <alignment horizontal="center" vertical="center"/>
      <protection hidden="1"/>
    </xf>
    <xf numFmtId="0" fontId="24" fillId="0" borderId="20" xfId="0" applyFont="1" applyBorder="1" applyAlignment="1" applyProtection="1">
      <alignment horizontal="center" vertical="center"/>
      <protection hidden="1"/>
    </xf>
    <xf numFmtId="0" fontId="22" fillId="0" borderId="21" xfId="0" applyFont="1" applyBorder="1" applyAlignment="1" applyProtection="1">
      <alignment horizontal="center" vertical="center"/>
      <protection hidden="1"/>
    </xf>
    <xf numFmtId="0" fontId="25" fillId="0" borderId="21" xfId="0" applyFont="1" applyBorder="1" applyAlignment="1" applyProtection="1">
      <alignment horizontal="center" vertical="center"/>
      <protection hidden="1"/>
    </xf>
    <xf numFmtId="0" fontId="19" fillId="0" borderId="13" xfId="0" applyFont="1" applyBorder="1" applyAlignment="1" applyProtection="1">
      <alignment horizontal="center" vertical="center" wrapText="1"/>
      <protection hidden="1"/>
    </xf>
    <xf numFmtId="0" fontId="19" fillId="0" borderId="14" xfId="0" applyFont="1" applyBorder="1" applyAlignment="1" applyProtection="1">
      <alignment horizontal="center" vertical="center" wrapText="1"/>
      <protection hidden="1"/>
    </xf>
    <xf numFmtId="0" fontId="19" fillId="0" borderId="15" xfId="0" applyFont="1" applyBorder="1" applyAlignment="1" applyProtection="1">
      <alignment horizontal="center" vertical="center" wrapText="1"/>
      <protection hidden="1"/>
    </xf>
    <xf numFmtId="0" fontId="19" fillId="0" borderId="16" xfId="0" applyFont="1" applyBorder="1" applyAlignment="1" applyProtection="1">
      <alignment horizontal="center" vertical="center" wrapText="1"/>
      <protection hidden="1"/>
    </xf>
    <xf numFmtId="0" fontId="19" fillId="0" borderId="0" xfId="0" applyFont="1" applyAlignment="1" applyProtection="1">
      <alignment horizontal="center" vertical="center" wrapText="1"/>
      <protection hidden="1"/>
    </xf>
    <xf numFmtId="0" fontId="19" fillId="0" borderId="17" xfId="0" applyFont="1" applyBorder="1" applyAlignment="1" applyProtection="1">
      <alignment horizontal="center" vertical="center" wrapText="1"/>
      <protection hidden="1"/>
    </xf>
    <xf numFmtId="0" fontId="19" fillId="0" borderId="18" xfId="0" applyFont="1" applyBorder="1" applyAlignment="1" applyProtection="1">
      <alignment horizontal="center" vertical="center" wrapText="1"/>
      <protection hidden="1"/>
    </xf>
    <xf numFmtId="0" fontId="19" fillId="0" borderId="19" xfId="0" applyFont="1" applyBorder="1" applyAlignment="1" applyProtection="1">
      <alignment horizontal="center" vertical="center" wrapText="1"/>
      <protection hidden="1"/>
    </xf>
    <xf numFmtId="0" fontId="19" fillId="0" borderId="20" xfId="0" applyFont="1" applyBorder="1" applyAlignment="1" applyProtection="1">
      <alignment horizontal="center" vertical="center" wrapText="1"/>
      <protection hidden="1"/>
    </xf>
    <xf numFmtId="0" fontId="20" fillId="0" borderId="13" xfId="0" applyFont="1" applyBorder="1" applyAlignment="1" applyProtection="1">
      <alignment horizontal="center" vertical="center"/>
      <protection hidden="1"/>
    </xf>
    <xf numFmtId="0" fontId="20" fillId="0" borderId="14" xfId="0" applyFont="1" applyBorder="1" applyAlignment="1" applyProtection="1">
      <alignment horizontal="center" vertical="center"/>
      <protection hidden="1"/>
    </xf>
    <xf numFmtId="0" fontId="20" fillId="0" borderId="15" xfId="0" applyFont="1" applyBorder="1" applyAlignment="1" applyProtection="1">
      <alignment horizontal="center" vertical="center"/>
      <protection hidden="1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14" xfId="0" applyFont="1" applyBorder="1" applyAlignment="1" applyProtection="1">
      <alignment horizontal="center" vertical="center" wrapText="1"/>
      <protection locked="0"/>
    </xf>
    <xf numFmtId="0" fontId="21" fillId="0" borderId="15" xfId="0" applyFont="1" applyBorder="1" applyAlignment="1" applyProtection="1">
      <alignment horizontal="center" vertical="center" wrapText="1"/>
      <protection locked="0"/>
    </xf>
    <xf numFmtId="0" fontId="21" fillId="0" borderId="16" xfId="0" applyFont="1" applyBorder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alignment horizontal="center" vertical="center" wrapText="1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20" xfId="0" applyFont="1" applyBorder="1" applyAlignment="1" applyProtection="1">
      <alignment horizontal="center" vertical="center" wrapText="1"/>
      <protection locked="0"/>
    </xf>
    <xf numFmtId="0" fontId="21" fillId="0" borderId="16" xfId="0" applyFont="1" applyBorder="1" applyAlignment="1" applyProtection="1">
      <alignment horizontal="center" vertical="center" wrapText="1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21" fillId="0" borderId="17" xfId="0" applyFont="1" applyBorder="1" applyAlignment="1" applyProtection="1">
      <alignment horizontal="center" vertical="center" wrapText="1"/>
      <protection hidden="1"/>
    </xf>
    <xf numFmtId="0" fontId="22" fillId="0" borderId="16" xfId="0" applyFont="1" applyBorder="1" applyAlignment="1" applyProtection="1">
      <alignment horizontal="center" vertical="center" wrapText="1"/>
      <protection hidden="1"/>
    </xf>
    <xf numFmtId="0" fontId="22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/>
      <protection locked="0"/>
    </xf>
    <xf numFmtId="0" fontId="23" fillId="0" borderId="17" xfId="0" applyFont="1" applyBorder="1" applyAlignment="1" applyProtection="1">
      <alignment horizontal="center" vertical="center"/>
      <protection locked="0"/>
    </xf>
    <xf numFmtId="0" fontId="23" fillId="0" borderId="16" xfId="0" applyFont="1" applyBorder="1" applyAlignment="1" applyProtection="1">
      <alignment horizontal="center" vertical="center"/>
      <protection locked="0"/>
    </xf>
    <xf numFmtId="14" fontId="23" fillId="0" borderId="16" xfId="0" applyNumberFormat="1" applyFont="1" applyBorder="1" applyAlignment="1" applyProtection="1">
      <alignment horizontal="center" vertical="center"/>
      <protection locked="0"/>
    </xf>
    <xf numFmtId="14" fontId="23" fillId="0" borderId="0" xfId="0" applyNumberFormat="1" applyFont="1" applyAlignment="1" applyProtection="1">
      <alignment horizontal="center" vertical="center"/>
      <protection locked="0"/>
    </xf>
    <xf numFmtId="14" fontId="23" fillId="0" borderId="17" xfId="0" applyNumberFormat="1" applyFont="1" applyBorder="1" applyAlignment="1" applyProtection="1">
      <alignment horizontal="center" vertical="center"/>
      <protection locked="0"/>
    </xf>
    <xf numFmtId="168" fontId="9" fillId="0" borderId="9" xfId="1" applyNumberFormat="1" applyFont="1" applyFill="1" applyBorder="1" applyAlignment="1" applyProtection="1">
      <alignment horizontal="right"/>
      <protection hidden="1"/>
    </xf>
    <xf numFmtId="168" fontId="9" fillId="0" borderId="12" xfId="1" applyNumberFormat="1" applyFont="1" applyFill="1" applyBorder="1" applyAlignment="1" applyProtection="1">
      <alignment horizontal="right"/>
      <protection hidden="1"/>
    </xf>
    <xf numFmtId="0" fontId="27" fillId="0" borderId="22" xfId="0" applyFont="1" applyBorder="1" applyAlignment="1" applyProtection="1">
      <alignment horizontal="center" vertical="center"/>
      <protection hidden="1"/>
    </xf>
  </cellXfs>
  <cellStyles count="4">
    <cellStyle name="Normal" xfId="0" builtinId="0"/>
    <cellStyle name="Normal 2" xfId="2" xr:uid="{00000000-0005-0000-0000-000001000000}"/>
    <cellStyle name="Normal 3" xfId="3" xr:uid="{AD44A386-C83B-4325-BC83-B2E3BF046B12}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112398609501743E-2"/>
          <c:y val="3.5124002376842531E-2"/>
          <c:w val="0.85747392815758983"/>
          <c:h val="0.82231487917548984"/>
        </c:manualLayout>
      </c:layout>
      <c:scatterChart>
        <c:scatterStyle val="lineMarker"/>
        <c:varyColors val="0"/>
        <c:ser>
          <c:idx val="3"/>
          <c:order val="0"/>
          <c:tx>
            <c:strRef>
              <c:f>S4E1!$D$23</c:f>
              <c:strCache>
                <c:ptCount val="1"/>
                <c:pt idx="0">
                  <c:v>Teneur en eau (%)</c:v>
                </c:pt>
              </c:strCache>
            </c:strRef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33571267576292746"/>
                  <c:y val="-4.1322303627618018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</c:trendlineLbl>
          </c:trendline>
          <c:xVal>
            <c:numRef>
              <c:f>S4E1!$E$22:$W$22</c:f>
              <c:numCache>
                <c:formatCode>General</c:formatCode>
                <c:ptCount val="19"/>
                <c:pt idx="3">
                  <c:v>14.1</c:v>
                </c:pt>
                <c:pt idx="7">
                  <c:v>16.5</c:v>
                </c:pt>
                <c:pt idx="11">
                  <c:v>17.600000000000001</c:v>
                </c:pt>
                <c:pt idx="15">
                  <c:v>21</c:v>
                </c:pt>
              </c:numCache>
            </c:numRef>
          </c:xVal>
          <c:yVal>
            <c:numRef>
              <c:f>S4E1!$E$23:$W$23</c:f>
              <c:numCache>
                <c:formatCode>General</c:formatCode>
                <c:ptCount val="19"/>
                <c:pt idx="3">
                  <c:v>71.180000000000007</c:v>
                </c:pt>
                <c:pt idx="7">
                  <c:v>72.5</c:v>
                </c:pt>
                <c:pt idx="11">
                  <c:v>77.19</c:v>
                </c:pt>
                <c:pt idx="15">
                  <c:v>82.32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D5-4BD2-AE24-C8360E4EC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42264"/>
        <c:axId val="163442656"/>
      </c:scatterChart>
      <c:valAx>
        <c:axId val="163442264"/>
        <c:scaling>
          <c:orientation val="minMax"/>
          <c:max val="3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Enfoncement (h en mm)</a:t>
                </a:r>
              </a:p>
            </c:rich>
          </c:tx>
          <c:layout>
            <c:manualLayout>
              <c:xMode val="edge"/>
              <c:yMode val="edge"/>
              <c:x val="0.78836616454229425"/>
              <c:y val="0.921488470965922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3442656"/>
        <c:crossesAt val="0"/>
        <c:crossBetween val="midCat"/>
        <c:majorUnit val="10"/>
        <c:minorUnit val="1"/>
      </c:valAx>
      <c:valAx>
        <c:axId val="163442656"/>
        <c:scaling>
          <c:orientation val="minMax"/>
          <c:max val="85"/>
          <c:min val="6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Teneur en eau (%)</a:t>
                </a:r>
              </a:p>
            </c:rich>
          </c:tx>
          <c:layout>
            <c:manualLayout>
              <c:xMode val="edge"/>
              <c:yMode val="edge"/>
              <c:x val="1.0428736964078795E-2"/>
              <c:y val="1.4462809917355372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3442264"/>
        <c:crossesAt val="0"/>
        <c:crossBetween val="midCat"/>
        <c:majorUnit val="5"/>
        <c:minorUnit val="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112398609501743E-2"/>
          <c:y val="3.5124002376842531E-2"/>
          <c:w val="0.85747392815758983"/>
          <c:h val="0.82231487917548984"/>
        </c:manualLayout>
      </c:layout>
      <c:scatterChart>
        <c:scatterStyle val="lineMarker"/>
        <c:varyColors val="0"/>
        <c:ser>
          <c:idx val="3"/>
          <c:order val="0"/>
          <c:tx>
            <c:strRef>
              <c:f>S3E1!$D$23</c:f>
              <c:strCache>
                <c:ptCount val="1"/>
                <c:pt idx="0">
                  <c:v>Teneur en eau (%)</c:v>
                </c:pt>
              </c:strCache>
            </c:strRef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33571267576292746"/>
                  <c:y val="-4.1322303627618018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</c:trendlineLbl>
          </c:trendline>
          <c:xVal>
            <c:numRef>
              <c:f>S3E1!$E$22:$W$22</c:f>
              <c:numCache>
                <c:formatCode>General</c:formatCode>
                <c:ptCount val="19"/>
                <c:pt idx="3">
                  <c:v>12</c:v>
                </c:pt>
                <c:pt idx="7">
                  <c:v>15.9</c:v>
                </c:pt>
                <c:pt idx="11">
                  <c:v>20.100000000000001</c:v>
                </c:pt>
                <c:pt idx="15">
                  <c:v>23.6</c:v>
                </c:pt>
              </c:numCache>
            </c:numRef>
          </c:xVal>
          <c:yVal>
            <c:numRef>
              <c:f>S3E1!$E$23:$W$23</c:f>
              <c:numCache>
                <c:formatCode>General</c:formatCode>
                <c:ptCount val="19"/>
                <c:pt idx="3">
                  <c:v>60.58</c:v>
                </c:pt>
                <c:pt idx="7">
                  <c:v>65.37</c:v>
                </c:pt>
                <c:pt idx="11">
                  <c:v>69.23</c:v>
                </c:pt>
                <c:pt idx="15">
                  <c:v>76.430000000000007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B9-4E7F-BA6D-198382586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42264"/>
        <c:axId val="163442656"/>
      </c:scatterChart>
      <c:valAx>
        <c:axId val="163442264"/>
        <c:scaling>
          <c:orientation val="minMax"/>
          <c:max val="3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Enfoncement (h en mm)</a:t>
                </a:r>
              </a:p>
            </c:rich>
          </c:tx>
          <c:layout>
            <c:manualLayout>
              <c:xMode val="edge"/>
              <c:yMode val="edge"/>
              <c:x val="0.78836616454229425"/>
              <c:y val="0.921488470965922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3442656"/>
        <c:crossesAt val="0"/>
        <c:crossBetween val="midCat"/>
        <c:majorUnit val="10"/>
        <c:minorUnit val="1"/>
      </c:valAx>
      <c:valAx>
        <c:axId val="163442656"/>
        <c:scaling>
          <c:orientation val="minMax"/>
          <c:max val="80"/>
          <c:min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Teneur en eau (%)</a:t>
                </a:r>
              </a:p>
            </c:rich>
          </c:tx>
          <c:layout>
            <c:manualLayout>
              <c:xMode val="edge"/>
              <c:yMode val="edge"/>
              <c:x val="1.0428736964078795E-2"/>
              <c:y val="1.4462809917355372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3442264"/>
        <c:crossesAt val="0"/>
        <c:crossBetween val="midCat"/>
        <c:majorUnit val="5"/>
        <c:minorUnit val="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112398609501743E-2"/>
          <c:y val="3.5124002376842531E-2"/>
          <c:w val="0.85747392815758983"/>
          <c:h val="0.82231487917548984"/>
        </c:manualLayout>
      </c:layout>
      <c:scatterChart>
        <c:scatterStyle val="lineMarker"/>
        <c:varyColors val="0"/>
        <c:ser>
          <c:idx val="3"/>
          <c:order val="0"/>
          <c:tx>
            <c:strRef>
              <c:f>S2E1!$D$23</c:f>
              <c:strCache>
                <c:ptCount val="1"/>
                <c:pt idx="0">
                  <c:v>Teneur en eau (%)</c:v>
                </c:pt>
              </c:strCache>
            </c:strRef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33571267576292746"/>
                  <c:y val="-4.1322303627618018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</c:trendlineLbl>
          </c:trendline>
          <c:xVal>
            <c:numRef>
              <c:f>S2E1!$E$22:$W$22</c:f>
              <c:numCache>
                <c:formatCode>General</c:formatCode>
                <c:ptCount val="19"/>
                <c:pt idx="3">
                  <c:v>11.1</c:v>
                </c:pt>
                <c:pt idx="7">
                  <c:v>15.3</c:v>
                </c:pt>
                <c:pt idx="11">
                  <c:v>18.8</c:v>
                </c:pt>
                <c:pt idx="15">
                  <c:v>23.5</c:v>
                </c:pt>
              </c:numCache>
            </c:numRef>
          </c:xVal>
          <c:yVal>
            <c:numRef>
              <c:f>S2E1!$E$23:$W$23</c:f>
              <c:numCache>
                <c:formatCode>General</c:formatCode>
                <c:ptCount val="19"/>
                <c:pt idx="3">
                  <c:v>55.42</c:v>
                </c:pt>
                <c:pt idx="7">
                  <c:v>62.89</c:v>
                </c:pt>
                <c:pt idx="11">
                  <c:v>66.09</c:v>
                </c:pt>
                <c:pt idx="15">
                  <c:v>70.290000000000006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71-4CC4-B84D-01DBAB191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42264"/>
        <c:axId val="163442656"/>
      </c:scatterChart>
      <c:valAx>
        <c:axId val="163442264"/>
        <c:scaling>
          <c:orientation val="minMax"/>
          <c:max val="3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Enfoncement (h en mm)</a:t>
                </a:r>
              </a:p>
            </c:rich>
          </c:tx>
          <c:layout>
            <c:manualLayout>
              <c:xMode val="edge"/>
              <c:yMode val="edge"/>
              <c:x val="0.78836616454229425"/>
              <c:y val="0.921488470965922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3442656"/>
        <c:crossesAt val="0"/>
        <c:crossBetween val="midCat"/>
        <c:majorUnit val="10"/>
        <c:minorUnit val="1"/>
      </c:valAx>
      <c:valAx>
        <c:axId val="163442656"/>
        <c:scaling>
          <c:orientation val="minMax"/>
          <c:max val="80"/>
          <c:min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Teneur en eau (%)</a:t>
                </a:r>
              </a:p>
            </c:rich>
          </c:tx>
          <c:layout>
            <c:manualLayout>
              <c:xMode val="edge"/>
              <c:yMode val="edge"/>
              <c:x val="1.0428736964078795E-2"/>
              <c:y val="1.4462809917355372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3442264"/>
        <c:crossesAt val="0"/>
        <c:crossBetween val="midCat"/>
        <c:majorUnit val="5"/>
        <c:minorUnit val="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112398609501743E-2"/>
          <c:y val="3.5124002376842531E-2"/>
          <c:w val="0.85747392815758983"/>
          <c:h val="0.82231487917548984"/>
        </c:manualLayout>
      </c:layout>
      <c:scatterChart>
        <c:scatterStyle val="lineMarker"/>
        <c:varyColors val="0"/>
        <c:ser>
          <c:idx val="3"/>
          <c:order val="0"/>
          <c:tx>
            <c:strRef>
              <c:f>'250325 S1E1'!$D$23</c:f>
              <c:strCache>
                <c:ptCount val="1"/>
                <c:pt idx="0">
                  <c:v>Teneur en eau (%)</c:v>
                </c:pt>
              </c:strCache>
            </c:strRef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33571267576292746"/>
                  <c:y val="-4.1322303627618018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</c:trendlineLbl>
          </c:trendline>
          <c:xVal>
            <c:numRef>
              <c:f>'250325 S1E1'!$E$22:$W$22</c:f>
              <c:numCache>
                <c:formatCode>General</c:formatCode>
                <c:ptCount val="19"/>
                <c:pt idx="3">
                  <c:v>12.8</c:v>
                </c:pt>
                <c:pt idx="7">
                  <c:v>15.5</c:v>
                </c:pt>
                <c:pt idx="11">
                  <c:v>17.7</c:v>
                </c:pt>
                <c:pt idx="15">
                  <c:v>20.5</c:v>
                </c:pt>
              </c:numCache>
            </c:numRef>
          </c:xVal>
          <c:yVal>
            <c:numRef>
              <c:f>'250325 S1E1'!$E$23:$W$23</c:f>
              <c:numCache>
                <c:formatCode>General</c:formatCode>
                <c:ptCount val="19"/>
                <c:pt idx="3">
                  <c:v>64.14</c:v>
                </c:pt>
                <c:pt idx="7">
                  <c:v>70.78</c:v>
                </c:pt>
                <c:pt idx="11">
                  <c:v>73.25</c:v>
                </c:pt>
                <c:pt idx="15">
                  <c:v>74.849999999999994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1A-451C-A565-61CAE78B4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42264"/>
        <c:axId val="163442656"/>
      </c:scatterChart>
      <c:valAx>
        <c:axId val="163442264"/>
        <c:scaling>
          <c:orientation val="minMax"/>
          <c:max val="3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Enfoncement (h en mm)</a:t>
                </a:r>
              </a:p>
            </c:rich>
          </c:tx>
          <c:layout>
            <c:manualLayout>
              <c:xMode val="edge"/>
              <c:yMode val="edge"/>
              <c:x val="0.78836616454229425"/>
              <c:y val="0.921488470965922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3442656"/>
        <c:crossesAt val="0"/>
        <c:crossBetween val="midCat"/>
        <c:majorUnit val="10"/>
        <c:minorUnit val="1"/>
      </c:valAx>
      <c:valAx>
        <c:axId val="163442656"/>
        <c:scaling>
          <c:orientation val="minMax"/>
          <c:max val="80"/>
          <c:min val="6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Teneur en eau (%)</a:t>
                </a:r>
              </a:p>
            </c:rich>
          </c:tx>
          <c:layout>
            <c:manualLayout>
              <c:xMode val="edge"/>
              <c:yMode val="edge"/>
              <c:x val="1.0428736964078795E-2"/>
              <c:y val="1.4462809917355372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3442264"/>
        <c:crossesAt val="0"/>
        <c:crossBetween val="midCat"/>
        <c:majorUnit val="5"/>
        <c:minorUnit val="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24</xdr:col>
      <xdr:colOff>333375</xdr:colOff>
      <xdr:row>52</xdr:row>
      <xdr:rowOff>0</xdr:rowOff>
    </xdr:to>
    <xdr:graphicFrame macro="">
      <xdr:nvGraphicFramePr>
        <xdr:cNvPr id="2" name="Chart 1030">
          <a:extLst>
            <a:ext uri="{FF2B5EF4-FFF2-40B4-BE49-F238E27FC236}">
              <a16:creationId xmlns:a16="http://schemas.microsoft.com/office/drawing/2014/main" id="{25D0A979-11F1-4B5A-9F1E-F2758DDA6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38100</xdr:colOff>
      <xdr:row>48</xdr:row>
      <xdr:rowOff>142875</xdr:rowOff>
    </xdr:from>
    <xdr:to>
      <xdr:col>33</xdr:col>
      <xdr:colOff>38100</xdr:colOff>
      <xdr:row>74</xdr:row>
      <xdr:rowOff>133350</xdr:rowOff>
    </xdr:to>
    <xdr:sp macro="" textlink="">
      <xdr:nvSpPr>
        <xdr:cNvPr id="3" name="Line 1081">
          <a:extLst>
            <a:ext uri="{FF2B5EF4-FFF2-40B4-BE49-F238E27FC236}">
              <a16:creationId xmlns:a16="http://schemas.microsoft.com/office/drawing/2014/main" id="{37940663-D65B-4A88-A882-92F6BC0B6A89}"/>
            </a:ext>
          </a:extLst>
        </xdr:cNvPr>
        <xdr:cNvSpPr>
          <a:spLocks noChangeShapeType="1"/>
        </xdr:cNvSpPr>
      </xdr:nvSpPr>
      <xdr:spPr bwMode="auto">
        <a:xfrm>
          <a:off x="14211300" y="8618220"/>
          <a:ext cx="0" cy="4055745"/>
        </a:xfrm>
        <a:prstGeom prst="line">
          <a:avLst/>
        </a:prstGeom>
        <a:noFill/>
        <a:ln w="254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38100</xdr:colOff>
      <xdr:row>45</xdr:row>
      <xdr:rowOff>142875</xdr:rowOff>
    </xdr:from>
    <xdr:to>
      <xdr:col>34</xdr:col>
      <xdr:colOff>38100</xdr:colOff>
      <xdr:row>71</xdr:row>
      <xdr:rowOff>47625</xdr:rowOff>
    </xdr:to>
    <xdr:sp macro="" textlink="">
      <xdr:nvSpPr>
        <xdr:cNvPr id="4" name="Line 1082">
          <a:extLst>
            <a:ext uri="{FF2B5EF4-FFF2-40B4-BE49-F238E27FC236}">
              <a16:creationId xmlns:a16="http://schemas.microsoft.com/office/drawing/2014/main" id="{FA65195C-9EEE-495F-A974-8A695CFC2C1D}"/>
            </a:ext>
          </a:extLst>
        </xdr:cNvPr>
        <xdr:cNvSpPr>
          <a:spLocks noChangeShapeType="1"/>
        </xdr:cNvSpPr>
      </xdr:nvSpPr>
      <xdr:spPr bwMode="auto">
        <a:xfrm>
          <a:off x="14992350" y="8132445"/>
          <a:ext cx="0" cy="4070985"/>
        </a:xfrm>
        <a:prstGeom prst="line">
          <a:avLst/>
        </a:prstGeom>
        <a:noFill/>
        <a:ln w="254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28575</xdr:colOff>
      <xdr:row>24</xdr:row>
      <xdr:rowOff>161925</xdr:rowOff>
    </xdr:from>
    <xdr:to>
      <xdr:col>20</xdr:col>
      <xdr:colOff>38100</xdr:colOff>
      <xdr:row>47</xdr:row>
      <xdr:rowOff>152400</xdr:rowOff>
    </xdr:to>
    <xdr:sp macro="" textlink="">
      <xdr:nvSpPr>
        <xdr:cNvPr id="5" name="Line 1084">
          <a:extLst>
            <a:ext uri="{FF2B5EF4-FFF2-40B4-BE49-F238E27FC236}">
              <a16:creationId xmlns:a16="http://schemas.microsoft.com/office/drawing/2014/main" id="{3990DCD0-7777-42E1-B015-0D2146A4D8C7}"/>
            </a:ext>
          </a:extLst>
        </xdr:cNvPr>
        <xdr:cNvSpPr>
          <a:spLocks noChangeShapeType="1"/>
        </xdr:cNvSpPr>
      </xdr:nvSpPr>
      <xdr:spPr bwMode="auto">
        <a:xfrm flipH="1" flipV="1">
          <a:off x="7075170" y="4678680"/>
          <a:ext cx="11430" cy="3789045"/>
        </a:xfrm>
        <a:prstGeom prst="line">
          <a:avLst/>
        </a:prstGeom>
        <a:noFill/>
        <a:ln w="254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200025</xdr:colOff>
      <xdr:row>45</xdr:row>
      <xdr:rowOff>152400</xdr:rowOff>
    </xdr:from>
    <xdr:to>
      <xdr:col>14</xdr:col>
      <xdr:colOff>200025</xdr:colOff>
      <xdr:row>47</xdr:row>
      <xdr:rowOff>152400</xdr:rowOff>
    </xdr:to>
    <xdr:sp macro="" textlink="">
      <xdr:nvSpPr>
        <xdr:cNvPr id="6" name="Line 1085">
          <a:extLst>
            <a:ext uri="{FF2B5EF4-FFF2-40B4-BE49-F238E27FC236}">
              <a16:creationId xmlns:a16="http://schemas.microsoft.com/office/drawing/2014/main" id="{7C0B7216-6205-45B0-9394-0ABC4F005348}"/>
            </a:ext>
          </a:extLst>
        </xdr:cNvPr>
        <xdr:cNvSpPr>
          <a:spLocks noChangeShapeType="1"/>
        </xdr:cNvSpPr>
      </xdr:nvSpPr>
      <xdr:spPr bwMode="auto">
        <a:xfrm flipH="1" flipV="1">
          <a:off x="5135880" y="8143875"/>
          <a:ext cx="0" cy="3238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7620</xdr:colOff>
          <xdr:row>82</xdr:row>
          <xdr:rowOff>175260</xdr:rowOff>
        </xdr:from>
        <xdr:to>
          <xdr:col>29</xdr:col>
          <xdr:colOff>0</xdr:colOff>
          <xdr:row>85</xdr:row>
          <xdr:rowOff>22860</xdr:rowOff>
        </xdr:to>
        <xdr:sp macro="" textlink="">
          <xdr:nvSpPr>
            <xdr:cNvPr id="7169" name="CommandButton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66675</xdr:colOff>
      <xdr:row>1</xdr:row>
      <xdr:rowOff>133350</xdr:rowOff>
    </xdr:from>
    <xdr:to>
      <xdr:col>4</xdr:col>
      <xdr:colOff>321945</xdr:colOff>
      <xdr:row>3</xdr:row>
      <xdr:rowOff>133350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9FF0DE31-0847-48D0-AD1F-9C1C47C7A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" y="291465"/>
          <a:ext cx="131826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66675</xdr:colOff>
      <xdr:row>1</xdr:row>
      <xdr:rowOff>133350</xdr:rowOff>
    </xdr:from>
    <xdr:ext cx="1295400" cy="323850"/>
    <xdr:pic>
      <xdr:nvPicPr>
        <xdr:cNvPr id="8" name="Image 7">
          <a:extLst>
            <a:ext uri="{FF2B5EF4-FFF2-40B4-BE49-F238E27FC236}">
              <a16:creationId xmlns:a16="http://schemas.microsoft.com/office/drawing/2014/main" id="{5F9DDEE5-8257-494C-A942-9E8F6FC1C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195" y="29146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201930</xdr:colOff>
      <xdr:row>82</xdr:row>
      <xdr:rowOff>76200</xdr:rowOff>
    </xdr:from>
    <xdr:to>
      <xdr:col>25</xdr:col>
      <xdr:colOff>133350</xdr:colOff>
      <xdr:row>85</xdr:row>
      <xdr:rowOff>133864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F69B777B-69D8-4D83-8E27-6C490EB66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14182725"/>
          <a:ext cx="1685925" cy="653929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0.4234</cdr:x>
      <cdr:y>0.04067</cdr:y>
    </cdr:from>
    <cdr:to>
      <cdr:x>0.4234</cdr:x>
      <cdr:y>0.85576</cdr:y>
    </cdr:to>
    <cdr:sp macro="" textlink="">
      <cdr:nvSpPr>
        <cdr:cNvPr id="5133" name="Line 103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487563" y="191056"/>
          <a:ext cx="0" cy="376541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5400">
          <a:solidFill>
            <a:srgbClr val="000000"/>
          </a:solidFill>
          <a:prstDash val="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0.55189</cdr:x>
      <cdr:y>0.868</cdr:y>
    </cdr:from>
    <cdr:to>
      <cdr:x>0.58698</cdr:x>
      <cdr:y>0.92162</cdr:y>
    </cdr:to>
    <cdr:sp macro="" textlink="">
      <cdr:nvSpPr>
        <cdr:cNvPr id="5153" name="Text Box 105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45028" y="4013021"/>
          <a:ext cx="288770" cy="2477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24</xdr:col>
      <xdr:colOff>333375</xdr:colOff>
      <xdr:row>52</xdr:row>
      <xdr:rowOff>0</xdr:rowOff>
    </xdr:to>
    <xdr:graphicFrame macro="">
      <xdr:nvGraphicFramePr>
        <xdr:cNvPr id="2" name="Chart 1030">
          <a:extLst>
            <a:ext uri="{FF2B5EF4-FFF2-40B4-BE49-F238E27FC236}">
              <a16:creationId xmlns:a16="http://schemas.microsoft.com/office/drawing/2014/main" id="{38FF22CE-BC32-480B-8FE0-92DB490A1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38100</xdr:colOff>
      <xdr:row>48</xdr:row>
      <xdr:rowOff>142875</xdr:rowOff>
    </xdr:from>
    <xdr:to>
      <xdr:col>33</xdr:col>
      <xdr:colOff>38100</xdr:colOff>
      <xdr:row>74</xdr:row>
      <xdr:rowOff>133350</xdr:rowOff>
    </xdr:to>
    <xdr:sp macro="" textlink="">
      <xdr:nvSpPr>
        <xdr:cNvPr id="3" name="Line 1081">
          <a:extLst>
            <a:ext uri="{FF2B5EF4-FFF2-40B4-BE49-F238E27FC236}">
              <a16:creationId xmlns:a16="http://schemas.microsoft.com/office/drawing/2014/main" id="{77569500-6393-47D4-ABB4-411AF56850CF}"/>
            </a:ext>
          </a:extLst>
        </xdr:cNvPr>
        <xdr:cNvSpPr>
          <a:spLocks noChangeShapeType="1"/>
        </xdr:cNvSpPr>
      </xdr:nvSpPr>
      <xdr:spPr bwMode="auto">
        <a:xfrm>
          <a:off x="14211300" y="8618220"/>
          <a:ext cx="0" cy="4055745"/>
        </a:xfrm>
        <a:prstGeom prst="line">
          <a:avLst/>
        </a:prstGeom>
        <a:noFill/>
        <a:ln w="254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38100</xdr:colOff>
      <xdr:row>45</xdr:row>
      <xdr:rowOff>142875</xdr:rowOff>
    </xdr:from>
    <xdr:to>
      <xdr:col>34</xdr:col>
      <xdr:colOff>38100</xdr:colOff>
      <xdr:row>71</xdr:row>
      <xdr:rowOff>47625</xdr:rowOff>
    </xdr:to>
    <xdr:sp macro="" textlink="">
      <xdr:nvSpPr>
        <xdr:cNvPr id="4" name="Line 1082">
          <a:extLst>
            <a:ext uri="{FF2B5EF4-FFF2-40B4-BE49-F238E27FC236}">
              <a16:creationId xmlns:a16="http://schemas.microsoft.com/office/drawing/2014/main" id="{CFED65EC-1C3E-411C-B780-77F5DA50C7D4}"/>
            </a:ext>
          </a:extLst>
        </xdr:cNvPr>
        <xdr:cNvSpPr>
          <a:spLocks noChangeShapeType="1"/>
        </xdr:cNvSpPr>
      </xdr:nvSpPr>
      <xdr:spPr bwMode="auto">
        <a:xfrm>
          <a:off x="14992350" y="8132445"/>
          <a:ext cx="0" cy="4070985"/>
        </a:xfrm>
        <a:prstGeom prst="line">
          <a:avLst/>
        </a:prstGeom>
        <a:noFill/>
        <a:ln w="254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28575</xdr:colOff>
      <xdr:row>24</xdr:row>
      <xdr:rowOff>161925</xdr:rowOff>
    </xdr:from>
    <xdr:to>
      <xdr:col>20</xdr:col>
      <xdr:colOff>38100</xdr:colOff>
      <xdr:row>47</xdr:row>
      <xdr:rowOff>152400</xdr:rowOff>
    </xdr:to>
    <xdr:sp macro="" textlink="">
      <xdr:nvSpPr>
        <xdr:cNvPr id="5" name="Line 1084">
          <a:extLst>
            <a:ext uri="{FF2B5EF4-FFF2-40B4-BE49-F238E27FC236}">
              <a16:creationId xmlns:a16="http://schemas.microsoft.com/office/drawing/2014/main" id="{0A9E0F67-80BD-4B70-B880-8C12BD09A0C1}"/>
            </a:ext>
          </a:extLst>
        </xdr:cNvPr>
        <xdr:cNvSpPr>
          <a:spLocks noChangeShapeType="1"/>
        </xdr:cNvSpPr>
      </xdr:nvSpPr>
      <xdr:spPr bwMode="auto">
        <a:xfrm flipH="1" flipV="1">
          <a:off x="7075170" y="4678680"/>
          <a:ext cx="11430" cy="3789045"/>
        </a:xfrm>
        <a:prstGeom prst="line">
          <a:avLst/>
        </a:prstGeom>
        <a:noFill/>
        <a:ln w="254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200025</xdr:colOff>
      <xdr:row>45</xdr:row>
      <xdr:rowOff>152400</xdr:rowOff>
    </xdr:from>
    <xdr:to>
      <xdr:col>14</xdr:col>
      <xdr:colOff>200025</xdr:colOff>
      <xdr:row>47</xdr:row>
      <xdr:rowOff>152400</xdr:rowOff>
    </xdr:to>
    <xdr:sp macro="" textlink="">
      <xdr:nvSpPr>
        <xdr:cNvPr id="6" name="Line 1085">
          <a:extLst>
            <a:ext uri="{FF2B5EF4-FFF2-40B4-BE49-F238E27FC236}">
              <a16:creationId xmlns:a16="http://schemas.microsoft.com/office/drawing/2014/main" id="{DFF39071-34CB-44B9-8B58-115F4B1DAC44}"/>
            </a:ext>
          </a:extLst>
        </xdr:cNvPr>
        <xdr:cNvSpPr>
          <a:spLocks noChangeShapeType="1"/>
        </xdr:cNvSpPr>
      </xdr:nvSpPr>
      <xdr:spPr bwMode="auto">
        <a:xfrm flipH="1" flipV="1">
          <a:off x="5135880" y="8143875"/>
          <a:ext cx="0" cy="3238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7620</xdr:colOff>
          <xdr:row>82</xdr:row>
          <xdr:rowOff>175260</xdr:rowOff>
        </xdr:from>
        <xdr:to>
          <xdr:col>29</xdr:col>
          <xdr:colOff>0</xdr:colOff>
          <xdr:row>85</xdr:row>
          <xdr:rowOff>22860</xdr:rowOff>
        </xdr:to>
        <xdr:sp macro="" textlink="">
          <xdr:nvSpPr>
            <xdr:cNvPr id="6145" name="CommandButton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1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66675</xdr:colOff>
      <xdr:row>1</xdr:row>
      <xdr:rowOff>133350</xdr:rowOff>
    </xdr:from>
    <xdr:to>
      <xdr:col>4</xdr:col>
      <xdr:colOff>321945</xdr:colOff>
      <xdr:row>3</xdr:row>
      <xdr:rowOff>133350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12DD6AAD-54F6-4BED-8DB4-2D27D271B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" y="291465"/>
          <a:ext cx="131826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66675</xdr:colOff>
      <xdr:row>1</xdr:row>
      <xdr:rowOff>133350</xdr:rowOff>
    </xdr:from>
    <xdr:ext cx="1295400" cy="323850"/>
    <xdr:pic>
      <xdr:nvPicPr>
        <xdr:cNvPr id="8" name="Image 7">
          <a:extLst>
            <a:ext uri="{FF2B5EF4-FFF2-40B4-BE49-F238E27FC236}">
              <a16:creationId xmlns:a16="http://schemas.microsoft.com/office/drawing/2014/main" id="{F0B21BE7-4CE9-486E-A8DD-EA6E393E7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195" y="29146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201930</xdr:colOff>
      <xdr:row>82</xdr:row>
      <xdr:rowOff>76200</xdr:rowOff>
    </xdr:from>
    <xdr:to>
      <xdr:col>25</xdr:col>
      <xdr:colOff>133350</xdr:colOff>
      <xdr:row>85</xdr:row>
      <xdr:rowOff>133864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D5FCF0A0-F59B-4A2F-968B-6D2B3D35A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14182725"/>
          <a:ext cx="1685925" cy="653929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0.4234</cdr:x>
      <cdr:y>0.04067</cdr:y>
    </cdr:from>
    <cdr:to>
      <cdr:x>0.4234</cdr:x>
      <cdr:y>0.85576</cdr:y>
    </cdr:to>
    <cdr:sp macro="" textlink="">
      <cdr:nvSpPr>
        <cdr:cNvPr id="5133" name="Line 103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487563" y="191056"/>
          <a:ext cx="0" cy="376541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5400">
          <a:solidFill>
            <a:srgbClr val="000000"/>
          </a:solidFill>
          <a:prstDash val="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0.55189</cdr:x>
      <cdr:y>0.868</cdr:y>
    </cdr:from>
    <cdr:to>
      <cdr:x>0.58698</cdr:x>
      <cdr:y>0.92162</cdr:y>
    </cdr:to>
    <cdr:sp macro="" textlink="">
      <cdr:nvSpPr>
        <cdr:cNvPr id="5153" name="Text Box 105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45028" y="4013021"/>
          <a:ext cx="288770" cy="2477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24</xdr:col>
      <xdr:colOff>333375</xdr:colOff>
      <xdr:row>52</xdr:row>
      <xdr:rowOff>0</xdr:rowOff>
    </xdr:to>
    <xdr:graphicFrame macro="">
      <xdr:nvGraphicFramePr>
        <xdr:cNvPr id="2" name="Chart 1030">
          <a:extLst>
            <a:ext uri="{FF2B5EF4-FFF2-40B4-BE49-F238E27FC236}">
              <a16:creationId xmlns:a16="http://schemas.microsoft.com/office/drawing/2014/main" id="{08DAA7AC-7F85-414E-85C0-8F9B5E6F47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38100</xdr:colOff>
      <xdr:row>48</xdr:row>
      <xdr:rowOff>142875</xdr:rowOff>
    </xdr:from>
    <xdr:to>
      <xdr:col>33</xdr:col>
      <xdr:colOff>38100</xdr:colOff>
      <xdr:row>74</xdr:row>
      <xdr:rowOff>133350</xdr:rowOff>
    </xdr:to>
    <xdr:sp macro="" textlink="">
      <xdr:nvSpPr>
        <xdr:cNvPr id="3" name="Line 1081">
          <a:extLst>
            <a:ext uri="{FF2B5EF4-FFF2-40B4-BE49-F238E27FC236}">
              <a16:creationId xmlns:a16="http://schemas.microsoft.com/office/drawing/2014/main" id="{17E50CC7-BC7C-4788-AED4-034855CD009D}"/>
            </a:ext>
          </a:extLst>
        </xdr:cNvPr>
        <xdr:cNvSpPr>
          <a:spLocks noChangeShapeType="1"/>
        </xdr:cNvSpPr>
      </xdr:nvSpPr>
      <xdr:spPr bwMode="auto">
        <a:xfrm>
          <a:off x="14211300" y="8618220"/>
          <a:ext cx="0" cy="4055745"/>
        </a:xfrm>
        <a:prstGeom prst="line">
          <a:avLst/>
        </a:prstGeom>
        <a:noFill/>
        <a:ln w="254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38100</xdr:colOff>
      <xdr:row>45</xdr:row>
      <xdr:rowOff>142875</xdr:rowOff>
    </xdr:from>
    <xdr:to>
      <xdr:col>34</xdr:col>
      <xdr:colOff>38100</xdr:colOff>
      <xdr:row>71</xdr:row>
      <xdr:rowOff>47625</xdr:rowOff>
    </xdr:to>
    <xdr:sp macro="" textlink="">
      <xdr:nvSpPr>
        <xdr:cNvPr id="4" name="Line 1082">
          <a:extLst>
            <a:ext uri="{FF2B5EF4-FFF2-40B4-BE49-F238E27FC236}">
              <a16:creationId xmlns:a16="http://schemas.microsoft.com/office/drawing/2014/main" id="{E2869521-33E5-49D1-B49D-A7E0F19837A5}"/>
            </a:ext>
          </a:extLst>
        </xdr:cNvPr>
        <xdr:cNvSpPr>
          <a:spLocks noChangeShapeType="1"/>
        </xdr:cNvSpPr>
      </xdr:nvSpPr>
      <xdr:spPr bwMode="auto">
        <a:xfrm>
          <a:off x="14992350" y="8132445"/>
          <a:ext cx="0" cy="4070985"/>
        </a:xfrm>
        <a:prstGeom prst="line">
          <a:avLst/>
        </a:prstGeom>
        <a:noFill/>
        <a:ln w="254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28575</xdr:colOff>
      <xdr:row>24</xdr:row>
      <xdr:rowOff>161925</xdr:rowOff>
    </xdr:from>
    <xdr:to>
      <xdr:col>20</xdr:col>
      <xdr:colOff>38100</xdr:colOff>
      <xdr:row>47</xdr:row>
      <xdr:rowOff>152400</xdr:rowOff>
    </xdr:to>
    <xdr:sp macro="" textlink="">
      <xdr:nvSpPr>
        <xdr:cNvPr id="5" name="Line 1084">
          <a:extLst>
            <a:ext uri="{FF2B5EF4-FFF2-40B4-BE49-F238E27FC236}">
              <a16:creationId xmlns:a16="http://schemas.microsoft.com/office/drawing/2014/main" id="{00606512-DF0F-41B1-A87F-60BB503AE16C}"/>
            </a:ext>
          </a:extLst>
        </xdr:cNvPr>
        <xdr:cNvSpPr>
          <a:spLocks noChangeShapeType="1"/>
        </xdr:cNvSpPr>
      </xdr:nvSpPr>
      <xdr:spPr bwMode="auto">
        <a:xfrm flipH="1" flipV="1">
          <a:off x="7075170" y="4678680"/>
          <a:ext cx="11430" cy="3789045"/>
        </a:xfrm>
        <a:prstGeom prst="line">
          <a:avLst/>
        </a:prstGeom>
        <a:noFill/>
        <a:ln w="254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200025</xdr:colOff>
      <xdr:row>45</xdr:row>
      <xdr:rowOff>152400</xdr:rowOff>
    </xdr:from>
    <xdr:to>
      <xdr:col>14</xdr:col>
      <xdr:colOff>200025</xdr:colOff>
      <xdr:row>47</xdr:row>
      <xdr:rowOff>152400</xdr:rowOff>
    </xdr:to>
    <xdr:sp macro="" textlink="">
      <xdr:nvSpPr>
        <xdr:cNvPr id="6" name="Line 1085">
          <a:extLst>
            <a:ext uri="{FF2B5EF4-FFF2-40B4-BE49-F238E27FC236}">
              <a16:creationId xmlns:a16="http://schemas.microsoft.com/office/drawing/2014/main" id="{9E2E8EF4-473B-491C-92B8-A1A9669AF52A}"/>
            </a:ext>
          </a:extLst>
        </xdr:cNvPr>
        <xdr:cNvSpPr>
          <a:spLocks noChangeShapeType="1"/>
        </xdr:cNvSpPr>
      </xdr:nvSpPr>
      <xdr:spPr bwMode="auto">
        <a:xfrm flipH="1" flipV="1">
          <a:off x="5135880" y="8143875"/>
          <a:ext cx="0" cy="3238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7620</xdr:colOff>
          <xdr:row>82</xdr:row>
          <xdr:rowOff>175260</xdr:rowOff>
        </xdr:from>
        <xdr:to>
          <xdr:col>28</xdr:col>
          <xdr:colOff>769620</xdr:colOff>
          <xdr:row>85</xdr:row>
          <xdr:rowOff>22860</xdr:rowOff>
        </xdr:to>
        <xdr:sp macro="" textlink="">
          <xdr:nvSpPr>
            <xdr:cNvPr id="5121" name="CommandButton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66675</xdr:colOff>
      <xdr:row>1</xdr:row>
      <xdr:rowOff>133350</xdr:rowOff>
    </xdr:from>
    <xdr:to>
      <xdr:col>4</xdr:col>
      <xdr:colOff>325755</xdr:colOff>
      <xdr:row>3</xdr:row>
      <xdr:rowOff>129540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C167FC62-99E4-4B64-A359-74884CEA9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" y="291465"/>
          <a:ext cx="131445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66675</xdr:colOff>
      <xdr:row>1</xdr:row>
      <xdr:rowOff>133350</xdr:rowOff>
    </xdr:from>
    <xdr:ext cx="1295400" cy="323850"/>
    <xdr:pic>
      <xdr:nvPicPr>
        <xdr:cNvPr id="8" name="Image 7">
          <a:extLst>
            <a:ext uri="{FF2B5EF4-FFF2-40B4-BE49-F238E27FC236}">
              <a16:creationId xmlns:a16="http://schemas.microsoft.com/office/drawing/2014/main" id="{76B4E046-38C1-4235-9672-43834D178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195" y="29146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201930</xdr:colOff>
      <xdr:row>82</xdr:row>
      <xdr:rowOff>76200</xdr:rowOff>
    </xdr:from>
    <xdr:to>
      <xdr:col>25</xdr:col>
      <xdr:colOff>129540</xdr:colOff>
      <xdr:row>85</xdr:row>
      <xdr:rowOff>130054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7251813B-9EBC-4A6B-B429-D63F08583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14182725"/>
          <a:ext cx="1689735" cy="657739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0.4234</cdr:x>
      <cdr:y>0.04067</cdr:y>
    </cdr:from>
    <cdr:to>
      <cdr:x>0.4234</cdr:x>
      <cdr:y>0.85576</cdr:y>
    </cdr:to>
    <cdr:sp macro="" textlink="">
      <cdr:nvSpPr>
        <cdr:cNvPr id="5133" name="Line 103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487563" y="191056"/>
          <a:ext cx="0" cy="376541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5400">
          <a:solidFill>
            <a:srgbClr val="000000"/>
          </a:solidFill>
          <a:prstDash val="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0.55189</cdr:x>
      <cdr:y>0.868</cdr:y>
    </cdr:from>
    <cdr:to>
      <cdr:x>0.58698</cdr:x>
      <cdr:y>0.92162</cdr:y>
    </cdr:to>
    <cdr:sp macro="" textlink="">
      <cdr:nvSpPr>
        <cdr:cNvPr id="5153" name="Text Box 105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45028" y="4013021"/>
          <a:ext cx="288770" cy="2477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24</xdr:col>
      <xdr:colOff>333375</xdr:colOff>
      <xdr:row>52</xdr:row>
      <xdr:rowOff>0</xdr:rowOff>
    </xdr:to>
    <xdr:graphicFrame macro="">
      <xdr:nvGraphicFramePr>
        <xdr:cNvPr id="4269" name="Chart 1030">
          <a:extLst>
            <a:ext uri="{FF2B5EF4-FFF2-40B4-BE49-F238E27FC236}">
              <a16:creationId xmlns:a16="http://schemas.microsoft.com/office/drawing/2014/main" id="{00000000-0008-0000-0000-0000AD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38100</xdr:colOff>
      <xdr:row>48</xdr:row>
      <xdr:rowOff>142875</xdr:rowOff>
    </xdr:from>
    <xdr:to>
      <xdr:col>33</xdr:col>
      <xdr:colOff>38100</xdr:colOff>
      <xdr:row>74</xdr:row>
      <xdr:rowOff>133350</xdr:rowOff>
    </xdr:to>
    <xdr:sp macro="" textlink="">
      <xdr:nvSpPr>
        <xdr:cNvPr id="4301" name="Line 1081">
          <a:extLst>
            <a:ext uri="{FF2B5EF4-FFF2-40B4-BE49-F238E27FC236}">
              <a16:creationId xmlns:a16="http://schemas.microsoft.com/office/drawing/2014/main" id="{00000000-0008-0000-0000-0000CD100000}"/>
            </a:ext>
          </a:extLst>
        </xdr:cNvPr>
        <xdr:cNvSpPr>
          <a:spLocks noChangeShapeType="1"/>
        </xdr:cNvSpPr>
      </xdr:nvSpPr>
      <xdr:spPr bwMode="auto">
        <a:xfrm>
          <a:off x="13839825" y="8239125"/>
          <a:ext cx="0" cy="4086225"/>
        </a:xfrm>
        <a:prstGeom prst="line">
          <a:avLst/>
        </a:prstGeom>
        <a:noFill/>
        <a:ln w="254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38100</xdr:colOff>
      <xdr:row>45</xdr:row>
      <xdr:rowOff>142875</xdr:rowOff>
    </xdr:from>
    <xdr:to>
      <xdr:col>34</xdr:col>
      <xdr:colOff>38100</xdr:colOff>
      <xdr:row>71</xdr:row>
      <xdr:rowOff>47625</xdr:rowOff>
    </xdr:to>
    <xdr:sp macro="" textlink="">
      <xdr:nvSpPr>
        <xdr:cNvPr id="4302" name="Line 1082">
          <a:extLst>
            <a:ext uri="{FF2B5EF4-FFF2-40B4-BE49-F238E27FC236}">
              <a16:creationId xmlns:a16="http://schemas.microsoft.com/office/drawing/2014/main" id="{00000000-0008-0000-0000-0000CE100000}"/>
            </a:ext>
          </a:extLst>
        </xdr:cNvPr>
        <xdr:cNvSpPr>
          <a:spLocks noChangeShapeType="1"/>
        </xdr:cNvSpPr>
      </xdr:nvSpPr>
      <xdr:spPr bwMode="auto">
        <a:xfrm>
          <a:off x="14601825" y="7753350"/>
          <a:ext cx="0" cy="4086225"/>
        </a:xfrm>
        <a:prstGeom prst="line">
          <a:avLst/>
        </a:prstGeom>
        <a:noFill/>
        <a:ln w="254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28575</xdr:colOff>
      <xdr:row>24</xdr:row>
      <xdr:rowOff>161925</xdr:rowOff>
    </xdr:from>
    <xdr:to>
      <xdr:col>20</xdr:col>
      <xdr:colOff>38100</xdr:colOff>
      <xdr:row>47</xdr:row>
      <xdr:rowOff>152400</xdr:rowOff>
    </xdr:to>
    <xdr:sp macro="" textlink="">
      <xdr:nvSpPr>
        <xdr:cNvPr id="4303" name="Line 1084">
          <a:extLst>
            <a:ext uri="{FF2B5EF4-FFF2-40B4-BE49-F238E27FC236}">
              <a16:creationId xmlns:a16="http://schemas.microsoft.com/office/drawing/2014/main" id="{00000000-0008-0000-0000-0000CF100000}"/>
            </a:ext>
          </a:extLst>
        </xdr:cNvPr>
        <xdr:cNvSpPr>
          <a:spLocks noChangeShapeType="1"/>
        </xdr:cNvSpPr>
      </xdr:nvSpPr>
      <xdr:spPr bwMode="auto">
        <a:xfrm flipH="1" flipV="1">
          <a:off x="6886575" y="4295775"/>
          <a:ext cx="9525" cy="3790950"/>
        </a:xfrm>
        <a:prstGeom prst="line">
          <a:avLst/>
        </a:prstGeom>
        <a:noFill/>
        <a:ln w="254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200025</xdr:colOff>
      <xdr:row>45</xdr:row>
      <xdr:rowOff>152400</xdr:rowOff>
    </xdr:from>
    <xdr:to>
      <xdr:col>14</xdr:col>
      <xdr:colOff>200025</xdr:colOff>
      <xdr:row>47</xdr:row>
      <xdr:rowOff>152400</xdr:rowOff>
    </xdr:to>
    <xdr:sp macro="" textlink="">
      <xdr:nvSpPr>
        <xdr:cNvPr id="4304" name="Line 1085">
          <a:extLst>
            <a:ext uri="{FF2B5EF4-FFF2-40B4-BE49-F238E27FC236}">
              <a16:creationId xmlns:a16="http://schemas.microsoft.com/office/drawing/2014/main" id="{00000000-0008-0000-0000-0000D0100000}"/>
            </a:ext>
          </a:extLst>
        </xdr:cNvPr>
        <xdr:cNvSpPr>
          <a:spLocks noChangeShapeType="1"/>
        </xdr:cNvSpPr>
      </xdr:nvSpPr>
      <xdr:spPr bwMode="auto">
        <a:xfrm flipH="1" flipV="1">
          <a:off x="5000625" y="7762875"/>
          <a:ext cx="0" cy="3238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7620</xdr:colOff>
          <xdr:row>82</xdr:row>
          <xdr:rowOff>175260</xdr:rowOff>
        </xdr:from>
        <xdr:to>
          <xdr:col>28</xdr:col>
          <xdr:colOff>769620</xdr:colOff>
          <xdr:row>85</xdr:row>
          <xdr:rowOff>22860</xdr:rowOff>
        </xdr:to>
        <xdr:sp macro="" textlink="">
          <xdr:nvSpPr>
            <xdr:cNvPr id="4150" name="CommandButton1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00000000-0008-0000-0300-00003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66675</xdr:colOff>
      <xdr:row>1</xdr:row>
      <xdr:rowOff>133350</xdr:rowOff>
    </xdr:from>
    <xdr:to>
      <xdr:col>4</xdr:col>
      <xdr:colOff>325755</xdr:colOff>
      <xdr:row>3</xdr:row>
      <xdr:rowOff>129540</xdr:rowOff>
    </xdr:to>
    <xdr:pic>
      <xdr:nvPicPr>
        <xdr:cNvPr id="25" name="Image 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95275"/>
          <a:ext cx="12954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66675</xdr:colOff>
      <xdr:row>1</xdr:row>
      <xdr:rowOff>133350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BD70954-E7AE-4D37-933B-FE72097C3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195" y="453390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201930</xdr:colOff>
      <xdr:row>82</xdr:row>
      <xdr:rowOff>76200</xdr:rowOff>
    </xdr:from>
    <xdr:to>
      <xdr:col>25</xdr:col>
      <xdr:colOff>129540</xdr:colOff>
      <xdr:row>85</xdr:row>
      <xdr:rowOff>130054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CD4F9BB-932A-85D2-87BE-45C8D23E1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430" y="14182725"/>
          <a:ext cx="1684020" cy="661549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0.4234</cdr:x>
      <cdr:y>0.04067</cdr:y>
    </cdr:from>
    <cdr:to>
      <cdr:x>0.4234</cdr:x>
      <cdr:y>0.85576</cdr:y>
    </cdr:to>
    <cdr:sp macro="" textlink="">
      <cdr:nvSpPr>
        <cdr:cNvPr id="5133" name="Line 103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487563" y="191056"/>
          <a:ext cx="0" cy="376541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5400">
          <a:solidFill>
            <a:srgbClr val="000000"/>
          </a:solidFill>
          <a:prstDash val="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0.55189</cdr:x>
      <cdr:y>0.868</cdr:y>
    </cdr:from>
    <cdr:to>
      <cdr:x>0.58698</cdr:x>
      <cdr:y>0.92162</cdr:y>
    </cdr:to>
    <cdr:sp macro="" textlink="">
      <cdr:nvSpPr>
        <cdr:cNvPr id="5153" name="Text Box 105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45028" y="4013021"/>
          <a:ext cx="288770" cy="2477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5.emf"/><Relationship Id="rId4" Type="http://schemas.openxmlformats.org/officeDocument/2006/relationships/control" Target="../activeX/activeX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6.emf"/><Relationship Id="rId4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A1E22-5ED1-4C58-9499-A926C3D8F803}">
  <sheetPr codeName="Feuil4">
    <pageSetUpPr fitToPage="1"/>
  </sheetPr>
  <dimension ref="A1:AF87"/>
  <sheetViews>
    <sheetView showZeros="0" tabSelected="1" topLeftCell="A7" workbookViewId="0">
      <selection activeCell="H10" sqref="H10:M12"/>
    </sheetView>
  </sheetViews>
  <sheetFormatPr baseColWidth="10" defaultColWidth="11.44140625" defaultRowHeight="12.75" customHeight="1" x14ac:dyDescent="0.25"/>
  <cols>
    <col min="1" max="1" width="5.109375" style="9" customWidth="1"/>
    <col min="2" max="26" width="5.109375" style="1" customWidth="1"/>
    <col min="27" max="27" width="4.6640625" style="1" customWidth="1"/>
    <col min="28" max="16384" width="11.44140625" style="1"/>
  </cols>
  <sheetData>
    <row r="1" spans="1:26" ht="12.75" customHeight="1" x14ac:dyDescent="0.25">
      <c r="A1" s="137"/>
      <c r="B1" s="138"/>
      <c r="C1" s="138"/>
      <c r="D1" s="138"/>
      <c r="E1" s="138"/>
      <c r="F1" s="139"/>
      <c r="G1" s="146" t="s">
        <v>25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8"/>
      <c r="U1" s="149" t="s">
        <v>48</v>
      </c>
      <c r="V1" s="150"/>
      <c r="W1" s="150"/>
      <c r="X1" s="150"/>
      <c r="Y1" s="150"/>
      <c r="Z1" s="151"/>
    </row>
    <row r="2" spans="1:26" ht="12.75" customHeight="1" x14ac:dyDescent="0.25">
      <c r="A2" s="140"/>
      <c r="B2" s="141"/>
      <c r="C2" s="141"/>
      <c r="D2" s="141"/>
      <c r="E2" s="141"/>
      <c r="F2" s="142"/>
      <c r="G2" s="158" t="s">
        <v>47</v>
      </c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60"/>
      <c r="U2" s="152"/>
      <c r="V2" s="153"/>
      <c r="W2" s="153"/>
      <c r="X2" s="153"/>
      <c r="Y2" s="153"/>
      <c r="Z2" s="154"/>
    </row>
    <row r="3" spans="1:26" ht="12.75" customHeight="1" x14ac:dyDescent="0.25">
      <c r="A3" s="140"/>
      <c r="B3" s="141"/>
      <c r="C3" s="141"/>
      <c r="D3" s="141"/>
      <c r="E3" s="141"/>
      <c r="F3" s="142"/>
      <c r="G3" s="158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60"/>
      <c r="U3" s="152"/>
      <c r="V3" s="153"/>
      <c r="W3" s="153"/>
      <c r="X3" s="153"/>
      <c r="Y3" s="153"/>
      <c r="Z3" s="154"/>
    </row>
    <row r="4" spans="1:26" ht="12.75" customHeight="1" x14ac:dyDescent="0.25">
      <c r="A4" s="140"/>
      <c r="B4" s="141"/>
      <c r="C4" s="141"/>
      <c r="D4" s="141"/>
      <c r="E4" s="141"/>
      <c r="F4" s="142"/>
      <c r="G4" s="158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  <c r="U4" s="152"/>
      <c r="V4" s="153"/>
      <c r="W4" s="153"/>
      <c r="X4" s="153"/>
      <c r="Y4" s="153"/>
      <c r="Z4" s="154"/>
    </row>
    <row r="5" spans="1:26" ht="12.75" customHeight="1" x14ac:dyDescent="0.25">
      <c r="A5" s="140"/>
      <c r="B5" s="141"/>
      <c r="C5" s="141"/>
      <c r="D5" s="141"/>
      <c r="E5" s="141"/>
      <c r="F5" s="142"/>
      <c r="G5" s="161" t="s">
        <v>31</v>
      </c>
      <c r="H5" s="162"/>
      <c r="I5" s="56" t="s">
        <v>26</v>
      </c>
      <c r="J5" s="163">
        <v>4</v>
      </c>
      <c r="K5" s="164"/>
      <c r="L5" s="165" t="s">
        <v>49</v>
      </c>
      <c r="M5" s="163"/>
      <c r="N5" s="163"/>
      <c r="O5" s="164"/>
      <c r="P5" s="166">
        <v>45747</v>
      </c>
      <c r="Q5" s="167"/>
      <c r="R5" s="167"/>
      <c r="S5" s="167"/>
      <c r="T5" s="168"/>
      <c r="U5" s="152"/>
      <c r="V5" s="153"/>
      <c r="W5" s="153"/>
      <c r="X5" s="153"/>
      <c r="Y5" s="153"/>
      <c r="Z5" s="154"/>
    </row>
    <row r="6" spans="1:26" ht="12.75" customHeight="1" x14ac:dyDescent="0.25">
      <c r="A6" s="143"/>
      <c r="B6" s="144"/>
      <c r="C6" s="144"/>
      <c r="D6" s="144"/>
      <c r="E6" s="144"/>
      <c r="F6" s="145"/>
      <c r="G6" s="57"/>
      <c r="H6" s="58"/>
      <c r="I6" s="58"/>
      <c r="J6" s="133" t="s">
        <v>27</v>
      </c>
      <c r="K6" s="133"/>
      <c r="L6" s="133" t="s">
        <v>28</v>
      </c>
      <c r="M6" s="133"/>
      <c r="N6" s="133"/>
      <c r="O6" s="133"/>
      <c r="P6" s="133" t="s">
        <v>29</v>
      </c>
      <c r="Q6" s="133"/>
      <c r="R6" s="133"/>
      <c r="S6" s="133"/>
      <c r="T6" s="134"/>
      <c r="U6" s="155"/>
      <c r="V6" s="156"/>
      <c r="W6" s="156"/>
      <c r="X6" s="156"/>
      <c r="Y6" s="156"/>
      <c r="Z6" s="157"/>
    </row>
    <row r="7" spans="1:26" ht="36.6" customHeight="1" x14ac:dyDescent="0.25">
      <c r="A7" s="135" t="s">
        <v>23</v>
      </c>
      <c r="B7" s="135"/>
      <c r="C7" s="135"/>
      <c r="D7" s="135"/>
      <c r="E7" s="135"/>
      <c r="F7" s="135"/>
      <c r="G7" s="136" t="s">
        <v>51</v>
      </c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</row>
    <row r="8" spans="1:26" ht="15.6" customHeight="1" x14ac:dyDescent="0.25">
      <c r="A8" s="59" t="s">
        <v>3</v>
      </c>
      <c r="B8" s="60" t="s">
        <v>0</v>
      </c>
      <c r="C8" s="61"/>
      <c r="D8" s="62"/>
      <c r="E8" s="62"/>
      <c r="F8" s="62"/>
      <c r="G8" s="62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4"/>
    </row>
    <row r="9" spans="1:26" ht="9.75" customHeight="1" x14ac:dyDescent="0.25">
      <c r="A9" s="65"/>
      <c r="B9" s="66"/>
      <c r="C9" s="66"/>
      <c r="D9" s="67"/>
      <c r="E9" s="67"/>
      <c r="F9" s="67"/>
      <c r="G9" s="67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8"/>
    </row>
    <row r="10" spans="1:26" ht="15.75" customHeight="1" x14ac:dyDescent="0.25">
      <c r="A10" s="65"/>
      <c r="B10" s="129" t="s">
        <v>7</v>
      </c>
      <c r="C10" s="129"/>
      <c r="D10" s="129"/>
      <c r="E10" s="129"/>
      <c r="F10" s="129"/>
      <c r="G10" s="129"/>
      <c r="H10" s="130" t="s">
        <v>52</v>
      </c>
      <c r="I10" s="130"/>
      <c r="J10" s="130"/>
      <c r="K10" s="130"/>
      <c r="L10" s="130"/>
      <c r="M10" s="130"/>
      <c r="N10" s="129" t="s">
        <v>1</v>
      </c>
      <c r="O10" s="129"/>
      <c r="P10" s="129"/>
      <c r="Q10" s="129"/>
      <c r="R10" s="129"/>
      <c r="S10" s="130" t="s">
        <v>53</v>
      </c>
      <c r="T10" s="130"/>
      <c r="U10" s="130"/>
      <c r="V10" s="130"/>
      <c r="W10" s="130"/>
      <c r="X10" s="130"/>
      <c r="Y10" s="130"/>
      <c r="Z10" s="68"/>
    </row>
    <row r="11" spans="1:26" ht="15.75" customHeight="1" x14ac:dyDescent="0.25">
      <c r="A11" s="65"/>
      <c r="B11" s="129" t="s">
        <v>6</v>
      </c>
      <c r="C11" s="129"/>
      <c r="D11" s="129"/>
      <c r="E11" s="129"/>
      <c r="F11" s="129"/>
      <c r="G11" s="129"/>
      <c r="H11" s="132" t="s">
        <v>54</v>
      </c>
      <c r="I11" s="132"/>
      <c r="J11" s="132"/>
      <c r="K11" s="132"/>
      <c r="L11" s="132"/>
      <c r="M11" s="132"/>
      <c r="N11" s="131" t="s">
        <v>18</v>
      </c>
      <c r="O11" s="131"/>
      <c r="P11" s="131"/>
      <c r="Q11" s="131"/>
      <c r="R11" s="131"/>
      <c r="S11" s="130" t="s">
        <v>63</v>
      </c>
      <c r="T11" s="130"/>
      <c r="U11" s="130"/>
      <c r="V11" s="130"/>
      <c r="W11" s="130"/>
      <c r="X11" s="130"/>
      <c r="Y11" s="130"/>
      <c r="Z11" s="68"/>
    </row>
    <row r="12" spans="1:26" ht="15.75" customHeight="1" x14ac:dyDescent="0.25">
      <c r="A12" s="65"/>
      <c r="B12" s="129" t="s">
        <v>8</v>
      </c>
      <c r="C12" s="129"/>
      <c r="D12" s="129"/>
      <c r="E12" s="129"/>
      <c r="F12" s="129"/>
      <c r="G12" s="129"/>
      <c r="H12" s="132">
        <v>45744</v>
      </c>
      <c r="I12" s="132"/>
      <c r="J12" s="132"/>
      <c r="K12" s="132"/>
      <c r="L12" s="132"/>
      <c r="M12" s="132"/>
      <c r="N12" s="131" t="s">
        <v>19</v>
      </c>
      <c r="O12" s="131"/>
      <c r="P12" s="131"/>
      <c r="Q12" s="131"/>
      <c r="R12" s="131"/>
      <c r="S12" s="130" t="s">
        <v>56</v>
      </c>
      <c r="T12" s="130"/>
      <c r="U12" s="130"/>
      <c r="V12" s="130"/>
      <c r="W12" s="130"/>
      <c r="X12" s="130"/>
      <c r="Y12" s="130"/>
      <c r="Z12" s="68"/>
    </row>
    <row r="13" spans="1:26" ht="15.75" customHeight="1" x14ac:dyDescent="0.25">
      <c r="A13" s="65"/>
      <c r="B13" s="129" t="s">
        <v>36</v>
      </c>
      <c r="C13" s="129"/>
      <c r="D13" s="129"/>
      <c r="E13" s="129"/>
      <c r="F13" s="129"/>
      <c r="G13" s="129"/>
      <c r="H13" s="130" t="s">
        <v>57</v>
      </c>
      <c r="I13" s="130"/>
      <c r="J13" s="130"/>
      <c r="K13" s="130"/>
      <c r="L13" s="130"/>
      <c r="M13" s="130"/>
      <c r="N13" s="131" t="s">
        <v>39</v>
      </c>
      <c r="O13" s="131"/>
      <c r="P13" s="131"/>
      <c r="Q13" s="131"/>
      <c r="R13" s="131"/>
      <c r="S13" s="130" t="s">
        <v>38</v>
      </c>
      <c r="T13" s="130"/>
      <c r="U13" s="130"/>
      <c r="V13" s="130"/>
      <c r="W13" s="130"/>
      <c r="X13" s="130"/>
      <c r="Y13" s="130"/>
      <c r="Z13" s="68"/>
    </row>
    <row r="14" spans="1:26" ht="15.75" customHeight="1" x14ac:dyDescent="0.25">
      <c r="A14" s="65"/>
      <c r="B14" s="129" t="s">
        <v>37</v>
      </c>
      <c r="C14" s="129"/>
      <c r="D14" s="129"/>
      <c r="E14" s="129"/>
      <c r="F14" s="129"/>
      <c r="G14" s="129"/>
      <c r="H14" s="130" t="s">
        <v>57</v>
      </c>
      <c r="I14" s="130"/>
      <c r="J14" s="130"/>
      <c r="K14" s="130"/>
      <c r="L14" s="130"/>
      <c r="M14" s="130"/>
      <c r="N14" s="131" t="s">
        <v>39</v>
      </c>
      <c r="O14" s="131"/>
      <c r="P14" s="131"/>
      <c r="Q14" s="131"/>
      <c r="R14" s="131"/>
      <c r="S14" s="130" t="s">
        <v>40</v>
      </c>
      <c r="T14" s="130"/>
      <c r="U14" s="130"/>
      <c r="V14" s="130"/>
      <c r="W14" s="130"/>
      <c r="X14" s="130"/>
      <c r="Y14" s="130"/>
      <c r="Z14" s="68"/>
    </row>
    <row r="15" spans="1:26" ht="8.25" customHeight="1" x14ac:dyDescent="0.25">
      <c r="A15" s="11"/>
      <c r="B15" s="45"/>
      <c r="C15" s="45"/>
      <c r="D15" s="46"/>
      <c r="E15" s="46"/>
      <c r="F15" s="46"/>
      <c r="G15" s="46"/>
      <c r="H15" s="45"/>
      <c r="I15" s="45"/>
      <c r="J15" s="45"/>
      <c r="K15" s="45"/>
      <c r="L15" s="45"/>
      <c r="M15" s="45"/>
      <c r="N15" s="47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13"/>
    </row>
    <row r="16" spans="1:26" ht="7.5" customHeight="1" x14ac:dyDescent="0.35">
      <c r="A16" s="14"/>
      <c r="B16" s="15"/>
      <c r="C16" s="15"/>
      <c r="D16" s="16"/>
      <c r="E16" s="16"/>
      <c r="F16" s="16"/>
      <c r="G16" s="16"/>
      <c r="H16" s="16"/>
      <c r="I16" s="17"/>
      <c r="J16" s="15"/>
      <c r="K16" s="15"/>
      <c r="L16" s="15"/>
      <c r="M16" s="15"/>
    </row>
    <row r="17" spans="1:26" ht="15.6" customHeight="1" x14ac:dyDescent="0.25">
      <c r="A17" s="2" t="s">
        <v>4</v>
      </c>
      <c r="B17" s="3" t="s">
        <v>2</v>
      </c>
      <c r="C17" s="4"/>
      <c r="D17" s="5"/>
      <c r="E17" s="5"/>
      <c r="F17" s="5"/>
      <c r="G17" s="5"/>
      <c r="H17" s="6"/>
      <c r="I17" s="6"/>
      <c r="J17" s="18"/>
      <c r="K17" s="18"/>
      <c r="L17" s="18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</row>
    <row r="18" spans="1:26" ht="10.5" customHeight="1" x14ac:dyDescent="0.35">
      <c r="A18" s="19"/>
      <c r="D18" s="20"/>
      <c r="E18" s="21"/>
      <c r="F18" s="21"/>
      <c r="G18" s="22"/>
      <c r="H18" s="22"/>
      <c r="I18" s="23"/>
      <c r="J18" s="15"/>
      <c r="K18" s="15"/>
      <c r="L18" s="15"/>
      <c r="Q18" s="24"/>
      <c r="Z18" s="10"/>
    </row>
    <row r="19" spans="1:26" ht="15" customHeight="1" x14ac:dyDescent="0.25">
      <c r="A19" s="8"/>
      <c r="B19" s="25" t="s">
        <v>30</v>
      </c>
      <c r="C19" s="17"/>
      <c r="D19" s="17"/>
      <c r="E19" s="17"/>
      <c r="F19" s="17"/>
      <c r="G19" s="17"/>
      <c r="H19" s="9"/>
      <c r="I19" s="26"/>
      <c r="J19" s="26"/>
      <c r="K19" s="26"/>
      <c r="L19" s="26"/>
      <c r="M19" s="26"/>
      <c r="N19" s="26"/>
      <c r="S19" s="27"/>
      <c r="T19" s="27"/>
      <c r="U19" s="27"/>
      <c r="Z19" s="10"/>
    </row>
    <row r="20" spans="1:26" ht="7.5" customHeight="1" x14ac:dyDescent="0.25">
      <c r="A20" s="8"/>
      <c r="C20" s="9"/>
      <c r="D20" s="9"/>
      <c r="E20" s="9"/>
      <c r="F20" s="28"/>
      <c r="G20" s="28"/>
      <c r="Z20" s="10"/>
    </row>
    <row r="21" spans="1:26" ht="20.100000000000001" customHeight="1" x14ac:dyDescent="0.25">
      <c r="A21" s="8"/>
      <c r="B21" s="29"/>
      <c r="C21" s="29"/>
      <c r="D21" s="128" t="s">
        <v>24</v>
      </c>
      <c r="E21" s="128"/>
      <c r="F21" s="128"/>
      <c r="G21" s="128"/>
      <c r="H21" s="128">
        <v>1</v>
      </c>
      <c r="I21" s="128"/>
      <c r="J21" s="128"/>
      <c r="K21" s="128"/>
      <c r="L21" s="128">
        <v>2</v>
      </c>
      <c r="M21" s="128"/>
      <c r="N21" s="128"/>
      <c r="O21" s="128"/>
      <c r="P21" s="128">
        <v>3</v>
      </c>
      <c r="Q21" s="128"/>
      <c r="R21" s="128"/>
      <c r="S21" s="128"/>
      <c r="T21" s="128">
        <v>4</v>
      </c>
      <c r="U21" s="128"/>
      <c r="V21" s="128"/>
      <c r="W21" s="128"/>
      <c r="X21" s="29"/>
      <c r="Y21" s="29"/>
      <c r="Z21" s="10"/>
    </row>
    <row r="22" spans="1:26" ht="20.100000000000001" customHeight="1" x14ac:dyDescent="0.25">
      <c r="A22" s="8"/>
      <c r="B22" s="30"/>
      <c r="C22" s="30"/>
      <c r="D22" s="125" t="s">
        <v>35</v>
      </c>
      <c r="E22" s="125"/>
      <c r="F22" s="125"/>
      <c r="G22" s="125"/>
      <c r="H22" s="127">
        <v>14.1</v>
      </c>
      <c r="I22" s="127"/>
      <c r="J22" s="127"/>
      <c r="K22" s="127"/>
      <c r="L22" s="127">
        <v>16.5</v>
      </c>
      <c r="M22" s="127"/>
      <c r="N22" s="127"/>
      <c r="O22" s="127"/>
      <c r="P22" s="127">
        <v>17.600000000000001</v>
      </c>
      <c r="Q22" s="127"/>
      <c r="R22" s="127"/>
      <c r="S22" s="127"/>
      <c r="T22" s="127">
        <v>21</v>
      </c>
      <c r="U22" s="127"/>
      <c r="V22" s="127"/>
      <c r="W22" s="127"/>
      <c r="X22" s="29"/>
      <c r="Y22" s="29"/>
      <c r="Z22" s="10"/>
    </row>
    <row r="23" spans="1:26" ht="20.100000000000001" customHeight="1" x14ac:dyDescent="0.25">
      <c r="A23" s="8"/>
      <c r="B23" s="30"/>
      <c r="C23" s="30"/>
      <c r="D23" s="125" t="s">
        <v>9</v>
      </c>
      <c r="E23" s="125"/>
      <c r="F23" s="125"/>
      <c r="G23" s="125"/>
      <c r="H23" s="127">
        <v>71.180000000000007</v>
      </c>
      <c r="I23" s="127"/>
      <c r="J23" s="127"/>
      <c r="K23" s="127"/>
      <c r="L23" s="127">
        <v>72.5</v>
      </c>
      <c r="M23" s="127"/>
      <c r="N23" s="127"/>
      <c r="O23" s="127"/>
      <c r="P23" s="127">
        <v>77.19</v>
      </c>
      <c r="Q23" s="127"/>
      <c r="R23" s="127"/>
      <c r="S23" s="127"/>
      <c r="T23" s="127">
        <v>82.32</v>
      </c>
      <c r="U23" s="127"/>
      <c r="V23" s="127"/>
      <c r="W23" s="127"/>
      <c r="X23" s="29"/>
      <c r="Y23" s="29"/>
      <c r="Z23" s="10"/>
    </row>
    <row r="24" spans="1:26" ht="15.75" customHeight="1" x14ac:dyDescent="0.25">
      <c r="A24" s="8"/>
      <c r="S24" s="126"/>
      <c r="T24" s="126"/>
      <c r="Z24" s="10"/>
    </row>
    <row r="25" spans="1:26" ht="15.75" customHeight="1" x14ac:dyDescent="0.25">
      <c r="A25" s="8"/>
      <c r="C25" s="119"/>
      <c r="D25" s="120"/>
      <c r="E25" s="121"/>
      <c r="F25" s="121"/>
      <c r="H25" s="119"/>
      <c r="I25" s="120"/>
      <c r="J25" s="120"/>
      <c r="K25" s="120"/>
      <c r="L25" s="122"/>
      <c r="M25" s="122"/>
      <c r="N25" s="122"/>
      <c r="O25" s="122"/>
      <c r="Z25" s="10"/>
    </row>
    <row r="26" spans="1:26" ht="15.75" customHeight="1" x14ac:dyDescent="0.25">
      <c r="A26" s="8"/>
      <c r="C26" s="120"/>
      <c r="D26" s="120"/>
      <c r="E26" s="123"/>
      <c r="F26" s="123"/>
      <c r="H26" s="119"/>
      <c r="I26" s="120"/>
      <c r="J26" s="120"/>
      <c r="K26" s="120"/>
      <c r="L26" s="124"/>
      <c r="M26" s="124"/>
      <c r="N26" s="124"/>
      <c r="O26" s="124"/>
      <c r="Z26" s="10"/>
    </row>
    <row r="27" spans="1:26" ht="12.75" customHeight="1" x14ac:dyDescent="0.25">
      <c r="A27" s="8"/>
      <c r="Z27" s="10"/>
    </row>
    <row r="28" spans="1:26" ht="12.75" customHeight="1" x14ac:dyDescent="0.25">
      <c r="A28" s="8"/>
      <c r="Z28" s="10"/>
    </row>
    <row r="29" spans="1:26" ht="12.75" customHeight="1" x14ac:dyDescent="0.25">
      <c r="A29" s="8"/>
      <c r="Z29" s="10"/>
    </row>
    <row r="30" spans="1:26" ht="12.75" customHeight="1" x14ac:dyDescent="0.25">
      <c r="A30" s="8"/>
      <c r="Z30" s="10"/>
    </row>
    <row r="31" spans="1:26" ht="12.75" customHeight="1" x14ac:dyDescent="0.25">
      <c r="A31" s="8"/>
      <c r="Z31" s="10"/>
    </row>
    <row r="32" spans="1:26" ht="12.75" customHeight="1" x14ac:dyDescent="0.25">
      <c r="A32" s="8"/>
      <c r="Z32" s="10"/>
    </row>
    <row r="33" spans="1:27" ht="12.75" customHeight="1" x14ac:dyDescent="0.25">
      <c r="A33" s="8"/>
      <c r="Z33" s="10"/>
    </row>
    <row r="34" spans="1:27" ht="12.75" customHeight="1" x14ac:dyDescent="0.25">
      <c r="A34" s="8"/>
      <c r="Z34" s="10"/>
    </row>
    <row r="35" spans="1:27" ht="12.75" customHeight="1" x14ac:dyDescent="0.25">
      <c r="A35" s="8"/>
      <c r="Z35" s="10"/>
    </row>
    <row r="36" spans="1:27" ht="12.75" customHeight="1" x14ac:dyDescent="0.25">
      <c r="A36" s="8"/>
      <c r="Z36" s="10"/>
    </row>
    <row r="37" spans="1:27" ht="12.75" customHeight="1" x14ac:dyDescent="0.25">
      <c r="A37" s="8"/>
      <c r="Z37" s="10"/>
    </row>
    <row r="38" spans="1:27" ht="12.75" customHeight="1" x14ac:dyDescent="0.25">
      <c r="A38" s="8"/>
      <c r="Z38" s="10"/>
    </row>
    <row r="39" spans="1:27" ht="12.75" customHeight="1" x14ac:dyDescent="0.25">
      <c r="A39" s="8"/>
      <c r="Z39" s="10"/>
    </row>
    <row r="40" spans="1:27" ht="12.75" customHeight="1" x14ac:dyDescent="0.25">
      <c r="A40" s="8"/>
      <c r="Z40" s="10"/>
    </row>
    <row r="41" spans="1:27" ht="12.75" customHeight="1" x14ac:dyDescent="0.25">
      <c r="A41" s="8"/>
      <c r="Z41" s="10"/>
    </row>
    <row r="42" spans="1:27" ht="12.75" customHeight="1" x14ac:dyDescent="0.25">
      <c r="A42" s="8"/>
      <c r="R42" s="9"/>
      <c r="S42" s="9"/>
      <c r="T42" s="9"/>
      <c r="U42" s="9"/>
      <c r="V42" s="9"/>
      <c r="W42" s="9"/>
      <c r="Y42" s="9"/>
      <c r="Z42" s="31"/>
      <c r="AA42" s="9"/>
    </row>
    <row r="43" spans="1:27" ht="12.75" customHeight="1" x14ac:dyDescent="0.25">
      <c r="A43" s="8"/>
      <c r="Z43" s="10"/>
    </row>
    <row r="44" spans="1:27" ht="12.75" customHeight="1" x14ac:dyDescent="0.25">
      <c r="A44" s="8"/>
      <c r="Z44" s="10"/>
    </row>
    <row r="45" spans="1:27" ht="12.75" customHeight="1" x14ac:dyDescent="0.25">
      <c r="A45" s="8"/>
      <c r="Z45" s="10"/>
    </row>
    <row r="46" spans="1:27" ht="12.75" customHeight="1" x14ac:dyDescent="0.25">
      <c r="A46" s="8"/>
      <c r="Z46" s="10"/>
    </row>
    <row r="47" spans="1:27" ht="12.75" customHeight="1" x14ac:dyDescent="0.25">
      <c r="A47" s="8"/>
      <c r="T47" s="32"/>
      <c r="U47" s="33"/>
      <c r="Z47" s="10"/>
    </row>
    <row r="48" spans="1:27" ht="12.75" customHeight="1" x14ac:dyDescent="0.25">
      <c r="A48" s="8"/>
      <c r="T48" s="32"/>
      <c r="U48" s="33"/>
      <c r="V48" s="34"/>
      <c r="W48" s="34"/>
      <c r="Z48" s="10"/>
    </row>
    <row r="49" spans="1:26" ht="12.75" customHeight="1" x14ac:dyDescent="0.25">
      <c r="A49" s="8"/>
      <c r="T49" s="32"/>
      <c r="U49" s="33"/>
      <c r="Z49" s="10"/>
    </row>
    <row r="50" spans="1:26" ht="12.75" customHeight="1" x14ac:dyDescent="0.25">
      <c r="A50" s="8"/>
      <c r="U50" s="35"/>
      <c r="Z50" s="10"/>
    </row>
    <row r="51" spans="1:26" ht="12.75" customHeight="1" x14ac:dyDescent="0.25">
      <c r="A51" s="8"/>
      <c r="U51" s="35"/>
      <c r="Z51" s="10"/>
    </row>
    <row r="52" spans="1:26" ht="12.75" customHeight="1" x14ac:dyDescent="0.25">
      <c r="A52" s="8"/>
      <c r="U52" s="35"/>
      <c r="Z52" s="10"/>
    </row>
    <row r="53" spans="1:26" ht="8.25" customHeight="1" x14ac:dyDescent="0.25">
      <c r="A53" s="8"/>
      <c r="U53" s="15"/>
      <c r="Z53" s="10"/>
    </row>
    <row r="54" spans="1:26" ht="12.75" customHeight="1" x14ac:dyDescent="0.25">
      <c r="A54" s="8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10"/>
    </row>
    <row r="55" spans="1:26" ht="12.75" customHeight="1" x14ac:dyDescent="0.25">
      <c r="A55" s="8"/>
      <c r="B55" s="103" t="s">
        <v>32</v>
      </c>
      <c r="C55" s="104"/>
      <c r="D55" s="104"/>
      <c r="E55" s="104"/>
      <c r="F55" s="111">
        <v>75.3</v>
      </c>
      <c r="G55" s="112"/>
      <c r="H55" s="37" t="s">
        <v>33</v>
      </c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10"/>
    </row>
    <row r="56" spans="1:26" ht="12.75" customHeight="1" x14ac:dyDescent="0.25">
      <c r="A56" s="8"/>
      <c r="H56" s="102" t="s">
        <v>34</v>
      </c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"/>
    </row>
    <row r="57" spans="1:26" ht="12.75" customHeight="1" x14ac:dyDescent="0.25">
      <c r="A57" s="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10"/>
    </row>
    <row r="58" spans="1:26" ht="12.75" customHeight="1" x14ac:dyDescent="0.25">
      <c r="A58" s="8"/>
      <c r="U58" s="15"/>
      <c r="Z58" s="10"/>
    </row>
    <row r="59" spans="1:26" ht="15" customHeight="1" x14ac:dyDescent="0.25">
      <c r="A59" s="8"/>
      <c r="B59" s="39" t="s">
        <v>41</v>
      </c>
      <c r="U59" s="15"/>
      <c r="Z59" s="10"/>
    </row>
    <row r="60" spans="1:26" ht="12.75" customHeight="1" x14ac:dyDescent="0.25">
      <c r="A60" s="8"/>
      <c r="B60" s="102" t="s">
        <v>10</v>
      </c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"/>
    </row>
    <row r="61" spans="1:26" ht="12.75" customHeight="1" x14ac:dyDescent="0.25">
      <c r="A61" s="8"/>
      <c r="Z61" s="10"/>
    </row>
    <row r="62" spans="1:26" ht="12.75" customHeight="1" x14ac:dyDescent="0.25">
      <c r="A62" s="8"/>
      <c r="B62" s="1" t="s">
        <v>11</v>
      </c>
      <c r="G62" s="113" t="s">
        <v>42</v>
      </c>
      <c r="H62" s="114"/>
      <c r="I62" s="114"/>
      <c r="J62" s="115">
        <v>0.29389999999999999</v>
      </c>
      <c r="K62" s="116"/>
      <c r="L62" s="69"/>
      <c r="M62" s="69"/>
      <c r="N62" s="117" t="s">
        <v>60</v>
      </c>
      <c r="O62" s="118"/>
      <c r="P62" s="118"/>
      <c r="Q62" s="115">
        <v>0.29139999999999999</v>
      </c>
      <c r="R62" s="116"/>
      <c r="Z62" s="10"/>
    </row>
    <row r="63" spans="1:26" ht="12.75" customHeight="1" x14ac:dyDescent="0.25">
      <c r="A63" s="8"/>
      <c r="R63" s="29"/>
      <c r="S63" s="33"/>
      <c r="T63" s="29"/>
      <c r="U63" s="29"/>
      <c r="V63" s="29"/>
      <c r="W63" s="29"/>
      <c r="Z63" s="10"/>
    </row>
    <row r="64" spans="1:26" ht="12.75" customHeight="1" x14ac:dyDescent="0.25">
      <c r="A64" s="8"/>
      <c r="B64" s="40" t="s">
        <v>44</v>
      </c>
      <c r="C64" s="41"/>
      <c r="D64" s="41"/>
      <c r="E64" s="41"/>
      <c r="F64" s="41"/>
      <c r="G64" s="99">
        <f>IF(J62&lt;&gt;"",IF(Q62&lt;&gt;"",(J62+Q62)/2,""),"")</f>
        <v>0.29264999999999997</v>
      </c>
      <c r="H64" s="100"/>
      <c r="I64" s="101" t="s">
        <v>16</v>
      </c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"/>
    </row>
    <row r="65" spans="1:32" ht="12.75" customHeight="1" x14ac:dyDescent="0.25">
      <c r="A65" s="8"/>
      <c r="C65" s="36"/>
      <c r="D65" s="36"/>
      <c r="E65" s="36"/>
      <c r="F65" s="36"/>
      <c r="G65" s="36"/>
      <c r="H65" s="36"/>
      <c r="I65" s="102" t="s">
        <v>12</v>
      </c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"/>
    </row>
    <row r="66" spans="1:32" ht="12.75" customHeight="1" x14ac:dyDescent="0.25">
      <c r="A66" s="8"/>
      <c r="R66" s="29"/>
      <c r="S66" s="29"/>
      <c r="T66" s="29"/>
      <c r="U66" s="29"/>
      <c r="V66" s="29"/>
      <c r="W66" s="29"/>
      <c r="Z66" s="10"/>
    </row>
    <row r="67" spans="1:32" ht="15" customHeight="1" x14ac:dyDescent="0.25">
      <c r="A67" s="8"/>
      <c r="B67" s="39" t="s">
        <v>13</v>
      </c>
      <c r="R67" s="29"/>
      <c r="S67" s="29"/>
      <c r="T67" s="29"/>
      <c r="U67" s="29"/>
      <c r="V67" s="29"/>
      <c r="W67" s="29"/>
      <c r="Z67" s="10"/>
    </row>
    <row r="68" spans="1:32" ht="8.25" customHeight="1" x14ac:dyDescent="0.25">
      <c r="A68" s="8"/>
      <c r="R68" s="29"/>
      <c r="S68" s="33"/>
      <c r="U68" s="29"/>
      <c r="V68" s="29"/>
      <c r="W68" s="29"/>
      <c r="Z68" s="10"/>
    </row>
    <row r="69" spans="1:32" ht="12.75" customHeight="1" x14ac:dyDescent="0.25">
      <c r="A69" s="8"/>
      <c r="B69" s="103" t="s">
        <v>45</v>
      </c>
      <c r="C69" s="104"/>
      <c r="D69" s="104"/>
      <c r="E69" s="105">
        <f>IF(F55&lt;&gt;"",IF(G64&lt;&gt;"",F55-(G64*100),""),"")</f>
        <v>46.034999999999997</v>
      </c>
      <c r="F69" s="106"/>
      <c r="R69" s="29"/>
      <c r="S69" s="33"/>
      <c r="U69" s="29"/>
      <c r="V69" s="29"/>
      <c r="W69" s="29"/>
      <c r="Z69" s="10"/>
    </row>
    <row r="70" spans="1:32" ht="12.75" customHeight="1" x14ac:dyDescent="0.25">
      <c r="A70" s="8"/>
      <c r="R70" s="29"/>
      <c r="U70" s="29"/>
      <c r="V70" s="29"/>
      <c r="W70" s="29"/>
      <c r="Z70" s="10"/>
    </row>
    <row r="71" spans="1:32" ht="15" customHeight="1" x14ac:dyDescent="0.25">
      <c r="A71" s="8"/>
      <c r="B71" s="39" t="s">
        <v>14</v>
      </c>
      <c r="R71" s="29"/>
      <c r="S71" s="33"/>
      <c r="U71" s="29"/>
      <c r="V71" s="29"/>
      <c r="W71" s="29"/>
      <c r="Z71" s="10"/>
    </row>
    <row r="72" spans="1:32" ht="10.5" customHeight="1" x14ac:dyDescent="0.25">
      <c r="A72" s="8"/>
      <c r="B72" s="39"/>
      <c r="R72" s="29"/>
      <c r="S72" s="33"/>
      <c r="U72" s="29"/>
      <c r="V72" s="29"/>
      <c r="W72" s="29"/>
      <c r="Z72" s="10"/>
    </row>
    <row r="73" spans="1:32" ht="12.75" customHeight="1" x14ac:dyDescent="0.3">
      <c r="A73" s="8"/>
      <c r="B73" s="107" t="s">
        <v>15</v>
      </c>
      <c r="C73" s="108"/>
      <c r="D73" s="108"/>
      <c r="E73" s="108"/>
      <c r="F73" s="108"/>
      <c r="G73" s="108"/>
      <c r="H73" s="109">
        <v>0.20599999999999999</v>
      </c>
      <c r="I73" s="110"/>
      <c r="R73" s="29"/>
      <c r="S73" s="33"/>
      <c r="U73" s="29"/>
      <c r="V73" s="29"/>
      <c r="W73" s="29"/>
      <c r="Z73" s="10"/>
    </row>
    <row r="74" spans="1:32" ht="8.25" customHeight="1" x14ac:dyDescent="0.25">
      <c r="A74" s="8"/>
      <c r="B74" s="39"/>
      <c r="R74" s="29"/>
      <c r="S74" s="33"/>
      <c r="U74" s="29"/>
      <c r="V74" s="29"/>
      <c r="W74" s="29"/>
      <c r="Z74" s="10"/>
    </row>
    <row r="75" spans="1:32" ht="12.75" customHeight="1" x14ac:dyDescent="0.25">
      <c r="A75" s="8"/>
      <c r="B75" s="70" t="s">
        <v>46</v>
      </c>
      <c r="C75" s="71"/>
      <c r="D75" s="71"/>
      <c r="E75" s="71"/>
      <c r="F75" s="72">
        <f>IF(F55&lt;&gt;"",IF(H73&lt;&gt;"",(F55-(H73*100))/E69,""),"")</f>
        <v>1.1882263495166723</v>
      </c>
      <c r="G75" s="73"/>
      <c r="R75" s="29"/>
      <c r="S75" s="33"/>
      <c r="U75" s="29"/>
      <c r="V75" s="29"/>
      <c r="W75" s="29"/>
      <c r="Z75" s="10"/>
    </row>
    <row r="76" spans="1:32" ht="12.75" customHeight="1" x14ac:dyDescent="0.25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</row>
    <row r="77" spans="1:32" ht="7.5" customHeight="1" x14ac:dyDescent="0.25"/>
    <row r="78" spans="1:32" s="29" customFormat="1" ht="15.6" customHeight="1" x14ac:dyDescent="0.25">
      <c r="A78" s="2" t="s">
        <v>5</v>
      </c>
      <c r="B78" s="3" t="s">
        <v>17</v>
      </c>
      <c r="C78" s="4"/>
      <c r="D78" s="42"/>
      <c r="E78" s="4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3"/>
      <c r="R78" s="4"/>
      <c r="S78" s="4"/>
      <c r="T78" s="4"/>
      <c r="U78" s="74"/>
      <c r="V78" s="74"/>
      <c r="W78" s="74"/>
      <c r="X78" s="74"/>
      <c r="Y78" s="74"/>
      <c r="Z78" s="75"/>
      <c r="AD78" s="44"/>
      <c r="AE78" s="44"/>
      <c r="AF78" s="44"/>
    </row>
    <row r="79" spans="1:32" s="29" customFormat="1" ht="27" customHeight="1" x14ac:dyDescent="0.25">
      <c r="A79" s="76" t="s">
        <v>61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8"/>
      <c r="R79" s="82" t="s">
        <v>20</v>
      </c>
      <c r="S79" s="82"/>
      <c r="T79" s="83"/>
      <c r="U79" s="84" t="s">
        <v>52</v>
      </c>
      <c r="V79" s="85"/>
      <c r="W79" s="85"/>
      <c r="X79" s="85"/>
      <c r="Y79" s="85"/>
      <c r="Z79" s="86"/>
      <c r="AD79" s="44"/>
      <c r="AE79" s="44"/>
      <c r="AF79" s="44"/>
    </row>
    <row r="80" spans="1:32" s="29" customFormat="1" ht="15.6" customHeight="1" x14ac:dyDescent="0.25">
      <c r="A80" s="76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8"/>
      <c r="R80" s="82" t="s">
        <v>21</v>
      </c>
      <c r="S80" s="82"/>
      <c r="T80" s="83"/>
      <c r="U80" s="87" t="s">
        <v>58</v>
      </c>
      <c r="V80" s="88"/>
      <c r="W80" s="88"/>
      <c r="X80" s="88"/>
      <c r="Y80" s="88"/>
      <c r="Z80" s="89"/>
      <c r="AD80" s="44"/>
      <c r="AE80" s="44"/>
      <c r="AF80" s="44"/>
    </row>
    <row r="81" spans="1:32" s="29" customFormat="1" ht="15.6" customHeight="1" x14ac:dyDescent="0.25">
      <c r="A81" s="76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8"/>
      <c r="R81" s="82"/>
      <c r="S81" s="82"/>
      <c r="T81" s="83"/>
      <c r="U81" s="90"/>
      <c r="V81" s="91"/>
      <c r="W81" s="91"/>
      <c r="X81" s="91"/>
      <c r="Y81" s="91"/>
      <c r="Z81" s="92"/>
      <c r="AD81" s="44"/>
      <c r="AE81" s="44"/>
      <c r="AF81" s="44"/>
    </row>
    <row r="82" spans="1:32" s="29" customFormat="1" ht="15.6" customHeight="1" x14ac:dyDescent="0.25">
      <c r="A82" s="76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8"/>
      <c r="R82" s="82"/>
      <c r="S82" s="82"/>
      <c r="T82" s="83"/>
      <c r="U82" s="93"/>
      <c r="V82" s="94"/>
      <c r="W82" s="94"/>
      <c r="X82" s="94"/>
      <c r="Y82" s="94"/>
      <c r="Z82" s="95"/>
      <c r="AD82" s="44"/>
      <c r="AE82" s="44"/>
      <c r="AF82" s="44"/>
    </row>
    <row r="83" spans="1:32" s="29" customFormat="1" ht="15.6" customHeight="1" x14ac:dyDescent="0.25">
      <c r="A83" s="76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8"/>
      <c r="R83" s="82" t="s">
        <v>22</v>
      </c>
      <c r="S83" s="82"/>
      <c r="T83" s="83"/>
      <c r="U83" s="48"/>
      <c r="V83" s="49"/>
      <c r="W83" s="49"/>
      <c r="X83" s="49"/>
      <c r="Y83" s="49"/>
      <c r="Z83" s="50"/>
      <c r="AD83" s="44"/>
      <c r="AE83" s="44"/>
      <c r="AF83" s="44"/>
    </row>
    <row r="84" spans="1:32" s="29" customFormat="1" ht="15.6" customHeight="1" x14ac:dyDescent="0.25">
      <c r="A84" s="76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8"/>
      <c r="R84" s="82"/>
      <c r="S84" s="82"/>
      <c r="T84" s="83"/>
      <c r="U84" s="51"/>
      <c r="V84" s="98"/>
      <c r="W84" s="98"/>
      <c r="X84" s="98"/>
      <c r="Y84" s="98"/>
      <c r="Z84" s="52"/>
      <c r="AD84" s="44"/>
      <c r="AE84" s="44"/>
      <c r="AF84" s="44"/>
    </row>
    <row r="85" spans="1:32" s="29" customFormat="1" ht="15.6" customHeight="1" x14ac:dyDescent="0.25">
      <c r="A85" s="76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8"/>
      <c r="R85" s="82"/>
      <c r="S85" s="82"/>
      <c r="T85" s="83"/>
      <c r="U85" s="51"/>
      <c r="V85" s="98"/>
      <c r="W85" s="98"/>
      <c r="X85" s="98"/>
      <c r="Y85" s="98"/>
      <c r="Z85" s="52"/>
      <c r="AD85" s="44"/>
      <c r="AE85" s="44"/>
      <c r="AF85" s="44"/>
    </row>
    <row r="86" spans="1:32" s="29" customFormat="1" ht="15.6" customHeight="1" x14ac:dyDescent="0.25">
      <c r="A86" s="79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1"/>
      <c r="R86" s="96"/>
      <c r="S86" s="96"/>
      <c r="T86" s="97"/>
      <c r="U86" s="53"/>
      <c r="V86" s="54"/>
      <c r="W86" s="54"/>
      <c r="X86" s="54"/>
      <c r="Y86" s="54"/>
      <c r="Z86" s="55"/>
      <c r="AD86" s="44"/>
      <c r="AE86" s="44"/>
      <c r="AF86" s="44"/>
    </row>
    <row r="87" spans="1:32" ht="15.75" customHeight="1" x14ac:dyDescent="0.25">
      <c r="A87" s="1"/>
    </row>
  </sheetData>
  <sheetProtection selectLockedCells="1"/>
  <mergeCells count="82">
    <mergeCell ref="L6:O6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1:G11"/>
    <mergeCell ref="H11:M11"/>
    <mergeCell ref="N11:R11"/>
    <mergeCell ref="S11:Y11"/>
    <mergeCell ref="B12:G12"/>
    <mergeCell ref="H12:M12"/>
    <mergeCell ref="N12:R12"/>
    <mergeCell ref="S12:Y12"/>
    <mergeCell ref="B13:G13"/>
    <mergeCell ref="H13:M13"/>
    <mergeCell ref="N13:R13"/>
    <mergeCell ref="S13:Y13"/>
    <mergeCell ref="B14:G14"/>
    <mergeCell ref="H14:M14"/>
    <mergeCell ref="N14:R14"/>
    <mergeCell ref="S14:Y14"/>
    <mergeCell ref="D22:G22"/>
    <mergeCell ref="H22:K22"/>
    <mergeCell ref="L22:O22"/>
    <mergeCell ref="P22:S22"/>
    <mergeCell ref="T22:W22"/>
    <mergeCell ref="D21:G21"/>
    <mergeCell ref="H21:K21"/>
    <mergeCell ref="L21:O21"/>
    <mergeCell ref="P21:S21"/>
    <mergeCell ref="T21:W21"/>
    <mergeCell ref="D23:G23"/>
    <mergeCell ref="S24:T24"/>
    <mergeCell ref="H23:K23"/>
    <mergeCell ref="L23:O23"/>
    <mergeCell ref="P23:S23"/>
    <mergeCell ref="T23:W23"/>
    <mergeCell ref="C25:D25"/>
    <mergeCell ref="E25:F25"/>
    <mergeCell ref="H25:K25"/>
    <mergeCell ref="L25:O25"/>
    <mergeCell ref="C26:D26"/>
    <mergeCell ref="E26:F26"/>
    <mergeCell ref="H26:K26"/>
    <mergeCell ref="L26:O26"/>
    <mergeCell ref="B73:G73"/>
    <mergeCell ref="H73:I73"/>
    <mergeCell ref="B55:E55"/>
    <mergeCell ref="F55:G55"/>
    <mergeCell ref="H56:Y56"/>
    <mergeCell ref="B60:Y60"/>
    <mergeCell ref="G62:I62"/>
    <mergeCell ref="J62:K62"/>
    <mergeCell ref="N62:P62"/>
    <mergeCell ref="Q62:R62"/>
    <mergeCell ref="G64:H64"/>
    <mergeCell ref="I64:Y64"/>
    <mergeCell ref="I65:Y65"/>
    <mergeCell ref="B69:D69"/>
    <mergeCell ref="E69:F69"/>
    <mergeCell ref="B75:E75"/>
    <mergeCell ref="F75:G75"/>
    <mergeCell ref="U78:Z78"/>
    <mergeCell ref="A79:Q86"/>
    <mergeCell ref="R79:T79"/>
    <mergeCell ref="U79:Z79"/>
    <mergeCell ref="R80:T82"/>
    <mergeCell ref="U80:Z82"/>
    <mergeCell ref="R83:T86"/>
    <mergeCell ref="V84:Y85"/>
  </mergeCells>
  <printOptions horizontalCentered="1"/>
  <pageMargins left="0.39370078740157483" right="0.39370078740157483" top="0.39370078740157483" bottom="0.39370078740157483" header="0" footer="0.19685039370078741"/>
  <pageSetup paperSize="9" scale="65" orientation="portrait" r:id="rId1"/>
  <headerFooter alignWithMargins="0">
    <oddFooter>&amp;RDG-Q / CRE LCP du 06/04/2011</oddFooter>
  </headerFooter>
  <drawing r:id="rId2"/>
  <legacyDrawing r:id="rId3"/>
  <controls>
    <mc:AlternateContent xmlns:mc="http://schemas.openxmlformats.org/markup-compatibility/2006">
      <mc:Choice Requires="x14">
        <control shapeId="7169" r:id="rId4" name="CommandButton1">
          <controlPr defaultSize="0" autoLine="0" r:id="rId5">
            <anchor moveWithCells="1">
              <from>
                <xdr:col>27</xdr:col>
                <xdr:colOff>7620</xdr:colOff>
                <xdr:row>82</xdr:row>
                <xdr:rowOff>175260</xdr:rowOff>
              </from>
              <to>
                <xdr:col>29</xdr:col>
                <xdr:colOff>0</xdr:colOff>
                <xdr:row>85</xdr:row>
                <xdr:rowOff>22860</xdr:rowOff>
              </to>
            </anchor>
          </controlPr>
        </control>
      </mc:Choice>
      <mc:Fallback>
        <control shapeId="7169" r:id="rId4" name="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169E-9F4D-4C65-AC81-77078176D615}">
  <sheetPr codeName="Feuil3">
    <pageSetUpPr fitToPage="1"/>
  </sheetPr>
  <dimension ref="A1:AF87"/>
  <sheetViews>
    <sheetView showZeros="0" topLeftCell="A44" workbookViewId="0">
      <selection activeCell="A79" sqref="A79:Q86"/>
    </sheetView>
  </sheetViews>
  <sheetFormatPr baseColWidth="10" defaultColWidth="11.44140625" defaultRowHeight="12.75" customHeight="1" x14ac:dyDescent="0.25"/>
  <cols>
    <col min="1" max="1" width="5.109375" style="9" customWidth="1"/>
    <col min="2" max="26" width="5.109375" style="1" customWidth="1"/>
    <col min="27" max="27" width="4.6640625" style="1" customWidth="1"/>
    <col min="28" max="16384" width="11.44140625" style="1"/>
  </cols>
  <sheetData>
    <row r="1" spans="1:26" ht="12.75" customHeight="1" x14ac:dyDescent="0.25">
      <c r="A1" s="137"/>
      <c r="B1" s="138"/>
      <c r="C1" s="138"/>
      <c r="D1" s="138"/>
      <c r="E1" s="138"/>
      <c r="F1" s="139"/>
      <c r="G1" s="146" t="s">
        <v>25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8"/>
      <c r="U1" s="149" t="s">
        <v>48</v>
      </c>
      <c r="V1" s="150"/>
      <c r="W1" s="150"/>
      <c r="X1" s="150"/>
      <c r="Y1" s="150"/>
      <c r="Z1" s="151"/>
    </row>
    <row r="2" spans="1:26" ht="12.75" customHeight="1" x14ac:dyDescent="0.25">
      <c r="A2" s="140"/>
      <c r="B2" s="141"/>
      <c r="C2" s="141"/>
      <c r="D2" s="141"/>
      <c r="E2" s="141"/>
      <c r="F2" s="142"/>
      <c r="G2" s="158" t="s">
        <v>47</v>
      </c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60"/>
      <c r="U2" s="152"/>
      <c r="V2" s="153"/>
      <c r="W2" s="153"/>
      <c r="X2" s="153"/>
      <c r="Y2" s="153"/>
      <c r="Z2" s="154"/>
    </row>
    <row r="3" spans="1:26" ht="12.75" customHeight="1" x14ac:dyDescent="0.25">
      <c r="A3" s="140"/>
      <c r="B3" s="141"/>
      <c r="C3" s="141"/>
      <c r="D3" s="141"/>
      <c r="E3" s="141"/>
      <c r="F3" s="142"/>
      <c r="G3" s="158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60"/>
      <c r="U3" s="152"/>
      <c r="V3" s="153"/>
      <c r="W3" s="153"/>
      <c r="X3" s="153"/>
      <c r="Y3" s="153"/>
      <c r="Z3" s="154"/>
    </row>
    <row r="4" spans="1:26" ht="12.75" customHeight="1" x14ac:dyDescent="0.25">
      <c r="A4" s="140"/>
      <c r="B4" s="141"/>
      <c r="C4" s="141"/>
      <c r="D4" s="141"/>
      <c r="E4" s="141"/>
      <c r="F4" s="142"/>
      <c r="G4" s="158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  <c r="U4" s="152"/>
      <c r="V4" s="153"/>
      <c r="W4" s="153"/>
      <c r="X4" s="153"/>
      <c r="Y4" s="153"/>
      <c r="Z4" s="154"/>
    </row>
    <row r="5" spans="1:26" ht="12.75" customHeight="1" x14ac:dyDescent="0.25">
      <c r="A5" s="140"/>
      <c r="B5" s="141"/>
      <c r="C5" s="141"/>
      <c r="D5" s="141"/>
      <c r="E5" s="141"/>
      <c r="F5" s="142"/>
      <c r="G5" s="161" t="s">
        <v>31</v>
      </c>
      <c r="H5" s="162"/>
      <c r="I5" s="56" t="s">
        <v>26</v>
      </c>
      <c r="J5" s="163">
        <v>3</v>
      </c>
      <c r="K5" s="164"/>
      <c r="L5" s="165" t="s">
        <v>49</v>
      </c>
      <c r="M5" s="163"/>
      <c r="N5" s="163"/>
      <c r="O5" s="164"/>
      <c r="P5" s="166">
        <v>45747</v>
      </c>
      <c r="Q5" s="167"/>
      <c r="R5" s="167"/>
      <c r="S5" s="167"/>
      <c r="T5" s="168"/>
      <c r="U5" s="152"/>
      <c r="V5" s="153"/>
      <c r="W5" s="153"/>
      <c r="X5" s="153"/>
      <c r="Y5" s="153"/>
      <c r="Z5" s="154"/>
    </row>
    <row r="6" spans="1:26" ht="12.75" customHeight="1" x14ac:dyDescent="0.25">
      <c r="A6" s="143"/>
      <c r="B6" s="144"/>
      <c r="C6" s="144"/>
      <c r="D6" s="144"/>
      <c r="E6" s="144"/>
      <c r="F6" s="145"/>
      <c r="G6" s="57"/>
      <c r="H6" s="58"/>
      <c r="I6" s="58"/>
      <c r="J6" s="133" t="s">
        <v>27</v>
      </c>
      <c r="K6" s="133"/>
      <c r="L6" s="133" t="s">
        <v>28</v>
      </c>
      <c r="M6" s="133"/>
      <c r="N6" s="133"/>
      <c r="O6" s="133"/>
      <c r="P6" s="133" t="s">
        <v>29</v>
      </c>
      <c r="Q6" s="133"/>
      <c r="R6" s="133"/>
      <c r="S6" s="133"/>
      <c r="T6" s="134"/>
      <c r="U6" s="155"/>
      <c r="V6" s="156"/>
      <c r="W6" s="156"/>
      <c r="X6" s="156"/>
      <c r="Y6" s="156"/>
      <c r="Z6" s="157"/>
    </row>
    <row r="7" spans="1:26" ht="36.6" customHeight="1" x14ac:dyDescent="0.25">
      <c r="A7" s="135" t="s">
        <v>23</v>
      </c>
      <c r="B7" s="135"/>
      <c r="C7" s="135"/>
      <c r="D7" s="135"/>
      <c r="E7" s="135"/>
      <c r="F7" s="135"/>
      <c r="G7" s="136" t="s">
        <v>51</v>
      </c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</row>
    <row r="8" spans="1:26" ht="15.6" customHeight="1" x14ac:dyDescent="0.25">
      <c r="A8" s="59" t="s">
        <v>3</v>
      </c>
      <c r="B8" s="60" t="s">
        <v>0</v>
      </c>
      <c r="C8" s="61"/>
      <c r="D8" s="62"/>
      <c r="E8" s="62"/>
      <c r="F8" s="62"/>
      <c r="G8" s="62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4"/>
    </row>
    <row r="9" spans="1:26" ht="9.75" customHeight="1" x14ac:dyDescent="0.25">
      <c r="A9" s="65"/>
      <c r="B9" s="66"/>
      <c r="C9" s="66"/>
      <c r="D9" s="67"/>
      <c r="E9" s="67"/>
      <c r="F9" s="67"/>
      <c r="G9" s="67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8"/>
    </row>
    <row r="10" spans="1:26" ht="15.75" customHeight="1" x14ac:dyDescent="0.25">
      <c r="A10" s="65"/>
      <c r="B10" s="129" t="s">
        <v>7</v>
      </c>
      <c r="C10" s="129"/>
      <c r="D10" s="129"/>
      <c r="E10" s="129"/>
      <c r="F10" s="129"/>
      <c r="G10" s="129"/>
      <c r="H10" s="130" t="s">
        <v>52</v>
      </c>
      <c r="I10" s="130"/>
      <c r="J10" s="130"/>
      <c r="K10" s="130"/>
      <c r="L10" s="130"/>
      <c r="M10" s="130"/>
      <c r="N10" s="129" t="s">
        <v>1</v>
      </c>
      <c r="O10" s="129"/>
      <c r="P10" s="129"/>
      <c r="Q10" s="129"/>
      <c r="R10" s="129"/>
      <c r="S10" s="130" t="s">
        <v>53</v>
      </c>
      <c r="T10" s="130"/>
      <c r="U10" s="130"/>
      <c r="V10" s="130"/>
      <c r="W10" s="130"/>
      <c r="X10" s="130"/>
      <c r="Y10" s="130"/>
      <c r="Z10" s="68"/>
    </row>
    <row r="11" spans="1:26" ht="15.75" customHeight="1" x14ac:dyDescent="0.25">
      <c r="A11" s="65"/>
      <c r="B11" s="129" t="s">
        <v>6</v>
      </c>
      <c r="C11" s="129"/>
      <c r="D11" s="129"/>
      <c r="E11" s="129"/>
      <c r="F11" s="129"/>
      <c r="G11" s="129"/>
      <c r="H11" s="132" t="s">
        <v>54</v>
      </c>
      <c r="I11" s="132"/>
      <c r="J11" s="132"/>
      <c r="K11" s="132"/>
      <c r="L11" s="132"/>
      <c r="M11" s="132"/>
      <c r="N11" s="131" t="s">
        <v>18</v>
      </c>
      <c r="O11" s="131"/>
      <c r="P11" s="131"/>
      <c r="Q11" s="131"/>
      <c r="R11" s="131"/>
      <c r="S11" s="130" t="s">
        <v>62</v>
      </c>
      <c r="T11" s="130"/>
      <c r="U11" s="130"/>
      <c r="V11" s="130"/>
      <c r="W11" s="130"/>
      <c r="X11" s="130"/>
      <c r="Y11" s="130"/>
      <c r="Z11" s="68"/>
    </row>
    <row r="12" spans="1:26" ht="15.75" customHeight="1" x14ac:dyDescent="0.25">
      <c r="A12" s="65"/>
      <c r="B12" s="129" t="s">
        <v>8</v>
      </c>
      <c r="C12" s="129"/>
      <c r="D12" s="129"/>
      <c r="E12" s="129"/>
      <c r="F12" s="129"/>
      <c r="G12" s="129"/>
      <c r="H12" s="132">
        <v>45744</v>
      </c>
      <c r="I12" s="132"/>
      <c r="J12" s="132"/>
      <c r="K12" s="132"/>
      <c r="L12" s="132"/>
      <c r="M12" s="132"/>
      <c r="N12" s="131" t="s">
        <v>19</v>
      </c>
      <c r="O12" s="131"/>
      <c r="P12" s="131"/>
      <c r="Q12" s="131"/>
      <c r="R12" s="131"/>
      <c r="S12" s="130" t="s">
        <v>56</v>
      </c>
      <c r="T12" s="130"/>
      <c r="U12" s="130"/>
      <c r="V12" s="130"/>
      <c r="W12" s="130"/>
      <c r="X12" s="130"/>
      <c r="Y12" s="130"/>
      <c r="Z12" s="68"/>
    </row>
    <row r="13" spans="1:26" ht="15.75" customHeight="1" x14ac:dyDescent="0.25">
      <c r="A13" s="65"/>
      <c r="B13" s="129" t="s">
        <v>36</v>
      </c>
      <c r="C13" s="129"/>
      <c r="D13" s="129"/>
      <c r="E13" s="129"/>
      <c r="F13" s="129"/>
      <c r="G13" s="129"/>
      <c r="H13" s="130" t="s">
        <v>57</v>
      </c>
      <c r="I13" s="130"/>
      <c r="J13" s="130"/>
      <c r="K13" s="130"/>
      <c r="L13" s="130"/>
      <c r="M13" s="130"/>
      <c r="N13" s="131" t="s">
        <v>39</v>
      </c>
      <c r="O13" s="131"/>
      <c r="P13" s="131"/>
      <c r="Q13" s="131"/>
      <c r="R13" s="131"/>
      <c r="S13" s="130" t="s">
        <v>38</v>
      </c>
      <c r="T13" s="130"/>
      <c r="U13" s="130"/>
      <c r="V13" s="130"/>
      <c r="W13" s="130"/>
      <c r="X13" s="130"/>
      <c r="Y13" s="130"/>
      <c r="Z13" s="68"/>
    </row>
    <row r="14" spans="1:26" ht="15.75" customHeight="1" x14ac:dyDescent="0.25">
      <c r="A14" s="65"/>
      <c r="B14" s="129" t="s">
        <v>37</v>
      </c>
      <c r="C14" s="129"/>
      <c r="D14" s="129"/>
      <c r="E14" s="129"/>
      <c r="F14" s="129"/>
      <c r="G14" s="129"/>
      <c r="H14" s="130" t="s">
        <v>57</v>
      </c>
      <c r="I14" s="130"/>
      <c r="J14" s="130"/>
      <c r="K14" s="130"/>
      <c r="L14" s="130"/>
      <c r="M14" s="130"/>
      <c r="N14" s="131" t="s">
        <v>39</v>
      </c>
      <c r="O14" s="131"/>
      <c r="P14" s="131"/>
      <c r="Q14" s="131"/>
      <c r="R14" s="131"/>
      <c r="S14" s="130" t="s">
        <v>40</v>
      </c>
      <c r="T14" s="130"/>
      <c r="U14" s="130"/>
      <c r="V14" s="130"/>
      <c r="W14" s="130"/>
      <c r="X14" s="130"/>
      <c r="Y14" s="130"/>
      <c r="Z14" s="68"/>
    </row>
    <row r="15" spans="1:26" ht="8.25" customHeight="1" x14ac:dyDescent="0.25">
      <c r="A15" s="11"/>
      <c r="B15" s="45"/>
      <c r="C15" s="45"/>
      <c r="D15" s="46"/>
      <c r="E15" s="46"/>
      <c r="F15" s="46"/>
      <c r="G15" s="46"/>
      <c r="H15" s="45"/>
      <c r="I15" s="45"/>
      <c r="J15" s="45"/>
      <c r="K15" s="45"/>
      <c r="L15" s="45"/>
      <c r="M15" s="45"/>
      <c r="N15" s="47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13"/>
    </row>
    <row r="16" spans="1:26" ht="7.5" customHeight="1" x14ac:dyDescent="0.35">
      <c r="A16" s="14"/>
      <c r="B16" s="15"/>
      <c r="C16" s="15"/>
      <c r="D16" s="16"/>
      <c r="E16" s="16"/>
      <c r="F16" s="16"/>
      <c r="G16" s="16"/>
      <c r="H16" s="16"/>
      <c r="I16" s="17"/>
      <c r="J16" s="15"/>
      <c r="K16" s="15"/>
      <c r="L16" s="15"/>
      <c r="M16" s="15"/>
    </row>
    <row r="17" spans="1:26" ht="15.6" customHeight="1" x14ac:dyDescent="0.25">
      <c r="A17" s="2" t="s">
        <v>4</v>
      </c>
      <c r="B17" s="3" t="s">
        <v>2</v>
      </c>
      <c r="C17" s="4"/>
      <c r="D17" s="5"/>
      <c r="E17" s="5"/>
      <c r="F17" s="5"/>
      <c r="G17" s="5"/>
      <c r="H17" s="6"/>
      <c r="I17" s="6"/>
      <c r="J17" s="18"/>
      <c r="K17" s="18"/>
      <c r="L17" s="18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</row>
    <row r="18" spans="1:26" ht="10.5" customHeight="1" x14ac:dyDescent="0.35">
      <c r="A18" s="19"/>
      <c r="D18" s="20"/>
      <c r="E18" s="21"/>
      <c r="F18" s="21"/>
      <c r="G18" s="22"/>
      <c r="H18" s="22"/>
      <c r="I18" s="23"/>
      <c r="J18" s="15"/>
      <c r="K18" s="15"/>
      <c r="L18" s="15"/>
      <c r="Q18" s="24"/>
      <c r="Z18" s="10"/>
    </row>
    <row r="19" spans="1:26" ht="15" customHeight="1" x14ac:dyDescent="0.25">
      <c r="A19" s="8"/>
      <c r="B19" s="25" t="s">
        <v>30</v>
      </c>
      <c r="C19" s="17"/>
      <c r="D19" s="17"/>
      <c r="E19" s="17"/>
      <c r="F19" s="17"/>
      <c r="G19" s="17"/>
      <c r="H19" s="9"/>
      <c r="I19" s="26"/>
      <c r="J19" s="26"/>
      <c r="K19" s="26"/>
      <c r="L19" s="26"/>
      <c r="M19" s="26"/>
      <c r="N19" s="26"/>
      <c r="S19" s="27"/>
      <c r="T19" s="27"/>
      <c r="U19" s="27"/>
      <c r="Z19" s="10"/>
    </row>
    <row r="20" spans="1:26" ht="7.5" customHeight="1" x14ac:dyDescent="0.25">
      <c r="A20" s="8"/>
      <c r="C20" s="9"/>
      <c r="D20" s="9"/>
      <c r="E20" s="9"/>
      <c r="F20" s="28"/>
      <c r="G20" s="28"/>
      <c r="Z20" s="10"/>
    </row>
    <row r="21" spans="1:26" ht="20.100000000000001" customHeight="1" x14ac:dyDescent="0.25">
      <c r="A21" s="8"/>
      <c r="B21" s="29"/>
      <c r="C21" s="29"/>
      <c r="D21" s="128" t="s">
        <v>24</v>
      </c>
      <c r="E21" s="128"/>
      <c r="F21" s="128"/>
      <c r="G21" s="128"/>
      <c r="H21" s="128">
        <v>1</v>
      </c>
      <c r="I21" s="128"/>
      <c r="J21" s="128"/>
      <c r="K21" s="128"/>
      <c r="L21" s="128">
        <v>2</v>
      </c>
      <c r="M21" s="128"/>
      <c r="N21" s="128"/>
      <c r="O21" s="128"/>
      <c r="P21" s="128">
        <v>3</v>
      </c>
      <c r="Q21" s="128"/>
      <c r="R21" s="128"/>
      <c r="S21" s="128"/>
      <c r="T21" s="128">
        <v>4</v>
      </c>
      <c r="U21" s="128"/>
      <c r="V21" s="128"/>
      <c r="W21" s="128"/>
      <c r="X21" s="29"/>
      <c r="Y21" s="29"/>
      <c r="Z21" s="10"/>
    </row>
    <row r="22" spans="1:26" ht="20.100000000000001" customHeight="1" x14ac:dyDescent="0.25">
      <c r="A22" s="8"/>
      <c r="B22" s="30"/>
      <c r="C22" s="30"/>
      <c r="D22" s="125" t="s">
        <v>35</v>
      </c>
      <c r="E22" s="125"/>
      <c r="F22" s="125"/>
      <c r="G22" s="125"/>
      <c r="H22" s="127">
        <v>12</v>
      </c>
      <c r="I22" s="127"/>
      <c r="J22" s="127"/>
      <c r="K22" s="127"/>
      <c r="L22" s="127">
        <v>15.9</v>
      </c>
      <c r="M22" s="127"/>
      <c r="N22" s="127"/>
      <c r="O22" s="127"/>
      <c r="P22" s="127">
        <v>20.100000000000001</v>
      </c>
      <c r="Q22" s="127"/>
      <c r="R22" s="127"/>
      <c r="S22" s="127"/>
      <c r="T22" s="127">
        <v>23.6</v>
      </c>
      <c r="U22" s="127"/>
      <c r="V22" s="127"/>
      <c r="W22" s="127"/>
      <c r="X22" s="29"/>
      <c r="Y22" s="29"/>
      <c r="Z22" s="10"/>
    </row>
    <row r="23" spans="1:26" ht="20.100000000000001" customHeight="1" x14ac:dyDescent="0.25">
      <c r="A23" s="8"/>
      <c r="B23" s="30"/>
      <c r="C23" s="30"/>
      <c r="D23" s="125" t="s">
        <v>9</v>
      </c>
      <c r="E23" s="125"/>
      <c r="F23" s="125"/>
      <c r="G23" s="125"/>
      <c r="H23" s="127">
        <v>60.58</v>
      </c>
      <c r="I23" s="127"/>
      <c r="J23" s="127"/>
      <c r="K23" s="127"/>
      <c r="L23" s="127">
        <v>65.37</v>
      </c>
      <c r="M23" s="127"/>
      <c r="N23" s="127"/>
      <c r="O23" s="127"/>
      <c r="P23" s="127">
        <v>69.23</v>
      </c>
      <c r="Q23" s="127"/>
      <c r="R23" s="127"/>
      <c r="S23" s="127"/>
      <c r="T23" s="127">
        <v>76.430000000000007</v>
      </c>
      <c r="U23" s="127"/>
      <c r="V23" s="127"/>
      <c r="W23" s="127"/>
      <c r="X23" s="29"/>
      <c r="Y23" s="29"/>
      <c r="Z23" s="10"/>
    </row>
    <row r="24" spans="1:26" ht="15.75" customHeight="1" x14ac:dyDescent="0.25">
      <c r="A24" s="8"/>
      <c r="S24" s="126"/>
      <c r="T24" s="126"/>
      <c r="Z24" s="10"/>
    </row>
    <row r="25" spans="1:26" ht="15.75" customHeight="1" x14ac:dyDescent="0.25">
      <c r="A25" s="8"/>
      <c r="C25" s="119"/>
      <c r="D25" s="120"/>
      <c r="E25" s="121"/>
      <c r="F25" s="121"/>
      <c r="H25" s="119"/>
      <c r="I25" s="120"/>
      <c r="J25" s="120"/>
      <c r="K25" s="120"/>
      <c r="L25" s="122"/>
      <c r="M25" s="122"/>
      <c r="N25" s="122"/>
      <c r="O25" s="122"/>
      <c r="Z25" s="10"/>
    </row>
    <row r="26" spans="1:26" ht="15.75" customHeight="1" x14ac:dyDescent="0.25">
      <c r="A26" s="8"/>
      <c r="C26" s="120"/>
      <c r="D26" s="120"/>
      <c r="E26" s="123"/>
      <c r="F26" s="123"/>
      <c r="H26" s="119"/>
      <c r="I26" s="120"/>
      <c r="J26" s="120"/>
      <c r="K26" s="120"/>
      <c r="L26" s="124"/>
      <c r="M26" s="124"/>
      <c r="N26" s="124"/>
      <c r="O26" s="124"/>
      <c r="Z26" s="10"/>
    </row>
    <row r="27" spans="1:26" ht="12.75" customHeight="1" x14ac:dyDescent="0.25">
      <c r="A27" s="8"/>
      <c r="Z27" s="10"/>
    </row>
    <row r="28" spans="1:26" ht="12.75" customHeight="1" x14ac:dyDescent="0.25">
      <c r="A28" s="8"/>
      <c r="Z28" s="10"/>
    </row>
    <row r="29" spans="1:26" ht="12.75" customHeight="1" x14ac:dyDescent="0.25">
      <c r="A29" s="8"/>
      <c r="Z29" s="10"/>
    </row>
    <row r="30" spans="1:26" ht="12.75" customHeight="1" x14ac:dyDescent="0.25">
      <c r="A30" s="8"/>
      <c r="Z30" s="10"/>
    </row>
    <row r="31" spans="1:26" ht="12.75" customHeight="1" x14ac:dyDescent="0.25">
      <c r="A31" s="8"/>
      <c r="Z31" s="10"/>
    </row>
    <row r="32" spans="1:26" ht="12.75" customHeight="1" x14ac:dyDescent="0.25">
      <c r="A32" s="8"/>
      <c r="Z32" s="10"/>
    </row>
    <row r="33" spans="1:27" ht="12.75" customHeight="1" x14ac:dyDescent="0.25">
      <c r="A33" s="8"/>
      <c r="Z33" s="10"/>
    </row>
    <row r="34" spans="1:27" ht="12.75" customHeight="1" x14ac:dyDescent="0.25">
      <c r="A34" s="8"/>
      <c r="Z34" s="10"/>
    </row>
    <row r="35" spans="1:27" ht="12.75" customHeight="1" x14ac:dyDescent="0.25">
      <c r="A35" s="8"/>
      <c r="Z35" s="10"/>
    </row>
    <row r="36" spans="1:27" ht="12.75" customHeight="1" x14ac:dyDescent="0.25">
      <c r="A36" s="8"/>
      <c r="Z36" s="10"/>
    </row>
    <row r="37" spans="1:27" ht="12.75" customHeight="1" x14ac:dyDescent="0.25">
      <c r="A37" s="8"/>
      <c r="Z37" s="10"/>
    </row>
    <row r="38" spans="1:27" ht="12.75" customHeight="1" x14ac:dyDescent="0.25">
      <c r="A38" s="8"/>
      <c r="Z38" s="10"/>
    </row>
    <row r="39" spans="1:27" ht="12.75" customHeight="1" x14ac:dyDescent="0.25">
      <c r="A39" s="8"/>
      <c r="Z39" s="10"/>
    </row>
    <row r="40" spans="1:27" ht="12.75" customHeight="1" x14ac:dyDescent="0.25">
      <c r="A40" s="8"/>
      <c r="Z40" s="10"/>
    </row>
    <row r="41" spans="1:27" ht="12.75" customHeight="1" x14ac:dyDescent="0.25">
      <c r="A41" s="8"/>
      <c r="Z41" s="10"/>
    </row>
    <row r="42" spans="1:27" ht="12.75" customHeight="1" x14ac:dyDescent="0.25">
      <c r="A42" s="8"/>
      <c r="R42" s="9"/>
      <c r="S42" s="9"/>
      <c r="T42" s="9"/>
      <c r="U42" s="9"/>
      <c r="V42" s="9"/>
      <c r="W42" s="9"/>
      <c r="Y42" s="9"/>
      <c r="Z42" s="31"/>
      <c r="AA42" s="9"/>
    </row>
    <row r="43" spans="1:27" ht="12.75" customHeight="1" x14ac:dyDescent="0.25">
      <c r="A43" s="8"/>
      <c r="Z43" s="10"/>
    </row>
    <row r="44" spans="1:27" ht="12.75" customHeight="1" x14ac:dyDescent="0.25">
      <c r="A44" s="8"/>
      <c r="Z44" s="10"/>
    </row>
    <row r="45" spans="1:27" ht="12.75" customHeight="1" x14ac:dyDescent="0.25">
      <c r="A45" s="8"/>
      <c r="Z45" s="10"/>
    </row>
    <row r="46" spans="1:27" ht="12.75" customHeight="1" x14ac:dyDescent="0.25">
      <c r="A46" s="8"/>
      <c r="Z46" s="10"/>
    </row>
    <row r="47" spans="1:27" ht="12.75" customHeight="1" x14ac:dyDescent="0.25">
      <c r="A47" s="8"/>
      <c r="T47" s="32"/>
      <c r="U47" s="33"/>
      <c r="Z47" s="10"/>
    </row>
    <row r="48" spans="1:27" ht="12.75" customHeight="1" x14ac:dyDescent="0.25">
      <c r="A48" s="8"/>
      <c r="T48" s="32"/>
      <c r="U48" s="33"/>
      <c r="V48" s="34"/>
      <c r="W48" s="34"/>
      <c r="Z48" s="10"/>
    </row>
    <row r="49" spans="1:26" ht="12.75" customHeight="1" x14ac:dyDescent="0.25">
      <c r="A49" s="8"/>
      <c r="T49" s="32"/>
      <c r="U49" s="33"/>
      <c r="Z49" s="10"/>
    </row>
    <row r="50" spans="1:26" ht="12.75" customHeight="1" x14ac:dyDescent="0.25">
      <c r="A50" s="8"/>
      <c r="U50" s="35"/>
      <c r="Z50" s="10"/>
    </row>
    <row r="51" spans="1:26" ht="12.75" customHeight="1" x14ac:dyDescent="0.25">
      <c r="A51" s="8"/>
      <c r="U51" s="35"/>
      <c r="Z51" s="10"/>
    </row>
    <row r="52" spans="1:26" ht="12.75" customHeight="1" x14ac:dyDescent="0.25">
      <c r="A52" s="8"/>
      <c r="U52" s="35"/>
      <c r="Z52" s="10"/>
    </row>
    <row r="53" spans="1:26" ht="8.25" customHeight="1" x14ac:dyDescent="0.25">
      <c r="A53" s="8"/>
      <c r="U53" s="15"/>
      <c r="Z53" s="10"/>
    </row>
    <row r="54" spans="1:26" ht="12.75" customHeight="1" x14ac:dyDescent="0.25">
      <c r="A54" s="8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10"/>
    </row>
    <row r="55" spans="1:26" ht="12.75" customHeight="1" x14ac:dyDescent="0.25">
      <c r="A55" s="8"/>
      <c r="B55" s="103" t="s">
        <v>32</v>
      </c>
      <c r="C55" s="104"/>
      <c r="D55" s="104"/>
      <c r="E55" s="104"/>
      <c r="F55" s="111">
        <v>66.8</v>
      </c>
      <c r="G55" s="112"/>
      <c r="H55" s="37" t="s">
        <v>33</v>
      </c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10"/>
    </row>
    <row r="56" spans="1:26" ht="12.75" customHeight="1" x14ac:dyDescent="0.25">
      <c r="A56" s="8"/>
      <c r="H56" s="102" t="s">
        <v>34</v>
      </c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"/>
    </row>
    <row r="57" spans="1:26" ht="12.75" customHeight="1" x14ac:dyDescent="0.25">
      <c r="A57" s="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10"/>
    </row>
    <row r="58" spans="1:26" ht="12.75" customHeight="1" x14ac:dyDescent="0.25">
      <c r="A58" s="8"/>
      <c r="U58" s="15"/>
      <c r="Z58" s="10"/>
    </row>
    <row r="59" spans="1:26" ht="15" customHeight="1" x14ac:dyDescent="0.25">
      <c r="A59" s="8"/>
      <c r="B59" s="39" t="s">
        <v>41</v>
      </c>
      <c r="U59" s="15"/>
      <c r="Z59" s="10"/>
    </row>
    <row r="60" spans="1:26" ht="12.75" customHeight="1" x14ac:dyDescent="0.25">
      <c r="A60" s="8"/>
      <c r="B60" s="102" t="s">
        <v>10</v>
      </c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"/>
    </row>
    <row r="61" spans="1:26" ht="12.75" customHeight="1" x14ac:dyDescent="0.25">
      <c r="A61" s="8"/>
      <c r="Z61" s="10"/>
    </row>
    <row r="62" spans="1:26" ht="12.75" customHeight="1" x14ac:dyDescent="0.25">
      <c r="A62" s="8"/>
      <c r="B62" s="1" t="s">
        <v>11</v>
      </c>
      <c r="G62" s="113" t="s">
        <v>42</v>
      </c>
      <c r="H62" s="114"/>
      <c r="I62" s="114"/>
      <c r="J62" s="115">
        <v>0.27689999999999998</v>
      </c>
      <c r="K62" s="116"/>
      <c r="L62" s="69"/>
      <c r="M62" s="69"/>
      <c r="N62" s="117" t="s">
        <v>60</v>
      </c>
      <c r="O62" s="118"/>
      <c r="P62" s="118"/>
      <c r="Q62" s="115">
        <v>0.2492</v>
      </c>
      <c r="R62" s="116"/>
      <c r="Z62" s="10"/>
    </row>
    <row r="63" spans="1:26" ht="12.75" customHeight="1" x14ac:dyDescent="0.25">
      <c r="A63" s="8"/>
      <c r="R63" s="29"/>
      <c r="S63" s="33"/>
      <c r="T63" s="29"/>
      <c r="U63" s="29"/>
      <c r="V63" s="29"/>
      <c r="W63" s="29"/>
      <c r="Z63" s="10"/>
    </row>
    <row r="64" spans="1:26" ht="12.75" customHeight="1" x14ac:dyDescent="0.25">
      <c r="A64" s="8"/>
      <c r="B64" s="40" t="s">
        <v>44</v>
      </c>
      <c r="C64" s="41"/>
      <c r="D64" s="41"/>
      <c r="E64" s="41"/>
      <c r="F64" s="41"/>
      <c r="G64" s="99">
        <f>IF(J62&lt;&gt;"",IF(Q62&lt;&gt;"",(J62+Q62)/2,""),"")</f>
        <v>0.26305000000000001</v>
      </c>
      <c r="H64" s="100"/>
      <c r="I64" s="101" t="s">
        <v>16</v>
      </c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"/>
    </row>
    <row r="65" spans="1:32" ht="12.75" customHeight="1" x14ac:dyDescent="0.25">
      <c r="A65" s="8"/>
      <c r="C65" s="36"/>
      <c r="D65" s="36"/>
      <c r="E65" s="36"/>
      <c r="F65" s="36"/>
      <c r="G65" s="36"/>
      <c r="H65" s="36"/>
      <c r="I65" s="102" t="s">
        <v>12</v>
      </c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"/>
    </row>
    <row r="66" spans="1:32" ht="12.75" customHeight="1" x14ac:dyDescent="0.25">
      <c r="A66" s="8"/>
      <c r="R66" s="29"/>
      <c r="S66" s="29"/>
      <c r="T66" s="29"/>
      <c r="U66" s="29"/>
      <c r="V66" s="29"/>
      <c r="W66" s="29"/>
      <c r="Z66" s="10"/>
    </row>
    <row r="67" spans="1:32" ht="15" customHeight="1" x14ac:dyDescent="0.25">
      <c r="A67" s="8"/>
      <c r="B67" s="39" t="s">
        <v>13</v>
      </c>
      <c r="R67" s="29"/>
      <c r="S67" s="29"/>
      <c r="T67" s="29"/>
      <c r="U67" s="29"/>
      <c r="V67" s="29"/>
      <c r="W67" s="29"/>
      <c r="Z67" s="10"/>
    </row>
    <row r="68" spans="1:32" ht="8.25" customHeight="1" x14ac:dyDescent="0.25">
      <c r="A68" s="8"/>
      <c r="R68" s="29"/>
      <c r="S68" s="33"/>
      <c r="U68" s="29"/>
      <c r="V68" s="29"/>
      <c r="W68" s="29"/>
      <c r="Z68" s="10"/>
    </row>
    <row r="69" spans="1:32" ht="12.75" customHeight="1" x14ac:dyDescent="0.25">
      <c r="A69" s="8"/>
      <c r="B69" s="103" t="s">
        <v>45</v>
      </c>
      <c r="C69" s="104"/>
      <c r="D69" s="104"/>
      <c r="E69" s="105">
        <f>IF(F55&lt;&gt;"",IF(G64&lt;&gt;"",F55-(G64*100),""),"")</f>
        <v>40.494999999999997</v>
      </c>
      <c r="F69" s="106"/>
      <c r="R69" s="29"/>
      <c r="S69" s="33"/>
      <c r="U69" s="29"/>
      <c r="V69" s="29"/>
      <c r="W69" s="29"/>
      <c r="Z69" s="10"/>
    </row>
    <row r="70" spans="1:32" ht="12.75" customHeight="1" x14ac:dyDescent="0.25">
      <c r="A70" s="8"/>
      <c r="R70" s="29"/>
      <c r="U70" s="29"/>
      <c r="V70" s="29"/>
      <c r="W70" s="29"/>
      <c r="Z70" s="10"/>
    </row>
    <row r="71" spans="1:32" ht="15" customHeight="1" x14ac:dyDescent="0.25">
      <c r="A71" s="8"/>
      <c r="B71" s="39" t="s">
        <v>14</v>
      </c>
      <c r="R71" s="29"/>
      <c r="S71" s="33"/>
      <c r="U71" s="29"/>
      <c r="V71" s="29"/>
      <c r="W71" s="29"/>
      <c r="Z71" s="10"/>
    </row>
    <row r="72" spans="1:32" ht="10.5" customHeight="1" x14ac:dyDescent="0.25">
      <c r="A72" s="8"/>
      <c r="B72" s="39"/>
      <c r="R72" s="29"/>
      <c r="S72" s="33"/>
      <c r="U72" s="29"/>
      <c r="V72" s="29"/>
      <c r="W72" s="29"/>
      <c r="Z72" s="10"/>
    </row>
    <row r="73" spans="1:32" ht="12.75" customHeight="1" x14ac:dyDescent="0.3">
      <c r="A73" s="8"/>
      <c r="B73" s="107" t="s">
        <v>15</v>
      </c>
      <c r="C73" s="108"/>
      <c r="D73" s="108"/>
      <c r="E73" s="108"/>
      <c r="F73" s="108"/>
      <c r="G73" s="108"/>
      <c r="H73" s="109">
        <v>0.20599999999999999</v>
      </c>
      <c r="I73" s="110"/>
      <c r="R73" s="29"/>
      <c r="S73" s="33"/>
      <c r="U73" s="29"/>
      <c r="V73" s="29"/>
      <c r="W73" s="29"/>
      <c r="Z73" s="10"/>
    </row>
    <row r="74" spans="1:32" ht="8.25" customHeight="1" x14ac:dyDescent="0.25">
      <c r="A74" s="8"/>
      <c r="B74" s="39"/>
      <c r="R74" s="29"/>
      <c r="S74" s="33"/>
      <c r="U74" s="29"/>
      <c r="V74" s="29"/>
      <c r="W74" s="29"/>
      <c r="Z74" s="10"/>
    </row>
    <row r="75" spans="1:32" ht="12.75" customHeight="1" x14ac:dyDescent="0.25">
      <c r="A75" s="8"/>
      <c r="B75" s="70" t="s">
        <v>46</v>
      </c>
      <c r="C75" s="71"/>
      <c r="D75" s="71"/>
      <c r="E75" s="71"/>
      <c r="F75" s="72">
        <f>IF(F55&lt;&gt;"",IF(H73&lt;&gt;"",(F55-(H73*100))/E69,""),"")</f>
        <v>1.1408815903197926</v>
      </c>
      <c r="G75" s="73"/>
      <c r="R75" s="29"/>
      <c r="S75" s="33"/>
      <c r="U75" s="29"/>
      <c r="V75" s="29"/>
      <c r="W75" s="29"/>
      <c r="Z75" s="10"/>
    </row>
    <row r="76" spans="1:32" ht="12.75" customHeight="1" x14ac:dyDescent="0.25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</row>
    <row r="77" spans="1:32" ht="7.5" customHeight="1" x14ac:dyDescent="0.25"/>
    <row r="78" spans="1:32" s="29" customFormat="1" ht="15.6" customHeight="1" x14ac:dyDescent="0.25">
      <c r="A78" s="2" t="s">
        <v>5</v>
      </c>
      <c r="B78" s="3" t="s">
        <v>17</v>
      </c>
      <c r="C78" s="4"/>
      <c r="D78" s="42"/>
      <c r="E78" s="4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3"/>
      <c r="R78" s="4"/>
      <c r="S78" s="4"/>
      <c r="T78" s="4"/>
      <c r="U78" s="74"/>
      <c r="V78" s="74"/>
      <c r="W78" s="74"/>
      <c r="X78" s="74"/>
      <c r="Y78" s="74"/>
      <c r="Z78" s="75"/>
      <c r="AD78" s="44"/>
      <c r="AE78" s="44"/>
      <c r="AF78" s="44"/>
    </row>
    <row r="79" spans="1:32" s="29" customFormat="1" ht="27" customHeight="1" x14ac:dyDescent="0.25">
      <c r="A79" s="76" t="s">
        <v>61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8"/>
      <c r="R79" s="82" t="s">
        <v>20</v>
      </c>
      <c r="S79" s="82"/>
      <c r="T79" s="83"/>
      <c r="U79" s="84" t="s">
        <v>52</v>
      </c>
      <c r="V79" s="85"/>
      <c r="W79" s="85"/>
      <c r="X79" s="85"/>
      <c r="Y79" s="85"/>
      <c r="Z79" s="86"/>
      <c r="AD79" s="44"/>
      <c r="AE79" s="44"/>
      <c r="AF79" s="44"/>
    </row>
    <row r="80" spans="1:32" s="29" customFormat="1" ht="15.6" customHeight="1" x14ac:dyDescent="0.25">
      <c r="A80" s="76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8"/>
      <c r="R80" s="82" t="s">
        <v>21</v>
      </c>
      <c r="S80" s="82"/>
      <c r="T80" s="83"/>
      <c r="U80" s="87" t="s">
        <v>58</v>
      </c>
      <c r="V80" s="88"/>
      <c r="W80" s="88"/>
      <c r="X80" s="88"/>
      <c r="Y80" s="88"/>
      <c r="Z80" s="89"/>
      <c r="AD80" s="44"/>
      <c r="AE80" s="44"/>
      <c r="AF80" s="44"/>
    </row>
    <row r="81" spans="1:32" s="29" customFormat="1" ht="15.6" customHeight="1" x14ac:dyDescent="0.25">
      <c r="A81" s="76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8"/>
      <c r="R81" s="82"/>
      <c r="S81" s="82"/>
      <c r="T81" s="83"/>
      <c r="U81" s="90"/>
      <c r="V81" s="91"/>
      <c r="W81" s="91"/>
      <c r="X81" s="91"/>
      <c r="Y81" s="91"/>
      <c r="Z81" s="92"/>
      <c r="AD81" s="44"/>
      <c r="AE81" s="44"/>
      <c r="AF81" s="44"/>
    </row>
    <row r="82" spans="1:32" s="29" customFormat="1" ht="15.6" customHeight="1" x14ac:dyDescent="0.25">
      <c r="A82" s="76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8"/>
      <c r="R82" s="82"/>
      <c r="S82" s="82"/>
      <c r="T82" s="83"/>
      <c r="U82" s="93"/>
      <c r="V82" s="94"/>
      <c r="W82" s="94"/>
      <c r="X82" s="94"/>
      <c r="Y82" s="94"/>
      <c r="Z82" s="95"/>
      <c r="AD82" s="44"/>
      <c r="AE82" s="44"/>
      <c r="AF82" s="44"/>
    </row>
    <row r="83" spans="1:32" s="29" customFormat="1" ht="15.6" customHeight="1" x14ac:dyDescent="0.25">
      <c r="A83" s="76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8"/>
      <c r="R83" s="82" t="s">
        <v>22</v>
      </c>
      <c r="S83" s="82"/>
      <c r="T83" s="83"/>
      <c r="U83" s="48"/>
      <c r="V83" s="49"/>
      <c r="W83" s="49"/>
      <c r="X83" s="49"/>
      <c r="Y83" s="49"/>
      <c r="Z83" s="50"/>
      <c r="AD83" s="44"/>
      <c r="AE83" s="44"/>
      <c r="AF83" s="44"/>
    </row>
    <row r="84" spans="1:32" s="29" customFormat="1" ht="15.6" customHeight="1" x14ac:dyDescent="0.25">
      <c r="A84" s="76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8"/>
      <c r="R84" s="82"/>
      <c r="S84" s="82"/>
      <c r="T84" s="83"/>
      <c r="U84" s="51"/>
      <c r="V84" s="98"/>
      <c r="W84" s="98"/>
      <c r="X84" s="98"/>
      <c r="Y84" s="98"/>
      <c r="Z84" s="52"/>
      <c r="AD84" s="44"/>
      <c r="AE84" s="44"/>
      <c r="AF84" s="44"/>
    </row>
    <row r="85" spans="1:32" s="29" customFormat="1" ht="15.6" customHeight="1" x14ac:dyDescent="0.25">
      <c r="A85" s="76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8"/>
      <c r="R85" s="82"/>
      <c r="S85" s="82"/>
      <c r="T85" s="83"/>
      <c r="U85" s="51"/>
      <c r="V85" s="98"/>
      <c r="W85" s="98"/>
      <c r="X85" s="98"/>
      <c r="Y85" s="98"/>
      <c r="Z85" s="52"/>
      <c r="AD85" s="44"/>
      <c r="AE85" s="44"/>
      <c r="AF85" s="44"/>
    </row>
    <row r="86" spans="1:32" s="29" customFormat="1" ht="15.6" customHeight="1" x14ac:dyDescent="0.25">
      <c r="A86" s="79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1"/>
      <c r="R86" s="96"/>
      <c r="S86" s="96"/>
      <c r="T86" s="97"/>
      <c r="U86" s="53"/>
      <c r="V86" s="54"/>
      <c r="W86" s="54"/>
      <c r="X86" s="54"/>
      <c r="Y86" s="54"/>
      <c r="Z86" s="55"/>
      <c r="AD86" s="44"/>
      <c r="AE86" s="44"/>
      <c r="AF86" s="44"/>
    </row>
    <row r="87" spans="1:32" ht="15.75" customHeight="1" x14ac:dyDescent="0.25">
      <c r="A87" s="1"/>
    </row>
  </sheetData>
  <sheetProtection selectLockedCells="1"/>
  <mergeCells count="82">
    <mergeCell ref="L6:O6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1:G11"/>
    <mergeCell ref="H11:M11"/>
    <mergeCell ref="N11:R11"/>
    <mergeCell ref="S11:Y11"/>
    <mergeCell ref="B12:G12"/>
    <mergeCell ref="H12:M12"/>
    <mergeCell ref="N12:R12"/>
    <mergeCell ref="S12:Y12"/>
    <mergeCell ref="B13:G13"/>
    <mergeCell ref="H13:M13"/>
    <mergeCell ref="N13:R13"/>
    <mergeCell ref="S13:Y13"/>
    <mergeCell ref="B14:G14"/>
    <mergeCell ref="H14:M14"/>
    <mergeCell ref="N14:R14"/>
    <mergeCell ref="S14:Y14"/>
    <mergeCell ref="D22:G22"/>
    <mergeCell ref="H22:K22"/>
    <mergeCell ref="L22:O22"/>
    <mergeCell ref="P22:S22"/>
    <mergeCell ref="T22:W22"/>
    <mergeCell ref="D21:G21"/>
    <mergeCell ref="H21:K21"/>
    <mergeCell ref="L21:O21"/>
    <mergeCell ref="P21:S21"/>
    <mergeCell ref="T21:W21"/>
    <mergeCell ref="D23:G23"/>
    <mergeCell ref="S24:T24"/>
    <mergeCell ref="H23:K23"/>
    <mergeCell ref="L23:O23"/>
    <mergeCell ref="P23:S23"/>
    <mergeCell ref="T23:W23"/>
    <mergeCell ref="C25:D25"/>
    <mergeCell ref="E25:F25"/>
    <mergeCell ref="H25:K25"/>
    <mergeCell ref="L25:O25"/>
    <mergeCell ref="C26:D26"/>
    <mergeCell ref="E26:F26"/>
    <mergeCell ref="H26:K26"/>
    <mergeCell ref="L26:O26"/>
    <mergeCell ref="B73:G73"/>
    <mergeCell ref="H73:I73"/>
    <mergeCell ref="B55:E55"/>
    <mergeCell ref="F55:G55"/>
    <mergeCell ref="H56:Y56"/>
    <mergeCell ref="B60:Y60"/>
    <mergeCell ref="G62:I62"/>
    <mergeCell ref="J62:K62"/>
    <mergeCell ref="N62:P62"/>
    <mergeCell ref="Q62:R62"/>
    <mergeCell ref="G64:H64"/>
    <mergeCell ref="I64:Y64"/>
    <mergeCell ref="I65:Y65"/>
    <mergeCell ref="B69:D69"/>
    <mergeCell ref="E69:F69"/>
    <mergeCell ref="B75:E75"/>
    <mergeCell ref="F75:G75"/>
    <mergeCell ref="U78:Z78"/>
    <mergeCell ref="A79:Q86"/>
    <mergeCell ref="R79:T79"/>
    <mergeCell ref="U79:Z79"/>
    <mergeCell ref="R80:T82"/>
    <mergeCell ref="U80:Z82"/>
    <mergeCell ref="R83:T86"/>
    <mergeCell ref="V84:Y85"/>
  </mergeCells>
  <printOptions horizontalCentered="1"/>
  <pageMargins left="0.39370078740157483" right="0.39370078740157483" top="0.39370078740157483" bottom="0.39370078740157483" header="0" footer="0.19685039370078741"/>
  <pageSetup paperSize="9" scale="65" orientation="portrait" r:id="rId1"/>
  <headerFooter alignWithMargins="0">
    <oddFooter>&amp;RDG-Q / CRE LCP du 06/04/2011</oddFooter>
  </headerFooter>
  <drawing r:id="rId2"/>
  <legacyDrawing r:id="rId3"/>
  <controls>
    <mc:AlternateContent xmlns:mc="http://schemas.openxmlformats.org/markup-compatibility/2006">
      <mc:Choice Requires="x14">
        <control shapeId="6145" r:id="rId4" name="CommandButton1">
          <controlPr defaultSize="0" autoLine="0" r:id="rId5">
            <anchor moveWithCells="1">
              <from>
                <xdr:col>27</xdr:col>
                <xdr:colOff>7620</xdr:colOff>
                <xdr:row>82</xdr:row>
                <xdr:rowOff>175260</xdr:rowOff>
              </from>
              <to>
                <xdr:col>29</xdr:col>
                <xdr:colOff>0</xdr:colOff>
                <xdr:row>85</xdr:row>
                <xdr:rowOff>22860</xdr:rowOff>
              </to>
            </anchor>
          </controlPr>
        </control>
      </mc:Choice>
      <mc:Fallback>
        <control shapeId="6145" r:id="rId4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B4DF-B52F-44C1-95DF-773338D03235}">
  <sheetPr codeName="Feuil2">
    <pageSetUpPr fitToPage="1"/>
  </sheetPr>
  <dimension ref="A1:AF87"/>
  <sheetViews>
    <sheetView showZeros="0" workbookViewId="0">
      <selection activeCell="AD15" sqref="AD15"/>
    </sheetView>
  </sheetViews>
  <sheetFormatPr baseColWidth="10" defaultColWidth="11.44140625" defaultRowHeight="12.75" customHeight="1" x14ac:dyDescent="0.25"/>
  <cols>
    <col min="1" max="1" width="5.109375" style="9" customWidth="1"/>
    <col min="2" max="26" width="5.109375" style="1" customWidth="1"/>
    <col min="27" max="27" width="4.6640625" style="1" customWidth="1"/>
    <col min="28" max="16384" width="11.44140625" style="1"/>
  </cols>
  <sheetData>
    <row r="1" spans="1:26" ht="12.75" customHeight="1" x14ac:dyDescent="0.25">
      <c r="A1" s="137"/>
      <c r="B1" s="138"/>
      <c r="C1" s="138"/>
      <c r="D1" s="138"/>
      <c r="E1" s="138"/>
      <c r="F1" s="139"/>
      <c r="G1" s="146" t="s">
        <v>25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8"/>
      <c r="U1" s="149" t="s">
        <v>48</v>
      </c>
      <c r="V1" s="150"/>
      <c r="W1" s="150"/>
      <c r="X1" s="150"/>
      <c r="Y1" s="150"/>
      <c r="Z1" s="151"/>
    </row>
    <row r="2" spans="1:26" ht="12.75" customHeight="1" x14ac:dyDescent="0.25">
      <c r="A2" s="140"/>
      <c r="B2" s="141"/>
      <c r="C2" s="141"/>
      <c r="D2" s="141"/>
      <c r="E2" s="141"/>
      <c r="F2" s="142"/>
      <c r="G2" s="158" t="s">
        <v>47</v>
      </c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60"/>
      <c r="U2" s="152"/>
      <c r="V2" s="153"/>
      <c r="W2" s="153"/>
      <c r="X2" s="153"/>
      <c r="Y2" s="153"/>
      <c r="Z2" s="154"/>
    </row>
    <row r="3" spans="1:26" ht="12.75" customHeight="1" x14ac:dyDescent="0.25">
      <c r="A3" s="140"/>
      <c r="B3" s="141"/>
      <c r="C3" s="141"/>
      <c r="D3" s="141"/>
      <c r="E3" s="141"/>
      <c r="F3" s="142"/>
      <c r="G3" s="158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60"/>
      <c r="U3" s="152"/>
      <c r="V3" s="153"/>
      <c r="W3" s="153"/>
      <c r="X3" s="153"/>
      <c r="Y3" s="153"/>
      <c r="Z3" s="154"/>
    </row>
    <row r="4" spans="1:26" ht="12.75" customHeight="1" x14ac:dyDescent="0.25">
      <c r="A4" s="140"/>
      <c r="B4" s="141"/>
      <c r="C4" s="141"/>
      <c r="D4" s="141"/>
      <c r="E4" s="141"/>
      <c r="F4" s="142"/>
      <c r="G4" s="158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  <c r="U4" s="152"/>
      <c r="V4" s="153"/>
      <c r="W4" s="153"/>
      <c r="X4" s="153"/>
      <c r="Y4" s="153"/>
      <c r="Z4" s="154"/>
    </row>
    <row r="5" spans="1:26" ht="12.75" customHeight="1" x14ac:dyDescent="0.25">
      <c r="A5" s="140"/>
      <c r="B5" s="141"/>
      <c r="C5" s="141"/>
      <c r="D5" s="141"/>
      <c r="E5" s="141"/>
      <c r="F5" s="142"/>
      <c r="G5" s="161" t="s">
        <v>31</v>
      </c>
      <c r="H5" s="162"/>
      <c r="I5" s="56" t="s">
        <v>26</v>
      </c>
      <c r="J5" s="163">
        <v>2</v>
      </c>
      <c r="K5" s="164"/>
      <c r="L5" s="165" t="s">
        <v>49</v>
      </c>
      <c r="M5" s="163"/>
      <c r="N5" s="163"/>
      <c r="O5" s="164"/>
      <c r="P5" s="166">
        <v>45747</v>
      </c>
      <c r="Q5" s="167"/>
      <c r="R5" s="167"/>
      <c r="S5" s="167"/>
      <c r="T5" s="168"/>
      <c r="U5" s="152"/>
      <c r="V5" s="153"/>
      <c r="W5" s="153"/>
      <c r="X5" s="153"/>
      <c r="Y5" s="153"/>
      <c r="Z5" s="154"/>
    </row>
    <row r="6" spans="1:26" ht="12.75" customHeight="1" x14ac:dyDescent="0.25">
      <c r="A6" s="143"/>
      <c r="B6" s="144"/>
      <c r="C6" s="144"/>
      <c r="D6" s="144"/>
      <c r="E6" s="144"/>
      <c r="F6" s="145"/>
      <c r="G6" s="57"/>
      <c r="H6" s="58"/>
      <c r="I6" s="58"/>
      <c r="J6" s="133" t="s">
        <v>27</v>
      </c>
      <c r="K6" s="133"/>
      <c r="L6" s="133" t="s">
        <v>28</v>
      </c>
      <c r="M6" s="133"/>
      <c r="N6" s="133"/>
      <c r="O6" s="133"/>
      <c r="P6" s="133" t="s">
        <v>29</v>
      </c>
      <c r="Q6" s="133"/>
      <c r="R6" s="133"/>
      <c r="S6" s="133"/>
      <c r="T6" s="134"/>
      <c r="U6" s="155"/>
      <c r="V6" s="156"/>
      <c r="W6" s="156"/>
      <c r="X6" s="156"/>
      <c r="Y6" s="156"/>
      <c r="Z6" s="157"/>
    </row>
    <row r="7" spans="1:26" ht="36.6" customHeight="1" x14ac:dyDescent="0.25">
      <c r="A7" s="135" t="s">
        <v>23</v>
      </c>
      <c r="B7" s="135"/>
      <c r="C7" s="135"/>
      <c r="D7" s="135"/>
      <c r="E7" s="135"/>
      <c r="F7" s="135"/>
      <c r="G7" s="136" t="s">
        <v>51</v>
      </c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</row>
    <row r="8" spans="1:26" ht="15.6" customHeight="1" x14ac:dyDescent="0.25">
      <c r="A8" s="59" t="s">
        <v>3</v>
      </c>
      <c r="B8" s="60" t="s">
        <v>0</v>
      </c>
      <c r="C8" s="61"/>
      <c r="D8" s="62"/>
      <c r="E8" s="62"/>
      <c r="F8" s="62"/>
      <c r="G8" s="62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4"/>
    </row>
    <row r="9" spans="1:26" ht="9.75" customHeight="1" x14ac:dyDescent="0.25">
      <c r="A9" s="65"/>
      <c r="B9" s="66"/>
      <c r="C9" s="66"/>
      <c r="D9" s="67"/>
      <c r="E9" s="67"/>
      <c r="F9" s="67"/>
      <c r="G9" s="67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8"/>
    </row>
    <row r="10" spans="1:26" ht="15.75" customHeight="1" x14ac:dyDescent="0.25">
      <c r="A10" s="65"/>
      <c r="B10" s="129" t="s">
        <v>7</v>
      </c>
      <c r="C10" s="129"/>
      <c r="D10" s="129"/>
      <c r="E10" s="129"/>
      <c r="F10" s="129"/>
      <c r="G10" s="129"/>
      <c r="H10" s="130" t="s">
        <v>52</v>
      </c>
      <c r="I10" s="130"/>
      <c r="J10" s="130"/>
      <c r="K10" s="130"/>
      <c r="L10" s="130"/>
      <c r="M10" s="130"/>
      <c r="N10" s="129" t="s">
        <v>1</v>
      </c>
      <c r="O10" s="129"/>
      <c r="P10" s="129"/>
      <c r="Q10" s="129"/>
      <c r="R10" s="129"/>
      <c r="S10" s="130" t="s">
        <v>53</v>
      </c>
      <c r="T10" s="130"/>
      <c r="U10" s="130"/>
      <c r="V10" s="130"/>
      <c r="W10" s="130"/>
      <c r="X10" s="130"/>
      <c r="Y10" s="130"/>
      <c r="Z10" s="68"/>
    </row>
    <row r="11" spans="1:26" ht="15.75" customHeight="1" x14ac:dyDescent="0.25">
      <c r="A11" s="65"/>
      <c r="B11" s="129" t="s">
        <v>6</v>
      </c>
      <c r="C11" s="129"/>
      <c r="D11" s="129"/>
      <c r="E11" s="129"/>
      <c r="F11" s="129"/>
      <c r="G11" s="129"/>
      <c r="H11" s="132" t="s">
        <v>54</v>
      </c>
      <c r="I11" s="132"/>
      <c r="J11" s="132"/>
      <c r="K11" s="132"/>
      <c r="L11" s="132"/>
      <c r="M11" s="132"/>
      <c r="N11" s="131" t="s">
        <v>18</v>
      </c>
      <c r="O11" s="131"/>
      <c r="P11" s="131"/>
      <c r="Q11" s="131"/>
      <c r="R11" s="131"/>
      <c r="S11" s="130" t="s">
        <v>59</v>
      </c>
      <c r="T11" s="130"/>
      <c r="U11" s="130"/>
      <c r="V11" s="130"/>
      <c r="W11" s="130"/>
      <c r="X11" s="130"/>
      <c r="Y11" s="130"/>
      <c r="Z11" s="68"/>
    </row>
    <row r="12" spans="1:26" ht="15.75" customHeight="1" x14ac:dyDescent="0.25">
      <c r="A12" s="65"/>
      <c r="B12" s="129" t="s">
        <v>8</v>
      </c>
      <c r="C12" s="129"/>
      <c r="D12" s="129"/>
      <c r="E12" s="129"/>
      <c r="F12" s="129"/>
      <c r="G12" s="129"/>
      <c r="H12" s="132">
        <v>45744</v>
      </c>
      <c r="I12" s="132"/>
      <c r="J12" s="132"/>
      <c r="K12" s="132"/>
      <c r="L12" s="132"/>
      <c r="M12" s="132"/>
      <c r="N12" s="131" t="s">
        <v>19</v>
      </c>
      <c r="O12" s="131"/>
      <c r="P12" s="131"/>
      <c r="Q12" s="131"/>
      <c r="R12" s="131"/>
      <c r="S12" s="130" t="s">
        <v>56</v>
      </c>
      <c r="T12" s="130"/>
      <c r="U12" s="130"/>
      <c r="V12" s="130"/>
      <c r="W12" s="130"/>
      <c r="X12" s="130"/>
      <c r="Y12" s="130"/>
      <c r="Z12" s="68"/>
    </row>
    <row r="13" spans="1:26" ht="15.75" customHeight="1" x14ac:dyDescent="0.25">
      <c r="A13" s="65"/>
      <c r="B13" s="129" t="s">
        <v>36</v>
      </c>
      <c r="C13" s="129"/>
      <c r="D13" s="129"/>
      <c r="E13" s="129"/>
      <c r="F13" s="129"/>
      <c r="G13" s="129"/>
      <c r="H13" s="130" t="s">
        <v>57</v>
      </c>
      <c r="I13" s="130"/>
      <c r="J13" s="130"/>
      <c r="K13" s="130"/>
      <c r="L13" s="130"/>
      <c r="M13" s="130"/>
      <c r="N13" s="131" t="s">
        <v>39</v>
      </c>
      <c r="O13" s="131"/>
      <c r="P13" s="131"/>
      <c r="Q13" s="131"/>
      <c r="R13" s="131"/>
      <c r="S13" s="130" t="s">
        <v>38</v>
      </c>
      <c r="T13" s="130"/>
      <c r="U13" s="130"/>
      <c r="V13" s="130"/>
      <c r="W13" s="130"/>
      <c r="X13" s="130"/>
      <c r="Y13" s="130"/>
      <c r="Z13" s="68"/>
    </row>
    <row r="14" spans="1:26" ht="15.75" customHeight="1" x14ac:dyDescent="0.25">
      <c r="A14" s="65"/>
      <c r="B14" s="129" t="s">
        <v>37</v>
      </c>
      <c r="C14" s="129"/>
      <c r="D14" s="129"/>
      <c r="E14" s="129"/>
      <c r="F14" s="129"/>
      <c r="G14" s="129"/>
      <c r="H14" s="130" t="s">
        <v>57</v>
      </c>
      <c r="I14" s="130"/>
      <c r="J14" s="130"/>
      <c r="K14" s="130"/>
      <c r="L14" s="130"/>
      <c r="M14" s="130"/>
      <c r="N14" s="131" t="s">
        <v>39</v>
      </c>
      <c r="O14" s="131"/>
      <c r="P14" s="131"/>
      <c r="Q14" s="131"/>
      <c r="R14" s="131"/>
      <c r="S14" s="130" t="s">
        <v>40</v>
      </c>
      <c r="T14" s="130"/>
      <c r="U14" s="130"/>
      <c r="V14" s="130"/>
      <c r="W14" s="130"/>
      <c r="X14" s="130"/>
      <c r="Y14" s="130"/>
      <c r="Z14" s="68"/>
    </row>
    <row r="15" spans="1:26" ht="8.25" customHeight="1" x14ac:dyDescent="0.25">
      <c r="A15" s="11"/>
      <c r="B15" s="45"/>
      <c r="C15" s="45"/>
      <c r="D15" s="46"/>
      <c r="E15" s="46"/>
      <c r="F15" s="46"/>
      <c r="G15" s="46"/>
      <c r="H15" s="45"/>
      <c r="I15" s="45"/>
      <c r="J15" s="45"/>
      <c r="K15" s="45"/>
      <c r="L15" s="45"/>
      <c r="M15" s="45"/>
      <c r="N15" s="47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13"/>
    </row>
    <row r="16" spans="1:26" ht="7.5" customHeight="1" x14ac:dyDescent="0.35">
      <c r="A16" s="14"/>
      <c r="B16" s="15"/>
      <c r="C16" s="15"/>
      <c r="D16" s="16"/>
      <c r="E16" s="16"/>
      <c r="F16" s="16"/>
      <c r="G16" s="16"/>
      <c r="H16" s="16"/>
      <c r="I16" s="17"/>
      <c r="J16" s="15"/>
      <c r="K16" s="15"/>
      <c r="L16" s="15"/>
      <c r="M16" s="15"/>
    </row>
    <row r="17" spans="1:26" ht="15.6" customHeight="1" x14ac:dyDescent="0.25">
      <c r="A17" s="2" t="s">
        <v>4</v>
      </c>
      <c r="B17" s="3" t="s">
        <v>2</v>
      </c>
      <c r="C17" s="4"/>
      <c r="D17" s="5"/>
      <c r="E17" s="5"/>
      <c r="F17" s="5"/>
      <c r="G17" s="5"/>
      <c r="H17" s="6"/>
      <c r="I17" s="6"/>
      <c r="J17" s="18"/>
      <c r="K17" s="18"/>
      <c r="L17" s="18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</row>
    <row r="18" spans="1:26" ht="10.5" customHeight="1" x14ac:dyDescent="0.35">
      <c r="A18" s="19"/>
      <c r="D18" s="20"/>
      <c r="E18" s="21"/>
      <c r="F18" s="21"/>
      <c r="G18" s="22"/>
      <c r="H18" s="22"/>
      <c r="I18" s="23"/>
      <c r="J18" s="15"/>
      <c r="K18" s="15"/>
      <c r="L18" s="15"/>
      <c r="Q18" s="24"/>
      <c r="Z18" s="10"/>
    </row>
    <row r="19" spans="1:26" ht="15" customHeight="1" x14ac:dyDescent="0.25">
      <c r="A19" s="8"/>
      <c r="B19" s="25" t="s">
        <v>30</v>
      </c>
      <c r="C19" s="17"/>
      <c r="D19" s="17"/>
      <c r="E19" s="17"/>
      <c r="F19" s="17"/>
      <c r="G19" s="17"/>
      <c r="H19" s="9"/>
      <c r="I19" s="26"/>
      <c r="J19" s="26"/>
      <c r="K19" s="26"/>
      <c r="L19" s="26"/>
      <c r="M19" s="26"/>
      <c r="N19" s="26"/>
      <c r="S19" s="27"/>
      <c r="T19" s="27"/>
      <c r="U19" s="27"/>
      <c r="Z19" s="10"/>
    </row>
    <row r="20" spans="1:26" ht="7.5" customHeight="1" x14ac:dyDescent="0.25">
      <c r="A20" s="8"/>
      <c r="C20" s="9"/>
      <c r="D20" s="9"/>
      <c r="E20" s="9"/>
      <c r="F20" s="28"/>
      <c r="G20" s="28"/>
      <c r="Z20" s="10"/>
    </row>
    <row r="21" spans="1:26" ht="20.100000000000001" customHeight="1" x14ac:dyDescent="0.25">
      <c r="A21" s="8"/>
      <c r="B21" s="29"/>
      <c r="C21" s="29"/>
      <c r="D21" s="128" t="s">
        <v>24</v>
      </c>
      <c r="E21" s="128"/>
      <c r="F21" s="128"/>
      <c r="G21" s="128"/>
      <c r="H21" s="128">
        <v>1</v>
      </c>
      <c r="I21" s="128"/>
      <c r="J21" s="128"/>
      <c r="K21" s="128"/>
      <c r="L21" s="128">
        <v>2</v>
      </c>
      <c r="M21" s="128"/>
      <c r="N21" s="128"/>
      <c r="O21" s="128"/>
      <c r="P21" s="128">
        <v>3</v>
      </c>
      <c r="Q21" s="128"/>
      <c r="R21" s="128"/>
      <c r="S21" s="128"/>
      <c r="T21" s="128">
        <v>4</v>
      </c>
      <c r="U21" s="128"/>
      <c r="V21" s="128"/>
      <c r="W21" s="128"/>
      <c r="X21" s="29"/>
      <c r="Y21" s="29"/>
      <c r="Z21" s="10"/>
    </row>
    <row r="22" spans="1:26" ht="20.100000000000001" customHeight="1" x14ac:dyDescent="0.25">
      <c r="A22" s="8"/>
      <c r="B22" s="30"/>
      <c r="C22" s="30"/>
      <c r="D22" s="125" t="s">
        <v>35</v>
      </c>
      <c r="E22" s="125"/>
      <c r="F22" s="125"/>
      <c r="G22" s="125"/>
      <c r="H22" s="127">
        <v>11.1</v>
      </c>
      <c r="I22" s="127"/>
      <c r="J22" s="127"/>
      <c r="K22" s="127"/>
      <c r="L22" s="127">
        <v>15.3</v>
      </c>
      <c r="M22" s="127"/>
      <c r="N22" s="127"/>
      <c r="O22" s="127"/>
      <c r="P22" s="127">
        <v>18.8</v>
      </c>
      <c r="Q22" s="127"/>
      <c r="R22" s="127"/>
      <c r="S22" s="127"/>
      <c r="T22" s="127">
        <v>23.5</v>
      </c>
      <c r="U22" s="127"/>
      <c r="V22" s="127"/>
      <c r="W22" s="127"/>
      <c r="X22" s="29"/>
      <c r="Y22" s="29"/>
      <c r="Z22" s="10"/>
    </row>
    <row r="23" spans="1:26" ht="20.100000000000001" customHeight="1" x14ac:dyDescent="0.25">
      <c r="A23" s="8"/>
      <c r="B23" s="30"/>
      <c r="C23" s="30"/>
      <c r="D23" s="125" t="s">
        <v>9</v>
      </c>
      <c r="E23" s="125"/>
      <c r="F23" s="125"/>
      <c r="G23" s="125"/>
      <c r="H23" s="127">
        <v>55.42</v>
      </c>
      <c r="I23" s="127"/>
      <c r="J23" s="127"/>
      <c r="K23" s="127"/>
      <c r="L23" s="127">
        <v>62.89</v>
      </c>
      <c r="M23" s="127"/>
      <c r="N23" s="127"/>
      <c r="O23" s="127"/>
      <c r="P23" s="127">
        <v>66.09</v>
      </c>
      <c r="Q23" s="127"/>
      <c r="R23" s="127"/>
      <c r="S23" s="127"/>
      <c r="T23" s="127">
        <v>70.290000000000006</v>
      </c>
      <c r="U23" s="127"/>
      <c r="V23" s="127"/>
      <c r="W23" s="127"/>
      <c r="X23" s="29"/>
      <c r="Y23" s="29"/>
      <c r="Z23" s="10"/>
    </row>
    <row r="24" spans="1:26" ht="15.75" customHeight="1" x14ac:dyDescent="0.25">
      <c r="A24" s="8"/>
      <c r="S24" s="126"/>
      <c r="T24" s="126"/>
      <c r="Z24" s="10"/>
    </row>
    <row r="25" spans="1:26" ht="15.75" customHeight="1" x14ac:dyDescent="0.25">
      <c r="A25" s="8"/>
      <c r="C25" s="119"/>
      <c r="D25" s="120"/>
      <c r="E25" s="121"/>
      <c r="F25" s="121"/>
      <c r="H25" s="119"/>
      <c r="I25" s="120"/>
      <c r="J25" s="120"/>
      <c r="K25" s="120"/>
      <c r="L25" s="122"/>
      <c r="M25" s="122"/>
      <c r="N25" s="122"/>
      <c r="O25" s="122"/>
      <c r="Z25" s="10"/>
    </row>
    <row r="26" spans="1:26" ht="15.75" customHeight="1" x14ac:dyDescent="0.25">
      <c r="A26" s="8"/>
      <c r="C26" s="120"/>
      <c r="D26" s="120"/>
      <c r="E26" s="123"/>
      <c r="F26" s="123"/>
      <c r="H26" s="119"/>
      <c r="I26" s="120"/>
      <c r="J26" s="120"/>
      <c r="K26" s="120"/>
      <c r="L26" s="124"/>
      <c r="M26" s="124"/>
      <c r="N26" s="124"/>
      <c r="O26" s="124"/>
      <c r="Z26" s="10"/>
    </row>
    <row r="27" spans="1:26" ht="12.75" customHeight="1" x14ac:dyDescent="0.25">
      <c r="A27" s="8"/>
      <c r="Z27" s="10"/>
    </row>
    <row r="28" spans="1:26" ht="12.75" customHeight="1" x14ac:dyDescent="0.25">
      <c r="A28" s="8"/>
      <c r="Z28" s="10"/>
    </row>
    <row r="29" spans="1:26" ht="12.75" customHeight="1" x14ac:dyDescent="0.25">
      <c r="A29" s="8"/>
      <c r="Z29" s="10"/>
    </row>
    <row r="30" spans="1:26" ht="12.75" customHeight="1" x14ac:dyDescent="0.25">
      <c r="A30" s="8"/>
      <c r="Z30" s="10"/>
    </row>
    <row r="31" spans="1:26" ht="12.75" customHeight="1" x14ac:dyDescent="0.25">
      <c r="A31" s="8"/>
      <c r="Z31" s="10"/>
    </row>
    <row r="32" spans="1:26" ht="12.75" customHeight="1" x14ac:dyDescent="0.25">
      <c r="A32" s="8"/>
      <c r="Z32" s="10"/>
    </row>
    <row r="33" spans="1:27" ht="12.75" customHeight="1" x14ac:dyDescent="0.25">
      <c r="A33" s="8"/>
      <c r="Z33" s="10"/>
    </row>
    <row r="34" spans="1:27" ht="12.75" customHeight="1" x14ac:dyDescent="0.25">
      <c r="A34" s="8"/>
      <c r="Z34" s="10"/>
    </row>
    <row r="35" spans="1:27" ht="12.75" customHeight="1" x14ac:dyDescent="0.25">
      <c r="A35" s="8"/>
      <c r="Z35" s="10"/>
    </row>
    <row r="36" spans="1:27" ht="12.75" customHeight="1" x14ac:dyDescent="0.25">
      <c r="A36" s="8"/>
      <c r="Z36" s="10"/>
    </row>
    <row r="37" spans="1:27" ht="12.75" customHeight="1" x14ac:dyDescent="0.25">
      <c r="A37" s="8"/>
      <c r="Z37" s="10"/>
    </row>
    <row r="38" spans="1:27" ht="12.75" customHeight="1" x14ac:dyDescent="0.25">
      <c r="A38" s="8"/>
      <c r="Z38" s="10"/>
    </row>
    <row r="39" spans="1:27" ht="12.75" customHeight="1" x14ac:dyDescent="0.25">
      <c r="A39" s="8"/>
      <c r="Z39" s="10"/>
    </row>
    <row r="40" spans="1:27" ht="12.75" customHeight="1" x14ac:dyDescent="0.25">
      <c r="A40" s="8"/>
      <c r="Z40" s="10"/>
    </row>
    <row r="41" spans="1:27" ht="12.75" customHeight="1" x14ac:dyDescent="0.25">
      <c r="A41" s="8"/>
      <c r="Z41" s="10"/>
    </row>
    <row r="42" spans="1:27" ht="12.75" customHeight="1" x14ac:dyDescent="0.25">
      <c r="A42" s="8"/>
      <c r="R42" s="9"/>
      <c r="S42" s="9"/>
      <c r="T42" s="9"/>
      <c r="U42" s="9"/>
      <c r="V42" s="9"/>
      <c r="W42" s="9"/>
      <c r="Y42" s="9"/>
      <c r="Z42" s="31"/>
      <c r="AA42" s="9"/>
    </row>
    <row r="43" spans="1:27" ht="12.75" customHeight="1" x14ac:dyDescent="0.25">
      <c r="A43" s="8"/>
      <c r="Z43" s="10"/>
    </row>
    <row r="44" spans="1:27" ht="12.75" customHeight="1" x14ac:dyDescent="0.25">
      <c r="A44" s="8"/>
      <c r="Z44" s="10"/>
    </row>
    <row r="45" spans="1:27" ht="12.75" customHeight="1" x14ac:dyDescent="0.25">
      <c r="A45" s="8"/>
      <c r="Z45" s="10"/>
    </row>
    <row r="46" spans="1:27" ht="12.75" customHeight="1" x14ac:dyDescent="0.25">
      <c r="A46" s="8"/>
      <c r="Z46" s="10"/>
    </row>
    <row r="47" spans="1:27" ht="12.75" customHeight="1" x14ac:dyDescent="0.25">
      <c r="A47" s="8"/>
      <c r="T47" s="32"/>
      <c r="U47" s="33"/>
      <c r="Z47" s="10"/>
    </row>
    <row r="48" spans="1:27" ht="12.75" customHeight="1" x14ac:dyDescent="0.25">
      <c r="A48" s="8"/>
      <c r="T48" s="32"/>
      <c r="U48" s="33"/>
      <c r="V48" s="34"/>
      <c r="W48" s="34"/>
      <c r="Z48" s="10"/>
    </row>
    <row r="49" spans="1:26" ht="12.75" customHeight="1" x14ac:dyDescent="0.25">
      <c r="A49" s="8"/>
      <c r="T49" s="32"/>
      <c r="U49" s="33"/>
      <c r="Z49" s="10"/>
    </row>
    <row r="50" spans="1:26" ht="12.75" customHeight="1" x14ac:dyDescent="0.25">
      <c r="A50" s="8"/>
      <c r="U50" s="35"/>
      <c r="Z50" s="10"/>
    </row>
    <row r="51" spans="1:26" ht="12.75" customHeight="1" x14ac:dyDescent="0.25">
      <c r="A51" s="8"/>
      <c r="U51" s="35"/>
      <c r="Z51" s="10"/>
    </row>
    <row r="52" spans="1:26" ht="12.75" customHeight="1" x14ac:dyDescent="0.25">
      <c r="A52" s="8"/>
      <c r="U52" s="35"/>
      <c r="Z52" s="10"/>
    </row>
    <row r="53" spans="1:26" ht="8.25" customHeight="1" x14ac:dyDescent="0.25">
      <c r="A53" s="8"/>
      <c r="U53" s="15"/>
      <c r="Z53" s="10"/>
    </row>
    <row r="54" spans="1:26" ht="12.75" customHeight="1" x14ac:dyDescent="0.25">
      <c r="A54" s="8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10"/>
    </row>
    <row r="55" spans="1:26" ht="12.75" customHeight="1" x14ac:dyDescent="0.25">
      <c r="A55" s="8"/>
      <c r="B55" s="103" t="s">
        <v>32</v>
      </c>
      <c r="C55" s="104"/>
      <c r="D55" s="104"/>
      <c r="E55" s="104"/>
      <c r="F55" s="111">
        <v>63.4</v>
      </c>
      <c r="G55" s="112"/>
      <c r="H55" s="37" t="s">
        <v>33</v>
      </c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10"/>
    </row>
    <row r="56" spans="1:26" ht="12.75" customHeight="1" x14ac:dyDescent="0.25">
      <c r="A56" s="8"/>
      <c r="H56" s="102" t="s">
        <v>34</v>
      </c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"/>
    </row>
    <row r="57" spans="1:26" ht="12.75" customHeight="1" x14ac:dyDescent="0.25">
      <c r="A57" s="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10"/>
    </row>
    <row r="58" spans="1:26" ht="12.75" customHeight="1" x14ac:dyDescent="0.25">
      <c r="A58" s="8"/>
      <c r="U58" s="15"/>
      <c r="Z58" s="10"/>
    </row>
    <row r="59" spans="1:26" ht="15" customHeight="1" x14ac:dyDescent="0.25">
      <c r="A59" s="8"/>
      <c r="B59" s="39" t="s">
        <v>41</v>
      </c>
      <c r="U59" s="15"/>
      <c r="Z59" s="10"/>
    </row>
    <row r="60" spans="1:26" ht="12.75" customHeight="1" x14ac:dyDescent="0.25">
      <c r="A60" s="8"/>
      <c r="B60" s="102" t="s">
        <v>10</v>
      </c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"/>
    </row>
    <row r="61" spans="1:26" ht="12.75" customHeight="1" x14ac:dyDescent="0.25">
      <c r="A61" s="8"/>
      <c r="Z61" s="10"/>
    </row>
    <row r="62" spans="1:26" ht="12.75" customHeight="1" x14ac:dyDescent="0.25">
      <c r="A62" s="8"/>
      <c r="B62" s="1" t="s">
        <v>11</v>
      </c>
      <c r="G62" s="113" t="s">
        <v>42</v>
      </c>
      <c r="H62" s="114"/>
      <c r="I62" s="114"/>
      <c r="J62" s="115">
        <v>0.2326</v>
      </c>
      <c r="K62" s="116"/>
      <c r="L62" s="69"/>
      <c r="M62" s="69"/>
      <c r="N62" s="117" t="s">
        <v>60</v>
      </c>
      <c r="O62" s="118"/>
      <c r="P62" s="118"/>
      <c r="Q62" s="115">
        <v>0.23319999999999999</v>
      </c>
      <c r="R62" s="116"/>
      <c r="Z62" s="10"/>
    </row>
    <row r="63" spans="1:26" ht="12.75" customHeight="1" x14ac:dyDescent="0.25">
      <c r="A63" s="8"/>
      <c r="R63" s="29"/>
      <c r="S63" s="33"/>
      <c r="T63" s="29"/>
      <c r="U63" s="29"/>
      <c r="V63" s="29"/>
      <c r="W63" s="29"/>
      <c r="Z63" s="10"/>
    </row>
    <row r="64" spans="1:26" ht="12.75" customHeight="1" x14ac:dyDescent="0.25">
      <c r="A64" s="8"/>
      <c r="B64" s="40" t="s">
        <v>44</v>
      </c>
      <c r="C64" s="41"/>
      <c r="D64" s="41"/>
      <c r="E64" s="41"/>
      <c r="F64" s="41"/>
      <c r="G64" s="99">
        <f>IF(J62&lt;&gt;"",IF(Q62&lt;&gt;"",(J62+Q62)/2,""),"")</f>
        <v>0.2329</v>
      </c>
      <c r="H64" s="100"/>
      <c r="I64" s="101" t="s">
        <v>16</v>
      </c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"/>
    </row>
    <row r="65" spans="1:32" ht="12.75" customHeight="1" x14ac:dyDescent="0.25">
      <c r="A65" s="8"/>
      <c r="C65" s="36"/>
      <c r="D65" s="36"/>
      <c r="E65" s="36"/>
      <c r="F65" s="36"/>
      <c r="G65" s="36"/>
      <c r="H65" s="36"/>
      <c r="I65" s="102" t="s">
        <v>12</v>
      </c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"/>
    </row>
    <row r="66" spans="1:32" ht="12.75" customHeight="1" x14ac:dyDescent="0.25">
      <c r="A66" s="8"/>
      <c r="R66" s="29"/>
      <c r="S66" s="29"/>
      <c r="T66" s="29"/>
      <c r="U66" s="29"/>
      <c r="V66" s="29"/>
      <c r="W66" s="29"/>
      <c r="Z66" s="10"/>
    </row>
    <row r="67" spans="1:32" ht="15" customHeight="1" x14ac:dyDescent="0.25">
      <c r="A67" s="8"/>
      <c r="B67" s="39" t="s">
        <v>13</v>
      </c>
      <c r="R67" s="29"/>
      <c r="S67" s="29"/>
      <c r="T67" s="29"/>
      <c r="U67" s="29"/>
      <c r="V67" s="29"/>
      <c r="W67" s="29"/>
      <c r="Z67" s="10"/>
    </row>
    <row r="68" spans="1:32" ht="8.25" customHeight="1" x14ac:dyDescent="0.25">
      <c r="A68" s="8"/>
      <c r="R68" s="29"/>
      <c r="S68" s="33"/>
      <c r="U68" s="29"/>
      <c r="V68" s="29"/>
      <c r="W68" s="29"/>
      <c r="Z68" s="10"/>
    </row>
    <row r="69" spans="1:32" ht="12.75" customHeight="1" x14ac:dyDescent="0.25">
      <c r="A69" s="8"/>
      <c r="B69" s="103" t="s">
        <v>45</v>
      </c>
      <c r="C69" s="104"/>
      <c r="D69" s="104"/>
      <c r="E69" s="105">
        <f>IF(F55&lt;&gt;"",IF(G64&lt;&gt;"",F55-(G64*100),""),"")</f>
        <v>40.11</v>
      </c>
      <c r="F69" s="106"/>
      <c r="R69" s="29"/>
      <c r="S69" s="33"/>
      <c r="U69" s="29"/>
      <c r="V69" s="29"/>
      <c r="W69" s="29"/>
      <c r="Z69" s="10"/>
    </row>
    <row r="70" spans="1:32" ht="12.75" customHeight="1" x14ac:dyDescent="0.25">
      <c r="A70" s="8"/>
      <c r="R70" s="29"/>
      <c r="S70" s="33"/>
      <c r="U70" s="29"/>
      <c r="V70" s="29"/>
      <c r="W70" s="29"/>
      <c r="Z70" s="10"/>
    </row>
    <row r="71" spans="1:32" ht="15" customHeight="1" x14ac:dyDescent="0.25">
      <c r="A71" s="8"/>
      <c r="B71" s="39" t="s">
        <v>14</v>
      </c>
      <c r="R71" s="29"/>
      <c r="S71" s="33"/>
      <c r="U71" s="29"/>
      <c r="V71" s="29"/>
      <c r="W71" s="29"/>
      <c r="Z71" s="10"/>
    </row>
    <row r="72" spans="1:32" ht="10.5" customHeight="1" x14ac:dyDescent="0.25">
      <c r="A72" s="8"/>
      <c r="B72" s="39"/>
      <c r="R72" s="29"/>
      <c r="S72" s="33"/>
      <c r="U72" s="29"/>
      <c r="V72" s="29"/>
      <c r="W72" s="29"/>
      <c r="Z72" s="10"/>
    </row>
    <row r="73" spans="1:32" ht="12.75" customHeight="1" x14ac:dyDescent="0.3">
      <c r="A73" s="8"/>
      <c r="B73" s="107" t="s">
        <v>15</v>
      </c>
      <c r="C73" s="108"/>
      <c r="D73" s="108"/>
      <c r="E73" s="108"/>
      <c r="F73" s="108"/>
      <c r="G73" s="108"/>
      <c r="H73" s="109">
        <v>0.20599999999999999</v>
      </c>
      <c r="I73" s="110"/>
      <c r="R73" s="29"/>
      <c r="S73" s="33"/>
      <c r="U73" s="29"/>
      <c r="V73" s="29"/>
      <c r="W73" s="29"/>
      <c r="Z73" s="10"/>
    </row>
    <row r="74" spans="1:32" ht="8.25" customHeight="1" x14ac:dyDescent="0.25">
      <c r="A74" s="8"/>
      <c r="B74" s="39"/>
      <c r="R74" s="29"/>
      <c r="S74" s="33"/>
      <c r="U74" s="29"/>
      <c r="V74" s="29"/>
      <c r="W74" s="29"/>
      <c r="Z74" s="10"/>
    </row>
    <row r="75" spans="1:32" ht="12.75" customHeight="1" x14ac:dyDescent="0.25">
      <c r="A75" s="8"/>
      <c r="B75" s="70" t="s">
        <v>46</v>
      </c>
      <c r="C75" s="71"/>
      <c r="D75" s="71"/>
      <c r="E75" s="71"/>
      <c r="F75" s="72">
        <f>IF(F55&lt;&gt;"",IF(H73&lt;&gt;"",(F55-(H73*100))/E69,""),"")</f>
        <v>1.0670655696833706</v>
      </c>
      <c r="G75" s="73"/>
      <c r="R75" s="29"/>
      <c r="S75" s="33"/>
      <c r="U75" s="29"/>
      <c r="V75" s="29"/>
      <c r="W75" s="29"/>
      <c r="Z75" s="10"/>
    </row>
    <row r="76" spans="1:32" ht="12.75" customHeight="1" x14ac:dyDescent="0.25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</row>
    <row r="77" spans="1:32" ht="7.5" customHeight="1" x14ac:dyDescent="0.25"/>
    <row r="78" spans="1:32" s="29" customFormat="1" ht="15.6" customHeight="1" x14ac:dyDescent="0.25">
      <c r="A78" s="2" t="s">
        <v>5</v>
      </c>
      <c r="B78" s="3" t="s">
        <v>17</v>
      </c>
      <c r="C78" s="4"/>
      <c r="D78" s="42"/>
      <c r="E78" s="4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3"/>
      <c r="R78" s="4"/>
      <c r="S78" s="4"/>
      <c r="T78" s="4"/>
      <c r="U78" s="74"/>
      <c r="V78" s="74"/>
      <c r="W78" s="74"/>
      <c r="X78" s="74"/>
      <c r="Y78" s="74"/>
      <c r="Z78" s="75"/>
      <c r="AD78" s="44"/>
      <c r="AE78" s="44"/>
      <c r="AF78" s="44"/>
    </row>
    <row r="79" spans="1:32" s="29" customFormat="1" ht="27" customHeight="1" x14ac:dyDescent="0.25">
      <c r="A79" s="76" t="s">
        <v>61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8"/>
      <c r="R79" s="82" t="s">
        <v>20</v>
      </c>
      <c r="S79" s="82"/>
      <c r="T79" s="83"/>
      <c r="U79" s="84" t="s">
        <v>52</v>
      </c>
      <c r="V79" s="85"/>
      <c r="W79" s="85"/>
      <c r="X79" s="85"/>
      <c r="Y79" s="85"/>
      <c r="Z79" s="86"/>
      <c r="AD79" s="44"/>
      <c r="AE79" s="44"/>
      <c r="AF79" s="44"/>
    </row>
    <row r="80" spans="1:32" s="29" customFormat="1" ht="15.6" customHeight="1" x14ac:dyDescent="0.25">
      <c r="A80" s="76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8"/>
      <c r="R80" s="82" t="s">
        <v>21</v>
      </c>
      <c r="S80" s="82"/>
      <c r="T80" s="83"/>
      <c r="U80" s="87" t="s">
        <v>58</v>
      </c>
      <c r="V80" s="88"/>
      <c r="W80" s="88"/>
      <c r="X80" s="88"/>
      <c r="Y80" s="88"/>
      <c r="Z80" s="89"/>
      <c r="AD80" s="44"/>
      <c r="AE80" s="44"/>
      <c r="AF80" s="44"/>
    </row>
    <row r="81" spans="1:32" s="29" customFormat="1" ht="15.6" customHeight="1" x14ac:dyDescent="0.25">
      <c r="A81" s="76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8"/>
      <c r="R81" s="82"/>
      <c r="S81" s="82"/>
      <c r="T81" s="83"/>
      <c r="U81" s="90"/>
      <c r="V81" s="91"/>
      <c r="W81" s="91"/>
      <c r="X81" s="91"/>
      <c r="Y81" s="91"/>
      <c r="Z81" s="92"/>
      <c r="AD81" s="44"/>
      <c r="AE81" s="44"/>
      <c r="AF81" s="44"/>
    </row>
    <row r="82" spans="1:32" s="29" customFormat="1" ht="15.6" customHeight="1" x14ac:dyDescent="0.25">
      <c r="A82" s="76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8"/>
      <c r="R82" s="82"/>
      <c r="S82" s="82"/>
      <c r="T82" s="83"/>
      <c r="U82" s="93"/>
      <c r="V82" s="94"/>
      <c r="W82" s="94"/>
      <c r="X82" s="94"/>
      <c r="Y82" s="94"/>
      <c r="Z82" s="95"/>
      <c r="AD82" s="44"/>
      <c r="AE82" s="44"/>
      <c r="AF82" s="44"/>
    </row>
    <row r="83" spans="1:32" s="29" customFormat="1" ht="15.6" customHeight="1" x14ac:dyDescent="0.25">
      <c r="A83" s="76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8"/>
      <c r="R83" s="82" t="s">
        <v>22</v>
      </c>
      <c r="S83" s="82"/>
      <c r="T83" s="83"/>
      <c r="U83" s="48"/>
      <c r="V83" s="49"/>
      <c r="W83" s="49"/>
      <c r="X83" s="49"/>
      <c r="Y83" s="49"/>
      <c r="Z83" s="50"/>
      <c r="AD83" s="44"/>
      <c r="AE83" s="44"/>
      <c r="AF83" s="44"/>
    </row>
    <row r="84" spans="1:32" s="29" customFormat="1" ht="15.6" customHeight="1" x14ac:dyDescent="0.25">
      <c r="A84" s="76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8"/>
      <c r="R84" s="82"/>
      <c r="S84" s="82"/>
      <c r="T84" s="83"/>
      <c r="U84" s="51"/>
      <c r="V84" s="98"/>
      <c r="W84" s="98"/>
      <c r="X84" s="98"/>
      <c r="Y84" s="98"/>
      <c r="Z84" s="52"/>
      <c r="AD84" s="44"/>
      <c r="AE84" s="44"/>
      <c r="AF84" s="44"/>
    </row>
    <row r="85" spans="1:32" s="29" customFormat="1" ht="15.6" customHeight="1" x14ac:dyDescent="0.25">
      <c r="A85" s="76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8"/>
      <c r="R85" s="82"/>
      <c r="S85" s="82"/>
      <c r="T85" s="83"/>
      <c r="U85" s="51"/>
      <c r="V85" s="98"/>
      <c r="W85" s="98"/>
      <c r="X85" s="98"/>
      <c r="Y85" s="98"/>
      <c r="Z85" s="52"/>
      <c r="AD85" s="44"/>
      <c r="AE85" s="44"/>
      <c r="AF85" s="44"/>
    </row>
    <row r="86" spans="1:32" s="29" customFormat="1" ht="15.6" customHeight="1" x14ac:dyDescent="0.25">
      <c r="A86" s="79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1"/>
      <c r="R86" s="96"/>
      <c r="S86" s="96"/>
      <c r="T86" s="97"/>
      <c r="U86" s="53"/>
      <c r="V86" s="54"/>
      <c r="W86" s="54"/>
      <c r="X86" s="54"/>
      <c r="Y86" s="54"/>
      <c r="Z86" s="55"/>
      <c r="AD86" s="44"/>
      <c r="AE86" s="44"/>
      <c r="AF86" s="44"/>
    </row>
    <row r="87" spans="1:32" ht="15.75" customHeight="1" x14ac:dyDescent="0.25">
      <c r="A87" s="1"/>
    </row>
  </sheetData>
  <sheetProtection selectLockedCells="1"/>
  <mergeCells count="82">
    <mergeCell ref="L6:O6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1:G11"/>
    <mergeCell ref="H11:M11"/>
    <mergeCell ref="N11:R11"/>
    <mergeCell ref="S11:Y11"/>
    <mergeCell ref="B12:G12"/>
    <mergeCell ref="H12:M12"/>
    <mergeCell ref="N12:R12"/>
    <mergeCell ref="S12:Y12"/>
    <mergeCell ref="B13:G13"/>
    <mergeCell ref="H13:M13"/>
    <mergeCell ref="N13:R13"/>
    <mergeCell ref="S13:Y13"/>
    <mergeCell ref="B14:G14"/>
    <mergeCell ref="H14:M14"/>
    <mergeCell ref="N14:R14"/>
    <mergeCell ref="S14:Y14"/>
    <mergeCell ref="D22:G22"/>
    <mergeCell ref="H22:K22"/>
    <mergeCell ref="L22:O22"/>
    <mergeCell ref="P22:S22"/>
    <mergeCell ref="T22:W22"/>
    <mergeCell ref="D21:G21"/>
    <mergeCell ref="H21:K21"/>
    <mergeCell ref="L21:O21"/>
    <mergeCell ref="P21:S21"/>
    <mergeCell ref="T21:W21"/>
    <mergeCell ref="D23:G23"/>
    <mergeCell ref="S24:T24"/>
    <mergeCell ref="H23:K23"/>
    <mergeCell ref="L23:O23"/>
    <mergeCell ref="P23:S23"/>
    <mergeCell ref="T23:W23"/>
    <mergeCell ref="C25:D25"/>
    <mergeCell ref="E25:F25"/>
    <mergeCell ref="H25:K25"/>
    <mergeCell ref="L25:O25"/>
    <mergeCell ref="C26:D26"/>
    <mergeCell ref="E26:F26"/>
    <mergeCell ref="H26:K26"/>
    <mergeCell ref="L26:O26"/>
    <mergeCell ref="B73:G73"/>
    <mergeCell ref="H73:I73"/>
    <mergeCell ref="B55:E55"/>
    <mergeCell ref="F55:G55"/>
    <mergeCell ref="H56:Y56"/>
    <mergeCell ref="B60:Y60"/>
    <mergeCell ref="G62:I62"/>
    <mergeCell ref="J62:K62"/>
    <mergeCell ref="N62:P62"/>
    <mergeCell ref="Q62:R62"/>
    <mergeCell ref="G64:H64"/>
    <mergeCell ref="I64:Y64"/>
    <mergeCell ref="I65:Y65"/>
    <mergeCell ref="B69:D69"/>
    <mergeCell ref="E69:F69"/>
    <mergeCell ref="B75:E75"/>
    <mergeCell ref="F75:G75"/>
    <mergeCell ref="U78:Z78"/>
    <mergeCell ref="A79:Q86"/>
    <mergeCell ref="R79:T79"/>
    <mergeCell ref="U79:Z79"/>
    <mergeCell ref="R80:T82"/>
    <mergeCell ref="U80:Z82"/>
    <mergeCell ref="R83:T86"/>
    <mergeCell ref="V84:Y85"/>
  </mergeCells>
  <printOptions horizontalCentered="1"/>
  <pageMargins left="0.39370078740157483" right="0.39370078740157483" top="0.39370078740157483" bottom="0.39370078740157483" header="0" footer="0.19685039370078741"/>
  <pageSetup paperSize="9" scale="65" orientation="portrait" r:id="rId1"/>
  <headerFooter alignWithMargins="0">
    <oddFooter>&amp;RDG-Q / CRE LCP du 06/04/2011</oddFooter>
  </headerFooter>
  <drawing r:id="rId2"/>
  <legacyDrawing r:id="rId3"/>
  <controls>
    <mc:AlternateContent xmlns:mc="http://schemas.openxmlformats.org/markup-compatibility/2006">
      <mc:Choice Requires="x14">
        <control shapeId="5121" r:id="rId4" name="CommandButton1">
          <controlPr defaultSize="0" autoLine="0" r:id="rId5">
            <anchor moveWithCells="1">
              <from>
                <xdr:col>27</xdr:col>
                <xdr:colOff>7620</xdr:colOff>
                <xdr:row>82</xdr:row>
                <xdr:rowOff>175260</xdr:rowOff>
              </from>
              <to>
                <xdr:col>28</xdr:col>
                <xdr:colOff>769620</xdr:colOff>
                <xdr:row>85</xdr:row>
                <xdr:rowOff>22860</xdr:rowOff>
              </to>
            </anchor>
          </controlPr>
        </control>
      </mc:Choice>
      <mc:Fallback>
        <control shapeId="5121" r:id="rId4" name="Command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AF87"/>
  <sheetViews>
    <sheetView showZeros="0" topLeftCell="A57" workbookViewId="0">
      <selection activeCell="P23" sqref="P23:S23"/>
    </sheetView>
  </sheetViews>
  <sheetFormatPr baseColWidth="10" defaultColWidth="11.44140625" defaultRowHeight="12.75" customHeight="1" x14ac:dyDescent="0.25"/>
  <cols>
    <col min="1" max="1" width="5.109375" style="9" customWidth="1"/>
    <col min="2" max="26" width="5.109375" style="1" customWidth="1"/>
    <col min="27" max="27" width="4.6640625" style="1" customWidth="1"/>
    <col min="28" max="16384" width="11.44140625" style="1"/>
  </cols>
  <sheetData>
    <row r="1" spans="1:26" ht="12.75" customHeight="1" x14ac:dyDescent="0.25">
      <c r="A1" s="137"/>
      <c r="B1" s="138"/>
      <c r="C1" s="138"/>
      <c r="D1" s="138"/>
      <c r="E1" s="138"/>
      <c r="F1" s="139"/>
      <c r="G1" s="146" t="s">
        <v>25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8"/>
      <c r="U1" s="149" t="s">
        <v>48</v>
      </c>
      <c r="V1" s="150"/>
      <c r="W1" s="150"/>
      <c r="X1" s="150"/>
      <c r="Y1" s="150"/>
      <c r="Z1" s="151"/>
    </row>
    <row r="2" spans="1:26" ht="12.75" customHeight="1" x14ac:dyDescent="0.25">
      <c r="A2" s="140"/>
      <c r="B2" s="141"/>
      <c r="C2" s="141"/>
      <c r="D2" s="141"/>
      <c r="E2" s="141"/>
      <c r="F2" s="142"/>
      <c r="G2" s="158" t="s">
        <v>47</v>
      </c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60"/>
      <c r="U2" s="152"/>
      <c r="V2" s="153"/>
      <c r="W2" s="153"/>
      <c r="X2" s="153"/>
      <c r="Y2" s="153"/>
      <c r="Z2" s="154"/>
    </row>
    <row r="3" spans="1:26" ht="12.75" customHeight="1" x14ac:dyDescent="0.25">
      <c r="A3" s="140"/>
      <c r="B3" s="141"/>
      <c r="C3" s="141"/>
      <c r="D3" s="141"/>
      <c r="E3" s="141"/>
      <c r="F3" s="142"/>
      <c r="G3" s="158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60"/>
      <c r="U3" s="152"/>
      <c r="V3" s="153"/>
      <c r="W3" s="153"/>
      <c r="X3" s="153"/>
      <c r="Y3" s="153"/>
      <c r="Z3" s="154"/>
    </row>
    <row r="4" spans="1:26" ht="12.75" customHeight="1" x14ac:dyDescent="0.25">
      <c r="A4" s="140"/>
      <c r="B4" s="141"/>
      <c r="C4" s="141"/>
      <c r="D4" s="141"/>
      <c r="E4" s="141"/>
      <c r="F4" s="142"/>
      <c r="G4" s="158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  <c r="U4" s="152"/>
      <c r="V4" s="153"/>
      <c r="W4" s="153"/>
      <c r="X4" s="153"/>
      <c r="Y4" s="153"/>
      <c r="Z4" s="154"/>
    </row>
    <row r="5" spans="1:26" ht="12.75" customHeight="1" x14ac:dyDescent="0.25">
      <c r="A5" s="140"/>
      <c r="B5" s="141"/>
      <c r="C5" s="141"/>
      <c r="D5" s="141"/>
      <c r="E5" s="141"/>
      <c r="F5" s="142"/>
      <c r="G5" s="161" t="s">
        <v>31</v>
      </c>
      <c r="H5" s="162"/>
      <c r="I5" s="56" t="s">
        <v>26</v>
      </c>
      <c r="J5" s="163">
        <v>1</v>
      </c>
      <c r="K5" s="164"/>
      <c r="L5" s="165" t="s">
        <v>49</v>
      </c>
      <c r="M5" s="163"/>
      <c r="N5" s="163"/>
      <c r="O5" s="164"/>
      <c r="P5" s="166" t="s">
        <v>50</v>
      </c>
      <c r="Q5" s="167"/>
      <c r="R5" s="167"/>
      <c r="S5" s="167"/>
      <c r="T5" s="168"/>
      <c r="U5" s="152"/>
      <c r="V5" s="153"/>
      <c r="W5" s="153"/>
      <c r="X5" s="153"/>
      <c r="Y5" s="153"/>
      <c r="Z5" s="154"/>
    </row>
    <row r="6" spans="1:26" ht="12.75" customHeight="1" x14ac:dyDescent="0.25">
      <c r="A6" s="143"/>
      <c r="B6" s="144"/>
      <c r="C6" s="144"/>
      <c r="D6" s="144"/>
      <c r="E6" s="144"/>
      <c r="F6" s="145"/>
      <c r="G6" s="57"/>
      <c r="H6" s="58"/>
      <c r="I6" s="58"/>
      <c r="J6" s="133" t="s">
        <v>27</v>
      </c>
      <c r="K6" s="133"/>
      <c r="L6" s="133" t="s">
        <v>28</v>
      </c>
      <c r="M6" s="133"/>
      <c r="N6" s="133"/>
      <c r="O6" s="133"/>
      <c r="P6" s="133" t="s">
        <v>29</v>
      </c>
      <c r="Q6" s="133"/>
      <c r="R6" s="133"/>
      <c r="S6" s="133"/>
      <c r="T6" s="134"/>
      <c r="U6" s="155"/>
      <c r="V6" s="156"/>
      <c r="W6" s="156"/>
      <c r="X6" s="156"/>
      <c r="Y6" s="156"/>
      <c r="Z6" s="157"/>
    </row>
    <row r="7" spans="1:26" ht="36.6" customHeight="1" x14ac:dyDescent="0.25">
      <c r="A7" s="135" t="s">
        <v>23</v>
      </c>
      <c r="B7" s="135"/>
      <c r="C7" s="135"/>
      <c r="D7" s="135"/>
      <c r="E7" s="135"/>
      <c r="F7" s="135"/>
      <c r="G7" s="136" t="s">
        <v>51</v>
      </c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</row>
    <row r="8" spans="1:26" ht="15.6" customHeight="1" x14ac:dyDescent="0.25">
      <c r="A8" s="59" t="s">
        <v>3</v>
      </c>
      <c r="B8" s="60" t="s">
        <v>0</v>
      </c>
      <c r="C8" s="61"/>
      <c r="D8" s="62"/>
      <c r="E8" s="62"/>
      <c r="F8" s="62"/>
      <c r="G8" s="62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4"/>
    </row>
    <row r="9" spans="1:26" ht="9.75" customHeight="1" x14ac:dyDescent="0.25">
      <c r="A9" s="65"/>
      <c r="B9" s="66"/>
      <c r="C9" s="66"/>
      <c r="D9" s="67"/>
      <c r="E9" s="67"/>
      <c r="F9" s="67"/>
      <c r="G9" s="67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8"/>
    </row>
    <row r="10" spans="1:26" ht="15.75" customHeight="1" x14ac:dyDescent="0.25">
      <c r="A10" s="65"/>
      <c r="B10" s="129" t="s">
        <v>7</v>
      </c>
      <c r="C10" s="129"/>
      <c r="D10" s="129"/>
      <c r="E10" s="129"/>
      <c r="F10" s="129"/>
      <c r="G10" s="129"/>
      <c r="H10" s="130" t="s">
        <v>52</v>
      </c>
      <c r="I10" s="130"/>
      <c r="J10" s="130"/>
      <c r="K10" s="130"/>
      <c r="L10" s="130"/>
      <c r="M10" s="130"/>
      <c r="N10" s="129" t="s">
        <v>1</v>
      </c>
      <c r="O10" s="129"/>
      <c r="P10" s="129"/>
      <c r="Q10" s="129"/>
      <c r="R10" s="129"/>
      <c r="S10" s="130" t="s">
        <v>53</v>
      </c>
      <c r="T10" s="130"/>
      <c r="U10" s="130"/>
      <c r="V10" s="130"/>
      <c r="W10" s="130"/>
      <c r="X10" s="130"/>
      <c r="Y10" s="130"/>
      <c r="Z10" s="68"/>
    </row>
    <row r="11" spans="1:26" ht="15.75" customHeight="1" x14ac:dyDescent="0.25">
      <c r="A11" s="65"/>
      <c r="B11" s="129" t="s">
        <v>6</v>
      </c>
      <c r="C11" s="129"/>
      <c r="D11" s="129"/>
      <c r="E11" s="129"/>
      <c r="F11" s="129"/>
      <c r="G11" s="129"/>
      <c r="H11" s="132" t="s">
        <v>54</v>
      </c>
      <c r="I11" s="132"/>
      <c r="J11" s="132"/>
      <c r="K11" s="132"/>
      <c r="L11" s="132"/>
      <c r="M11" s="132"/>
      <c r="N11" s="131" t="s">
        <v>18</v>
      </c>
      <c r="O11" s="131"/>
      <c r="P11" s="131"/>
      <c r="Q11" s="131"/>
      <c r="R11" s="131"/>
      <c r="S11" s="130" t="s">
        <v>55</v>
      </c>
      <c r="T11" s="130"/>
      <c r="U11" s="130"/>
      <c r="V11" s="130"/>
      <c r="W11" s="130"/>
      <c r="X11" s="130"/>
      <c r="Y11" s="130"/>
      <c r="Z11" s="68"/>
    </row>
    <row r="12" spans="1:26" ht="15.75" customHeight="1" x14ac:dyDescent="0.25">
      <c r="A12" s="65"/>
      <c r="B12" s="129" t="s">
        <v>8</v>
      </c>
      <c r="C12" s="129"/>
      <c r="D12" s="129"/>
      <c r="E12" s="129"/>
      <c r="F12" s="129"/>
      <c r="G12" s="129"/>
      <c r="H12" s="132" t="s">
        <v>50</v>
      </c>
      <c r="I12" s="132"/>
      <c r="J12" s="132"/>
      <c r="K12" s="132"/>
      <c r="L12" s="132"/>
      <c r="M12" s="132"/>
      <c r="N12" s="131" t="s">
        <v>19</v>
      </c>
      <c r="O12" s="131"/>
      <c r="P12" s="131"/>
      <c r="Q12" s="131"/>
      <c r="R12" s="131"/>
      <c r="S12" s="130" t="s">
        <v>56</v>
      </c>
      <c r="T12" s="130"/>
      <c r="U12" s="130"/>
      <c r="V12" s="130"/>
      <c r="W12" s="130"/>
      <c r="X12" s="130"/>
      <c r="Y12" s="130"/>
      <c r="Z12" s="68"/>
    </row>
    <row r="13" spans="1:26" ht="15.75" customHeight="1" x14ac:dyDescent="0.25">
      <c r="A13" s="65"/>
      <c r="B13" s="129" t="s">
        <v>36</v>
      </c>
      <c r="C13" s="129"/>
      <c r="D13" s="129"/>
      <c r="E13" s="129"/>
      <c r="F13" s="129"/>
      <c r="G13" s="129"/>
      <c r="H13" s="130" t="s">
        <v>57</v>
      </c>
      <c r="I13" s="130"/>
      <c r="J13" s="130"/>
      <c r="K13" s="130"/>
      <c r="L13" s="130"/>
      <c r="M13" s="130"/>
      <c r="N13" s="131" t="s">
        <v>39</v>
      </c>
      <c r="O13" s="131"/>
      <c r="P13" s="131"/>
      <c r="Q13" s="131"/>
      <c r="R13" s="131"/>
      <c r="S13" s="130" t="s">
        <v>38</v>
      </c>
      <c r="T13" s="130"/>
      <c r="U13" s="130"/>
      <c r="V13" s="130"/>
      <c r="W13" s="130"/>
      <c r="X13" s="130"/>
      <c r="Y13" s="130"/>
      <c r="Z13" s="68"/>
    </row>
    <row r="14" spans="1:26" ht="15.75" customHeight="1" x14ac:dyDescent="0.25">
      <c r="A14" s="65"/>
      <c r="B14" s="129" t="s">
        <v>37</v>
      </c>
      <c r="C14" s="129"/>
      <c r="D14" s="129"/>
      <c r="E14" s="129"/>
      <c r="F14" s="129"/>
      <c r="G14" s="129"/>
      <c r="H14" s="130" t="s">
        <v>57</v>
      </c>
      <c r="I14" s="130"/>
      <c r="J14" s="130"/>
      <c r="K14" s="130"/>
      <c r="L14" s="130"/>
      <c r="M14" s="130"/>
      <c r="N14" s="131" t="s">
        <v>39</v>
      </c>
      <c r="O14" s="131"/>
      <c r="P14" s="131"/>
      <c r="Q14" s="131"/>
      <c r="R14" s="131"/>
      <c r="S14" s="130" t="s">
        <v>40</v>
      </c>
      <c r="T14" s="130"/>
      <c r="U14" s="130"/>
      <c r="V14" s="130"/>
      <c r="W14" s="130"/>
      <c r="X14" s="130"/>
      <c r="Y14" s="130"/>
      <c r="Z14" s="68"/>
    </row>
    <row r="15" spans="1:26" ht="8.25" customHeight="1" x14ac:dyDescent="0.25">
      <c r="A15" s="11"/>
      <c r="B15" s="45"/>
      <c r="C15" s="45"/>
      <c r="D15" s="46"/>
      <c r="E15" s="46"/>
      <c r="F15" s="46"/>
      <c r="G15" s="46"/>
      <c r="H15" s="45"/>
      <c r="I15" s="45"/>
      <c r="J15" s="45"/>
      <c r="K15" s="45"/>
      <c r="L15" s="45"/>
      <c r="M15" s="45"/>
      <c r="N15" s="47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13"/>
    </row>
    <row r="16" spans="1:26" ht="7.5" customHeight="1" x14ac:dyDescent="0.35">
      <c r="A16" s="14"/>
      <c r="B16" s="15"/>
      <c r="C16" s="15"/>
      <c r="D16" s="16"/>
      <c r="E16" s="16"/>
      <c r="F16" s="16"/>
      <c r="G16" s="16"/>
      <c r="H16" s="16"/>
      <c r="I16" s="17"/>
      <c r="J16" s="15"/>
      <c r="K16" s="15"/>
      <c r="L16" s="15"/>
      <c r="M16" s="15"/>
    </row>
    <row r="17" spans="1:26" ht="15.6" customHeight="1" x14ac:dyDescent="0.25">
      <c r="A17" s="2" t="s">
        <v>4</v>
      </c>
      <c r="B17" s="3" t="s">
        <v>2</v>
      </c>
      <c r="C17" s="4"/>
      <c r="D17" s="5"/>
      <c r="E17" s="5"/>
      <c r="F17" s="5"/>
      <c r="G17" s="5"/>
      <c r="H17" s="6"/>
      <c r="I17" s="6"/>
      <c r="J17" s="18"/>
      <c r="K17" s="18"/>
      <c r="L17" s="18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</row>
    <row r="18" spans="1:26" ht="10.5" customHeight="1" x14ac:dyDescent="0.35">
      <c r="A18" s="19"/>
      <c r="D18" s="20"/>
      <c r="E18" s="21"/>
      <c r="F18" s="21"/>
      <c r="G18" s="22"/>
      <c r="H18" s="22"/>
      <c r="I18" s="23"/>
      <c r="J18" s="15"/>
      <c r="K18" s="15"/>
      <c r="L18" s="15"/>
      <c r="Q18" s="24"/>
      <c r="Z18" s="10"/>
    </row>
    <row r="19" spans="1:26" ht="15" customHeight="1" x14ac:dyDescent="0.25">
      <c r="A19" s="8"/>
      <c r="B19" s="25" t="s">
        <v>30</v>
      </c>
      <c r="C19" s="17"/>
      <c r="D19" s="17"/>
      <c r="E19" s="17"/>
      <c r="F19" s="17"/>
      <c r="G19" s="17"/>
      <c r="H19" s="9"/>
      <c r="I19" s="26"/>
      <c r="J19" s="26"/>
      <c r="K19" s="26"/>
      <c r="L19" s="26"/>
      <c r="M19" s="26"/>
      <c r="N19" s="26"/>
      <c r="S19" s="27"/>
      <c r="T19" s="27"/>
      <c r="U19" s="27"/>
      <c r="Z19" s="10"/>
    </row>
    <row r="20" spans="1:26" ht="7.5" customHeight="1" x14ac:dyDescent="0.25">
      <c r="A20" s="8"/>
      <c r="C20" s="9"/>
      <c r="D20" s="9"/>
      <c r="E20" s="9"/>
      <c r="F20" s="28"/>
      <c r="G20" s="28"/>
      <c r="Z20" s="10"/>
    </row>
    <row r="21" spans="1:26" ht="20.100000000000001" customHeight="1" x14ac:dyDescent="0.25">
      <c r="A21" s="8"/>
      <c r="B21" s="29"/>
      <c r="C21" s="29"/>
      <c r="D21" s="128" t="s">
        <v>24</v>
      </c>
      <c r="E21" s="128"/>
      <c r="F21" s="128"/>
      <c r="G21" s="128"/>
      <c r="H21" s="128">
        <v>1</v>
      </c>
      <c r="I21" s="128"/>
      <c r="J21" s="128"/>
      <c r="K21" s="128"/>
      <c r="L21" s="128">
        <v>2</v>
      </c>
      <c r="M21" s="128"/>
      <c r="N21" s="128"/>
      <c r="O21" s="128"/>
      <c r="P21" s="128">
        <v>3</v>
      </c>
      <c r="Q21" s="128"/>
      <c r="R21" s="128"/>
      <c r="S21" s="128"/>
      <c r="T21" s="128">
        <v>4</v>
      </c>
      <c r="U21" s="128"/>
      <c r="V21" s="128"/>
      <c r="W21" s="128"/>
      <c r="X21" s="29"/>
      <c r="Y21" s="29"/>
      <c r="Z21" s="10"/>
    </row>
    <row r="22" spans="1:26" ht="20.100000000000001" customHeight="1" x14ac:dyDescent="0.25">
      <c r="A22" s="8"/>
      <c r="B22" s="30"/>
      <c r="C22" s="30"/>
      <c r="D22" s="125" t="s">
        <v>35</v>
      </c>
      <c r="E22" s="125"/>
      <c r="F22" s="125"/>
      <c r="G22" s="125"/>
      <c r="H22" s="171">
        <v>12.8</v>
      </c>
      <c r="I22" s="171"/>
      <c r="J22" s="171"/>
      <c r="K22" s="171"/>
      <c r="L22" s="171">
        <v>15.5</v>
      </c>
      <c r="M22" s="171"/>
      <c r="N22" s="171"/>
      <c r="O22" s="171"/>
      <c r="P22" s="171">
        <v>17.7</v>
      </c>
      <c r="Q22" s="171"/>
      <c r="R22" s="171"/>
      <c r="S22" s="171"/>
      <c r="T22" s="171">
        <v>20.5</v>
      </c>
      <c r="U22" s="171"/>
      <c r="V22" s="171"/>
      <c r="W22" s="171"/>
      <c r="X22" s="29"/>
      <c r="Y22" s="29"/>
      <c r="Z22" s="10"/>
    </row>
    <row r="23" spans="1:26" ht="20.100000000000001" customHeight="1" x14ac:dyDescent="0.25">
      <c r="A23" s="8"/>
      <c r="B23" s="30"/>
      <c r="C23" s="30"/>
      <c r="D23" s="125" t="s">
        <v>9</v>
      </c>
      <c r="E23" s="125"/>
      <c r="F23" s="125"/>
      <c r="G23" s="125"/>
      <c r="H23" s="171">
        <v>64.14</v>
      </c>
      <c r="I23" s="171"/>
      <c r="J23" s="171"/>
      <c r="K23" s="171"/>
      <c r="L23" s="171">
        <v>70.78</v>
      </c>
      <c r="M23" s="171"/>
      <c r="N23" s="171"/>
      <c r="O23" s="171"/>
      <c r="P23" s="171">
        <v>73.25</v>
      </c>
      <c r="Q23" s="171"/>
      <c r="R23" s="171"/>
      <c r="S23" s="171"/>
      <c r="T23" s="171">
        <v>74.849999999999994</v>
      </c>
      <c r="U23" s="171"/>
      <c r="V23" s="171"/>
      <c r="W23" s="171"/>
      <c r="X23" s="29"/>
      <c r="Y23" s="29"/>
      <c r="Z23" s="10"/>
    </row>
    <row r="24" spans="1:26" ht="15.75" customHeight="1" x14ac:dyDescent="0.25">
      <c r="A24" s="8"/>
      <c r="S24" s="126"/>
      <c r="T24" s="126"/>
      <c r="Z24" s="10"/>
    </row>
    <row r="25" spans="1:26" ht="15.75" customHeight="1" x14ac:dyDescent="0.25">
      <c r="A25" s="8"/>
      <c r="C25" s="119"/>
      <c r="D25" s="120"/>
      <c r="E25" s="121"/>
      <c r="F25" s="121"/>
      <c r="H25" s="119"/>
      <c r="I25" s="120"/>
      <c r="J25" s="120"/>
      <c r="K25" s="120"/>
      <c r="L25" s="122"/>
      <c r="M25" s="122"/>
      <c r="N25" s="122"/>
      <c r="O25" s="122"/>
      <c r="Z25" s="10"/>
    </row>
    <row r="26" spans="1:26" ht="15.75" customHeight="1" x14ac:dyDescent="0.25">
      <c r="A26" s="8"/>
      <c r="C26" s="120"/>
      <c r="D26" s="120"/>
      <c r="E26" s="123"/>
      <c r="F26" s="123"/>
      <c r="H26" s="119"/>
      <c r="I26" s="120"/>
      <c r="J26" s="120"/>
      <c r="K26" s="120"/>
      <c r="L26" s="124"/>
      <c r="M26" s="124"/>
      <c r="N26" s="124"/>
      <c r="O26" s="124"/>
      <c r="Z26" s="10"/>
    </row>
    <row r="27" spans="1:26" ht="12.75" customHeight="1" x14ac:dyDescent="0.25">
      <c r="A27" s="8"/>
      <c r="Z27" s="10"/>
    </row>
    <row r="28" spans="1:26" ht="12.75" customHeight="1" x14ac:dyDescent="0.25">
      <c r="A28" s="8"/>
      <c r="Z28" s="10"/>
    </row>
    <row r="29" spans="1:26" ht="12.75" customHeight="1" x14ac:dyDescent="0.25">
      <c r="A29" s="8"/>
      <c r="Z29" s="10"/>
    </row>
    <row r="30" spans="1:26" ht="12.75" customHeight="1" x14ac:dyDescent="0.25">
      <c r="A30" s="8"/>
      <c r="Z30" s="10"/>
    </row>
    <row r="31" spans="1:26" ht="12.75" customHeight="1" x14ac:dyDescent="0.25">
      <c r="A31" s="8"/>
      <c r="Z31" s="10"/>
    </row>
    <row r="32" spans="1:26" ht="12.75" customHeight="1" x14ac:dyDescent="0.25">
      <c r="A32" s="8"/>
      <c r="Z32" s="10"/>
    </row>
    <row r="33" spans="1:27" ht="12.75" customHeight="1" x14ac:dyDescent="0.25">
      <c r="A33" s="8"/>
      <c r="Z33" s="10"/>
    </row>
    <row r="34" spans="1:27" ht="12.75" customHeight="1" x14ac:dyDescent="0.25">
      <c r="A34" s="8"/>
      <c r="Z34" s="10"/>
    </row>
    <row r="35" spans="1:27" ht="12.75" customHeight="1" x14ac:dyDescent="0.25">
      <c r="A35" s="8"/>
      <c r="Z35" s="10"/>
    </row>
    <row r="36" spans="1:27" ht="12.75" customHeight="1" x14ac:dyDescent="0.25">
      <c r="A36" s="8"/>
      <c r="Z36" s="10"/>
    </row>
    <row r="37" spans="1:27" ht="12.75" customHeight="1" x14ac:dyDescent="0.25">
      <c r="A37" s="8"/>
      <c r="Z37" s="10"/>
    </row>
    <row r="38" spans="1:27" ht="12.75" customHeight="1" x14ac:dyDescent="0.25">
      <c r="A38" s="8"/>
      <c r="Z38" s="10"/>
    </row>
    <row r="39" spans="1:27" ht="12.75" customHeight="1" x14ac:dyDescent="0.25">
      <c r="A39" s="8"/>
      <c r="Z39" s="10"/>
    </row>
    <row r="40" spans="1:27" ht="12.75" customHeight="1" x14ac:dyDescent="0.25">
      <c r="A40" s="8"/>
      <c r="Z40" s="10"/>
    </row>
    <row r="41" spans="1:27" ht="12.75" customHeight="1" x14ac:dyDescent="0.25">
      <c r="A41" s="8"/>
      <c r="Z41" s="10"/>
    </row>
    <row r="42" spans="1:27" ht="12.75" customHeight="1" x14ac:dyDescent="0.25">
      <c r="A42" s="8"/>
      <c r="R42" s="9"/>
      <c r="S42" s="9"/>
      <c r="T42" s="9"/>
      <c r="U42" s="9"/>
      <c r="V42" s="9"/>
      <c r="W42" s="9"/>
      <c r="Y42" s="9"/>
      <c r="Z42" s="31"/>
      <c r="AA42" s="9"/>
    </row>
    <row r="43" spans="1:27" ht="12.75" customHeight="1" x14ac:dyDescent="0.25">
      <c r="A43" s="8"/>
      <c r="Z43" s="10"/>
    </row>
    <row r="44" spans="1:27" ht="12.75" customHeight="1" x14ac:dyDescent="0.25">
      <c r="A44" s="8"/>
      <c r="Z44" s="10"/>
    </row>
    <row r="45" spans="1:27" ht="12.75" customHeight="1" x14ac:dyDescent="0.25">
      <c r="A45" s="8"/>
      <c r="Z45" s="10"/>
    </row>
    <row r="46" spans="1:27" ht="12.75" customHeight="1" x14ac:dyDescent="0.25">
      <c r="A46" s="8"/>
      <c r="Z46" s="10"/>
    </row>
    <row r="47" spans="1:27" ht="12.75" customHeight="1" x14ac:dyDescent="0.25">
      <c r="A47" s="8"/>
      <c r="T47" s="32"/>
      <c r="U47" s="33"/>
      <c r="Z47" s="10"/>
    </row>
    <row r="48" spans="1:27" ht="12.75" customHeight="1" x14ac:dyDescent="0.25">
      <c r="A48" s="8"/>
      <c r="T48" s="32"/>
      <c r="U48" s="33"/>
      <c r="V48" s="34"/>
      <c r="W48" s="34"/>
      <c r="Z48" s="10"/>
    </row>
    <row r="49" spans="1:26" ht="12.75" customHeight="1" x14ac:dyDescent="0.25">
      <c r="A49" s="8"/>
      <c r="T49" s="32"/>
      <c r="U49" s="33"/>
      <c r="Z49" s="10"/>
    </row>
    <row r="50" spans="1:26" ht="12.75" customHeight="1" x14ac:dyDescent="0.25">
      <c r="A50" s="8"/>
      <c r="U50" s="35"/>
      <c r="Z50" s="10"/>
    </row>
    <row r="51" spans="1:26" ht="12.75" customHeight="1" x14ac:dyDescent="0.25">
      <c r="A51" s="8"/>
      <c r="U51" s="35"/>
      <c r="Z51" s="10"/>
    </row>
    <row r="52" spans="1:26" ht="12.75" customHeight="1" x14ac:dyDescent="0.25">
      <c r="A52" s="8"/>
      <c r="U52" s="35"/>
      <c r="Z52" s="10"/>
    </row>
    <row r="53" spans="1:26" ht="8.25" customHeight="1" x14ac:dyDescent="0.25">
      <c r="A53" s="8"/>
      <c r="U53" s="15"/>
      <c r="Z53" s="10"/>
    </row>
    <row r="54" spans="1:26" ht="12.75" customHeight="1" x14ac:dyDescent="0.25">
      <c r="A54" s="8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10"/>
    </row>
    <row r="55" spans="1:26" ht="12.75" customHeight="1" x14ac:dyDescent="0.25">
      <c r="A55" s="8"/>
      <c r="B55" s="103" t="s">
        <v>32</v>
      </c>
      <c r="C55" s="104"/>
      <c r="D55" s="104"/>
      <c r="E55" s="104"/>
      <c r="F55" s="111">
        <v>71.3</v>
      </c>
      <c r="G55" s="112"/>
      <c r="H55" s="37" t="s">
        <v>33</v>
      </c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10"/>
    </row>
    <row r="56" spans="1:26" ht="12.75" customHeight="1" x14ac:dyDescent="0.25">
      <c r="A56" s="8"/>
      <c r="H56" s="102" t="s">
        <v>34</v>
      </c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"/>
    </row>
    <row r="57" spans="1:26" ht="12.75" customHeight="1" x14ac:dyDescent="0.25">
      <c r="A57" s="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10"/>
    </row>
    <row r="58" spans="1:26" ht="12.75" customHeight="1" x14ac:dyDescent="0.25">
      <c r="A58" s="8"/>
      <c r="U58" s="15"/>
      <c r="Z58" s="10"/>
    </row>
    <row r="59" spans="1:26" ht="15" customHeight="1" x14ac:dyDescent="0.25">
      <c r="A59" s="8"/>
      <c r="B59" s="39" t="s">
        <v>41</v>
      </c>
      <c r="U59" s="15"/>
      <c r="Z59" s="10"/>
    </row>
    <row r="60" spans="1:26" ht="12.75" customHeight="1" x14ac:dyDescent="0.25">
      <c r="A60" s="8"/>
      <c r="B60" s="102" t="s">
        <v>10</v>
      </c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"/>
    </row>
    <row r="61" spans="1:26" ht="12.75" customHeight="1" x14ac:dyDescent="0.25">
      <c r="A61" s="8"/>
      <c r="Z61" s="10"/>
    </row>
    <row r="62" spans="1:26" ht="12.75" customHeight="1" x14ac:dyDescent="0.25">
      <c r="A62" s="8"/>
      <c r="B62" s="1" t="s">
        <v>11</v>
      </c>
      <c r="G62" s="113" t="s">
        <v>42</v>
      </c>
      <c r="H62" s="114"/>
      <c r="I62" s="114"/>
      <c r="J62" s="169">
        <v>0.27089999999999997</v>
      </c>
      <c r="K62" s="170"/>
      <c r="N62" s="113" t="s">
        <v>43</v>
      </c>
      <c r="O62" s="114"/>
      <c r="P62" s="114"/>
      <c r="Q62" s="169">
        <v>0.28220000000000001</v>
      </c>
      <c r="R62" s="170"/>
      <c r="Z62" s="10"/>
    </row>
    <row r="63" spans="1:26" ht="12.75" customHeight="1" x14ac:dyDescent="0.25">
      <c r="A63" s="8"/>
      <c r="R63" s="29"/>
      <c r="S63" s="33"/>
      <c r="T63" s="29"/>
      <c r="U63" s="29"/>
      <c r="V63" s="29"/>
      <c r="W63" s="29"/>
      <c r="Z63" s="10"/>
    </row>
    <row r="64" spans="1:26" ht="12.75" customHeight="1" x14ac:dyDescent="0.25">
      <c r="A64" s="8"/>
      <c r="B64" s="40" t="s">
        <v>44</v>
      </c>
      <c r="C64" s="41"/>
      <c r="D64" s="41"/>
      <c r="E64" s="41"/>
      <c r="F64" s="41"/>
      <c r="G64" s="99">
        <f>IF(J62&lt;&gt;"",IF(Q62&lt;&gt;"",(J62+Q62)/2,""),"")</f>
        <v>0.27654999999999996</v>
      </c>
      <c r="H64" s="100"/>
      <c r="I64" s="101" t="s">
        <v>16</v>
      </c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"/>
    </row>
    <row r="65" spans="1:32" ht="12.75" customHeight="1" x14ac:dyDescent="0.25">
      <c r="A65" s="8"/>
      <c r="C65" s="36"/>
      <c r="D65" s="36"/>
      <c r="E65" s="36"/>
      <c r="F65" s="36"/>
      <c r="G65" s="36"/>
      <c r="H65" s="36"/>
      <c r="I65" s="102" t="s">
        <v>12</v>
      </c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"/>
    </row>
    <row r="66" spans="1:32" ht="12.75" customHeight="1" x14ac:dyDescent="0.25">
      <c r="A66" s="8"/>
      <c r="R66" s="29"/>
      <c r="S66" s="29"/>
      <c r="T66" s="29"/>
      <c r="U66" s="29"/>
      <c r="V66" s="29"/>
      <c r="W66" s="29"/>
      <c r="Z66" s="10"/>
    </row>
    <row r="67" spans="1:32" ht="15" customHeight="1" x14ac:dyDescent="0.25">
      <c r="A67" s="8"/>
      <c r="B67" s="39" t="s">
        <v>13</v>
      </c>
      <c r="R67" s="29"/>
      <c r="S67" s="29"/>
      <c r="T67" s="29"/>
      <c r="U67" s="29"/>
      <c r="V67" s="29"/>
      <c r="W67" s="29"/>
      <c r="Z67" s="10"/>
    </row>
    <row r="68" spans="1:32" ht="8.25" customHeight="1" x14ac:dyDescent="0.25">
      <c r="A68" s="8"/>
      <c r="R68" s="29"/>
      <c r="S68" s="33"/>
      <c r="U68" s="29"/>
      <c r="V68" s="29"/>
      <c r="W68" s="29"/>
      <c r="Z68" s="10"/>
    </row>
    <row r="69" spans="1:32" ht="12.75" customHeight="1" x14ac:dyDescent="0.25">
      <c r="A69" s="8"/>
      <c r="B69" s="103" t="s">
        <v>45</v>
      </c>
      <c r="C69" s="104"/>
      <c r="D69" s="104"/>
      <c r="E69" s="105">
        <f>IF(F55&lt;&gt;"",IF(G64&lt;&gt;"",F55-(G64*100),""),"")</f>
        <v>43.644999999999996</v>
      </c>
      <c r="F69" s="106"/>
      <c r="R69" s="29"/>
      <c r="S69" s="33"/>
      <c r="U69" s="29"/>
      <c r="V69" s="29"/>
      <c r="W69" s="29"/>
      <c r="Z69" s="10"/>
    </row>
    <row r="70" spans="1:32" ht="12.75" customHeight="1" x14ac:dyDescent="0.25">
      <c r="A70" s="8"/>
      <c r="R70" s="29"/>
      <c r="S70" s="33"/>
      <c r="U70" s="29"/>
      <c r="V70" s="29"/>
      <c r="W70" s="29"/>
      <c r="Z70" s="10"/>
    </row>
    <row r="71" spans="1:32" ht="15" customHeight="1" x14ac:dyDescent="0.25">
      <c r="A71" s="8"/>
      <c r="B71" s="39" t="s">
        <v>14</v>
      </c>
      <c r="R71" s="29"/>
      <c r="S71" s="33"/>
      <c r="U71" s="29"/>
      <c r="V71" s="29"/>
      <c r="W71" s="29"/>
      <c r="Z71" s="10"/>
    </row>
    <row r="72" spans="1:32" ht="10.5" customHeight="1" x14ac:dyDescent="0.25">
      <c r="A72" s="8"/>
      <c r="B72" s="39"/>
      <c r="R72" s="29"/>
      <c r="S72" s="33"/>
      <c r="U72" s="29"/>
      <c r="V72" s="29"/>
      <c r="W72" s="29"/>
      <c r="Z72" s="10"/>
    </row>
    <row r="73" spans="1:32" ht="12.75" customHeight="1" x14ac:dyDescent="0.3">
      <c r="A73" s="8"/>
      <c r="B73" s="107" t="s">
        <v>15</v>
      </c>
      <c r="C73" s="108"/>
      <c r="D73" s="108"/>
      <c r="E73" s="108"/>
      <c r="F73" s="108"/>
      <c r="G73" s="108"/>
      <c r="H73" s="109">
        <v>0.20599999999999999</v>
      </c>
      <c r="I73" s="110"/>
      <c r="R73" s="29"/>
      <c r="S73" s="33"/>
      <c r="U73" s="29"/>
      <c r="V73" s="29"/>
      <c r="W73" s="29"/>
      <c r="Z73" s="10"/>
    </row>
    <row r="74" spans="1:32" ht="8.25" customHeight="1" x14ac:dyDescent="0.25">
      <c r="A74" s="8"/>
      <c r="B74" s="39"/>
      <c r="R74" s="29"/>
      <c r="S74" s="33"/>
      <c r="U74" s="29"/>
      <c r="V74" s="29"/>
      <c r="W74" s="29"/>
      <c r="Z74" s="10"/>
    </row>
    <row r="75" spans="1:32" ht="12.75" customHeight="1" x14ac:dyDescent="0.25">
      <c r="A75" s="8"/>
      <c r="B75" s="70" t="s">
        <v>46</v>
      </c>
      <c r="C75" s="71"/>
      <c r="D75" s="71"/>
      <c r="E75" s="71"/>
      <c r="F75" s="72">
        <f>IF(F55&lt;&gt;"",IF(H73&lt;&gt;"",(F55-(H73*100))/E69,""),"")</f>
        <v>1.1616450910757248</v>
      </c>
      <c r="G75" s="73"/>
      <c r="R75" s="29"/>
      <c r="S75" s="33"/>
      <c r="U75" s="29"/>
      <c r="V75" s="29"/>
      <c r="W75" s="29"/>
      <c r="Z75" s="10"/>
    </row>
    <row r="76" spans="1:32" ht="12.75" customHeight="1" x14ac:dyDescent="0.25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</row>
    <row r="77" spans="1:32" ht="7.5" customHeight="1" x14ac:dyDescent="0.25"/>
    <row r="78" spans="1:32" s="29" customFormat="1" ht="15.6" customHeight="1" x14ac:dyDescent="0.25">
      <c r="A78" s="2" t="s">
        <v>5</v>
      </c>
      <c r="B78" s="3" t="s">
        <v>17</v>
      </c>
      <c r="C78" s="4"/>
      <c r="D78" s="42"/>
      <c r="E78" s="4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3"/>
      <c r="R78" s="4"/>
      <c r="S78" s="4"/>
      <c r="T78" s="4"/>
      <c r="U78" s="74"/>
      <c r="V78" s="74"/>
      <c r="W78" s="74"/>
      <c r="X78" s="74"/>
      <c r="Y78" s="74"/>
      <c r="Z78" s="75"/>
      <c r="AD78" s="44"/>
      <c r="AE78" s="44"/>
      <c r="AF78" s="44"/>
    </row>
    <row r="79" spans="1:32" s="29" customFormat="1" ht="27" customHeight="1" x14ac:dyDescent="0.25">
      <c r="A79" s="76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8"/>
      <c r="R79" s="82" t="s">
        <v>20</v>
      </c>
      <c r="S79" s="82"/>
      <c r="T79" s="83"/>
      <c r="U79" s="84" t="s">
        <v>52</v>
      </c>
      <c r="V79" s="85"/>
      <c r="W79" s="85"/>
      <c r="X79" s="85"/>
      <c r="Y79" s="85"/>
      <c r="Z79" s="86"/>
      <c r="AD79" s="44"/>
      <c r="AE79" s="44"/>
      <c r="AF79" s="44"/>
    </row>
    <row r="80" spans="1:32" s="29" customFormat="1" ht="15.6" customHeight="1" x14ac:dyDescent="0.25">
      <c r="A80" s="76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8"/>
      <c r="R80" s="82" t="s">
        <v>21</v>
      </c>
      <c r="S80" s="82"/>
      <c r="T80" s="83"/>
      <c r="U80" s="87" t="s">
        <v>58</v>
      </c>
      <c r="V80" s="88"/>
      <c r="W80" s="88"/>
      <c r="X80" s="88"/>
      <c r="Y80" s="88"/>
      <c r="Z80" s="89"/>
      <c r="AD80" s="44"/>
      <c r="AE80" s="44"/>
      <c r="AF80" s="44"/>
    </row>
    <row r="81" spans="1:32" s="29" customFormat="1" ht="15.6" customHeight="1" x14ac:dyDescent="0.25">
      <c r="A81" s="76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8"/>
      <c r="R81" s="82"/>
      <c r="S81" s="82"/>
      <c r="T81" s="83"/>
      <c r="U81" s="90"/>
      <c r="V81" s="91"/>
      <c r="W81" s="91"/>
      <c r="X81" s="91"/>
      <c r="Y81" s="91"/>
      <c r="Z81" s="92"/>
      <c r="AD81" s="44"/>
      <c r="AE81" s="44"/>
      <c r="AF81" s="44"/>
    </row>
    <row r="82" spans="1:32" s="29" customFormat="1" ht="15.6" customHeight="1" x14ac:dyDescent="0.25">
      <c r="A82" s="76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8"/>
      <c r="R82" s="82"/>
      <c r="S82" s="82"/>
      <c r="T82" s="83"/>
      <c r="U82" s="93"/>
      <c r="V82" s="94"/>
      <c r="W82" s="94"/>
      <c r="X82" s="94"/>
      <c r="Y82" s="94"/>
      <c r="Z82" s="95"/>
      <c r="AD82" s="44"/>
      <c r="AE82" s="44"/>
      <c r="AF82" s="44"/>
    </row>
    <row r="83" spans="1:32" s="29" customFormat="1" ht="15.6" customHeight="1" x14ac:dyDescent="0.25">
      <c r="A83" s="76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8"/>
      <c r="R83" s="82" t="s">
        <v>22</v>
      </c>
      <c r="S83" s="82"/>
      <c r="T83" s="83"/>
      <c r="U83" s="48"/>
      <c r="V83" s="49"/>
      <c r="W83" s="49"/>
      <c r="X83" s="49"/>
      <c r="Y83" s="49"/>
      <c r="Z83" s="50"/>
      <c r="AD83" s="44"/>
      <c r="AE83" s="44"/>
      <c r="AF83" s="44"/>
    </row>
    <row r="84" spans="1:32" s="29" customFormat="1" ht="15.6" customHeight="1" x14ac:dyDescent="0.25">
      <c r="A84" s="76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8"/>
      <c r="R84" s="82"/>
      <c r="S84" s="82"/>
      <c r="T84" s="83"/>
      <c r="U84" s="51"/>
      <c r="V84" s="98"/>
      <c r="W84" s="98"/>
      <c r="X84" s="98"/>
      <c r="Y84" s="98"/>
      <c r="Z84" s="52"/>
      <c r="AD84" s="44"/>
      <c r="AE84" s="44"/>
      <c r="AF84" s="44"/>
    </row>
    <row r="85" spans="1:32" s="29" customFormat="1" ht="15.6" customHeight="1" x14ac:dyDescent="0.25">
      <c r="A85" s="76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8"/>
      <c r="R85" s="82"/>
      <c r="S85" s="82"/>
      <c r="T85" s="83"/>
      <c r="U85" s="51"/>
      <c r="V85" s="98"/>
      <c r="W85" s="98"/>
      <c r="X85" s="98"/>
      <c r="Y85" s="98"/>
      <c r="Z85" s="52"/>
      <c r="AD85" s="44"/>
      <c r="AE85" s="44"/>
      <c r="AF85" s="44"/>
    </row>
    <row r="86" spans="1:32" s="29" customFormat="1" ht="15.6" customHeight="1" x14ac:dyDescent="0.25">
      <c r="A86" s="79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1"/>
      <c r="R86" s="96"/>
      <c r="S86" s="96"/>
      <c r="T86" s="97"/>
      <c r="U86" s="53"/>
      <c r="V86" s="54"/>
      <c r="W86" s="54"/>
      <c r="X86" s="54"/>
      <c r="Y86" s="54"/>
      <c r="Z86" s="55"/>
      <c r="AD86" s="44"/>
      <c r="AE86" s="44"/>
      <c r="AF86" s="44"/>
    </row>
    <row r="87" spans="1:32" ht="15.75" customHeight="1" x14ac:dyDescent="0.25">
      <c r="A87" s="1"/>
    </row>
  </sheetData>
  <sheetProtection selectLockedCells="1"/>
  <mergeCells count="82">
    <mergeCell ref="H56:Y56"/>
    <mergeCell ref="F55:G55"/>
    <mergeCell ref="D23:G23"/>
    <mergeCell ref="H23:K23"/>
    <mergeCell ref="L23:O23"/>
    <mergeCell ref="P23:S23"/>
    <mergeCell ref="T23:W23"/>
    <mergeCell ref="B55:E55"/>
    <mergeCell ref="S24:T24"/>
    <mergeCell ref="L26:O26"/>
    <mergeCell ref="C25:D25"/>
    <mergeCell ref="E25:F25"/>
    <mergeCell ref="H25:K25"/>
    <mergeCell ref="L25:O25"/>
    <mergeCell ref="C26:D26"/>
    <mergeCell ref="E26:F26"/>
    <mergeCell ref="T21:W21"/>
    <mergeCell ref="D22:G22"/>
    <mergeCell ref="H22:K22"/>
    <mergeCell ref="L22:O22"/>
    <mergeCell ref="P22:S22"/>
    <mergeCell ref="T22:W22"/>
    <mergeCell ref="D21:G21"/>
    <mergeCell ref="H21:K21"/>
    <mergeCell ref="L21:O21"/>
    <mergeCell ref="P21:S21"/>
    <mergeCell ref="U79:Z79"/>
    <mergeCell ref="B75:E75"/>
    <mergeCell ref="F75:G75"/>
    <mergeCell ref="G62:I62"/>
    <mergeCell ref="G64:H64"/>
    <mergeCell ref="I65:Y65"/>
    <mergeCell ref="I64:Y64"/>
    <mergeCell ref="E69:F69"/>
    <mergeCell ref="B69:D69"/>
    <mergeCell ref="B73:G73"/>
    <mergeCell ref="H73:I73"/>
    <mergeCell ref="J62:K62"/>
    <mergeCell ref="N62:P62"/>
    <mergeCell ref="Q62:R62"/>
    <mergeCell ref="R79:T79"/>
    <mergeCell ref="U78:Z78"/>
    <mergeCell ref="A7:F7"/>
    <mergeCell ref="G7:Z7"/>
    <mergeCell ref="S10:Y10"/>
    <mergeCell ref="S11:Y11"/>
    <mergeCell ref="S12:Y12"/>
    <mergeCell ref="N11:R11"/>
    <mergeCell ref="N10:R10"/>
    <mergeCell ref="N12:R12"/>
    <mergeCell ref="B10:G10"/>
    <mergeCell ref="B11:G11"/>
    <mergeCell ref="H10:M10"/>
    <mergeCell ref="H11:M11"/>
    <mergeCell ref="H12:M12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H13:M13"/>
    <mergeCell ref="H14:M14"/>
    <mergeCell ref="V84:Y85"/>
    <mergeCell ref="H26:K26"/>
    <mergeCell ref="B12:G12"/>
    <mergeCell ref="B13:G13"/>
    <mergeCell ref="B14:G14"/>
    <mergeCell ref="N13:R13"/>
    <mergeCell ref="N14:R14"/>
    <mergeCell ref="S13:Y13"/>
    <mergeCell ref="S14:Y14"/>
    <mergeCell ref="A79:Q86"/>
    <mergeCell ref="B60:Y60"/>
    <mergeCell ref="R80:T82"/>
    <mergeCell ref="R83:T86"/>
    <mergeCell ref="U80:Z82"/>
  </mergeCells>
  <phoneticPr fontId="1" type="noConversion"/>
  <printOptions horizontalCentered="1"/>
  <pageMargins left="0.39370078740157483" right="0.39370078740157483" top="0.39370078740157483" bottom="0.39370078740157483" header="0" footer="0.19685039370078741"/>
  <pageSetup paperSize="9" scale="65" orientation="portrait" r:id="rId1"/>
  <headerFooter alignWithMargins="0">
    <oddFooter>&amp;RDG-Q / CRE LCP du 06/04/2011</oddFooter>
  </headerFooter>
  <drawing r:id="rId2"/>
  <legacyDrawing r:id="rId3"/>
  <controls>
    <mc:AlternateContent xmlns:mc="http://schemas.openxmlformats.org/markup-compatibility/2006">
      <mc:Choice Requires="x14">
        <control shapeId="4150" r:id="rId4" name="CommandButton1">
          <controlPr defaultSize="0" autoLine="0" r:id="rId5">
            <anchor moveWithCells="1">
              <from>
                <xdr:col>27</xdr:col>
                <xdr:colOff>7620</xdr:colOff>
                <xdr:row>82</xdr:row>
                <xdr:rowOff>175260</xdr:rowOff>
              </from>
              <to>
                <xdr:col>28</xdr:col>
                <xdr:colOff>769620</xdr:colOff>
                <xdr:row>85</xdr:row>
                <xdr:rowOff>22860</xdr:rowOff>
              </to>
            </anchor>
          </controlPr>
        </control>
      </mc:Choice>
      <mc:Fallback>
        <control shapeId="4150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S4E1</vt:lpstr>
      <vt:lpstr>S3E1</vt:lpstr>
      <vt:lpstr>S2E1</vt:lpstr>
      <vt:lpstr>250325 S1E1</vt:lpstr>
      <vt:lpstr>'250325 S1E1'!Zone_d_impression</vt:lpstr>
      <vt:lpstr>S2E1!Zone_d_impression</vt:lpstr>
      <vt:lpstr>S3E1!Zone_d_impression</vt:lpstr>
      <vt:lpstr>S4E1!Zone_d_impression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GOEDDE</dc:creator>
  <cp:lastModifiedBy>MONTET Frédéric</cp:lastModifiedBy>
  <cp:lastPrinted>2018-03-09T07:58:00Z</cp:lastPrinted>
  <dcterms:created xsi:type="dcterms:W3CDTF">2004-11-13T18:13:05Z</dcterms:created>
  <dcterms:modified xsi:type="dcterms:W3CDTF">2025-03-31T09:40:30Z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17935966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