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EsteLivro"/>
  <mc:AlternateContent xmlns:mc="http://schemas.openxmlformats.org/markup-compatibility/2006">
    <mc:Choice Requires="x15">
      <x15ac:absPath xmlns:x15ac="http://schemas.microsoft.com/office/spreadsheetml/2010/11/ac" url="C:\Users\MP.Pereira\Desktop\LABO\"/>
    </mc:Choice>
  </mc:AlternateContent>
  <xr:revisionPtr revIDLastSave="0" documentId="13_ncr:1_{125C41D7-1947-4CEE-9D78-B00D53401823}" xr6:coauthVersionLast="43" xr6:coauthVersionMax="43" xr10:uidLastSave="{00000000-0000-0000-0000-000000000000}"/>
  <bookViews>
    <workbookView xWindow="-28920" yWindow="-120" windowWidth="29040" windowHeight="15990" xr2:uid="{00000000-000D-0000-FFFF-FFFF00000000}"/>
  </bookViews>
  <sheets>
    <sheet name="Folha1" sheetId="1" r:id="rId1"/>
    <sheet name="Folha2" sheetId="2" r:id="rId2"/>
    <sheet name="Folha3" sheetId="3" r:id="rId3"/>
    <sheet name="NF P 11-300" sheetId="6" r:id="rId4"/>
    <sheet name="Recyclé" sheetId="8" r:id="rId5"/>
    <sheet name="Folha4" sheetId="4" r:id="rId6"/>
    <sheet name="Pérmeamétre" sheetId="7" r:id="rId7"/>
    <sheet name="Folha5" sheetId="5" r:id="rId8"/>
  </sheets>
  <externalReferences>
    <externalReference r:id="rId9"/>
    <externalReference r:id="rId10"/>
  </externalReferences>
  <definedNames>
    <definedName name="_xlnm._FilterDatabase" localSheetId="0" hidden="1">Folha1!$C$1:$C$2554</definedName>
    <definedName name="k">#REF!</definedName>
    <definedName name="KgrForça">#REF!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28" i="1" l="1"/>
  <c r="R28" i="1"/>
  <c r="S26" i="1"/>
  <c r="R26" i="1"/>
  <c r="S25" i="1"/>
  <c r="R25" i="1"/>
  <c r="S24" i="1"/>
  <c r="R24" i="1"/>
  <c r="S27" i="1"/>
  <c r="R27" i="1"/>
  <c r="S23" i="1"/>
  <c r="R23" i="1"/>
  <c r="V14" i="1"/>
  <c r="U18" i="1"/>
  <c r="U17" i="1"/>
  <c r="U16" i="1"/>
  <c r="U15" i="1"/>
  <c r="U14" i="1"/>
  <c r="V53" i="1"/>
  <c r="U53" i="1"/>
  <c r="U4" i="1"/>
  <c r="V4" i="1"/>
  <c r="U5" i="1"/>
  <c r="V5" i="1"/>
  <c r="U6" i="1"/>
  <c r="V6" i="1"/>
  <c r="U7" i="1"/>
  <c r="V7" i="1"/>
  <c r="U8" i="1"/>
  <c r="V8" i="1"/>
  <c r="U9" i="1"/>
  <c r="V9" i="1"/>
  <c r="BB27" i="1" l="1"/>
  <c r="BC27" i="1" s="1"/>
  <c r="BD27" i="1" s="1"/>
  <c r="BE27" i="1" s="1"/>
  <c r="BF27" i="1" s="1"/>
  <c r="BG27" i="1" s="1"/>
  <c r="BH27" i="1" s="1"/>
  <c r="BI27" i="1" s="1"/>
  <c r="BJ27" i="1" s="1"/>
  <c r="BK27" i="1" s="1"/>
  <c r="BL27" i="1" s="1"/>
  <c r="BM27" i="1" s="1"/>
  <c r="BN27" i="1" s="1"/>
  <c r="BO27" i="1" s="1"/>
  <c r="BP27" i="1" s="1"/>
  <c r="BQ27" i="1" s="1"/>
  <c r="AZ27" i="1" l="1"/>
  <c r="AY27" i="1" s="1"/>
  <c r="J32" i="6" l="1"/>
  <c r="J33" i="6"/>
  <c r="J27" i="6"/>
  <c r="J23" i="6"/>
  <c r="J22" i="6"/>
  <c r="J31" i="6" l="1"/>
  <c r="J30" i="6"/>
  <c r="J29" i="6"/>
  <c r="J28" i="6"/>
  <c r="J24" i="6"/>
  <c r="J26" i="6"/>
  <c r="J25" i="6"/>
  <c r="AD33" i="1" l="1"/>
  <c r="AD32" i="1"/>
  <c r="L32" i="7" l="1"/>
  <c r="J32" i="7"/>
  <c r="H32" i="7"/>
  <c r="L31" i="7"/>
  <c r="J31" i="7"/>
  <c r="H31" i="7"/>
  <c r="L30" i="7"/>
  <c r="J30" i="7"/>
  <c r="H30" i="7"/>
  <c r="L29" i="7"/>
  <c r="J29" i="7"/>
  <c r="H29" i="7"/>
  <c r="L28" i="7"/>
  <c r="J28" i="7"/>
  <c r="H28" i="7"/>
  <c r="L27" i="7"/>
  <c r="J27" i="7"/>
  <c r="H27" i="7"/>
  <c r="L26" i="7"/>
  <c r="J26" i="7"/>
  <c r="H26" i="7"/>
  <c r="L25" i="7"/>
  <c r="J25" i="7"/>
  <c r="H25" i="7"/>
  <c r="L24" i="7"/>
  <c r="J24" i="7"/>
  <c r="H24" i="7"/>
  <c r="L23" i="7"/>
  <c r="J23" i="7"/>
  <c r="H23" i="7"/>
  <c r="L22" i="7"/>
  <c r="J22" i="7"/>
  <c r="H22" i="7"/>
  <c r="L21" i="7"/>
  <c r="J21" i="7"/>
  <c r="H21" i="7"/>
  <c r="L20" i="7"/>
  <c r="J20" i="7"/>
  <c r="H20" i="7"/>
  <c r="L19" i="7"/>
  <c r="J19" i="7"/>
  <c r="H19" i="7"/>
  <c r="L18" i="7"/>
  <c r="J18" i="7"/>
  <c r="H18" i="7"/>
  <c r="L17" i="7"/>
  <c r="J17" i="7"/>
  <c r="H17" i="7"/>
  <c r="L16" i="7"/>
  <c r="J16" i="7"/>
  <c r="H16" i="7"/>
  <c r="L15" i="7"/>
  <c r="J15" i="7"/>
  <c r="H15" i="7"/>
  <c r="L14" i="7"/>
  <c r="J14" i="7"/>
  <c r="H14" i="7"/>
  <c r="L13" i="7"/>
  <c r="J13" i="7"/>
  <c r="H13" i="7"/>
  <c r="L12" i="7"/>
  <c r="J12" i="7"/>
  <c r="H12" i="7"/>
  <c r="L11" i="7"/>
  <c r="J11" i="7"/>
  <c r="H11" i="7"/>
  <c r="L10" i="7"/>
  <c r="J10" i="7"/>
  <c r="H10" i="7"/>
  <c r="L9" i="7"/>
  <c r="J9" i="7"/>
  <c r="H9" i="7"/>
  <c r="L8" i="7"/>
  <c r="J8" i="7"/>
  <c r="H8" i="7"/>
  <c r="L7" i="7"/>
  <c r="J7" i="7"/>
  <c r="H7" i="7"/>
  <c r="L6" i="7"/>
  <c r="J6" i="7"/>
  <c r="H6" i="7"/>
  <c r="L5" i="7"/>
  <c r="J5" i="7"/>
  <c r="H5" i="7"/>
  <c r="L4" i="7"/>
  <c r="J4" i="7"/>
  <c r="G4" i="7"/>
  <c r="H4" i="7"/>
  <c r="L3" i="7"/>
  <c r="J3" i="7"/>
  <c r="G3" i="7"/>
  <c r="H3" i="7"/>
  <c r="M4" i="7" l="1"/>
  <c r="M3" i="7"/>
  <c r="G5" i="7"/>
  <c r="G7" i="7"/>
  <c r="G9" i="7"/>
  <c r="G11" i="7"/>
  <c r="G13" i="7"/>
  <c r="G14" i="7"/>
  <c r="G16" i="7"/>
  <c r="G19" i="7"/>
  <c r="G21" i="7"/>
  <c r="G23" i="7"/>
  <c r="G25" i="7"/>
  <c r="G26" i="7"/>
  <c r="G27" i="7"/>
  <c r="G28" i="7"/>
  <c r="G29" i="7"/>
  <c r="G30" i="7"/>
  <c r="G31" i="7"/>
  <c r="G32" i="7"/>
  <c r="G6" i="7"/>
  <c r="G8" i="7"/>
  <c r="G10" i="7"/>
  <c r="G12" i="7"/>
  <c r="G15" i="7"/>
  <c r="M16" i="7" s="1"/>
  <c r="G17" i="7"/>
  <c r="G18" i="7"/>
  <c r="G20" i="7"/>
  <c r="G22" i="7"/>
  <c r="G24" i="7"/>
  <c r="M25" i="7" l="1"/>
  <c r="M21" i="7"/>
  <c r="M9" i="7"/>
  <c r="M29" i="7"/>
  <c r="M27" i="7"/>
  <c r="M24" i="7"/>
  <c r="M15" i="7"/>
  <c r="M8" i="7"/>
  <c r="M20" i="7"/>
  <c r="M12" i="7"/>
  <c r="M23" i="7"/>
  <c r="M18" i="7"/>
  <c r="M11" i="7"/>
  <c r="M7" i="7"/>
  <c r="M32" i="7"/>
  <c r="M30" i="7"/>
  <c r="M28" i="7"/>
  <c r="M26" i="7"/>
  <c r="M22" i="7"/>
  <c r="M17" i="7"/>
  <c r="M14" i="7"/>
  <c r="M10" i="7"/>
  <c r="M6" i="7"/>
  <c r="M13" i="7"/>
  <c r="M31" i="7"/>
  <c r="N2" i="7"/>
  <c r="M5" i="7"/>
  <c r="M19" i="7"/>
  <c r="P15" i="8"/>
  <c r="O15" i="8"/>
  <c r="I15" i="8"/>
  <c r="P14" i="8"/>
  <c r="O14" i="8"/>
  <c r="I14" i="8"/>
  <c r="O13" i="8"/>
  <c r="I13" i="8"/>
  <c r="O12" i="8"/>
  <c r="P11" i="8"/>
  <c r="O11" i="8"/>
  <c r="P13" i="8"/>
  <c r="P12" i="8"/>
  <c r="U15" i="8"/>
  <c r="U14" i="8"/>
  <c r="U13" i="8"/>
  <c r="N4" i="7" l="1"/>
  <c r="V10" i="1"/>
  <c r="V11" i="1"/>
  <c r="V12" i="1"/>
  <c r="V13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C3" i="7" l="1"/>
  <c r="U10" i="1"/>
  <c r="U11" i="1"/>
  <c r="U12" i="1"/>
  <c r="U13" i="1"/>
  <c r="D2" i="1" l="1"/>
  <c r="B1" i="2" s="1"/>
  <c r="B4" i="2" s="1"/>
  <c r="D1303" i="1"/>
  <c r="BC38" i="1"/>
  <c r="AY47" i="1"/>
  <c r="BG38" i="1"/>
  <c r="AY48" i="1"/>
  <c r="AY49" i="1"/>
  <c r="AY50" i="1"/>
  <c r="AY51" i="1"/>
  <c r="AY52" i="1"/>
  <c r="AY53" i="1"/>
  <c r="AX48" i="1"/>
  <c r="AX49" i="1"/>
  <c r="AX50" i="1"/>
  <c r="AX51" i="1"/>
  <c r="AX52" i="1"/>
  <c r="AX53" i="1"/>
  <c r="AX47" i="1"/>
  <c r="BF38" i="1"/>
  <c r="S9" i="6"/>
  <c r="Q34" i="3"/>
  <c r="Q32" i="3" s="1"/>
  <c r="D95" i="1"/>
  <c r="D96" i="1"/>
  <c r="AX30" i="1"/>
  <c r="AX27" i="1" s="1"/>
  <c r="AW30" i="1"/>
  <c r="D244" i="1"/>
  <c r="EI2551" i="1"/>
  <c r="EJ4" i="1"/>
  <c r="EJ5" i="1"/>
  <c r="EJ6" i="1"/>
  <c r="EJ7" i="1"/>
  <c r="EJ8" i="1"/>
  <c r="EJ9" i="1"/>
  <c r="EJ10" i="1"/>
  <c r="EJ11" i="1"/>
  <c r="EJ12" i="1"/>
  <c r="EJ13" i="1"/>
  <c r="EJ14" i="1"/>
  <c r="EJ15" i="1"/>
  <c r="EJ16" i="1"/>
  <c r="EJ17" i="1"/>
  <c r="EJ18" i="1"/>
  <c r="EJ19" i="1"/>
  <c r="EJ20" i="1"/>
  <c r="EJ21" i="1"/>
  <c r="EJ22" i="1"/>
  <c r="EJ23" i="1"/>
  <c r="EJ24" i="1"/>
  <c r="EJ25" i="1"/>
  <c r="EJ26" i="1"/>
  <c r="EJ27" i="1"/>
  <c r="EJ28" i="1"/>
  <c r="EJ29" i="1"/>
  <c r="EJ30" i="1"/>
  <c r="EJ31" i="1"/>
  <c r="EJ32" i="1"/>
  <c r="EJ33" i="1"/>
  <c r="EJ34" i="1"/>
  <c r="EJ35" i="1"/>
  <c r="EJ36" i="1"/>
  <c r="EJ37" i="1"/>
  <c r="EJ38" i="1"/>
  <c r="EJ39" i="1"/>
  <c r="EJ40" i="1"/>
  <c r="EJ41" i="1"/>
  <c r="EJ42" i="1"/>
  <c r="EJ43" i="1"/>
  <c r="EJ44" i="1"/>
  <c r="EJ45" i="1"/>
  <c r="EJ46" i="1"/>
  <c r="EJ47" i="1"/>
  <c r="EJ48" i="1"/>
  <c r="EJ49" i="1"/>
  <c r="EJ50" i="1"/>
  <c r="EJ51" i="1"/>
  <c r="EJ52" i="1"/>
  <c r="EJ53" i="1"/>
  <c r="EJ54" i="1"/>
  <c r="EJ55" i="1"/>
  <c r="EJ56" i="1"/>
  <c r="EJ57" i="1"/>
  <c r="EJ58" i="1"/>
  <c r="EJ59" i="1"/>
  <c r="EJ60" i="1"/>
  <c r="EJ61" i="1"/>
  <c r="EJ62" i="1"/>
  <c r="EJ63" i="1"/>
  <c r="EJ64" i="1"/>
  <c r="EJ65" i="1"/>
  <c r="EJ66" i="1"/>
  <c r="EJ67" i="1"/>
  <c r="EJ68" i="1"/>
  <c r="EJ69" i="1"/>
  <c r="EJ70" i="1"/>
  <c r="EJ71" i="1"/>
  <c r="EJ72" i="1"/>
  <c r="EJ73" i="1"/>
  <c r="EJ74" i="1"/>
  <c r="EJ75" i="1"/>
  <c r="EJ76" i="1"/>
  <c r="EJ77" i="1"/>
  <c r="EJ78" i="1"/>
  <c r="EJ79" i="1"/>
  <c r="EJ80" i="1"/>
  <c r="EJ81" i="1"/>
  <c r="EJ82" i="1"/>
  <c r="EJ83" i="1"/>
  <c r="EJ84" i="1"/>
  <c r="EJ85" i="1"/>
  <c r="EJ86" i="1"/>
  <c r="EJ87" i="1"/>
  <c r="EJ88" i="1"/>
  <c r="EJ89" i="1"/>
  <c r="EJ90" i="1"/>
  <c r="EJ91" i="1"/>
  <c r="EJ92" i="1"/>
  <c r="EJ93" i="1"/>
  <c r="EJ94" i="1"/>
  <c r="EJ95" i="1"/>
  <c r="EJ96" i="1"/>
  <c r="EJ97" i="1"/>
  <c r="EJ98" i="1"/>
  <c r="EJ99" i="1"/>
  <c r="EJ100" i="1"/>
  <c r="EJ101" i="1"/>
  <c r="EJ102" i="1"/>
  <c r="EJ103" i="1"/>
  <c r="EJ104" i="1"/>
  <c r="EJ105" i="1"/>
  <c r="EJ106" i="1"/>
  <c r="EJ107" i="1"/>
  <c r="EJ108" i="1"/>
  <c r="EJ109" i="1"/>
  <c r="EJ110" i="1"/>
  <c r="EJ111" i="1"/>
  <c r="EJ112" i="1"/>
  <c r="EJ113" i="1"/>
  <c r="EJ114" i="1"/>
  <c r="EJ115" i="1"/>
  <c r="EJ116" i="1"/>
  <c r="EJ117" i="1"/>
  <c r="EJ118" i="1"/>
  <c r="EJ119" i="1"/>
  <c r="EJ120" i="1"/>
  <c r="EJ121" i="1"/>
  <c r="EJ122" i="1"/>
  <c r="EJ123" i="1"/>
  <c r="EJ124" i="1"/>
  <c r="EJ125" i="1"/>
  <c r="EJ126" i="1"/>
  <c r="EJ127" i="1"/>
  <c r="EJ128" i="1"/>
  <c r="EJ129" i="1"/>
  <c r="EJ130" i="1"/>
  <c r="EJ131" i="1"/>
  <c r="EJ132" i="1"/>
  <c r="EJ133" i="1"/>
  <c r="EJ134" i="1"/>
  <c r="EJ135" i="1"/>
  <c r="EJ136" i="1"/>
  <c r="EJ137" i="1"/>
  <c r="EJ138" i="1"/>
  <c r="EJ139" i="1"/>
  <c r="EJ140" i="1"/>
  <c r="EJ141" i="1"/>
  <c r="EJ142" i="1"/>
  <c r="EJ143" i="1"/>
  <c r="EJ144" i="1"/>
  <c r="EJ145" i="1"/>
  <c r="EJ146" i="1"/>
  <c r="EJ147" i="1"/>
  <c r="EJ148" i="1"/>
  <c r="EJ149" i="1"/>
  <c r="EJ150" i="1"/>
  <c r="EJ151" i="1"/>
  <c r="EJ152" i="1"/>
  <c r="EJ153" i="1"/>
  <c r="EJ154" i="1"/>
  <c r="EJ155" i="1"/>
  <c r="EJ156" i="1"/>
  <c r="EJ157" i="1"/>
  <c r="EJ158" i="1"/>
  <c r="EJ159" i="1"/>
  <c r="EJ160" i="1"/>
  <c r="EJ161" i="1"/>
  <c r="EJ162" i="1"/>
  <c r="EJ163" i="1"/>
  <c r="EJ164" i="1"/>
  <c r="EJ165" i="1"/>
  <c r="EJ166" i="1"/>
  <c r="EJ167" i="1"/>
  <c r="EJ168" i="1"/>
  <c r="EJ169" i="1"/>
  <c r="EJ170" i="1"/>
  <c r="EJ171" i="1"/>
  <c r="EJ172" i="1"/>
  <c r="EJ173" i="1"/>
  <c r="EJ174" i="1"/>
  <c r="EJ175" i="1"/>
  <c r="EJ176" i="1"/>
  <c r="EJ177" i="1"/>
  <c r="EJ178" i="1"/>
  <c r="EJ179" i="1"/>
  <c r="EJ180" i="1"/>
  <c r="EJ181" i="1"/>
  <c r="EJ182" i="1"/>
  <c r="EJ183" i="1"/>
  <c r="EJ184" i="1"/>
  <c r="EJ185" i="1"/>
  <c r="EJ186" i="1"/>
  <c r="EJ187" i="1"/>
  <c r="EJ188" i="1"/>
  <c r="EJ189" i="1"/>
  <c r="EJ190" i="1"/>
  <c r="EJ191" i="1"/>
  <c r="EJ192" i="1"/>
  <c r="EJ193" i="1"/>
  <c r="EJ194" i="1"/>
  <c r="EJ195" i="1"/>
  <c r="EJ196" i="1"/>
  <c r="EJ197" i="1"/>
  <c r="EJ198" i="1"/>
  <c r="EJ199" i="1"/>
  <c r="EJ200" i="1"/>
  <c r="EJ201" i="1"/>
  <c r="EJ202" i="1"/>
  <c r="EJ203" i="1"/>
  <c r="EJ204" i="1"/>
  <c r="EJ205" i="1"/>
  <c r="EJ206" i="1"/>
  <c r="EJ207" i="1"/>
  <c r="EJ208" i="1"/>
  <c r="EJ209" i="1"/>
  <c r="EJ210" i="1"/>
  <c r="EJ211" i="1"/>
  <c r="EJ212" i="1"/>
  <c r="EJ213" i="1"/>
  <c r="EJ214" i="1"/>
  <c r="EJ215" i="1"/>
  <c r="EJ216" i="1"/>
  <c r="EJ217" i="1"/>
  <c r="EJ218" i="1"/>
  <c r="EJ219" i="1"/>
  <c r="EJ220" i="1"/>
  <c r="EJ221" i="1"/>
  <c r="EJ222" i="1"/>
  <c r="EJ223" i="1"/>
  <c r="EJ224" i="1"/>
  <c r="EJ225" i="1"/>
  <c r="EJ226" i="1"/>
  <c r="EJ227" i="1"/>
  <c r="EJ228" i="1"/>
  <c r="EJ229" i="1"/>
  <c r="EJ230" i="1"/>
  <c r="EJ231" i="1"/>
  <c r="EJ232" i="1"/>
  <c r="EJ233" i="1"/>
  <c r="EJ234" i="1"/>
  <c r="EJ235" i="1"/>
  <c r="EJ236" i="1"/>
  <c r="EJ237" i="1"/>
  <c r="EJ238" i="1"/>
  <c r="EJ239" i="1"/>
  <c r="EJ240" i="1"/>
  <c r="EJ241" i="1"/>
  <c r="EJ242" i="1"/>
  <c r="EJ243" i="1"/>
  <c r="EJ244" i="1"/>
  <c r="EJ245" i="1"/>
  <c r="EJ246" i="1"/>
  <c r="EJ247" i="1"/>
  <c r="EJ248" i="1"/>
  <c r="EJ249" i="1"/>
  <c r="EJ250" i="1"/>
  <c r="EJ251" i="1"/>
  <c r="EJ252" i="1"/>
  <c r="EJ253" i="1"/>
  <c r="EJ254" i="1"/>
  <c r="EJ255" i="1"/>
  <c r="EJ256" i="1"/>
  <c r="EJ257" i="1"/>
  <c r="EJ258" i="1"/>
  <c r="EJ259" i="1"/>
  <c r="EJ260" i="1"/>
  <c r="EJ261" i="1"/>
  <c r="EJ262" i="1"/>
  <c r="EJ263" i="1"/>
  <c r="EJ264" i="1"/>
  <c r="EJ265" i="1"/>
  <c r="EJ266" i="1"/>
  <c r="EJ267" i="1"/>
  <c r="EJ268" i="1"/>
  <c r="EJ269" i="1"/>
  <c r="EJ270" i="1"/>
  <c r="EJ271" i="1"/>
  <c r="EJ272" i="1"/>
  <c r="EJ273" i="1"/>
  <c r="EJ274" i="1"/>
  <c r="EJ275" i="1"/>
  <c r="EJ276" i="1"/>
  <c r="EJ277" i="1"/>
  <c r="EJ278" i="1"/>
  <c r="EJ279" i="1"/>
  <c r="EJ280" i="1"/>
  <c r="EJ281" i="1"/>
  <c r="EJ282" i="1"/>
  <c r="EJ283" i="1"/>
  <c r="EJ284" i="1"/>
  <c r="EJ285" i="1"/>
  <c r="EJ286" i="1"/>
  <c r="EJ287" i="1"/>
  <c r="EJ288" i="1"/>
  <c r="EJ289" i="1"/>
  <c r="EJ290" i="1"/>
  <c r="EJ291" i="1"/>
  <c r="EJ292" i="1"/>
  <c r="EJ293" i="1"/>
  <c r="EJ294" i="1"/>
  <c r="EJ295" i="1"/>
  <c r="EJ296" i="1"/>
  <c r="EJ297" i="1"/>
  <c r="EJ298" i="1"/>
  <c r="EJ299" i="1"/>
  <c r="EJ300" i="1"/>
  <c r="EJ301" i="1"/>
  <c r="EJ302" i="1"/>
  <c r="EJ303" i="1"/>
  <c r="EJ304" i="1"/>
  <c r="EJ305" i="1"/>
  <c r="EJ306" i="1"/>
  <c r="EJ307" i="1"/>
  <c r="EJ308" i="1"/>
  <c r="EJ309" i="1"/>
  <c r="EJ310" i="1"/>
  <c r="EJ311" i="1"/>
  <c r="EJ312" i="1"/>
  <c r="EJ313" i="1"/>
  <c r="EJ314" i="1"/>
  <c r="EJ315" i="1"/>
  <c r="EJ316" i="1"/>
  <c r="EJ317" i="1"/>
  <c r="EJ318" i="1"/>
  <c r="EJ319" i="1"/>
  <c r="EJ320" i="1"/>
  <c r="EJ321" i="1"/>
  <c r="EJ322" i="1"/>
  <c r="EJ323" i="1"/>
  <c r="EJ324" i="1"/>
  <c r="EJ325" i="1"/>
  <c r="EJ326" i="1"/>
  <c r="EJ327" i="1"/>
  <c r="EJ328" i="1"/>
  <c r="EJ329" i="1"/>
  <c r="EJ330" i="1"/>
  <c r="EJ331" i="1"/>
  <c r="EJ332" i="1"/>
  <c r="EJ333" i="1"/>
  <c r="EJ334" i="1"/>
  <c r="EJ335" i="1"/>
  <c r="EJ336" i="1"/>
  <c r="EJ337" i="1"/>
  <c r="EJ338" i="1"/>
  <c r="EJ339" i="1"/>
  <c r="EJ340" i="1"/>
  <c r="EJ341" i="1"/>
  <c r="EJ342" i="1"/>
  <c r="EJ343" i="1"/>
  <c r="EJ344" i="1"/>
  <c r="EJ345" i="1"/>
  <c r="EJ346" i="1"/>
  <c r="EJ347" i="1"/>
  <c r="EJ348" i="1"/>
  <c r="EJ349" i="1"/>
  <c r="EJ350" i="1"/>
  <c r="EJ351" i="1"/>
  <c r="EJ352" i="1"/>
  <c r="EJ353" i="1"/>
  <c r="EJ354" i="1"/>
  <c r="EJ355" i="1"/>
  <c r="EJ356" i="1"/>
  <c r="EJ357" i="1"/>
  <c r="EJ358" i="1"/>
  <c r="EJ359" i="1"/>
  <c r="EJ360" i="1"/>
  <c r="EJ361" i="1"/>
  <c r="EJ362" i="1"/>
  <c r="EJ363" i="1"/>
  <c r="EJ364" i="1"/>
  <c r="EJ365" i="1"/>
  <c r="EJ366" i="1"/>
  <c r="EJ367" i="1"/>
  <c r="EJ368" i="1"/>
  <c r="EJ369" i="1"/>
  <c r="EJ370" i="1"/>
  <c r="EJ371" i="1"/>
  <c r="EJ372" i="1"/>
  <c r="EJ373" i="1"/>
  <c r="EJ374" i="1"/>
  <c r="EJ375" i="1"/>
  <c r="EJ376" i="1"/>
  <c r="EJ377" i="1"/>
  <c r="EJ378" i="1"/>
  <c r="EJ379" i="1"/>
  <c r="EJ380" i="1"/>
  <c r="EJ381" i="1"/>
  <c r="EJ382" i="1"/>
  <c r="EJ383" i="1"/>
  <c r="EJ384" i="1"/>
  <c r="EJ385" i="1"/>
  <c r="EJ386" i="1"/>
  <c r="EJ387" i="1"/>
  <c r="EJ388" i="1"/>
  <c r="EJ389" i="1"/>
  <c r="EJ390" i="1"/>
  <c r="EJ391" i="1"/>
  <c r="EJ392" i="1"/>
  <c r="EJ393" i="1"/>
  <c r="EJ394" i="1"/>
  <c r="EJ395" i="1"/>
  <c r="EJ396" i="1"/>
  <c r="EJ397" i="1"/>
  <c r="EJ398" i="1"/>
  <c r="EJ399" i="1"/>
  <c r="EJ400" i="1"/>
  <c r="EJ401" i="1"/>
  <c r="EJ402" i="1"/>
  <c r="EJ403" i="1"/>
  <c r="EJ404" i="1"/>
  <c r="EJ405" i="1"/>
  <c r="EJ406" i="1"/>
  <c r="EJ407" i="1"/>
  <c r="EJ408" i="1"/>
  <c r="EJ409" i="1"/>
  <c r="EJ410" i="1"/>
  <c r="EJ411" i="1"/>
  <c r="EJ412" i="1"/>
  <c r="EJ413" i="1"/>
  <c r="EJ414" i="1"/>
  <c r="EJ415" i="1"/>
  <c r="EJ416" i="1"/>
  <c r="EJ417" i="1"/>
  <c r="EJ418" i="1"/>
  <c r="EJ419" i="1"/>
  <c r="EJ420" i="1"/>
  <c r="EJ421" i="1"/>
  <c r="EJ422" i="1"/>
  <c r="EJ423" i="1"/>
  <c r="EJ424" i="1"/>
  <c r="EJ425" i="1"/>
  <c r="EJ426" i="1"/>
  <c r="EJ427" i="1"/>
  <c r="EJ428" i="1"/>
  <c r="EJ429" i="1"/>
  <c r="EJ430" i="1"/>
  <c r="EJ431" i="1"/>
  <c r="EJ432" i="1"/>
  <c r="EJ433" i="1"/>
  <c r="EJ434" i="1"/>
  <c r="EJ435" i="1"/>
  <c r="EJ436" i="1"/>
  <c r="EJ437" i="1"/>
  <c r="EJ438" i="1"/>
  <c r="EJ439" i="1"/>
  <c r="EJ440" i="1"/>
  <c r="EJ441" i="1"/>
  <c r="EJ442" i="1"/>
  <c r="EJ443" i="1"/>
  <c r="EJ444" i="1"/>
  <c r="EJ445" i="1"/>
  <c r="EJ446" i="1"/>
  <c r="EJ447" i="1"/>
  <c r="EJ448" i="1"/>
  <c r="EJ449" i="1"/>
  <c r="EJ450" i="1"/>
  <c r="EJ451" i="1"/>
  <c r="EJ452" i="1"/>
  <c r="EJ453" i="1"/>
  <c r="EJ454" i="1"/>
  <c r="EJ455" i="1"/>
  <c r="EJ456" i="1"/>
  <c r="EJ457" i="1"/>
  <c r="EJ458" i="1"/>
  <c r="EJ459" i="1"/>
  <c r="EJ460" i="1"/>
  <c r="EJ461" i="1"/>
  <c r="EJ462" i="1"/>
  <c r="EJ463" i="1"/>
  <c r="EJ464" i="1"/>
  <c r="EJ465" i="1"/>
  <c r="EJ466" i="1"/>
  <c r="EJ467" i="1"/>
  <c r="EJ468" i="1"/>
  <c r="EJ469" i="1"/>
  <c r="EJ470" i="1"/>
  <c r="EJ471" i="1"/>
  <c r="EJ472" i="1"/>
  <c r="EJ473" i="1"/>
  <c r="EJ474" i="1"/>
  <c r="EJ475" i="1"/>
  <c r="EJ476" i="1"/>
  <c r="EJ477" i="1"/>
  <c r="EJ478" i="1"/>
  <c r="EJ479" i="1"/>
  <c r="EJ480" i="1"/>
  <c r="EJ481" i="1"/>
  <c r="EJ482" i="1"/>
  <c r="EJ483" i="1"/>
  <c r="EJ484" i="1"/>
  <c r="EJ485" i="1"/>
  <c r="EJ486" i="1"/>
  <c r="EJ487" i="1"/>
  <c r="EJ488" i="1"/>
  <c r="EJ489" i="1"/>
  <c r="EJ490" i="1"/>
  <c r="EJ491" i="1"/>
  <c r="EJ492" i="1"/>
  <c r="EJ493" i="1"/>
  <c r="EJ494" i="1"/>
  <c r="EJ495" i="1"/>
  <c r="EJ496" i="1"/>
  <c r="EJ497" i="1"/>
  <c r="EJ498" i="1"/>
  <c r="EJ499" i="1"/>
  <c r="EJ500" i="1"/>
  <c r="EJ501" i="1"/>
  <c r="EJ502" i="1"/>
  <c r="EJ503" i="1"/>
  <c r="EJ504" i="1"/>
  <c r="EJ505" i="1"/>
  <c r="EJ506" i="1"/>
  <c r="EJ507" i="1"/>
  <c r="EJ508" i="1"/>
  <c r="EJ509" i="1"/>
  <c r="EJ510" i="1"/>
  <c r="EJ511" i="1"/>
  <c r="EJ512" i="1"/>
  <c r="EJ513" i="1"/>
  <c r="EJ514" i="1"/>
  <c r="EJ515" i="1"/>
  <c r="EJ516" i="1"/>
  <c r="EJ517" i="1"/>
  <c r="EJ518" i="1"/>
  <c r="EJ519" i="1"/>
  <c r="EJ520" i="1"/>
  <c r="EJ521" i="1"/>
  <c r="EJ522" i="1"/>
  <c r="EJ523" i="1"/>
  <c r="EJ524" i="1"/>
  <c r="EJ525" i="1"/>
  <c r="EJ526" i="1"/>
  <c r="EJ527" i="1"/>
  <c r="EJ528" i="1"/>
  <c r="EJ529" i="1"/>
  <c r="EJ530" i="1"/>
  <c r="EJ531" i="1"/>
  <c r="EJ532" i="1"/>
  <c r="EJ533" i="1"/>
  <c r="EJ534" i="1"/>
  <c r="EJ535" i="1"/>
  <c r="EJ536" i="1"/>
  <c r="EJ537" i="1"/>
  <c r="EJ538" i="1"/>
  <c r="EJ539" i="1"/>
  <c r="EJ540" i="1"/>
  <c r="EJ541" i="1"/>
  <c r="EJ542" i="1"/>
  <c r="EJ543" i="1"/>
  <c r="EJ544" i="1"/>
  <c r="EJ545" i="1"/>
  <c r="EJ546" i="1"/>
  <c r="EJ547" i="1"/>
  <c r="EJ548" i="1"/>
  <c r="EJ549" i="1"/>
  <c r="EJ550" i="1"/>
  <c r="EJ551" i="1"/>
  <c r="EJ552" i="1"/>
  <c r="EJ553" i="1"/>
  <c r="EJ554" i="1"/>
  <c r="EJ555" i="1"/>
  <c r="EJ556" i="1"/>
  <c r="EJ557" i="1"/>
  <c r="EJ558" i="1"/>
  <c r="EJ559" i="1"/>
  <c r="EJ560" i="1"/>
  <c r="EJ561" i="1"/>
  <c r="EJ562" i="1"/>
  <c r="EJ563" i="1"/>
  <c r="EJ564" i="1"/>
  <c r="EJ565" i="1"/>
  <c r="EJ566" i="1"/>
  <c r="EJ567" i="1"/>
  <c r="EJ568" i="1"/>
  <c r="EJ569" i="1"/>
  <c r="EJ570" i="1"/>
  <c r="EJ571" i="1"/>
  <c r="EJ572" i="1"/>
  <c r="EJ573" i="1"/>
  <c r="EJ574" i="1"/>
  <c r="EJ575" i="1"/>
  <c r="EJ576" i="1"/>
  <c r="EJ577" i="1"/>
  <c r="EJ578" i="1"/>
  <c r="EJ579" i="1"/>
  <c r="EJ580" i="1"/>
  <c r="EJ581" i="1"/>
  <c r="EJ582" i="1"/>
  <c r="EJ583" i="1"/>
  <c r="EJ584" i="1"/>
  <c r="EJ585" i="1"/>
  <c r="EJ586" i="1"/>
  <c r="EJ587" i="1"/>
  <c r="EJ588" i="1"/>
  <c r="EJ589" i="1"/>
  <c r="EJ590" i="1"/>
  <c r="EJ591" i="1"/>
  <c r="EJ592" i="1"/>
  <c r="EJ593" i="1"/>
  <c r="EJ594" i="1"/>
  <c r="EJ595" i="1"/>
  <c r="EJ596" i="1"/>
  <c r="EJ597" i="1"/>
  <c r="EJ598" i="1"/>
  <c r="EJ599" i="1"/>
  <c r="EJ600" i="1"/>
  <c r="EJ601" i="1"/>
  <c r="EJ602" i="1"/>
  <c r="EJ603" i="1"/>
  <c r="EJ604" i="1"/>
  <c r="EJ605" i="1"/>
  <c r="EJ606" i="1"/>
  <c r="EJ607" i="1"/>
  <c r="EJ608" i="1"/>
  <c r="EJ609" i="1"/>
  <c r="EJ610" i="1"/>
  <c r="EJ611" i="1"/>
  <c r="EJ612" i="1"/>
  <c r="EJ613" i="1"/>
  <c r="EJ614" i="1"/>
  <c r="EJ615" i="1"/>
  <c r="EJ616" i="1"/>
  <c r="EJ617" i="1"/>
  <c r="EJ618" i="1"/>
  <c r="EJ619" i="1"/>
  <c r="EJ620" i="1"/>
  <c r="EJ621" i="1"/>
  <c r="EJ622" i="1"/>
  <c r="EJ623" i="1"/>
  <c r="EJ624" i="1"/>
  <c r="EJ625" i="1"/>
  <c r="EJ626" i="1"/>
  <c r="EJ627" i="1"/>
  <c r="EJ628" i="1"/>
  <c r="EJ629" i="1"/>
  <c r="EJ630" i="1"/>
  <c r="EJ631" i="1"/>
  <c r="EJ632" i="1"/>
  <c r="EJ633" i="1"/>
  <c r="EJ634" i="1"/>
  <c r="EJ635" i="1"/>
  <c r="EJ636" i="1"/>
  <c r="EJ637" i="1"/>
  <c r="EJ638" i="1"/>
  <c r="EJ639" i="1"/>
  <c r="EJ640" i="1"/>
  <c r="EJ641" i="1"/>
  <c r="EJ642" i="1"/>
  <c r="EJ643" i="1"/>
  <c r="EJ644" i="1"/>
  <c r="EJ645" i="1"/>
  <c r="EJ646" i="1"/>
  <c r="EJ647" i="1"/>
  <c r="EJ648" i="1"/>
  <c r="EJ649" i="1"/>
  <c r="EJ650" i="1"/>
  <c r="EJ651" i="1"/>
  <c r="EJ652" i="1"/>
  <c r="EJ653" i="1"/>
  <c r="EJ654" i="1"/>
  <c r="EJ655" i="1"/>
  <c r="EJ656" i="1"/>
  <c r="EJ657" i="1"/>
  <c r="EJ658" i="1"/>
  <c r="EJ659" i="1"/>
  <c r="EJ660" i="1"/>
  <c r="EJ661" i="1"/>
  <c r="EJ662" i="1"/>
  <c r="EJ663" i="1"/>
  <c r="EJ664" i="1"/>
  <c r="EJ665" i="1"/>
  <c r="EJ666" i="1"/>
  <c r="EJ667" i="1"/>
  <c r="EJ668" i="1"/>
  <c r="EJ669" i="1"/>
  <c r="EJ670" i="1"/>
  <c r="EJ671" i="1"/>
  <c r="EJ672" i="1"/>
  <c r="EJ673" i="1"/>
  <c r="EJ674" i="1"/>
  <c r="EJ675" i="1"/>
  <c r="EJ676" i="1"/>
  <c r="EJ677" i="1"/>
  <c r="EJ678" i="1"/>
  <c r="EJ679" i="1"/>
  <c r="EJ680" i="1"/>
  <c r="EJ681" i="1"/>
  <c r="EJ682" i="1"/>
  <c r="EJ683" i="1"/>
  <c r="EJ684" i="1"/>
  <c r="EJ685" i="1"/>
  <c r="EJ686" i="1"/>
  <c r="EJ687" i="1"/>
  <c r="EJ688" i="1"/>
  <c r="EJ689" i="1"/>
  <c r="EJ690" i="1"/>
  <c r="EJ691" i="1"/>
  <c r="EJ692" i="1"/>
  <c r="EJ693" i="1"/>
  <c r="EJ694" i="1"/>
  <c r="EJ695" i="1"/>
  <c r="EJ696" i="1"/>
  <c r="EJ697" i="1"/>
  <c r="EJ698" i="1"/>
  <c r="EJ699" i="1"/>
  <c r="EJ700" i="1"/>
  <c r="EJ701" i="1"/>
  <c r="EJ702" i="1"/>
  <c r="EJ703" i="1"/>
  <c r="EJ704" i="1"/>
  <c r="EJ705" i="1"/>
  <c r="EJ706" i="1"/>
  <c r="EJ707" i="1"/>
  <c r="EJ708" i="1"/>
  <c r="EJ709" i="1"/>
  <c r="EJ710" i="1"/>
  <c r="EJ711" i="1"/>
  <c r="EJ712" i="1"/>
  <c r="EJ713" i="1"/>
  <c r="EJ714" i="1"/>
  <c r="EJ715" i="1"/>
  <c r="EJ716" i="1"/>
  <c r="EJ717" i="1"/>
  <c r="EJ718" i="1"/>
  <c r="EJ719" i="1"/>
  <c r="EJ720" i="1"/>
  <c r="EJ721" i="1"/>
  <c r="EJ722" i="1"/>
  <c r="EJ723" i="1"/>
  <c r="EJ724" i="1"/>
  <c r="EJ725" i="1"/>
  <c r="EJ726" i="1"/>
  <c r="EJ727" i="1"/>
  <c r="EJ728" i="1"/>
  <c r="EJ729" i="1"/>
  <c r="EJ730" i="1"/>
  <c r="EJ731" i="1"/>
  <c r="EJ732" i="1"/>
  <c r="EJ733" i="1"/>
  <c r="EJ734" i="1"/>
  <c r="EJ735" i="1"/>
  <c r="EJ736" i="1"/>
  <c r="EJ737" i="1"/>
  <c r="EJ738" i="1"/>
  <c r="EJ739" i="1"/>
  <c r="EJ740" i="1"/>
  <c r="EJ741" i="1"/>
  <c r="EJ742" i="1"/>
  <c r="EJ743" i="1"/>
  <c r="EJ744" i="1"/>
  <c r="EJ745" i="1"/>
  <c r="EJ746" i="1"/>
  <c r="EJ747" i="1"/>
  <c r="EJ748" i="1"/>
  <c r="EJ749" i="1"/>
  <c r="EJ750" i="1"/>
  <c r="EJ751" i="1"/>
  <c r="EJ752" i="1"/>
  <c r="EJ753" i="1"/>
  <c r="EJ754" i="1"/>
  <c r="EJ755" i="1"/>
  <c r="EJ756" i="1"/>
  <c r="EJ757" i="1"/>
  <c r="EJ758" i="1"/>
  <c r="EJ759" i="1"/>
  <c r="EJ760" i="1"/>
  <c r="EJ761" i="1"/>
  <c r="EJ762" i="1"/>
  <c r="EJ763" i="1"/>
  <c r="EJ764" i="1"/>
  <c r="EJ765" i="1"/>
  <c r="EJ766" i="1"/>
  <c r="EJ767" i="1"/>
  <c r="EJ768" i="1"/>
  <c r="EJ769" i="1"/>
  <c r="EJ770" i="1"/>
  <c r="EJ771" i="1"/>
  <c r="EJ772" i="1"/>
  <c r="EJ773" i="1"/>
  <c r="EJ774" i="1"/>
  <c r="EJ775" i="1"/>
  <c r="EJ776" i="1"/>
  <c r="EJ777" i="1"/>
  <c r="EJ778" i="1"/>
  <c r="EJ779" i="1"/>
  <c r="EJ780" i="1"/>
  <c r="EJ781" i="1"/>
  <c r="EJ782" i="1"/>
  <c r="EJ783" i="1"/>
  <c r="EJ784" i="1"/>
  <c r="EJ785" i="1"/>
  <c r="EJ786" i="1"/>
  <c r="EJ787" i="1"/>
  <c r="EJ788" i="1"/>
  <c r="EJ789" i="1"/>
  <c r="EJ790" i="1"/>
  <c r="EJ791" i="1"/>
  <c r="EJ792" i="1"/>
  <c r="EJ793" i="1"/>
  <c r="EJ794" i="1"/>
  <c r="EJ795" i="1"/>
  <c r="EJ796" i="1"/>
  <c r="EJ797" i="1"/>
  <c r="EJ798" i="1"/>
  <c r="EJ799" i="1"/>
  <c r="EJ800" i="1"/>
  <c r="EJ801" i="1"/>
  <c r="EJ802" i="1"/>
  <c r="EJ803" i="1"/>
  <c r="EJ804" i="1"/>
  <c r="EJ805" i="1"/>
  <c r="EJ806" i="1"/>
  <c r="EJ807" i="1"/>
  <c r="EJ808" i="1"/>
  <c r="EJ809" i="1"/>
  <c r="EJ810" i="1"/>
  <c r="EJ811" i="1"/>
  <c r="EJ812" i="1"/>
  <c r="EJ813" i="1"/>
  <c r="EJ814" i="1"/>
  <c r="EJ815" i="1"/>
  <c r="EJ816" i="1"/>
  <c r="EJ817" i="1"/>
  <c r="EJ818" i="1"/>
  <c r="EJ819" i="1"/>
  <c r="EJ820" i="1"/>
  <c r="EJ821" i="1"/>
  <c r="EJ822" i="1"/>
  <c r="EJ823" i="1"/>
  <c r="EJ824" i="1"/>
  <c r="EJ825" i="1"/>
  <c r="EJ826" i="1"/>
  <c r="EJ827" i="1"/>
  <c r="EJ828" i="1"/>
  <c r="EJ829" i="1"/>
  <c r="EJ830" i="1"/>
  <c r="EJ831" i="1"/>
  <c r="EJ832" i="1"/>
  <c r="EJ833" i="1"/>
  <c r="EJ834" i="1"/>
  <c r="EJ835" i="1"/>
  <c r="EJ836" i="1"/>
  <c r="EJ837" i="1"/>
  <c r="EJ838" i="1"/>
  <c r="EJ839" i="1"/>
  <c r="EJ840" i="1"/>
  <c r="EJ841" i="1"/>
  <c r="EJ842" i="1"/>
  <c r="EJ843" i="1"/>
  <c r="EJ844" i="1"/>
  <c r="EJ845" i="1"/>
  <c r="EJ846" i="1"/>
  <c r="EJ847" i="1"/>
  <c r="EJ848" i="1"/>
  <c r="EJ849" i="1"/>
  <c r="EJ850" i="1"/>
  <c r="EJ851" i="1"/>
  <c r="EJ852" i="1"/>
  <c r="EJ853" i="1"/>
  <c r="EJ854" i="1"/>
  <c r="EJ855" i="1"/>
  <c r="EJ856" i="1"/>
  <c r="EJ857" i="1"/>
  <c r="EJ858" i="1"/>
  <c r="EJ859" i="1"/>
  <c r="EJ860" i="1"/>
  <c r="EJ861" i="1"/>
  <c r="EJ862" i="1"/>
  <c r="EJ863" i="1"/>
  <c r="EJ864" i="1"/>
  <c r="EJ865" i="1"/>
  <c r="EJ866" i="1"/>
  <c r="EJ867" i="1"/>
  <c r="EJ868" i="1"/>
  <c r="EJ869" i="1"/>
  <c r="EJ870" i="1"/>
  <c r="EJ871" i="1"/>
  <c r="EJ872" i="1"/>
  <c r="EJ873" i="1"/>
  <c r="EJ874" i="1"/>
  <c r="EJ875" i="1"/>
  <c r="EJ876" i="1"/>
  <c r="EJ877" i="1"/>
  <c r="EJ878" i="1"/>
  <c r="EJ879" i="1"/>
  <c r="EJ880" i="1"/>
  <c r="EJ881" i="1"/>
  <c r="EJ882" i="1"/>
  <c r="EJ883" i="1"/>
  <c r="EJ884" i="1"/>
  <c r="EJ885" i="1"/>
  <c r="EJ886" i="1"/>
  <c r="EJ887" i="1"/>
  <c r="EJ888" i="1"/>
  <c r="EJ889" i="1"/>
  <c r="EJ890" i="1"/>
  <c r="EJ891" i="1"/>
  <c r="EJ892" i="1"/>
  <c r="EJ893" i="1"/>
  <c r="EJ894" i="1"/>
  <c r="EJ895" i="1"/>
  <c r="EJ896" i="1"/>
  <c r="EJ897" i="1"/>
  <c r="EJ898" i="1"/>
  <c r="EJ899" i="1"/>
  <c r="EJ900" i="1"/>
  <c r="EJ901" i="1"/>
  <c r="EJ902" i="1"/>
  <c r="EJ903" i="1"/>
  <c r="EJ904" i="1"/>
  <c r="EJ905" i="1"/>
  <c r="EJ906" i="1"/>
  <c r="EJ907" i="1"/>
  <c r="EJ908" i="1"/>
  <c r="EJ909" i="1"/>
  <c r="EJ910" i="1"/>
  <c r="EJ911" i="1"/>
  <c r="EJ912" i="1"/>
  <c r="EJ913" i="1"/>
  <c r="EJ914" i="1"/>
  <c r="EJ915" i="1"/>
  <c r="EJ916" i="1"/>
  <c r="EJ917" i="1"/>
  <c r="EJ918" i="1"/>
  <c r="EJ919" i="1"/>
  <c r="EJ920" i="1"/>
  <c r="EJ921" i="1"/>
  <c r="EJ922" i="1"/>
  <c r="EJ923" i="1"/>
  <c r="EJ924" i="1"/>
  <c r="EJ925" i="1"/>
  <c r="EJ926" i="1"/>
  <c r="EJ927" i="1"/>
  <c r="EJ928" i="1"/>
  <c r="EJ929" i="1"/>
  <c r="EJ930" i="1"/>
  <c r="EJ931" i="1"/>
  <c r="EJ932" i="1"/>
  <c r="EJ933" i="1"/>
  <c r="EJ934" i="1"/>
  <c r="EJ935" i="1"/>
  <c r="EJ936" i="1"/>
  <c r="EJ937" i="1"/>
  <c r="EJ938" i="1"/>
  <c r="EJ939" i="1"/>
  <c r="EJ940" i="1"/>
  <c r="EJ941" i="1"/>
  <c r="EJ942" i="1"/>
  <c r="EJ943" i="1"/>
  <c r="EJ944" i="1"/>
  <c r="EJ945" i="1"/>
  <c r="EJ946" i="1"/>
  <c r="EJ947" i="1"/>
  <c r="EJ948" i="1"/>
  <c r="EJ949" i="1"/>
  <c r="EJ950" i="1"/>
  <c r="EJ951" i="1"/>
  <c r="EJ952" i="1"/>
  <c r="EJ953" i="1"/>
  <c r="EJ954" i="1"/>
  <c r="EJ955" i="1"/>
  <c r="EJ956" i="1"/>
  <c r="EJ957" i="1"/>
  <c r="EJ958" i="1"/>
  <c r="EJ959" i="1"/>
  <c r="EJ960" i="1"/>
  <c r="EJ961" i="1"/>
  <c r="EJ962" i="1"/>
  <c r="EJ963" i="1"/>
  <c r="EJ964" i="1"/>
  <c r="EJ965" i="1"/>
  <c r="EJ966" i="1"/>
  <c r="EJ967" i="1"/>
  <c r="EJ968" i="1"/>
  <c r="EJ969" i="1"/>
  <c r="EJ970" i="1"/>
  <c r="EJ971" i="1"/>
  <c r="EJ972" i="1"/>
  <c r="EJ973" i="1"/>
  <c r="EJ974" i="1"/>
  <c r="EJ975" i="1"/>
  <c r="EJ976" i="1"/>
  <c r="EJ977" i="1"/>
  <c r="EJ978" i="1"/>
  <c r="EJ979" i="1"/>
  <c r="EJ980" i="1"/>
  <c r="EJ981" i="1"/>
  <c r="EJ982" i="1"/>
  <c r="EJ983" i="1"/>
  <c r="EJ984" i="1"/>
  <c r="EJ985" i="1"/>
  <c r="EJ986" i="1"/>
  <c r="EJ987" i="1"/>
  <c r="EJ988" i="1"/>
  <c r="EJ989" i="1"/>
  <c r="EJ990" i="1"/>
  <c r="EJ991" i="1"/>
  <c r="EJ992" i="1"/>
  <c r="EJ993" i="1"/>
  <c r="EJ994" i="1"/>
  <c r="EJ995" i="1"/>
  <c r="EJ996" i="1"/>
  <c r="EJ997" i="1"/>
  <c r="EJ998" i="1"/>
  <c r="EJ999" i="1"/>
  <c r="EJ1000" i="1"/>
  <c r="EJ1001" i="1"/>
  <c r="EJ1002" i="1"/>
  <c r="EJ1003" i="1"/>
  <c r="EJ1004" i="1"/>
  <c r="EJ1005" i="1"/>
  <c r="EJ1006" i="1"/>
  <c r="EJ1007" i="1"/>
  <c r="EJ1008" i="1"/>
  <c r="EJ1009" i="1"/>
  <c r="EJ1010" i="1"/>
  <c r="EJ1011" i="1"/>
  <c r="EJ1012" i="1"/>
  <c r="EJ1013" i="1"/>
  <c r="EJ1014" i="1"/>
  <c r="EJ1015" i="1"/>
  <c r="EJ1016" i="1"/>
  <c r="EJ1017" i="1"/>
  <c r="EJ1018" i="1"/>
  <c r="EJ1019" i="1"/>
  <c r="EJ1020" i="1"/>
  <c r="EJ1021" i="1"/>
  <c r="EJ1022" i="1"/>
  <c r="EJ1023" i="1"/>
  <c r="EJ1024" i="1"/>
  <c r="EJ1025" i="1"/>
  <c r="EJ1026" i="1"/>
  <c r="EJ1027" i="1"/>
  <c r="EJ1028" i="1"/>
  <c r="EJ1029" i="1"/>
  <c r="EJ1030" i="1"/>
  <c r="EJ1031" i="1"/>
  <c r="EJ1032" i="1"/>
  <c r="EJ1033" i="1"/>
  <c r="EJ1034" i="1"/>
  <c r="EJ1035" i="1"/>
  <c r="EJ1036" i="1"/>
  <c r="EJ1037" i="1"/>
  <c r="EJ1038" i="1"/>
  <c r="EJ1039" i="1"/>
  <c r="EJ1040" i="1"/>
  <c r="EJ1041" i="1"/>
  <c r="EJ1042" i="1"/>
  <c r="EJ1043" i="1"/>
  <c r="EJ1044" i="1"/>
  <c r="EJ1045" i="1"/>
  <c r="EJ1046" i="1"/>
  <c r="EJ1047" i="1"/>
  <c r="EJ1048" i="1"/>
  <c r="EJ1049" i="1"/>
  <c r="EJ1050" i="1"/>
  <c r="EJ1051" i="1"/>
  <c r="EJ1052" i="1"/>
  <c r="EJ1053" i="1"/>
  <c r="EJ1054" i="1"/>
  <c r="EJ1055" i="1"/>
  <c r="EJ1056" i="1"/>
  <c r="EJ1057" i="1"/>
  <c r="EJ1058" i="1"/>
  <c r="EJ1059" i="1"/>
  <c r="EJ1060" i="1"/>
  <c r="EJ1061" i="1"/>
  <c r="EJ1062" i="1"/>
  <c r="EJ1063" i="1"/>
  <c r="EJ1064" i="1"/>
  <c r="EJ1065" i="1"/>
  <c r="EJ1066" i="1"/>
  <c r="EJ1067" i="1"/>
  <c r="EJ1068" i="1"/>
  <c r="EJ1069" i="1"/>
  <c r="EJ1070" i="1"/>
  <c r="EJ1071" i="1"/>
  <c r="EJ1072" i="1"/>
  <c r="EJ1073" i="1"/>
  <c r="EJ1074" i="1"/>
  <c r="EJ1075" i="1"/>
  <c r="EJ1076" i="1"/>
  <c r="EJ1077" i="1"/>
  <c r="EJ1078" i="1"/>
  <c r="EJ1079" i="1"/>
  <c r="EJ1080" i="1"/>
  <c r="EJ1081" i="1"/>
  <c r="EJ1082" i="1"/>
  <c r="EJ1083" i="1"/>
  <c r="EJ1084" i="1"/>
  <c r="EJ1085" i="1"/>
  <c r="EJ1086" i="1"/>
  <c r="EJ1087" i="1"/>
  <c r="EJ1088" i="1"/>
  <c r="EJ1089" i="1"/>
  <c r="EJ1090" i="1"/>
  <c r="EJ1091" i="1"/>
  <c r="EJ1092" i="1"/>
  <c r="EJ1093" i="1"/>
  <c r="EJ1094" i="1"/>
  <c r="EJ1095" i="1"/>
  <c r="EJ1096" i="1"/>
  <c r="EJ1097" i="1"/>
  <c r="EJ1098" i="1"/>
  <c r="EJ1099" i="1"/>
  <c r="EJ1100" i="1"/>
  <c r="EJ1101" i="1"/>
  <c r="EJ1102" i="1"/>
  <c r="EJ1103" i="1"/>
  <c r="EJ1104" i="1"/>
  <c r="EJ1105" i="1"/>
  <c r="EJ1106" i="1"/>
  <c r="EJ1107" i="1"/>
  <c r="EJ1108" i="1"/>
  <c r="EJ1109" i="1"/>
  <c r="EJ1110" i="1"/>
  <c r="EJ1111" i="1"/>
  <c r="EJ1112" i="1"/>
  <c r="EJ1113" i="1"/>
  <c r="EJ1114" i="1"/>
  <c r="EJ1115" i="1"/>
  <c r="EJ1116" i="1"/>
  <c r="EJ1117" i="1"/>
  <c r="EJ1118" i="1"/>
  <c r="EJ1119" i="1"/>
  <c r="EJ1120" i="1"/>
  <c r="EJ1121" i="1"/>
  <c r="EJ1122" i="1"/>
  <c r="EJ1123" i="1"/>
  <c r="EJ1124" i="1"/>
  <c r="EJ1125" i="1"/>
  <c r="EJ1126" i="1"/>
  <c r="EJ1127" i="1"/>
  <c r="EJ1128" i="1"/>
  <c r="EJ1129" i="1"/>
  <c r="EJ1130" i="1"/>
  <c r="EJ1131" i="1"/>
  <c r="EJ1132" i="1"/>
  <c r="EJ1133" i="1"/>
  <c r="EJ1134" i="1"/>
  <c r="EJ1135" i="1"/>
  <c r="EJ1136" i="1"/>
  <c r="EJ1137" i="1"/>
  <c r="EJ1138" i="1"/>
  <c r="EJ1139" i="1"/>
  <c r="EJ1140" i="1"/>
  <c r="EJ1141" i="1"/>
  <c r="EJ1142" i="1"/>
  <c r="EJ1143" i="1"/>
  <c r="EJ1144" i="1"/>
  <c r="EJ1145" i="1"/>
  <c r="EJ1146" i="1"/>
  <c r="EJ1147" i="1"/>
  <c r="EJ1148" i="1"/>
  <c r="EJ1149" i="1"/>
  <c r="EJ1150" i="1"/>
  <c r="EJ1151" i="1"/>
  <c r="EJ1152" i="1"/>
  <c r="EJ1153" i="1"/>
  <c r="EJ1154" i="1"/>
  <c r="EJ1155" i="1"/>
  <c r="EJ1156" i="1"/>
  <c r="EJ1157" i="1"/>
  <c r="EJ1158" i="1"/>
  <c r="EJ1159" i="1"/>
  <c r="EJ1160" i="1"/>
  <c r="EJ1161" i="1"/>
  <c r="EJ1162" i="1"/>
  <c r="EJ1163" i="1"/>
  <c r="EJ1164" i="1"/>
  <c r="EJ1165" i="1"/>
  <c r="EJ1166" i="1"/>
  <c r="EJ1167" i="1"/>
  <c r="EJ1168" i="1"/>
  <c r="EJ1169" i="1"/>
  <c r="EJ1170" i="1"/>
  <c r="EJ1171" i="1"/>
  <c r="EJ1172" i="1"/>
  <c r="EJ1173" i="1"/>
  <c r="EJ1174" i="1"/>
  <c r="EJ1175" i="1"/>
  <c r="EJ1176" i="1"/>
  <c r="EJ1177" i="1"/>
  <c r="EJ1178" i="1"/>
  <c r="EJ1179" i="1"/>
  <c r="EJ1180" i="1"/>
  <c r="EJ1181" i="1"/>
  <c r="EJ1182" i="1"/>
  <c r="EJ1183" i="1"/>
  <c r="EJ1184" i="1"/>
  <c r="EJ1185" i="1"/>
  <c r="EJ1186" i="1"/>
  <c r="EJ1187" i="1"/>
  <c r="EJ1188" i="1"/>
  <c r="EJ1189" i="1"/>
  <c r="EJ1190" i="1"/>
  <c r="EJ1191" i="1"/>
  <c r="EJ1192" i="1"/>
  <c r="EJ1193" i="1"/>
  <c r="EJ1194" i="1"/>
  <c r="EJ1195" i="1"/>
  <c r="EJ1196" i="1"/>
  <c r="EJ1197" i="1"/>
  <c r="EJ1198" i="1"/>
  <c r="EJ1199" i="1"/>
  <c r="EJ1200" i="1"/>
  <c r="EJ1201" i="1"/>
  <c r="EJ1202" i="1"/>
  <c r="EJ1203" i="1"/>
  <c r="EJ1204" i="1"/>
  <c r="EJ1205" i="1"/>
  <c r="EJ1206" i="1"/>
  <c r="EJ1207" i="1"/>
  <c r="EJ1208" i="1"/>
  <c r="EJ1209" i="1"/>
  <c r="EJ1210" i="1"/>
  <c r="EJ1211" i="1"/>
  <c r="EJ1212" i="1"/>
  <c r="EJ1213" i="1"/>
  <c r="EJ1214" i="1"/>
  <c r="EJ1215" i="1"/>
  <c r="EJ1216" i="1"/>
  <c r="EJ1217" i="1"/>
  <c r="EJ1218" i="1"/>
  <c r="EJ1219" i="1"/>
  <c r="EJ1220" i="1"/>
  <c r="EJ1221" i="1"/>
  <c r="EJ1222" i="1"/>
  <c r="EJ1223" i="1"/>
  <c r="EJ1224" i="1"/>
  <c r="EJ1225" i="1"/>
  <c r="EJ1226" i="1"/>
  <c r="EJ1227" i="1"/>
  <c r="EJ1228" i="1"/>
  <c r="EJ1229" i="1"/>
  <c r="EJ1230" i="1"/>
  <c r="EJ1231" i="1"/>
  <c r="EJ1232" i="1"/>
  <c r="EJ1233" i="1"/>
  <c r="EJ1234" i="1"/>
  <c r="EJ1235" i="1"/>
  <c r="EJ1236" i="1"/>
  <c r="EJ1237" i="1"/>
  <c r="EJ1238" i="1"/>
  <c r="EJ1239" i="1"/>
  <c r="EJ1240" i="1"/>
  <c r="EJ1241" i="1"/>
  <c r="EJ1242" i="1"/>
  <c r="EJ1243" i="1"/>
  <c r="EJ1244" i="1"/>
  <c r="EJ1245" i="1"/>
  <c r="EJ1246" i="1"/>
  <c r="EJ1247" i="1"/>
  <c r="EJ1248" i="1"/>
  <c r="EJ1249" i="1"/>
  <c r="EJ1250" i="1"/>
  <c r="EJ1251" i="1"/>
  <c r="EJ1252" i="1"/>
  <c r="EJ1253" i="1"/>
  <c r="EJ1254" i="1"/>
  <c r="EJ1255" i="1"/>
  <c r="EJ1256" i="1"/>
  <c r="EJ1257" i="1"/>
  <c r="EJ1258" i="1"/>
  <c r="EJ1259" i="1"/>
  <c r="EJ1260" i="1"/>
  <c r="EJ1261" i="1"/>
  <c r="EJ1262" i="1"/>
  <c r="EJ1263" i="1"/>
  <c r="EJ1264" i="1"/>
  <c r="EJ1265" i="1"/>
  <c r="EJ1266" i="1"/>
  <c r="EJ1267" i="1"/>
  <c r="EJ1268" i="1"/>
  <c r="EJ1269" i="1"/>
  <c r="EJ1270" i="1"/>
  <c r="EJ1271" i="1"/>
  <c r="EJ1272" i="1"/>
  <c r="EJ1273" i="1"/>
  <c r="EJ1274" i="1"/>
  <c r="EJ1275" i="1"/>
  <c r="EJ1276" i="1"/>
  <c r="EJ1277" i="1"/>
  <c r="EJ1278" i="1"/>
  <c r="EJ1279" i="1"/>
  <c r="EJ1280" i="1"/>
  <c r="EJ1281" i="1"/>
  <c r="EJ1282" i="1"/>
  <c r="EJ1283" i="1"/>
  <c r="EJ1284" i="1"/>
  <c r="EJ1285" i="1"/>
  <c r="EJ1286" i="1"/>
  <c r="EJ1287" i="1"/>
  <c r="EJ1288" i="1"/>
  <c r="EJ1289" i="1"/>
  <c r="EJ1290" i="1"/>
  <c r="EJ1291" i="1"/>
  <c r="EJ1292" i="1"/>
  <c r="EJ1293" i="1"/>
  <c r="EJ1294" i="1"/>
  <c r="EJ1295" i="1"/>
  <c r="EJ1296" i="1"/>
  <c r="EJ1297" i="1"/>
  <c r="EJ1298" i="1"/>
  <c r="EJ1299" i="1"/>
  <c r="EJ1300" i="1"/>
  <c r="EJ1301" i="1"/>
  <c r="EJ1302" i="1"/>
  <c r="EJ1303" i="1"/>
  <c r="EJ1304" i="1"/>
  <c r="EJ1305" i="1"/>
  <c r="EJ1306" i="1"/>
  <c r="EJ1307" i="1"/>
  <c r="EJ1308" i="1"/>
  <c r="EJ1309" i="1"/>
  <c r="EJ1310" i="1"/>
  <c r="EJ1311" i="1"/>
  <c r="EJ1312" i="1"/>
  <c r="EJ1313" i="1"/>
  <c r="EJ1314" i="1"/>
  <c r="EJ1315" i="1"/>
  <c r="EJ1316" i="1"/>
  <c r="EJ1317" i="1"/>
  <c r="EJ1318" i="1"/>
  <c r="EJ1319" i="1"/>
  <c r="EJ1320" i="1"/>
  <c r="EJ1321" i="1"/>
  <c r="EJ1322" i="1"/>
  <c r="EJ1323" i="1"/>
  <c r="EJ1324" i="1"/>
  <c r="EJ1325" i="1"/>
  <c r="EJ1326" i="1"/>
  <c r="EJ1327" i="1"/>
  <c r="EJ1328" i="1"/>
  <c r="EJ1329" i="1"/>
  <c r="EJ1330" i="1"/>
  <c r="EJ1331" i="1"/>
  <c r="EJ1332" i="1"/>
  <c r="EJ1333" i="1"/>
  <c r="EJ1334" i="1"/>
  <c r="EJ1335" i="1"/>
  <c r="EJ1336" i="1"/>
  <c r="EJ1337" i="1"/>
  <c r="EJ1338" i="1"/>
  <c r="EJ1339" i="1"/>
  <c r="EJ1340" i="1"/>
  <c r="EJ1341" i="1"/>
  <c r="EJ1342" i="1"/>
  <c r="EJ1343" i="1"/>
  <c r="EJ1344" i="1"/>
  <c r="EJ1345" i="1"/>
  <c r="EJ1346" i="1"/>
  <c r="EJ1347" i="1"/>
  <c r="EJ1348" i="1"/>
  <c r="EJ1349" i="1"/>
  <c r="EJ1350" i="1"/>
  <c r="EJ1351" i="1"/>
  <c r="EJ1352" i="1"/>
  <c r="EJ1353" i="1"/>
  <c r="EJ1354" i="1"/>
  <c r="EJ1355" i="1"/>
  <c r="EJ1356" i="1"/>
  <c r="EJ1357" i="1"/>
  <c r="EJ1358" i="1"/>
  <c r="EJ1359" i="1"/>
  <c r="EJ1360" i="1"/>
  <c r="EJ1361" i="1"/>
  <c r="EJ1362" i="1"/>
  <c r="EJ1363" i="1"/>
  <c r="EJ1364" i="1"/>
  <c r="EJ1365" i="1"/>
  <c r="EJ1366" i="1"/>
  <c r="EJ1367" i="1"/>
  <c r="EJ1368" i="1"/>
  <c r="EJ1369" i="1"/>
  <c r="EJ1370" i="1"/>
  <c r="EJ1371" i="1"/>
  <c r="EJ1372" i="1"/>
  <c r="EJ1373" i="1"/>
  <c r="EJ1374" i="1"/>
  <c r="EJ1375" i="1"/>
  <c r="EJ1376" i="1"/>
  <c r="EJ1377" i="1"/>
  <c r="EJ1378" i="1"/>
  <c r="EJ1379" i="1"/>
  <c r="EJ1380" i="1"/>
  <c r="EJ1381" i="1"/>
  <c r="EJ1382" i="1"/>
  <c r="EJ1383" i="1"/>
  <c r="EJ1384" i="1"/>
  <c r="EJ1385" i="1"/>
  <c r="EJ1386" i="1"/>
  <c r="EJ1387" i="1"/>
  <c r="EJ1388" i="1"/>
  <c r="EJ1389" i="1"/>
  <c r="EJ1390" i="1"/>
  <c r="EJ1391" i="1"/>
  <c r="EJ1392" i="1"/>
  <c r="EJ1393" i="1"/>
  <c r="EJ1394" i="1"/>
  <c r="EJ1395" i="1"/>
  <c r="EJ1396" i="1"/>
  <c r="EJ1397" i="1"/>
  <c r="EJ1398" i="1"/>
  <c r="EJ1399" i="1"/>
  <c r="EJ1400" i="1"/>
  <c r="EJ1401" i="1"/>
  <c r="EJ1402" i="1"/>
  <c r="EJ1403" i="1"/>
  <c r="EJ1404" i="1"/>
  <c r="EJ1405" i="1"/>
  <c r="EJ1406" i="1"/>
  <c r="EJ1407" i="1"/>
  <c r="EJ1408" i="1"/>
  <c r="EJ1409" i="1"/>
  <c r="EJ1410" i="1"/>
  <c r="EJ1411" i="1"/>
  <c r="EJ1412" i="1"/>
  <c r="EJ1413" i="1"/>
  <c r="EJ1414" i="1"/>
  <c r="EJ1415" i="1"/>
  <c r="EJ1416" i="1"/>
  <c r="EJ1417" i="1"/>
  <c r="EJ1418" i="1"/>
  <c r="EJ1419" i="1"/>
  <c r="EJ1420" i="1"/>
  <c r="EJ1421" i="1"/>
  <c r="EJ1422" i="1"/>
  <c r="EJ1423" i="1"/>
  <c r="EJ1424" i="1"/>
  <c r="EJ1425" i="1"/>
  <c r="EJ1426" i="1"/>
  <c r="EJ1427" i="1"/>
  <c r="EJ1428" i="1"/>
  <c r="EJ1429" i="1"/>
  <c r="EJ1430" i="1"/>
  <c r="EJ1431" i="1"/>
  <c r="EJ1432" i="1"/>
  <c r="EJ1433" i="1"/>
  <c r="EJ1434" i="1"/>
  <c r="EJ1435" i="1"/>
  <c r="EJ1436" i="1"/>
  <c r="EJ1437" i="1"/>
  <c r="EJ1438" i="1"/>
  <c r="EJ1439" i="1"/>
  <c r="EJ1440" i="1"/>
  <c r="EJ1441" i="1"/>
  <c r="EJ1442" i="1"/>
  <c r="EJ1443" i="1"/>
  <c r="EJ1444" i="1"/>
  <c r="EJ1445" i="1"/>
  <c r="EJ1446" i="1"/>
  <c r="EJ1447" i="1"/>
  <c r="EJ1448" i="1"/>
  <c r="EJ1449" i="1"/>
  <c r="EJ1450" i="1"/>
  <c r="EJ1451" i="1"/>
  <c r="EJ1452" i="1"/>
  <c r="EJ1453" i="1"/>
  <c r="EJ1454" i="1"/>
  <c r="EJ1455" i="1"/>
  <c r="EJ1456" i="1"/>
  <c r="EJ1457" i="1"/>
  <c r="EJ1458" i="1"/>
  <c r="EJ1459" i="1"/>
  <c r="EJ1460" i="1"/>
  <c r="EJ1461" i="1"/>
  <c r="EJ1462" i="1"/>
  <c r="EJ1463" i="1"/>
  <c r="EJ1464" i="1"/>
  <c r="EJ1465" i="1"/>
  <c r="EJ1466" i="1"/>
  <c r="EJ1467" i="1"/>
  <c r="EJ1468" i="1"/>
  <c r="EJ1469" i="1"/>
  <c r="EJ1470" i="1"/>
  <c r="EJ1471" i="1"/>
  <c r="EJ1472" i="1"/>
  <c r="EJ1473" i="1"/>
  <c r="EJ1474" i="1"/>
  <c r="EJ1475" i="1"/>
  <c r="EJ1476" i="1"/>
  <c r="EJ1477" i="1"/>
  <c r="EJ1478" i="1"/>
  <c r="EJ1479" i="1"/>
  <c r="EJ1480" i="1"/>
  <c r="EJ1481" i="1"/>
  <c r="EJ1482" i="1"/>
  <c r="EJ1483" i="1"/>
  <c r="EJ1484" i="1"/>
  <c r="EJ1485" i="1"/>
  <c r="EJ1486" i="1"/>
  <c r="EJ1487" i="1"/>
  <c r="EJ1488" i="1"/>
  <c r="EJ1489" i="1"/>
  <c r="EJ1490" i="1"/>
  <c r="EJ1491" i="1"/>
  <c r="EJ1492" i="1"/>
  <c r="EJ1493" i="1"/>
  <c r="EJ1494" i="1"/>
  <c r="EJ1495" i="1"/>
  <c r="EJ1496" i="1"/>
  <c r="EJ1497" i="1"/>
  <c r="EJ1498" i="1"/>
  <c r="EJ1499" i="1"/>
  <c r="EJ1500" i="1"/>
  <c r="EJ1501" i="1"/>
  <c r="EJ1502" i="1"/>
  <c r="EJ1503" i="1"/>
  <c r="EJ1504" i="1"/>
  <c r="EJ1505" i="1"/>
  <c r="EJ1506" i="1"/>
  <c r="EJ1507" i="1"/>
  <c r="EJ1508" i="1"/>
  <c r="EJ1509" i="1"/>
  <c r="EJ1510" i="1"/>
  <c r="EJ1511" i="1"/>
  <c r="EJ1512" i="1"/>
  <c r="EJ1513" i="1"/>
  <c r="EJ1514" i="1"/>
  <c r="EJ1515" i="1"/>
  <c r="EJ1516" i="1"/>
  <c r="EJ1517" i="1"/>
  <c r="EJ1518" i="1"/>
  <c r="EJ1519" i="1"/>
  <c r="EJ1520" i="1"/>
  <c r="EJ1521" i="1"/>
  <c r="EJ1522" i="1"/>
  <c r="EJ1523" i="1"/>
  <c r="EJ1524" i="1"/>
  <c r="EJ1525" i="1"/>
  <c r="EJ1526" i="1"/>
  <c r="EJ1527" i="1"/>
  <c r="EJ1528" i="1"/>
  <c r="EJ1529" i="1"/>
  <c r="EJ1530" i="1"/>
  <c r="EJ1531" i="1"/>
  <c r="EJ1532" i="1"/>
  <c r="EJ1533" i="1"/>
  <c r="EJ1534" i="1"/>
  <c r="EJ1535" i="1"/>
  <c r="EJ1536" i="1"/>
  <c r="EJ1537" i="1"/>
  <c r="EJ1538" i="1"/>
  <c r="EJ1539" i="1"/>
  <c r="EJ1540" i="1"/>
  <c r="EJ1541" i="1"/>
  <c r="EJ1542" i="1"/>
  <c r="EJ1543" i="1"/>
  <c r="EJ1544" i="1"/>
  <c r="EJ1545" i="1"/>
  <c r="EJ1546" i="1"/>
  <c r="EJ1547" i="1"/>
  <c r="EJ1548" i="1"/>
  <c r="EJ1549" i="1"/>
  <c r="EJ1550" i="1"/>
  <c r="EJ1551" i="1"/>
  <c r="EJ1552" i="1"/>
  <c r="EJ1553" i="1"/>
  <c r="EJ1554" i="1"/>
  <c r="EJ1555" i="1"/>
  <c r="EJ1556" i="1"/>
  <c r="EJ1557" i="1"/>
  <c r="EJ1558" i="1"/>
  <c r="EJ1559" i="1"/>
  <c r="EJ1560" i="1"/>
  <c r="EJ1561" i="1"/>
  <c r="EJ1562" i="1"/>
  <c r="EJ1563" i="1"/>
  <c r="EJ1564" i="1"/>
  <c r="EJ1565" i="1"/>
  <c r="EJ1566" i="1"/>
  <c r="EJ1567" i="1"/>
  <c r="EJ1568" i="1"/>
  <c r="EJ1569" i="1"/>
  <c r="EJ1570" i="1"/>
  <c r="EJ1571" i="1"/>
  <c r="EJ1572" i="1"/>
  <c r="EJ1573" i="1"/>
  <c r="EJ1574" i="1"/>
  <c r="EJ1575" i="1"/>
  <c r="EJ1576" i="1"/>
  <c r="EJ1577" i="1"/>
  <c r="EJ1578" i="1"/>
  <c r="EJ1579" i="1"/>
  <c r="EJ1580" i="1"/>
  <c r="EJ1581" i="1"/>
  <c r="EJ1582" i="1"/>
  <c r="EJ1583" i="1"/>
  <c r="EJ1584" i="1"/>
  <c r="EJ1585" i="1"/>
  <c r="EJ1586" i="1"/>
  <c r="EJ1587" i="1"/>
  <c r="EJ1588" i="1"/>
  <c r="EJ1589" i="1"/>
  <c r="EJ1590" i="1"/>
  <c r="EJ1591" i="1"/>
  <c r="EJ1592" i="1"/>
  <c r="EJ1593" i="1"/>
  <c r="EJ1594" i="1"/>
  <c r="EJ1595" i="1"/>
  <c r="EJ1596" i="1"/>
  <c r="EJ1597" i="1"/>
  <c r="EJ1598" i="1"/>
  <c r="EJ1599" i="1"/>
  <c r="EJ1600" i="1"/>
  <c r="EJ1601" i="1"/>
  <c r="EJ1602" i="1"/>
  <c r="EJ1603" i="1"/>
  <c r="EJ1604" i="1"/>
  <c r="EJ1605" i="1"/>
  <c r="EJ1606" i="1"/>
  <c r="EJ1607" i="1"/>
  <c r="EJ1608" i="1"/>
  <c r="EJ1609" i="1"/>
  <c r="EJ1610" i="1"/>
  <c r="EJ1611" i="1"/>
  <c r="EJ1612" i="1"/>
  <c r="EJ1613" i="1"/>
  <c r="EJ1614" i="1"/>
  <c r="EJ1615" i="1"/>
  <c r="EJ1616" i="1"/>
  <c r="EJ1617" i="1"/>
  <c r="EJ1618" i="1"/>
  <c r="EJ1619" i="1"/>
  <c r="EJ1620" i="1"/>
  <c r="EJ1621" i="1"/>
  <c r="EJ1622" i="1"/>
  <c r="EJ1623" i="1"/>
  <c r="EJ1624" i="1"/>
  <c r="EJ1625" i="1"/>
  <c r="EJ1626" i="1"/>
  <c r="EJ1627" i="1"/>
  <c r="EJ1628" i="1"/>
  <c r="EJ1629" i="1"/>
  <c r="EJ1630" i="1"/>
  <c r="EJ1631" i="1"/>
  <c r="EJ1632" i="1"/>
  <c r="EJ1633" i="1"/>
  <c r="EJ1634" i="1"/>
  <c r="EJ1635" i="1"/>
  <c r="EJ1636" i="1"/>
  <c r="EJ1637" i="1"/>
  <c r="EJ1638" i="1"/>
  <c r="EJ1639" i="1"/>
  <c r="EJ1640" i="1"/>
  <c r="EJ1641" i="1"/>
  <c r="EJ1642" i="1"/>
  <c r="EJ1643" i="1"/>
  <c r="EJ1644" i="1"/>
  <c r="EJ1645" i="1"/>
  <c r="EJ1646" i="1"/>
  <c r="EJ1647" i="1"/>
  <c r="EJ1648" i="1"/>
  <c r="EJ1649" i="1"/>
  <c r="EJ1650" i="1"/>
  <c r="EJ1651" i="1"/>
  <c r="EJ1652" i="1"/>
  <c r="EJ1653" i="1"/>
  <c r="EJ1654" i="1"/>
  <c r="EJ1655" i="1"/>
  <c r="EJ1656" i="1"/>
  <c r="EJ1657" i="1"/>
  <c r="EJ1658" i="1"/>
  <c r="EJ1659" i="1"/>
  <c r="EJ1660" i="1"/>
  <c r="EJ1661" i="1"/>
  <c r="EJ1662" i="1"/>
  <c r="EJ1663" i="1"/>
  <c r="EJ1664" i="1"/>
  <c r="EJ1665" i="1"/>
  <c r="EJ1666" i="1"/>
  <c r="EJ1667" i="1"/>
  <c r="EJ1668" i="1"/>
  <c r="EJ1669" i="1"/>
  <c r="EJ1670" i="1"/>
  <c r="EJ1671" i="1"/>
  <c r="EJ1672" i="1"/>
  <c r="EJ1673" i="1"/>
  <c r="EJ1674" i="1"/>
  <c r="EJ1675" i="1"/>
  <c r="EJ1676" i="1"/>
  <c r="EJ1677" i="1"/>
  <c r="EJ1678" i="1"/>
  <c r="EJ1679" i="1"/>
  <c r="EJ1680" i="1"/>
  <c r="EJ1681" i="1"/>
  <c r="EJ1682" i="1"/>
  <c r="EJ1683" i="1"/>
  <c r="EJ1684" i="1"/>
  <c r="EJ1685" i="1"/>
  <c r="EJ1686" i="1"/>
  <c r="EJ1687" i="1"/>
  <c r="EJ1688" i="1"/>
  <c r="EJ1689" i="1"/>
  <c r="EJ1690" i="1"/>
  <c r="EJ1691" i="1"/>
  <c r="EJ1692" i="1"/>
  <c r="EJ1693" i="1"/>
  <c r="EJ1694" i="1"/>
  <c r="EJ1695" i="1"/>
  <c r="EJ1696" i="1"/>
  <c r="EJ1697" i="1"/>
  <c r="EJ1698" i="1"/>
  <c r="EJ1699" i="1"/>
  <c r="EJ1700" i="1"/>
  <c r="EJ1701" i="1"/>
  <c r="EJ1702" i="1"/>
  <c r="EJ1703" i="1"/>
  <c r="EJ1704" i="1"/>
  <c r="EJ1705" i="1"/>
  <c r="EJ1706" i="1"/>
  <c r="EJ1707" i="1"/>
  <c r="EJ1708" i="1"/>
  <c r="EJ1709" i="1"/>
  <c r="EJ1710" i="1"/>
  <c r="EJ1711" i="1"/>
  <c r="EJ1712" i="1"/>
  <c r="EJ1713" i="1"/>
  <c r="EJ1714" i="1"/>
  <c r="EJ1715" i="1"/>
  <c r="EJ1716" i="1"/>
  <c r="EJ1717" i="1"/>
  <c r="EJ1718" i="1"/>
  <c r="EJ1719" i="1"/>
  <c r="EJ1720" i="1"/>
  <c r="EJ1721" i="1"/>
  <c r="EJ1722" i="1"/>
  <c r="EJ1723" i="1"/>
  <c r="EJ1724" i="1"/>
  <c r="EJ1725" i="1"/>
  <c r="EJ1726" i="1"/>
  <c r="EJ1727" i="1"/>
  <c r="EJ1728" i="1"/>
  <c r="EJ1729" i="1"/>
  <c r="EJ1730" i="1"/>
  <c r="EJ1731" i="1"/>
  <c r="EJ1732" i="1"/>
  <c r="EJ1733" i="1"/>
  <c r="EJ1734" i="1"/>
  <c r="EJ1735" i="1"/>
  <c r="EJ1736" i="1"/>
  <c r="EJ1737" i="1"/>
  <c r="EJ1738" i="1"/>
  <c r="EJ1739" i="1"/>
  <c r="EJ1740" i="1"/>
  <c r="EJ1741" i="1"/>
  <c r="EJ1742" i="1"/>
  <c r="EJ1743" i="1"/>
  <c r="EJ1744" i="1"/>
  <c r="EJ1745" i="1"/>
  <c r="EJ1746" i="1"/>
  <c r="EJ1747" i="1"/>
  <c r="EJ1748" i="1"/>
  <c r="EJ1749" i="1"/>
  <c r="EJ1750" i="1"/>
  <c r="EJ1751" i="1"/>
  <c r="EJ1752" i="1"/>
  <c r="EJ1753" i="1"/>
  <c r="EJ1754" i="1"/>
  <c r="EJ1755" i="1"/>
  <c r="EJ1756" i="1"/>
  <c r="EJ1757" i="1"/>
  <c r="EJ1758" i="1"/>
  <c r="EJ1759" i="1"/>
  <c r="EJ1760" i="1"/>
  <c r="EJ1761" i="1"/>
  <c r="EJ1762" i="1"/>
  <c r="EJ1763" i="1"/>
  <c r="EJ1764" i="1"/>
  <c r="EJ1765" i="1"/>
  <c r="EJ1766" i="1"/>
  <c r="EJ1767" i="1"/>
  <c r="EJ1768" i="1"/>
  <c r="EJ1769" i="1"/>
  <c r="EJ1770" i="1"/>
  <c r="EJ1771" i="1"/>
  <c r="EJ1772" i="1"/>
  <c r="EJ1773" i="1"/>
  <c r="EJ1774" i="1"/>
  <c r="EJ1775" i="1"/>
  <c r="EJ1776" i="1"/>
  <c r="EJ1777" i="1"/>
  <c r="EJ1778" i="1"/>
  <c r="EJ1779" i="1"/>
  <c r="EJ1780" i="1"/>
  <c r="EJ1781" i="1"/>
  <c r="EJ1782" i="1"/>
  <c r="EJ1783" i="1"/>
  <c r="EJ1784" i="1"/>
  <c r="EJ1785" i="1"/>
  <c r="EJ1786" i="1"/>
  <c r="EJ1787" i="1"/>
  <c r="EJ1788" i="1"/>
  <c r="EJ1789" i="1"/>
  <c r="EJ1790" i="1"/>
  <c r="EJ1791" i="1"/>
  <c r="EJ1792" i="1"/>
  <c r="EJ1793" i="1"/>
  <c r="EJ1794" i="1"/>
  <c r="EJ1795" i="1"/>
  <c r="EJ1796" i="1"/>
  <c r="EJ1797" i="1"/>
  <c r="EJ1798" i="1"/>
  <c r="EJ1799" i="1"/>
  <c r="EJ1800" i="1"/>
  <c r="EJ1801" i="1"/>
  <c r="EJ1802" i="1"/>
  <c r="EJ1803" i="1"/>
  <c r="EJ1804" i="1"/>
  <c r="EJ1805" i="1"/>
  <c r="EJ1806" i="1"/>
  <c r="EJ1807" i="1"/>
  <c r="EJ1808" i="1"/>
  <c r="EJ1809" i="1"/>
  <c r="EJ1810" i="1"/>
  <c r="EJ1811" i="1"/>
  <c r="EJ1812" i="1"/>
  <c r="EJ1813" i="1"/>
  <c r="EJ1814" i="1"/>
  <c r="EJ1815" i="1"/>
  <c r="EJ1816" i="1"/>
  <c r="EJ1817" i="1"/>
  <c r="EJ1818" i="1"/>
  <c r="EJ1819" i="1"/>
  <c r="EJ1820" i="1"/>
  <c r="EJ1821" i="1"/>
  <c r="EJ1822" i="1"/>
  <c r="EJ1823" i="1"/>
  <c r="EJ1824" i="1"/>
  <c r="EJ1825" i="1"/>
  <c r="EJ1826" i="1"/>
  <c r="EJ1827" i="1"/>
  <c r="EJ1828" i="1"/>
  <c r="EJ1829" i="1"/>
  <c r="EJ1830" i="1"/>
  <c r="EJ1831" i="1"/>
  <c r="EJ1832" i="1"/>
  <c r="EJ1833" i="1"/>
  <c r="EJ1834" i="1"/>
  <c r="EJ1835" i="1"/>
  <c r="EJ1836" i="1"/>
  <c r="EJ1837" i="1"/>
  <c r="EJ1838" i="1"/>
  <c r="EJ1839" i="1"/>
  <c r="EJ1840" i="1"/>
  <c r="EJ1841" i="1"/>
  <c r="EJ1842" i="1"/>
  <c r="EJ1843" i="1"/>
  <c r="EJ1844" i="1"/>
  <c r="EJ1845" i="1"/>
  <c r="EJ1846" i="1"/>
  <c r="EJ1847" i="1"/>
  <c r="EJ1848" i="1"/>
  <c r="EJ1849" i="1"/>
  <c r="EJ1850" i="1"/>
  <c r="EJ1851" i="1"/>
  <c r="EJ1852" i="1"/>
  <c r="EJ1853" i="1"/>
  <c r="EJ1854" i="1"/>
  <c r="EJ1855" i="1"/>
  <c r="EJ1856" i="1"/>
  <c r="EJ1857" i="1"/>
  <c r="EJ1858" i="1"/>
  <c r="EJ1859" i="1"/>
  <c r="EJ1860" i="1"/>
  <c r="EJ1861" i="1"/>
  <c r="EJ1862" i="1"/>
  <c r="EJ1863" i="1"/>
  <c r="EJ1864" i="1"/>
  <c r="EJ1865" i="1"/>
  <c r="EJ1866" i="1"/>
  <c r="EJ1867" i="1"/>
  <c r="EJ1868" i="1"/>
  <c r="EJ1869" i="1"/>
  <c r="EJ1870" i="1"/>
  <c r="EJ1871" i="1"/>
  <c r="EJ1872" i="1"/>
  <c r="EJ1873" i="1"/>
  <c r="EJ1874" i="1"/>
  <c r="EJ1875" i="1"/>
  <c r="EJ1876" i="1"/>
  <c r="EJ1877" i="1"/>
  <c r="EJ1878" i="1"/>
  <c r="EJ1879" i="1"/>
  <c r="EJ1880" i="1"/>
  <c r="EJ1881" i="1"/>
  <c r="EJ1882" i="1"/>
  <c r="EJ1883" i="1"/>
  <c r="EJ1884" i="1"/>
  <c r="EJ1885" i="1"/>
  <c r="EJ1886" i="1"/>
  <c r="EJ1887" i="1"/>
  <c r="EJ1888" i="1"/>
  <c r="EJ1889" i="1"/>
  <c r="EJ1890" i="1"/>
  <c r="EJ1891" i="1"/>
  <c r="EJ1892" i="1"/>
  <c r="EJ1893" i="1"/>
  <c r="EJ1894" i="1"/>
  <c r="EJ1895" i="1"/>
  <c r="EJ1896" i="1"/>
  <c r="EJ1897" i="1"/>
  <c r="EJ1898" i="1"/>
  <c r="EJ1899" i="1"/>
  <c r="EJ1900" i="1"/>
  <c r="EJ1901" i="1"/>
  <c r="EJ1902" i="1"/>
  <c r="EJ1903" i="1"/>
  <c r="EJ1904" i="1"/>
  <c r="EJ1905" i="1"/>
  <c r="EJ1906" i="1"/>
  <c r="EJ1907" i="1"/>
  <c r="EJ1908" i="1"/>
  <c r="EJ1909" i="1"/>
  <c r="EJ1910" i="1"/>
  <c r="EJ1911" i="1"/>
  <c r="EJ1912" i="1"/>
  <c r="EJ1913" i="1"/>
  <c r="EJ1914" i="1"/>
  <c r="EJ1915" i="1"/>
  <c r="EJ1916" i="1"/>
  <c r="EJ1917" i="1"/>
  <c r="EJ1918" i="1"/>
  <c r="EJ1919" i="1"/>
  <c r="EJ1920" i="1"/>
  <c r="EJ1921" i="1"/>
  <c r="EJ1922" i="1"/>
  <c r="EJ1923" i="1"/>
  <c r="EJ1924" i="1"/>
  <c r="EJ1925" i="1"/>
  <c r="EJ1926" i="1"/>
  <c r="EJ1927" i="1"/>
  <c r="EJ1928" i="1"/>
  <c r="EJ1929" i="1"/>
  <c r="EJ1930" i="1"/>
  <c r="EJ1931" i="1"/>
  <c r="EJ1932" i="1"/>
  <c r="EJ1933" i="1"/>
  <c r="EJ1934" i="1"/>
  <c r="EJ1935" i="1"/>
  <c r="EJ1936" i="1"/>
  <c r="EJ1937" i="1"/>
  <c r="EJ1938" i="1"/>
  <c r="EJ1939" i="1"/>
  <c r="EJ1940" i="1"/>
  <c r="EJ1941" i="1"/>
  <c r="EJ1942" i="1"/>
  <c r="EJ1943" i="1"/>
  <c r="EJ1944" i="1"/>
  <c r="EJ1945" i="1"/>
  <c r="EJ1946" i="1"/>
  <c r="EJ1947" i="1"/>
  <c r="EJ1948" i="1"/>
  <c r="EJ1949" i="1"/>
  <c r="EJ1950" i="1"/>
  <c r="EJ1951" i="1"/>
  <c r="EJ1952" i="1"/>
  <c r="EJ1953" i="1"/>
  <c r="EJ1954" i="1"/>
  <c r="EJ1955" i="1"/>
  <c r="EJ1956" i="1"/>
  <c r="EJ1957" i="1"/>
  <c r="EJ1958" i="1"/>
  <c r="EJ1959" i="1"/>
  <c r="EJ1960" i="1"/>
  <c r="EJ1961" i="1"/>
  <c r="EJ1962" i="1"/>
  <c r="EJ1963" i="1"/>
  <c r="EJ1964" i="1"/>
  <c r="EJ1965" i="1"/>
  <c r="EJ1966" i="1"/>
  <c r="EJ1967" i="1"/>
  <c r="EJ1968" i="1"/>
  <c r="EJ1969" i="1"/>
  <c r="EJ1970" i="1"/>
  <c r="EJ1971" i="1"/>
  <c r="EJ1972" i="1"/>
  <c r="EJ1973" i="1"/>
  <c r="EJ1974" i="1"/>
  <c r="EJ1975" i="1"/>
  <c r="EJ1976" i="1"/>
  <c r="EJ1977" i="1"/>
  <c r="EJ1978" i="1"/>
  <c r="EJ1979" i="1"/>
  <c r="EJ1980" i="1"/>
  <c r="EJ1981" i="1"/>
  <c r="EJ1982" i="1"/>
  <c r="EJ1983" i="1"/>
  <c r="EJ1984" i="1"/>
  <c r="EJ1985" i="1"/>
  <c r="EJ1986" i="1"/>
  <c r="EJ1987" i="1"/>
  <c r="EJ1988" i="1"/>
  <c r="EJ1989" i="1"/>
  <c r="EJ1990" i="1"/>
  <c r="EJ1991" i="1"/>
  <c r="EJ1992" i="1"/>
  <c r="EJ1993" i="1"/>
  <c r="EJ1994" i="1"/>
  <c r="EJ1995" i="1"/>
  <c r="EJ1996" i="1"/>
  <c r="EJ1997" i="1"/>
  <c r="EJ1998" i="1"/>
  <c r="EJ1999" i="1"/>
  <c r="EJ2000" i="1"/>
  <c r="EJ2001" i="1"/>
  <c r="EJ2002" i="1"/>
  <c r="EJ2003" i="1"/>
  <c r="EJ2004" i="1"/>
  <c r="EJ2005" i="1"/>
  <c r="EJ2006" i="1"/>
  <c r="EJ2007" i="1"/>
  <c r="EJ2008" i="1"/>
  <c r="EJ2009" i="1"/>
  <c r="EJ2010" i="1"/>
  <c r="EJ2011" i="1"/>
  <c r="EJ2012" i="1"/>
  <c r="EJ2013" i="1"/>
  <c r="EJ2014" i="1"/>
  <c r="EJ2015" i="1"/>
  <c r="EJ2016" i="1"/>
  <c r="EJ2017" i="1"/>
  <c r="EJ2018" i="1"/>
  <c r="EJ2019" i="1"/>
  <c r="EJ2020" i="1"/>
  <c r="EJ2021" i="1"/>
  <c r="EJ2022" i="1"/>
  <c r="EJ2023" i="1"/>
  <c r="EJ2024" i="1"/>
  <c r="EJ2025" i="1"/>
  <c r="EJ2026" i="1"/>
  <c r="EJ2027" i="1"/>
  <c r="EJ2028" i="1"/>
  <c r="EJ2029" i="1"/>
  <c r="EJ2030" i="1"/>
  <c r="EJ2031" i="1"/>
  <c r="EJ2032" i="1"/>
  <c r="EJ2033" i="1"/>
  <c r="EJ2034" i="1"/>
  <c r="EJ2035" i="1"/>
  <c r="EJ2036" i="1"/>
  <c r="EJ2037" i="1"/>
  <c r="EJ2038" i="1"/>
  <c r="EJ2039" i="1"/>
  <c r="EJ2040" i="1"/>
  <c r="EJ2041" i="1"/>
  <c r="EJ2042" i="1"/>
  <c r="EJ2043" i="1"/>
  <c r="EJ2044" i="1"/>
  <c r="EJ2045" i="1"/>
  <c r="EJ2046" i="1"/>
  <c r="EJ2047" i="1"/>
  <c r="EJ2048" i="1"/>
  <c r="EJ2049" i="1"/>
  <c r="EJ2050" i="1"/>
  <c r="EJ2051" i="1"/>
  <c r="EJ2052" i="1"/>
  <c r="EJ2053" i="1"/>
  <c r="EJ2054" i="1"/>
  <c r="EJ2055" i="1"/>
  <c r="EJ2056" i="1"/>
  <c r="EJ2057" i="1"/>
  <c r="EJ2058" i="1"/>
  <c r="EJ2059" i="1"/>
  <c r="EJ2060" i="1"/>
  <c r="EJ2061" i="1"/>
  <c r="EJ2062" i="1"/>
  <c r="EJ2063" i="1"/>
  <c r="EJ2064" i="1"/>
  <c r="EJ2065" i="1"/>
  <c r="EJ2066" i="1"/>
  <c r="EJ2067" i="1"/>
  <c r="EJ2068" i="1"/>
  <c r="EJ2069" i="1"/>
  <c r="EJ2070" i="1"/>
  <c r="EJ2071" i="1"/>
  <c r="EJ2072" i="1"/>
  <c r="EJ2073" i="1"/>
  <c r="EJ2074" i="1"/>
  <c r="EJ2075" i="1"/>
  <c r="EJ2076" i="1"/>
  <c r="EJ2077" i="1"/>
  <c r="EJ2078" i="1"/>
  <c r="EJ2079" i="1"/>
  <c r="EJ2080" i="1"/>
  <c r="EJ2081" i="1"/>
  <c r="EJ2082" i="1"/>
  <c r="EJ2083" i="1"/>
  <c r="EJ2084" i="1"/>
  <c r="EJ2085" i="1"/>
  <c r="EJ2086" i="1"/>
  <c r="EJ2087" i="1"/>
  <c r="EJ2088" i="1"/>
  <c r="EJ2089" i="1"/>
  <c r="EJ2090" i="1"/>
  <c r="EJ2091" i="1"/>
  <c r="EJ2092" i="1"/>
  <c r="EJ2093" i="1"/>
  <c r="EJ2094" i="1"/>
  <c r="EJ2095" i="1"/>
  <c r="EJ2096" i="1"/>
  <c r="EJ2097" i="1"/>
  <c r="EJ2098" i="1"/>
  <c r="EJ2099" i="1"/>
  <c r="EJ2100" i="1"/>
  <c r="EJ2101" i="1"/>
  <c r="EJ2102" i="1"/>
  <c r="EJ2103" i="1"/>
  <c r="EJ2104" i="1"/>
  <c r="EJ2105" i="1"/>
  <c r="EJ2106" i="1"/>
  <c r="EJ2107" i="1"/>
  <c r="EJ2108" i="1"/>
  <c r="EJ2109" i="1"/>
  <c r="EJ2110" i="1"/>
  <c r="EJ2111" i="1"/>
  <c r="EJ2112" i="1"/>
  <c r="EJ2113" i="1"/>
  <c r="EJ2114" i="1"/>
  <c r="EJ2115" i="1"/>
  <c r="EJ2116" i="1"/>
  <c r="EJ2117" i="1"/>
  <c r="EJ2118" i="1"/>
  <c r="EJ2119" i="1"/>
  <c r="EJ2120" i="1"/>
  <c r="EJ2121" i="1"/>
  <c r="EJ2122" i="1"/>
  <c r="EJ2123" i="1"/>
  <c r="EJ2124" i="1"/>
  <c r="EJ2125" i="1"/>
  <c r="EJ2126" i="1"/>
  <c r="EJ2127" i="1"/>
  <c r="EJ2128" i="1"/>
  <c r="EJ2129" i="1"/>
  <c r="EJ2130" i="1"/>
  <c r="EJ2131" i="1"/>
  <c r="EJ2132" i="1"/>
  <c r="EJ2133" i="1"/>
  <c r="EJ2134" i="1"/>
  <c r="EJ2135" i="1"/>
  <c r="EJ2136" i="1"/>
  <c r="EJ2137" i="1"/>
  <c r="EJ2138" i="1"/>
  <c r="EJ2139" i="1"/>
  <c r="EJ2140" i="1"/>
  <c r="EJ2141" i="1"/>
  <c r="EJ2142" i="1"/>
  <c r="EJ2143" i="1"/>
  <c r="EJ2144" i="1"/>
  <c r="EJ2145" i="1"/>
  <c r="EJ2146" i="1"/>
  <c r="EJ2147" i="1"/>
  <c r="EJ2148" i="1"/>
  <c r="EJ2149" i="1"/>
  <c r="EJ2150" i="1"/>
  <c r="EJ2151" i="1"/>
  <c r="EJ2152" i="1"/>
  <c r="EJ2153" i="1"/>
  <c r="EJ2154" i="1"/>
  <c r="EJ2155" i="1"/>
  <c r="EJ2156" i="1"/>
  <c r="EJ2157" i="1"/>
  <c r="EJ2158" i="1"/>
  <c r="EJ2159" i="1"/>
  <c r="EJ2160" i="1"/>
  <c r="EJ2161" i="1"/>
  <c r="EJ2162" i="1"/>
  <c r="EJ2163" i="1"/>
  <c r="EJ2164" i="1"/>
  <c r="EJ2165" i="1"/>
  <c r="EJ2166" i="1"/>
  <c r="EJ2167" i="1"/>
  <c r="EJ2168" i="1"/>
  <c r="EJ2169" i="1"/>
  <c r="EJ2170" i="1"/>
  <c r="EJ2171" i="1"/>
  <c r="EJ2172" i="1"/>
  <c r="EJ2173" i="1"/>
  <c r="EJ2174" i="1"/>
  <c r="EJ2175" i="1"/>
  <c r="EJ2176" i="1"/>
  <c r="EJ2177" i="1"/>
  <c r="EJ2178" i="1"/>
  <c r="EJ2179" i="1"/>
  <c r="EJ2180" i="1"/>
  <c r="EJ2181" i="1"/>
  <c r="EJ2182" i="1"/>
  <c r="EJ2183" i="1"/>
  <c r="EJ2184" i="1"/>
  <c r="EJ2185" i="1"/>
  <c r="EJ2186" i="1"/>
  <c r="EJ2187" i="1"/>
  <c r="EJ2188" i="1"/>
  <c r="EJ2189" i="1"/>
  <c r="EJ2190" i="1"/>
  <c r="EJ2191" i="1"/>
  <c r="EJ2192" i="1"/>
  <c r="EJ2193" i="1"/>
  <c r="EJ2194" i="1"/>
  <c r="EJ2195" i="1"/>
  <c r="EJ2196" i="1"/>
  <c r="EJ2197" i="1"/>
  <c r="EJ2198" i="1"/>
  <c r="EJ2199" i="1"/>
  <c r="EJ2200" i="1"/>
  <c r="EJ2201" i="1"/>
  <c r="EJ2202" i="1"/>
  <c r="EJ2203" i="1"/>
  <c r="EJ2204" i="1"/>
  <c r="EJ2205" i="1"/>
  <c r="EJ2206" i="1"/>
  <c r="EJ2207" i="1"/>
  <c r="EJ2208" i="1"/>
  <c r="EJ2209" i="1"/>
  <c r="EJ2210" i="1"/>
  <c r="EJ2211" i="1"/>
  <c r="EJ2212" i="1"/>
  <c r="EJ2213" i="1"/>
  <c r="EJ2214" i="1"/>
  <c r="EJ2215" i="1"/>
  <c r="EJ2216" i="1"/>
  <c r="EJ2217" i="1"/>
  <c r="EJ2218" i="1"/>
  <c r="EJ2219" i="1"/>
  <c r="EJ2220" i="1"/>
  <c r="EJ2221" i="1"/>
  <c r="EJ2222" i="1"/>
  <c r="EJ2223" i="1"/>
  <c r="EJ2224" i="1"/>
  <c r="EJ2225" i="1"/>
  <c r="EJ2226" i="1"/>
  <c r="EJ2227" i="1"/>
  <c r="EJ2228" i="1"/>
  <c r="EJ2229" i="1"/>
  <c r="EJ2230" i="1"/>
  <c r="EJ2231" i="1"/>
  <c r="EJ2232" i="1"/>
  <c r="EJ2233" i="1"/>
  <c r="EJ2234" i="1"/>
  <c r="EJ2235" i="1"/>
  <c r="EJ2236" i="1"/>
  <c r="EJ2237" i="1"/>
  <c r="EJ2238" i="1"/>
  <c r="EJ2239" i="1"/>
  <c r="EJ2240" i="1"/>
  <c r="EJ2241" i="1"/>
  <c r="EJ2242" i="1"/>
  <c r="EJ2243" i="1"/>
  <c r="EJ2244" i="1"/>
  <c r="EJ2245" i="1"/>
  <c r="EJ2246" i="1"/>
  <c r="EJ2247" i="1"/>
  <c r="EJ2248" i="1"/>
  <c r="EJ2249" i="1"/>
  <c r="EJ2250" i="1"/>
  <c r="EJ2251" i="1"/>
  <c r="EJ2252" i="1"/>
  <c r="EJ2253" i="1"/>
  <c r="EJ2254" i="1"/>
  <c r="EJ2255" i="1"/>
  <c r="EJ2256" i="1"/>
  <c r="EJ2257" i="1"/>
  <c r="EJ2258" i="1"/>
  <c r="EJ2259" i="1"/>
  <c r="EJ2260" i="1"/>
  <c r="EJ2261" i="1"/>
  <c r="EJ2262" i="1"/>
  <c r="EJ2263" i="1"/>
  <c r="EJ2264" i="1"/>
  <c r="EJ2265" i="1"/>
  <c r="EJ2266" i="1"/>
  <c r="EJ2267" i="1"/>
  <c r="EJ2268" i="1"/>
  <c r="EJ2269" i="1"/>
  <c r="EJ2270" i="1"/>
  <c r="EJ2271" i="1"/>
  <c r="EJ2272" i="1"/>
  <c r="EJ2273" i="1"/>
  <c r="EJ2274" i="1"/>
  <c r="EJ2275" i="1"/>
  <c r="EJ2276" i="1"/>
  <c r="EJ2277" i="1"/>
  <c r="EJ2278" i="1"/>
  <c r="EJ2279" i="1"/>
  <c r="EJ2280" i="1"/>
  <c r="EJ2281" i="1"/>
  <c r="EJ2282" i="1"/>
  <c r="EJ2283" i="1"/>
  <c r="EJ2284" i="1"/>
  <c r="EJ2285" i="1"/>
  <c r="EJ2286" i="1"/>
  <c r="EJ2287" i="1"/>
  <c r="EJ2288" i="1"/>
  <c r="EJ2289" i="1"/>
  <c r="EJ2290" i="1"/>
  <c r="EJ2291" i="1"/>
  <c r="EJ2292" i="1"/>
  <c r="EJ2293" i="1"/>
  <c r="EJ2294" i="1"/>
  <c r="EJ2295" i="1"/>
  <c r="EJ2296" i="1"/>
  <c r="EJ2297" i="1"/>
  <c r="EJ2298" i="1"/>
  <c r="EJ2299" i="1"/>
  <c r="EJ2300" i="1"/>
  <c r="EJ2301" i="1"/>
  <c r="EJ2302" i="1"/>
  <c r="EJ2303" i="1"/>
  <c r="EJ2304" i="1"/>
  <c r="EJ2305" i="1"/>
  <c r="EJ2306" i="1"/>
  <c r="EJ2307" i="1"/>
  <c r="EJ2308" i="1"/>
  <c r="EJ2309" i="1"/>
  <c r="EJ2310" i="1"/>
  <c r="EJ2311" i="1"/>
  <c r="EJ2312" i="1"/>
  <c r="EJ2313" i="1"/>
  <c r="EJ2314" i="1"/>
  <c r="EJ2315" i="1"/>
  <c r="EJ2316" i="1"/>
  <c r="EJ2317" i="1"/>
  <c r="EJ2318" i="1"/>
  <c r="EJ2319" i="1"/>
  <c r="EJ2320" i="1"/>
  <c r="EJ2321" i="1"/>
  <c r="EJ2322" i="1"/>
  <c r="EJ2323" i="1"/>
  <c r="EJ2324" i="1"/>
  <c r="EJ2325" i="1"/>
  <c r="EJ2326" i="1"/>
  <c r="EJ2327" i="1"/>
  <c r="EJ2328" i="1"/>
  <c r="EJ2329" i="1"/>
  <c r="EJ2330" i="1"/>
  <c r="EJ2331" i="1"/>
  <c r="EJ2332" i="1"/>
  <c r="EJ2333" i="1"/>
  <c r="EJ2334" i="1"/>
  <c r="EJ2335" i="1"/>
  <c r="EJ2336" i="1"/>
  <c r="EJ2337" i="1"/>
  <c r="EJ2338" i="1"/>
  <c r="EJ2339" i="1"/>
  <c r="EJ2340" i="1"/>
  <c r="EJ2341" i="1"/>
  <c r="EJ2342" i="1"/>
  <c r="EJ2343" i="1"/>
  <c r="EJ2344" i="1"/>
  <c r="EJ2345" i="1"/>
  <c r="EJ2346" i="1"/>
  <c r="EJ2347" i="1"/>
  <c r="EJ2348" i="1"/>
  <c r="EJ2349" i="1"/>
  <c r="EJ2350" i="1"/>
  <c r="EJ2351" i="1"/>
  <c r="EJ2352" i="1"/>
  <c r="EJ2353" i="1"/>
  <c r="EJ2354" i="1"/>
  <c r="EJ2355" i="1"/>
  <c r="EJ2356" i="1"/>
  <c r="EJ2357" i="1"/>
  <c r="EJ2358" i="1"/>
  <c r="EJ2359" i="1"/>
  <c r="EJ2360" i="1"/>
  <c r="EJ2361" i="1"/>
  <c r="EJ2362" i="1"/>
  <c r="EJ2363" i="1"/>
  <c r="EJ2364" i="1"/>
  <c r="EJ2365" i="1"/>
  <c r="EJ2366" i="1"/>
  <c r="EJ2367" i="1"/>
  <c r="EJ2368" i="1"/>
  <c r="EJ2369" i="1"/>
  <c r="EJ2370" i="1"/>
  <c r="EJ2371" i="1"/>
  <c r="EJ2372" i="1"/>
  <c r="EJ2373" i="1"/>
  <c r="EJ2374" i="1"/>
  <c r="EJ2375" i="1"/>
  <c r="EJ2376" i="1"/>
  <c r="EJ2377" i="1"/>
  <c r="EJ2378" i="1"/>
  <c r="EJ2379" i="1"/>
  <c r="EJ2380" i="1"/>
  <c r="EJ2381" i="1"/>
  <c r="EJ2382" i="1"/>
  <c r="EJ2383" i="1"/>
  <c r="EJ2384" i="1"/>
  <c r="EJ2385" i="1"/>
  <c r="EJ2386" i="1"/>
  <c r="EJ2387" i="1"/>
  <c r="EJ2388" i="1"/>
  <c r="EJ2389" i="1"/>
  <c r="EJ2390" i="1"/>
  <c r="EJ2391" i="1"/>
  <c r="EJ2392" i="1"/>
  <c r="EJ2393" i="1"/>
  <c r="EJ2394" i="1"/>
  <c r="EJ2395" i="1"/>
  <c r="EJ2396" i="1"/>
  <c r="EJ2397" i="1"/>
  <c r="EJ2398" i="1"/>
  <c r="EJ2399" i="1"/>
  <c r="EJ2400" i="1"/>
  <c r="EJ2401" i="1"/>
  <c r="EJ2402" i="1"/>
  <c r="EJ2403" i="1"/>
  <c r="EJ2404" i="1"/>
  <c r="EJ2405" i="1"/>
  <c r="EJ2406" i="1"/>
  <c r="EJ2407" i="1"/>
  <c r="EJ2408" i="1"/>
  <c r="EJ2409" i="1"/>
  <c r="EJ2410" i="1"/>
  <c r="EJ2411" i="1"/>
  <c r="EJ2412" i="1"/>
  <c r="EJ2413" i="1"/>
  <c r="EJ2414" i="1"/>
  <c r="EJ2415" i="1"/>
  <c r="EJ2416" i="1"/>
  <c r="EJ2417" i="1"/>
  <c r="EJ2418" i="1"/>
  <c r="EJ2419" i="1"/>
  <c r="EJ2420" i="1"/>
  <c r="EJ2421" i="1"/>
  <c r="EJ2422" i="1"/>
  <c r="EJ2423" i="1"/>
  <c r="EJ2424" i="1"/>
  <c r="EJ2425" i="1"/>
  <c r="EJ2426" i="1"/>
  <c r="EJ2427" i="1"/>
  <c r="EJ2428" i="1"/>
  <c r="EJ2429" i="1"/>
  <c r="EJ2430" i="1"/>
  <c r="EJ2431" i="1"/>
  <c r="EJ2432" i="1"/>
  <c r="EJ2433" i="1"/>
  <c r="EJ2434" i="1"/>
  <c r="EJ2435" i="1"/>
  <c r="EJ2436" i="1"/>
  <c r="EJ2437" i="1"/>
  <c r="EJ2438" i="1"/>
  <c r="EJ2439" i="1"/>
  <c r="EJ2440" i="1"/>
  <c r="EJ2441" i="1"/>
  <c r="EJ2442" i="1"/>
  <c r="EJ2443" i="1"/>
  <c r="EJ2444" i="1"/>
  <c r="EJ2445" i="1"/>
  <c r="EJ2446" i="1"/>
  <c r="EJ2447" i="1"/>
  <c r="EJ2448" i="1"/>
  <c r="EJ2449" i="1"/>
  <c r="EJ2450" i="1"/>
  <c r="EJ2451" i="1"/>
  <c r="EJ2452" i="1"/>
  <c r="EJ2453" i="1"/>
  <c r="EJ2454" i="1"/>
  <c r="EJ2455" i="1"/>
  <c r="EJ2456" i="1"/>
  <c r="EJ2457" i="1"/>
  <c r="EJ2458" i="1"/>
  <c r="EJ2459" i="1"/>
  <c r="EJ2460" i="1"/>
  <c r="EJ2461" i="1"/>
  <c r="EJ2462" i="1"/>
  <c r="EJ2463" i="1"/>
  <c r="EJ2464" i="1"/>
  <c r="EJ2465" i="1"/>
  <c r="EJ2466" i="1"/>
  <c r="EJ2467" i="1"/>
  <c r="EJ2468" i="1"/>
  <c r="EJ2469" i="1"/>
  <c r="EJ2470" i="1"/>
  <c r="EJ2471" i="1"/>
  <c r="EJ2472" i="1"/>
  <c r="EJ2473" i="1"/>
  <c r="EJ2474" i="1"/>
  <c r="EJ2475" i="1"/>
  <c r="EJ2476" i="1"/>
  <c r="EJ2477" i="1"/>
  <c r="EJ2478" i="1"/>
  <c r="EJ2479" i="1"/>
  <c r="EJ2480" i="1"/>
  <c r="EJ2481" i="1"/>
  <c r="EJ2482" i="1"/>
  <c r="EJ2483" i="1"/>
  <c r="EJ2484" i="1"/>
  <c r="EJ2485" i="1"/>
  <c r="EJ2486" i="1"/>
  <c r="EJ2487" i="1"/>
  <c r="EJ2488" i="1"/>
  <c r="EJ2489" i="1"/>
  <c r="EJ2490" i="1"/>
  <c r="EJ2491" i="1"/>
  <c r="EJ2492" i="1"/>
  <c r="EJ2493" i="1"/>
  <c r="EJ2494" i="1"/>
  <c r="EJ2495" i="1"/>
  <c r="EJ2496" i="1"/>
  <c r="EJ2497" i="1"/>
  <c r="EJ2498" i="1"/>
  <c r="EJ2499" i="1"/>
  <c r="EJ2500" i="1"/>
  <c r="EJ2501" i="1"/>
  <c r="EJ2502" i="1"/>
  <c r="EJ2503" i="1"/>
  <c r="EJ2504" i="1"/>
  <c r="EJ2505" i="1"/>
  <c r="EJ2506" i="1"/>
  <c r="EJ2507" i="1"/>
  <c r="EJ2508" i="1"/>
  <c r="EJ2509" i="1"/>
  <c r="EJ2510" i="1"/>
  <c r="EJ2511" i="1"/>
  <c r="EJ2512" i="1"/>
  <c r="EJ2513" i="1"/>
  <c r="EJ2514" i="1"/>
  <c r="EJ2515" i="1"/>
  <c r="EJ2516" i="1"/>
  <c r="EJ2517" i="1"/>
  <c r="EJ2518" i="1"/>
  <c r="EJ2519" i="1"/>
  <c r="EJ2520" i="1"/>
  <c r="EJ2521" i="1"/>
  <c r="EJ2522" i="1"/>
  <c r="EJ2523" i="1"/>
  <c r="EJ2524" i="1"/>
  <c r="EJ2525" i="1"/>
  <c r="EJ2526" i="1"/>
  <c r="EJ2527" i="1"/>
  <c r="EJ2528" i="1"/>
  <c r="EJ2529" i="1"/>
  <c r="EJ2530" i="1"/>
  <c r="EJ2531" i="1"/>
  <c r="EJ2532" i="1"/>
  <c r="EJ2533" i="1"/>
  <c r="EJ2534" i="1"/>
  <c r="EJ2535" i="1"/>
  <c r="EJ2536" i="1"/>
  <c r="EJ2537" i="1"/>
  <c r="EJ2538" i="1"/>
  <c r="EJ2539" i="1"/>
  <c r="EJ2540" i="1"/>
  <c r="EJ2541" i="1"/>
  <c r="EJ2542" i="1"/>
  <c r="EJ2543" i="1"/>
  <c r="EJ2544" i="1"/>
  <c r="EJ2545" i="1"/>
  <c r="EJ2546" i="1"/>
  <c r="EJ2547" i="1"/>
  <c r="EJ2548" i="1"/>
  <c r="EJ2549" i="1"/>
  <c r="EJ2550" i="1"/>
  <c r="EK4" i="1"/>
  <c r="EK5" i="1"/>
  <c r="EK6" i="1"/>
  <c r="EK7" i="1"/>
  <c r="EK8" i="1"/>
  <c r="EK9" i="1"/>
  <c r="EK10" i="1"/>
  <c r="EK11" i="1"/>
  <c r="EK12" i="1"/>
  <c r="EK13" i="1"/>
  <c r="EK14" i="1"/>
  <c r="EK15" i="1"/>
  <c r="EK16" i="1"/>
  <c r="EK17" i="1"/>
  <c r="EK18" i="1"/>
  <c r="EK19" i="1"/>
  <c r="EK20" i="1"/>
  <c r="EK21" i="1"/>
  <c r="EK22" i="1"/>
  <c r="EK23" i="1"/>
  <c r="EK24" i="1"/>
  <c r="EK25" i="1"/>
  <c r="EK26" i="1"/>
  <c r="EK27" i="1"/>
  <c r="EK28" i="1"/>
  <c r="EK29" i="1"/>
  <c r="EK30" i="1"/>
  <c r="EK31" i="1"/>
  <c r="EK32" i="1"/>
  <c r="EK33" i="1"/>
  <c r="EK34" i="1"/>
  <c r="EK35" i="1"/>
  <c r="EK36" i="1"/>
  <c r="EK37" i="1"/>
  <c r="EK38" i="1"/>
  <c r="EK39" i="1"/>
  <c r="EK40" i="1"/>
  <c r="EK41" i="1"/>
  <c r="EK42" i="1"/>
  <c r="EK43" i="1"/>
  <c r="EK44" i="1"/>
  <c r="EK45" i="1"/>
  <c r="EK46" i="1"/>
  <c r="EK47" i="1"/>
  <c r="EK48" i="1"/>
  <c r="EK49" i="1"/>
  <c r="EK50" i="1"/>
  <c r="EK51" i="1"/>
  <c r="EK52" i="1"/>
  <c r="EK53" i="1"/>
  <c r="EK54" i="1"/>
  <c r="EK55" i="1"/>
  <c r="EK56" i="1"/>
  <c r="EK57" i="1"/>
  <c r="EK58" i="1"/>
  <c r="EK59" i="1"/>
  <c r="EK60" i="1"/>
  <c r="EK61" i="1"/>
  <c r="EK62" i="1"/>
  <c r="EK63" i="1"/>
  <c r="EK64" i="1"/>
  <c r="EK65" i="1"/>
  <c r="EK66" i="1"/>
  <c r="EK67" i="1"/>
  <c r="EK68" i="1"/>
  <c r="EK69" i="1"/>
  <c r="EK70" i="1"/>
  <c r="EK71" i="1"/>
  <c r="EK72" i="1"/>
  <c r="EK73" i="1"/>
  <c r="EK74" i="1"/>
  <c r="EK75" i="1"/>
  <c r="EK76" i="1"/>
  <c r="EK77" i="1"/>
  <c r="EK78" i="1"/>
  <c r="EK79" i="1"/>
  <c r="EK80" i="1"/>
  <c r="EK81" i="1"/>
  <c r="EK82" i="1"/>
  <c r="EK83" i="1"/>
  <c r="EK84" i="1"/>
  <c r="EK85" i="1"/>
  <c r="EK86" i="1"/>
  <c r="EK87" i="1"/>
  <c r="EK88" i="1"/>
  <c r="EK89" i="1"/>
  <c r="EK90" i="1"/>
  <c r="EK91" i="1"/>
  <c r="EK92" i="1"/>
  <c r="EK93" i="1"/>
  <c r="EK94" i="1"/>
  <c r="EK95" i="1"/>
  <c r="EK96" i="1"/>
  <c r="EK97" i="1"/>
  <c r="EK98" i="1"/>
  <c r="EK99" i="1"/>
  <c r="EK100" i="1"/>
  <c r="EK101" i="1"/>
  <c r="EK102" i="1"/>
  <c r="EK103" i="1"/>
  <c r="EK104" i="1"/>
  <c r="EK105" i="1"/>
  <c r="EK106" i="1"/>
  <c r="EK107" i="1"/>
  <c r="EK108" i="1"/>
  <c r="EK109" i="1"/>
  <c r="EK110" i="1"/>
  <c r="EK111" i="1"/>
  <c r="EK112" i="1"/>
  <c r="EK113" i="1"/>
  <c r="EK114" i="1"/>
  <c r="EK115" i="1"/>
  <c r="EK116" i="1"/>
  <c r="EK117" i="1"/>
  <c r="EK118" i="1"/>
  <c r="EK119" i="1"/>
  <c r="EK120" i="1"/>
  <c r="EK121" i="1"/>
  <c r="EK122" i="1"/>
  <c r="EK123" i="1"/>
  <c r="EK124" i="1"/>
  <c r="EK125" i="1"/>
  <c r="EK126" i="1"/>
  <c r="EK127" i="1"/>
  <c r="EK128" i="1"/>
  <c r="EK129" i="1"/>
  <c r="EK130" i="1"/>
  <c r="EK131" i="1"/>
  <c r="EK132" i="1"/>
  <c r="EK133" i="1"/>
  <c r="EK134" i="1"/>
  <c r="EK135" i="1"/>
  <c r="EK136" i="1"/>
  <c r="EK137" i="1"/>
  <c r="EK138" i="1"/>
  <c r="EK139" i="1"/>
  <c r="EK140" i="1"/>
  <c r="EK141" i="1"/>
  <c r="EK142" i="1"/>
  <c r="EK143" i="1"/>
  <c r="EK144" i="1"/>
  <c r="EK145" i="1"/>
  <c r="EK146" i="1"/>
  <c r="EK147" i="1"/>
  <c r="EK148" i="1"/>
  <c r="EK149" i="1"/>
  <c r="EK150" i="1"/>
  <c r="EK151" i="1"/>
  <c r="EK152" i="1"/>
  <c r="EK153" i="1"/>
  <c r="EK154" i="1"/>
  <c r="EK155" i="1"/>
  <c r="EK156" i="1"/>
  <c r="EK157" i="1"/>
  <c r="EK158" i="1"/>
  <c r="EK159" i="1"/>
  <c r="EK160" i="1"/>
  <c r="EK161" i="1"/>
  <c r="EK162" i="1"/>
  <c r="EK163" i="1"/>
  <c r="EK164" i="1"/>
  <c r="EK165" i="1"/>
  <c r="EK166" i="1"/>
  <c r="EK167" i="1"/>
  <c r="EK168" i="1"/>
  <c r="EK169" i="1"/>
  <c r="EK170" i="1"/>
  <c r="EK171" i="1"/>
  <c r="EK172" i="1"/>
  <c r="EK173" i="1"/>
  <c r="EK174" i="1"/>
  <c r="EK175" i="1"/>
  <c r="EK176" i="1"/>
  <c r="EK177" i="1"/>
  <c r="EK178" i="1"/>
  <c r="EK179" i="1"/>
  <c r="EK180" i="1"/>
  <c r="EK181" i="1"/>
  <c r="EK182" i="1"/>
  <c r="EK183" i="1"/>
  <c r="EK184" i="1"/>
  <c r="EK185" i="1"/>
  <c r="EK186" i="1"/>
  <c r="EK187" i="1"/>
  <c r="EK188" i="1"/>
  <c r="EK189" i="1"/>
  <c r="EK190" i="1"/>
  <c r="EK191" i="1"/>
  <c r="EK192" i="1"/>
  <c r="EK193" i="1"/>
  <c r="EK194" i="1"/>
  <c r="EK195" i="1"/>
  <c r="EK196" i="1"/>
  <c r="EK197" i="1"/>
  <c r="EK198" i="1"/>
  <c r="EK199" i="1"/>
  <c r="EK200" i="1"/>
  <c r="EK201" i="1"/>
  <c r="EK202" i="1"/>
  <c r="EK203" i="1"/>
  <c r="EK204" i="1"/>
  <c r="EK205" i="1"/>
  <c r="EK206" i="1"/>
  <c r="EK207" i="1"/>
  <c r="EK208" i="1"/>
  <c r="EK209" i="1"/>
  <c r="EK210" i="1"/>
  <c r="EK211" i="1"/>
  <c r="EK212" i="1"/>
  <c r="EK213" i="1"/>
  <c r="EK214" i="1"/>
  <c r="EK215" i="1"/>
  <c r="EK216" i="1"/>
  <c r="EK217" i="1"/>
  <c r="EK218" i="1"/>
  <c r="EK219" i="1"/>
  <c r="EK220" i="1"/>
  <c r="EK221" i="1"/>
  <c r="EK222" i="1"/>
  <c r="EK223" i="1"/>
  <c r="EK224" i="1"/>
  <c r="EK225" i="1"/>
  <c r="EK226" i="1"/>
  <c r="EK227" i="1"/>
  <c r="EK228" i="1"/>
  <c r="EK229" i="1"/>
  <c r="EK230" i="1"/>
  <c r="EK231" i="1"/>
  <c r="EK232" i="1"/>
  <c r="EK233" i="1"/>
  <c r="EK234" i="1"/>
  <c r="EK235" i="1"/>
  <c r="EK236" i="1"/>
  <c r="EK237" i="1"/>
  <c r="EK238" i="1"/>
  <c r="EK239" i="1"/>
  <c r="EK240" i="1"/>
  <c r="EK241" i="1"/>
  <c r="EK242" i="1"/>
  <c r="EK243" i="1"/>
  <c r="EK244" i="1"/>
  <c r="EK245" i="1"/>
  <c r="EK246" i="1"/>
  <c r="EK247" i="1"/>
  <c r="EK248" i="1"/>
  <c r="EK249" i="1"/>
  <c r="EK250" i="1"/>
  <c r="EK251" i="1"/>
  <c r="EK252" i="1"/>
  <c r="EK253" i="1"/>
  <c r="EK254" i="1"/>
  <c r="EK255" i="1"/>
  <c r="EK256" i="1"/>
  <c r="EK257" i="1"/>
  <c r="EK258" i="1"/>
  <c r="EK259" i="1"/>
  <c r="EK260" i="1"/>
  <c r="EK261" i="1"/>
  <c r="EK262" i="1"/>
  <c r="EK263" i="1"/>
  <c r="EK264" i="1"/>
  <c r="EK265" i="1"/>
  <c r="EK266" i="1"/>
  <c r="EK267" i="1"/>
  <c r="EK268" i="1"/>
  <c r="EK269" i="1"/>
  <c r="EK270" i="1"/>
  <c r="EK271" i="1"/>
  <c r="EK272" i="1"/>
  <c r="EK273" i="1"/>
  <c r="EK274" i="1"/>
  <c r="EK275" i="1"/>
  <c r="EK276" i="1"/>
  <c r="EK277" i="1"/>
  <c r="EK278" i="1"/>
  <c r="EK279" i="1"/>
  <c r="EK280" i="1"/>
  <c r="EK281" i="1"/>
  <c r="EK282" i="1"/>
  <c r="EK283" i="1"/>
  <c r="EK284" i="1"/>
  <c r="EK285" i="1"/>
  <c r="EK286" i="1"/>
  <c r="EK287" i="1"/>
  <c r="EK288" i="1"/>
  <c r="EK289" i="1"/>
  <c r="EK290" i="1"/>
  <c r="EK291" i="1"/>
  <c r="EK292" i="1"/>
  <c r="EK293" i="1"/>
  <c r="EK294" i="1"/>
  <c r="EK295" i="1"/>
  <c r="EK296" i="1"/>
  <c r="EK297" i="1"/>
  <c r="EK298" i="1"/>
  <c r="EK299" i="1"/>
  <c r="EK300" i="1"/>
  <c r="EK301" i="1"/>
  <c r="EK302" i="1"/>
  <c r="EK303" i="1"/>
  <c r="EK304" i="1"/>
  <c r="EK305" i="1"/>
  <c r="EK306" i="1"/>
  <c r="EK307" i="1"/>
  <c r="EK308" i="1"/>
  <c r="EK309" i="1"/>
  <c r="EK310" i="1"/>
  <c r="EK311" i="1"/>
  <c r="EK312" i="1"/>
  <c r="EK313" i="1"/>
  <c r="EK314" i="1"/>
  <c r="EK315" i="1"/>
  <c r="EK316" i="1"/>
  <c r="EK317" i="1"/>
  <c r="EK318" i="1"/>
  <c r="EK319" i="1"/>
  <c r="EK320" i="1"/>
  <c r="EK321" i="1"/>
  <c r="EK322" i="1"/>
  <c r="EK323" i="1"/>
  <c r="EK324" i="1"/>
  <c r="EK325" i="1"/>
  <c r="EK326" i="1"/>
  <c r="EK327" i="1"/>
  <c r="EK328" i="1"/>
  <c r="EK329" i="1"/>
  <c r="EK330" i="1"/>
  <c r="EK331" i="1"/>
  <c r="EK332" i="1"/>
  <c r="EK333" i="1"/>
  <c r="EK334" i="1"/>
  <c r="EK335" i="1"/>
  <c r="EK336" i="1"/>
  <c r="EK337" i="1"/>
  <c r="EK338" i="1"/>
  <c r="EK339" i="1"/>
  <c r="EK340" i="1"/>
  <c r="EK341" i="1"/>
  <c r="EK342" i="1"/>
  <c r="EK343" i="1"/>
  <c r="EK344" i="1"/>
  <c r="EK345" i="1"/>
  <c r="EK346" i="1"/>
  <c r="EK347" i="1"/>
  <c r="EK348" i="1"/>
  <c r="EK349" i="1"/>
  <c r="EK350" i="1"/>
  <c r="EK351" i="1"/>
  <c r="EK352" i="1"/>
  <c r="EK353" i="1"/>
  <c r="EK354" i="1"/>
  <c r="EK355" i="1"/>
  <c r="EK356" i="1"/>
  <c r="EK357" i="1"/>
  <c r="EK358" i="1"/>
  <c r="EK359" i="1"/>
  <c r="EK360" i="1"/>
  <c r="EK361" i="1"/>
  <c r="EK362" i="1"/>
  <c r="EK363" i="1"/>
  <c r="EK364" i="1"/>
  <c r="EK365" i="1"/>
  <c r="EK366" i="1"/>
  <c r="EK367" i="1"/>
  <c r="EK368" i="1"/>
  <c r="EK369" i="1"/>
  <c r="EK370" i="1"/>
  <c r="EK371" i="1"/>
  <c r="EK372" i="1"/>
  <c r="EK373" i="1"/>
  <c r="EK374" i="1"/>
  <c r="EK375" i="1"/>
  <c r="EK376" i="1"/>
  <c r="EK377" i="1"/>
  <c r="EK378" i="1"/>
  <c r="EK379" i="1"/>
  <c r="EK380" i="1"/>
  <c r="EK381" i="1"/>
  <c r="EK382" i="1"/>
  <c r="EK383" i="1"/>
  <c r="EK384" i="1"/>
  <c r="EK385" i="1"/>
  <c r="EK386" i="1"/>
  <c r="EK387" i="1"/>
  <c r="EK388" i="1"/>
  <c r="EK389" i="1"/>
  <c r="EK390" i="1"/>
  <c r="EK391" i="1"/>
  <c r="EK392" i="1"/>
  <c r="EK393" i="1"/>
  <c r="EK394" i="1"/>
  <c r="EK395" i="1"/>
  <c r="EK396" i="1"/>
  <c r="EK397" i="1"/>
  <c r="EK398" i="1"/>
  <c r="EK399" i="1"/>
  <c r="EK400" i="1"/>
  <c r="EK401" i="1"/>
  <c r="EK402" i="1"/>
  <c r="EK403" i="1"/>
  <c r="EK404" i="1"/>
  <c r="EK405" i="1"/>
  <c r="EK406" i="1"/>
  <c r="EK407" i="1"/>
  <c r="EK408" i="1"/>
  <c r="EK409" i="1"/>
  <c r="EK410" i="1"/>
  <c r="EK411" i="1"/>
  <c r="EK412" i="1"/>
  <c r="EK413" i="1"/>
  <c r="EK414" i="1"/>
  <c r="EK415" i="1"/>
  <c r="EK416" i="1"/>
  <c r="EK417" i="1"/>
  <c r="EK418" i="1"/>
  <c r="EK419" i="1"/>
  <c r="EK420" i="1"/>
  <c r="EK421" i="1"/>
  <c r="EK422" i="1"/>
  <c r="EK423" i="1"/>
  <c r="EK424" i="1"/>
  <c r="EK425" i="1"/>
  <c r="EK426" i="1"/>
  <c r="EK427" i="1"/>
  <c r="EK428" i="1"/>
  <c r="EK429" i="1"/>
  <c r="EK430" i="1"/>
  <c r="EK431" i="1"/>
  <c r="EK432" i="1"/>
  <c r="EK433" i="1"/>
  <c r="EK434" i="1"/>
  <c r="EK435" i="1"/>
  <c r="EK436" i="1"/>
  <c r="EK437" i="1"/>
  <c r="EK438" i="1"/>
  <c r="EK439" i="1"/>
  <c r="EK440" i="1"/>
  <c r="EK441" i="1"/>
  <c r="EK442" i="1"/>
  <c r="EK443" i="1"/>
  <c r="EK444" i="1"/>
  <c r="EK445" i="1"/>
  <c r="EK446" i="1"/>
  <c r="EK447" i="1"/>
  <c r="EK448" i="1"/>
  <c r="EK449" i="1"/>
  <c r="EK450" i="1"/>
  <c r="EK451" i="1"/>
  <c r="EK452" i="1"/>
  <c r="EK453" i="1"/>
  <c r="EK454" i="1"/>
  <c r="EK455" i="1"/>
  <c r="EK456" i="1"/>
  <c r="EK457" i="1"/>
  <c r="EK458" i="1"/>
  <c r="EK459" i="1"/>
  <c r="EK460" i="1"/>
  <c r="EK461" i="1"/>
  <c r="EK462" i="1"/>
  <c r="EK463" i="1"/>
  <c r="EK464" i="1"/>
  <c r="EK465" i="1"/>
  <c r="EK466" i="1"/>
  <c r="EK467" i="1"/>
  <c r="EK468" i="1"/>
  <c r="EK469" i="1"/>
  <c r="EK470" i="1"/>
  <c r="EK471" i="1"/>
  <c r="EK472" i="1"/>
  <c r="EK473" i="1"/>
  <c r="EK474" i="1"/>
  <c r="EK475" i="1"/>
  <c r="EK476" i="1"/>
  <c r="EK477" i="1"/>
  <c r="EK478" i="1"/>
  <c r="EK479" i="1"/>
  <c r="EK480" i="1"/>
  <c r="EK481" i="1"/>
  <c r="EK482" i="1"/>
  <c r="EK483" i="1"/>
  <c r="EK484" i="1"/>
  <c r="EK485" i="1"/>
  <c r="EK486" i="1"/>
  <c r="EK487" i="1"/>
  <c r="EK488" i="1"/>
  <c r="EK489" i="1"/>
  <c r="EK490" i="1"/>
  <c r="EK491" i="1"/>
  <c r="EK492" i="1"/>
  <c r="EK493" i="1"/>
  <c r="EK494" i="1"/>
  <c r="EK495" i="1"/>
  <c r="EK496" i="1"/>
  <c r="EK497" i="1"/>
  <c r="EK498" i="1"/>
  <c r="EK499" i="1"/>
  <c r="EK500" i="1"/>
  <c r="EK501" i="1"/>
  <c r="EK502" i="1"/>
  <c r="EK503" i="1"/>
  <c r="EK504" i="1"/>
  <c r="EK505" i="1"/>
  <c r="EK506" i="1"/>
  <c r="EK507" i="1"/>
  <c r="EK508" i="1"/>
  <c r="EK509" i="1"/>
  <c r="EK510" i="1"/>
  <c r="EK511" i="1"/>
  <c r="EK512" i="1"/>
  <c r="EK513" i="1"/>
  <c r="EK514" i="1"/>
  <c r="EK515" i="1"/>
  <c r="EK516" i="1"/>
  <c r="EK517" i="1"/>
  <c r="EK518" i="1"/>
  <c r="EK519" i="1"/>
  <c r="EK520" i="1"/>
  <c r="EK521" i="1"/>
  <c r="EK522" i="1"/>
  <c r="EK523" i="1"/>
  <c r="EK524" i="1"/>
  <c r="EK525" i="1"/>
  <c r="EK526" i="1"/>
  <c r="EK527" i="1"/>
  <c r="EK528" i="1"/>
  <c r="EK529" i="1"/>
  <c r="EK530" i="1"/>
  <c r="EK531" i="1"/>
  <c r="EK532" i="1"/>
  <c r="EK533" i="1"/>
  <c r="EK534" i="1"/>
  <c r="EK535" i="1"/>
  <c r="EK536" i="1"/>
  <c r="EK537" i="1"/>
  <c r="EK538" i="1"/>
  <c r="EK539" i="1"/>
  <c r="EK540" i="1"/>
  <c r="EK541" i="1"/>
  <c r="EK542" i="1"/>
  <c r="EK543" i="1"/>
  <c r="EK544" i="1"/>
  <c r="EK545" i="1"/>
  <c r="EK546" i="1"/>
  <c r="EK547" i="1"/>
  <c r="EK548" i="1"/>
  <c r="EK549" i="1"/>
  <c r="EK550" i="1"/>
  <c r="EK551" i="1"/>
  <c r="EK552" i="1"/>
  <c r="EK553" i="1"/>
  <c r="EK554" i="1"/>
  <c r="EK555" i="1"/>
  <c r="EK556" i="1"/>
  <c r="EK557" i="1"/>
  <c r="EK558" i="1"/>
  <c r="EK559" i="1"/>
  <c r="EK560" i="1"/>
  <c r="EK561" i="1"/>
  <c r="EK562" i="1"/>
  <c r="EK563" i="1"/>
  <c r="EK564" i="1"/>
  <c r="EK565" i="1"/>
  <c r="EK566" i="1"/>
  <c r="EK567" i="1"/>
  <c r="EK568" i="1"/>
  <c r="EK569" i="1"/>
  <c r="EK570" i="1"/>
  <c r="EK571" i="1"/>
  <c r="EK572" i="1"/>
  <c r="EK573" i="1"/>
  <c r="EK574" i="1"/>
  <c r="EK575" i="1"/>
  <c r="EK576" i="1"/>
  <c r="EK577" i="1"/>
  <c r="EK578" i="1"/>
  <c r="EK579" i="1"/>
  <c r="EK580" i="1"/>
  <c r="EK581" i="1"/>
  <c r="EK582" i="1"/>
  <c r="EK583" i="1"/>
  <c r="EK584" i="1"/>
  <c r="EK585" i="1"/>
  <c r="EK586" i="1"/>
  <c r="EK587" i="1"/>
  <c r="EK588" i="1"/>
  <c r="EK589" i="1"/>
  <c r="EK590" i="1"/>
  <c r="EK591" i="1"/>
  <c r="EK592" i="1"/>
  <c r="EK593" i="1"/>
  <c r="EK594" i="1"/>
  <c r="EK595" i="1"/>
  <c r="EK596" i="1"/>
  <c r="EK597" i="1"/>
  <c r="EK598" i="1"/>
  <c r="EK599" i="1"/>
  <c r="EK600" i="1"/>
  <c r="EK601" i="1"/>
  <c r="EK602" i="1"/>
  <c r="EK603" i="1"/>
  <c r="EK604" i="1"/>
  <c r="EK605" i="1"/>
  <c r="EK606" i="1"/>
  <c r="EK607" i="1"/>
  <c r="EK608" i="1"/>
  <c r="EK609" i="1"/>
  <c r="EK610" i="1"/>
  <c r="EK611" i="1"/>
  <c r="EK612" i="1"/>
  <c r="EK613" i="1"/>
  <c r="EK614" i="1"/>
  <c r="EK615" i="1"/>
  <c r="EK616" i="1"/>
  <c r="EK617" i="1"/>
  <c r="EK618" i="1"/>
  <c r="EK619" i="1"/>
  <c r="EK620" i="1"/>
  <c r="EK621" i="1"/>
  <c r="EK622" i="1"/>
  <c r="EK623" i="1"/>
  <c r="EK624" i="1"/>
  <c r="EK625" i="1"/>
  <c r="EK626" i="1"/>
  <c r="EK627" i="1"/>
  <c r="EK628" i="1"/>
  <c r="EK629" i="1"/>
  <c r="EK630" i="1"/>
  <c r="EK631" i="1"/>
  <c r="EK632" i="1"/>
  <c r="EK633" i="1"/>
  <c r="EK634" i="1"/>
  <c r="EK635" i="1"/>
  <c r="EK636" i="1"/>
  <c r="EK637" i="1"/>
  <c r="EK638" i="1"/>
  <c r="EK639" i="1"/>
  <c r="EK640" i="1"/>
  <c r="EK641" i="1"/>
  <c r="EK642" i="1"/>
  <c r="EK643" i="1"/>
  <c r="EK644" i="1"/>
  <c r="EK645" i="1"/>
  <c r="EK646" i="1"/>
  <c r="EK647" i="1"/>
  <c r="EK648" i="1"/>
  <c r="EK649" i="1"/>
  <c r="EK650" i="1"/>
  <c r="EK651" i="1"/>
  <c r="EK652" i="1"/>
  <c r="EK653" i="1"/>
  <c r="EK654" i="1"/>
  <c r="EK655" i="1"/>
  <c r="EK656" i="1"/>
  <c r="EK657" i="1"/>
  <c r="EK658" i="1"/>
  <c r="EK659" i="1"/>
  <c r="EK660" i="1"/>
  <c r="EK661" i="1"/>
  <c r="EK662" i="1"/>
  <c r="EK663" i="1"/>
  <c r="EK664" i="1"/>
  <c r="EK665" i="1"/>
  <c r="EK666" i="1"/>
  <c r="EK667" i="1"/>
  <c r="EK668" i="1"/>
  <c r="EK669" i="1"/>
  <c r="EK670" i="1"/>
  <c r="EK671" i="1"/>
  <c r="EK672" i="1"/>
  <c r="EK673" i="1"/>
  <c r="EK674" i="1"/>
  <c r="EK675" i="1"/>
  <c r="EK676" i="1"/>
  <c r="EK677" i="1"/>
  <c r="EK678" i="1"/>
  <c r="EK679" i="1"/>
  <c r="EK680" i="1"/>
  <c r="EK681" i="1"/>
  <c r="EK682" i="1"/>
  <c r="EK683" i="1"/>
  <c r="EK684" i="1"/>
  <c r="EK685" i="1"/>
  <c r="EK686" i="1"/>
  <c r="EK687" i="1"/>
  <c r="EK688" i="1"/>
  <c r="EK689" i="1"/>
  <c r="EK690" i="1"/>
  <c r="EK691" i="1"/>
  <c r="EK692" i="1"/>
  <c r="EK693" i="1"/>
  <c r="EK694" i="1"/>
  <c r="EK695" i="1"/>
  <c r="EK696" i="1"/>
  <c r="EK697" i="1"/>
  <c r="EK698" i="1"/>
  <c r="EK699" i="1"/>
  <c r="EK700" i="1"/>
  <c r="EK701" i="1"/>
  <c r="EK702" i="1"/>
  <c r="EK703" i="1"/>
  <c r="EK704" i="1"/>
  <c r="EK705" i="1"/>
  <c r="EK706" i="1"/>
  <c r="EK707" i="1"/>
  <c r="EK708" i="1"/>
  <c r="EK709" i="1"/>
  <c r="EK710" i="1"/>
  <c r="EK711" i="1"/>
  <c r="EK712" i="1"/>
  <c r="EK713" i="1"/>
  <c r="EK714" i="1"/>
  <c r="EK715" i="1"/>
  <c r="EK716" i="1"/>
  <c r="EK717" i="1"/>
  <c r="EK718" i="1"/>
  <c r="EK719" i="1"/>
  <c r="EK720" i="1"/>
  <c r="EK721" i="1"/>
  <c r="EK722" i="1"/>
  <c r="EK723" i="1"/>
  <c r="EK724" i="1"/>
  <c r="EK725" i="1"/>
  <c r="EK726" i="1"/>
  <c r="EK727" i="1"/>
  <c r="EK728" i="1"/>
  <c r="EK729" i="1"/>
  <c r="EK730" i="1"/>
  <c r="EK731" i="1"/>
  <c r="EK732" i="1"/>
  <c r="EK733" i="1"/>
  <c r="EK734" i="1"/>
  <c r="EK735" i="1"/>
  <c r="EK736" i="1"/>
  <c r="EK737" i="1"/>
  <c r="EK738" i="1"/>
  <c r="EK739" i="1"/>
  <c r="EK740" i="1"/>
  <c r="EK741" i="1"/>
  <c r="EK742" i="1"/>
  <c r="EK743" i="1"/>
  <c r="EK744" i="1"/>
  <c r="EK745" i="1"/>
  <c r="EK746" i="1"/>
  <c r="EK747" i="1"/>
  <c r="EK748" i="1"/>
  <c r="EK749" i="1"/>
  <c r="EK750" i="1"/>
  <c r="EK751" i="1"/>
  <c r="EK752" i="1"/>
  <c r="EK753" i="1"/>
  <c r="EK754" i="1"/>
  <c r="EK755" i="1"/>
  <c r="EK756" i="1"/>
  <c r="EK757" i="1"/>
  <c r="EK758" i="1"/>
  <c r="EK759" i="1"/>
  <c r="EK760" i="1"/>
  <c r="EK761" i="1"/>
  <c r="EK762" i="1"/>
  <c r="EK763" i="1"/>
  <c r="EK764" i="1"/>
  <c r="EK765" i="1"/>
  <c r="EK766" i="1"/>
  <c r="EK767" i="1"/>
  <c r="EK768" i="1"/>
  <c r="EK769" i="1"/>
  <c r="EK770" i="1"/>
  <c r="EK771" i="1"/>
  <c r="EK772" i="1"/>
  <c r="EK773" i="1"/>
  <c r="EK774" i="1"/>
  <c r="EK775" i="1"/>
  <c r="EK776" i="1"/>
  <c r="EK777" i="1"/>
  <c r="EK778" i="1"/>
  <c r="EK779" i="1"/>
  <c r="EK780" i="1"/>
  <c r="EK781" i="1"/>
  <c r="EK782" i="1"/>
  <c r="EK783" i="1"/>
  <c r="EK784" i="1"/>
  <c r="EK785" i="1"/>
  <c r="EK786" i="1"/>
  <c r="EK787" i="1"/>
  <c r="EK788" i="1"/>
  <c r="EK789" i="1"/>
  <c r="EK790" i="1"/>
  <c r="EK791" i="1"/>
  <c r="EK792" i="1"/>
  <c r="EK793" i="1"/>
  <c r="EK794" i="1"/>
  <c r="EK795" i="1"/>
  <c r="EK796" i="1"/>
  <c r="EK797" i="1"/>
  <c r="EK798" i="1"/>
  <c r="EK799" i="1"/>
  <c r="EK800" i="1"/>
  <c r="EK801" i="1"/>
  <c r="EK802" i="1"/>
  <c r="EK803" i="1"/>
  <c r="EK804" i="1"/>
  <c r="EK805" i="1"/>
  <c r="EK806" i="1"/>
  <c r="EK807" i="1"/>
  <c r="EK808" i="1"/>
  <c r="EK809" i="1"/>
  <c r="EK810" i="1"/>
  <c r="EK811" i="1"/>
  <c r="EK812" i="1"/>
  <c r="EK813" i="1"/>
  <c r="EK814" i="1"/>
  <c r="EK815" i="1"/>
  <c r="EK816" i="1"/>
  <c r="EK817" i="1"/>
  <c r="EK818" i="1"/>
  <c r="EK819" i="1"/>
  <c r="EK820" i="1"/>
  <c r="EK821" i="1"/>
  <c r="EK822" i="1"/>
  <c r="EK823" i="1"/>
  <c r="EK824" i="1"/>
  <c r="EK825" i="1"/>
  <c r="EK826" i="1"/>
  <c r="EK827" i="1"/>
  <c r="EK828" i="1"/>
  <c r="EK829" i="1"/>
  <c r="EK830" i="1"/>
  <c r="EK831" i="1"/>
  <c r="EK832" i="1"/>
  <c r="EK833" i="1"/>
  <c r="EK834" i="1"/>
  <c r="EK835" i="1"/>
  <c r="EK836" i="1"/>
  <c r="EK837" i="1"/>
  <c r="EK838" i="1"/>
  <c r="EK839" i="1"/>
  <c r="EK840" i="1"/>
  <c r="EK841" i="1"/>
  <c r="EK842" i="1"/>
  <c r="EK843" i="1"/>
  <c r="EK844" i="1"/>
  <c r="EK845" i="1"/>
  <c r="EK846" i="1"/>
  <c r="EK847" i="1"/>
  <c r="EK848" i="1"/>
  <c r="EK849" i="1"/>
  <c r="EK850" i="1"/>
  <c r="EK851" i="1"/>
  <c r="EK852" i="1"/>
  <c r="EK853" i="1"/>
  <c r="EK854" i="1"/>
  <c r="EK855" i="1"/>
  <c r="EK856" i="1"/>
  <c r="EK857" i="1"/>
  <c r="EK858" i="1"/>
  <c r="EK859" i="1"/>
  <c r="EK860" i="1"/>
  <c r="EK861" i="1"/>
  <c r="EK862" i="1"/>
  <c r="EK863" i="1"/>
  <c r="EK864" i="1"/>
  <c r="EK865" i="1"/>
  <c r="EK866" i="1"/>
  <c r="EK867" i="1"/>
  <c r="EK868" i="1"/>
  <c r="EK869" i="1"/>
  <c r="EK870" i="1"/>
  <c r="EK871" i="1"/>
  <c r="EK872" i="1"/>
  <c r="EK873" i="1"/>
  <c r="EK874" i="1"/>
  <c r="EK875" i="1"/>
  <c r="EK876" i="1"/>
  <c r="EK877" i="1"/>
  <c r="EK878" i="1"/>
  <c r="EK879" i="1"/>
  <c r="EK880" i="1"/>
  <c r="EK881" i="1"/>
  <c r="EK882" i="1"/>
  <c r="EK883" i="1"/>
  <c r="EK884" i="1"/>
  <c r="EK885" i="1"/>
  <c r="EK886" i="1"/>
  <c r="EK887" i="1"/>
  <c r="EK888" i="1"/>
  <c r="EK889" i="1"/>
  <c r="EK890" i="1"/>
  <c r="EK891" i="1"/>
  <c r="EK892" i="1"/>
  <c r="EK893" i="1"/>
  <c r="EK894" i="1"/>
  <c r="EK895" i="1"/>
  <c r="EK896" i="1"/>
  <c r="EK897" i="1"/>
  <c r="EK898" i="1"/>
  <c r="EK899" i="1"/>
  <c r="EK900" i="1"/>
  <c r="EK901" i="1"/>
  <c r="EK902" i="1"/>
  <c r="EK903" i="1"/>
  <c r="EK904" i="1"/>
  <c r="EK905" i="1"/>
  <c r="EK906" i="1"/>
  <c r="EK907" i="1"/>
  <c r="EK908" i="1"/>
  <c r="EK909" i="1"/>
  <c r="EK910" i="1"/>
  <c r="EK911" i="1"/>
  <c r="EK912" i="1"/>
  <c r="EK913" i="1"/>
  <c r="EK914" i="1"/>
  <c r="EK915" i="1"/>
  <c r="EK916" i="1"/>
  <c r="EK917" i="1"/>
  <c r="EK918" i="1"/>
  <c r="EK919" i="1"/>
  <c r="EK920" i="1"/>
  <c r="EK921" i="1"/>
  <c r="EK922" i="1"/>
  <c r="EK923" i="1"/>
  <c r="EK924" i="1"/>
  <c r="EK925" i="1"/>
  <c r="EK926" i="1"/>
  <c r="EK927" i="1"/>
  <c r="EK928" i="1"/>
  <c r="EK929" i="1"/>
  <c r="EK930" i="1"/>
  <c r="EK931" i="1"/>
  <c r="EK932" i="1"/>
  <c r="EK933" i="1"/>
  <c r="EK934" i="1"/>
  <c r="EK935" i="1"/>
  <c r="EK936" i="1"/>
  <c r="EK937" i="1"/>
  <c r="EK938" i="1"/>
  <c r="EK939" i="1"/>
  <c r="EK940" i="1"/>
  <c r="EK941" i="1"/>
  <c r="EK942" i="1"/>
  <c r="EK943" i="1"/>
  <c r="EK944" i="1"/>
  <c r="EK945" i="1"/>
  <c r="EK946" i="1"/>
  <c r="EK947" i="1"/>
  <c r="EK948" i="1"/>
  <c r="EK949" i="1"/>
  <c r="EK950" i="1"/>
  <c r="EK951" i="1"/>
  <c r="EK952" i="1"/>
  <c r="EK953" i="1"/>
  <c r="EK954" i="1"/>
  <c r="EK955" i="1"/>
  <c r="EK956" i="1"/>
  <c r="EK957" i="1"/>
  <c r="EK958" i="1"/>
  <c r="EK959" i="1"/>
  <c r="EK960" i="1"/>
  <c r="EK961" i="1"/>
  <c r="EK962" i="1"/>
  <c r="EK963" i="1"/>
  <c r="EK964" i="1"/>
  <c r="EK965" i="1"/>
  <c r="EK966" i="1"/>
  <c r="EK967" i="1"/>
  <c r="EK968" i="1"/>
  <c r="EK969" i="1"/>
  <c r="EK970" i="1"/>
  <c r="EK971" i="1"/>
  <c r="EK972" i="1"/>
  <c r="EK973" i="1"/>
  <c r="EK974" i="1"/>
  <c r="EK975" i="1"/>
  <c r="EK976" i="1"/>
  <c r="EK977" i="1"/>
  <c r="EK978" i="1"/>
  <c r="EK979" i="1"/>
  <c r="EK980" i="1"/>
  <c r="EK981" i="1"/>
  <c r="EK982" i="1"/>
  <c r="EK983" i="1"/>
  <c r="EK984" i="1"/>
  <c r="EK985" i="1"/>
  <c r="EK986" i="1"/>
  <c r="EK987" i="1"/>
  <c r="EK988" i="1"/>
  <c r="EK989" i="1"/>
  <c r="EK990" i="1"/>
  <c r="EK991" i="1"/>
  <c r="EK992" i="1"/>
  <c r="EK993" i="1"/>
  <c r="EK994" i="1"/>
  <c r="EK995" i="1"/>
  <c r="EK996" i="1"/>
  <c r="EK997" i="1"/>
  <c r="EK998" i="1"/>
  <c r="EK999" i="1"/>
  <c r="EK1000" i="1"/>
  <c r="EK1001" i="1"/>
  <c r="EK1002" i="1"/>
  <c r="EK1003" i="1"/>
  <c r="EK1004" i="1"/>
  <c r="EK1005" i="1"/>
  <c r="EK1006" i="1"/>
  <c r="EK1007" i="1"/>
  <c r="EK1008" i="1"/>
  <c r="EK1009" i="1"/>
  <c r="EK1010" i="1"/>
  <c r="EK1011" i="1"/>
  <c r="EK1012" i="1"/>
  <c r="EK1013" i="1"/>
  <c r="EK1014" i="1"/>
  <c r="EK1015" i="1"/>
  <c r="EK1016" i="1"/>
  <c r="EK1017" i="1"/>
  <c r="EK1018" i="1"/>
  <c r="EK1019" i="1"/>
  <c r="EK1020" i="1"/>
  <c r="EK1021" i="1"/>
  <c r="EK1022" i="1"/>
  <c r="EK1023" i="1"/>
  <c r="EK1024" i="1"/>
  <c r="EK1025" i="1"/>
  <c r="EK1026" i="1"/>
  <c r="EK1027" i="1"/>
  <c r="EK1028" i="1"/>
  <c r="EK1029" i="1"/>
  <c r="EK1030" i="1"/>
  <c r="EK1031" i="1"/>
  <c r="EK1032" i="1"/>
  <c r="EK1033" i="1"/>
  <c r="EK1034" i="1"/>
  <c r="EK1035" i="1"/>
  <c r="EK1036" i="1"/>
  <c r="EK1037" i="1"/>
  <c r="EK1038" i="1"/>
  <c r="EK1039" i="1"/>
  <c r="EK1040" i="1"/>
  <c r="EK1041" i="1"/>
  <c r="EK1042" i="1"/>
  <c r="EK1043" i="1"/>
  <c r="EK1044" i="1"/>
  <c r="EK1045" i="1"/>
  <c r="EK1046" i="1"/>
  <c r="EK1047" i="1"/>
  <c r="EK1048" i="1"/>
  <c r="EK1049" i="1"/>
  <c r="EK1050" i="1"/>
  <c r="EK1051" i="1"/>
  <c r="EK1052" i="1"/>
  <c r="EK1053" i="1"/>
  <c r="EK1054" i="1"/>
  <c r="EK1055" i="1"/>
  <c r="EK1056" i="1"/>
  <c r="EK1057" i="1"/>
  <c r="EK1058" i="1"/>
  <c r="EK1059" i="1"/>
  <c r="EK1060" i="1"/>
  <c r="EK1061" i="1"/>
  <c r="EK1062" i="1"/>
  <c r="EK1063" i="1"/>
  <c r="EK1064" i="1"/>
  <c r="EK1065" i="1"/>
  <c r="EK1066" i="1"/>
  <c r="EK1067" i="1"/>
  <c r="EK1068" i="1"/>
  <c r="EK1069" i="1"/>
  <c r="EK1070" i="1"/>
  <c r="EK1071" i="1"/>
  <c r="EK1072" i="1"/>
  <c r="EK1073" i="1"/>
  <c r="EK1074" i="1"/>
  <c r="EK1075" i="1"/>
  <c r="EK1076" i="1"/>
  <c r="EK1077" i="1"/>
  <c r="EK1078" i="1"/>
  <c r="EK1079" i="1"/>
  <c r="EK1080" i="1"/>
  <c r="EK1081" i="1"/>
  <c r="EK1082" i="1"/>
  <c r="EK1083" i="1"/>
  <c r="EK1084" i="1"/>
  <c r="EK1085" i="1"/>
  <c r="EK1086" i="1"/>
  <c r="EK1087" i="1"/>
  <c r="EK1088" i="1"/>
  <c r="EK1089" i="1"/>
  <c r="EK1090" i="1"/>
  <c r="EK1091" i="1"/>
  <c r="EK1092" i="1"/>
  <c r="EK1093" i="1"/>
  <c r="EK1094" i="1"/>
  <c r="EK1095" i="1"/>
  <c r="EK1096" i="1"/>
  <c r="EK1097" i="1"/>
  <c r="EK1098" i="1"/>
  <c r="EK1099" i="1"/>
  <c r="EK1100" i="1"/>
  <c r="EK1101" i="1"/>
  <c r="EK1102" i="1"/>
  <c r="EK1103" i="1"/>
  <c r="EK1104" i="1"/>
  <c r="EK1105" i="1"/>
  <c r="EK1106" i="1"/>
  <c r="EK1107" i="1"/>
  <c r="EK1108" i="1"/>
  <c r="EK1109" i="1"/>
  <c r="EK1110" i="1"/>
  <c r="EK1111" i="1"/>
  <c r="EK1112" i="1"/>
  <c r="EK1113" i="1"/>
  <c r="EK1114" i="1"/>
  <c r="EK1115" i="1"/>
  <c r="EK1116" i="1"/>
  <c r="EK1117" i="1"/>
  <c r="EK1118" i="1"/>
  <c r="EK1119" i="1"/>
  <c r="EK1120" i="1"/>
  <c r="EK1121" i="1"/>
  <c r="EK1122" i="1"/>
  <c r="EK1123" i="1"/>
  <c r="EK1124" i="1"/>
  <c r="EK1125" i="1"/>
  <c r="EK1126" i="1"/>
  <c r="EK1127" i="1"/>
  <c r="EK1128" i="1"/>
  <c r="EK1129" i="1"/>
  <c r="EK1130" i="1"/>
  <c r="EK1131" i="1"/>
  <c r="EK1132" i="1"/>
  <c r="EK1133" i="1"/>
  <c r="EK1134" i="1"/>
  <c r="EK1135" i="1"/>
  <c r="EK1136" i="1"/>
  <c r="EK1137" i="1"/>
  <c r="EK1138" i="1"/>
  <c r="EK1139" i="1"/>
  <c r="EK1140" i="1"/>
  <c r="EK1141" i="1"/>
  <c r="EK1142" i="1"/>
  <c r="EK1143" i="1"/>
  <c r="EK1144" i="1"/>
  <c r="EK1145" i="1"/>
  <c r="EK1146" i="1"/>
  <c r="EK1147" i="1"/>
  <c r="EK1148" i="1"/>
  <c r="EK1149" i="1"/>
  <c r="EK1150" i="1"/>
  <c r="EK1151" i="1"/>
  <c r="EK1152" i="1"/>
  <c r="EK1153" i="1"/>
  <c r="EK1154" i="1"/>
  <c r="EK1155" i="1"/>
  <c r="EK1156" i="1"/>
  <c r="EK1157" i="1"/>
  <c r="EK1158" i="1"/>
  <c r="EK1159" i="1"/>
  <c r="EK1160" i="1"/>
  <c r="EK1161" i="1"/>
  <c r="EK1162" i="1"/>
  <c r="EK1163" i="1"/>
  <c r="EK1164" i="1"/>
  <c r="EK1165" i="1"/>
  <c r="EK1166" i="1"/>
  <c r="EK1167" i="1"/>
  <c r="EK1168" i="1"/>
  <c r="EK1169" i="1"/>
  <c r="EK1170" i="1"/>
  <c r="EK1171" i="1"/>
  <c r="EK1172" i="1"/>
  <c r="EK1173" i="1"/>
  <c r="EK1174" i="1"/>
  <c r="EK1175" i="1"/>
  <c r="EK1176" i="1"/>
  <c r="EK1177" i="1"/>
  <c r="EK1178" i="1"/>
  <c r="EK1179" i="1"/>
  <c r="EK1180" i="1"/>
  <c r="EK1181" i="1"/>
  <c r="EK1182" i="1"/>
  <c r="EK1183" i="1"/>
  <c r="EK1184" i="1"/>
  <c r="EK1185" i="1"/>
  <c r="EK1186" i="1"/>
  <c r="EK1187" i="1"/>
  <c r="EK1188" i="1"/>
  <c r="EK1189" i="1"/>
  <c r="EK1190" i="1"/>
  <c r="EK1191" i="1"/>
  <c r="EK1192" i="1"/>
  <c r="EK1193" i="1"/>
  <c r="EK1194" i="1"/>
  <c r="EK1195" i="1"/>
  <c r="EK1196" i="1"/>
  <c r="EK1197" i="1"/>
  <c r="EK1198" i="1"/>
  <c r="EK1199" i="1"/>
  <c r="EK1200" i="1"/>
  <c r="EK1201" i="1"/>
  <c r="EK1202" i="1"/>
  <c r="EK1203" i="1"/>
  <c r="EK1204" i="1"/>
  <c r="EK1205" i="1"/>
  <c r="EK1206" i="1"/>
  <c r="EK1207" i="1"/>
  <c r="EK1208" i="1"/>
  <c r="EK1209" i="1"/>
  <c r="EK1210" i="1"/>
  <c r="EK1211" i="1"/>
  <c r="EK1212" i="1"/>
  <c r="EK1213" i="1"/>
  <c r="EK1214" i="1"/>
  <c r="EK1215" i="1"/>
  <c r="EK1216" i="1"/>
  <c r="EK1217" i="1"/>
  <c r="EK1218" i="1"/>
  <c r="EK1219" i="1"/>
  <c r="EK1220" i="1"/>
  <c r="EK1221" i="1"/>
  <c r="EK1222" i="1"/>
  <c r="EK1223" i="1"/>
  <c r="EK1224" i="1"/>
  <c r="EK1225" i="1"/>
  <c r="EK1226" i="1"/>
  <c r="EK1227" i="1"/>
  <c r="EK1228" i="1"/>
  <c r="EK1229" i="1"/>
  <c r="EK1230" i="1"/>
  <c r="EK1231" i="1"/>
  <c r="EK1232" i="1"/>
  <c r="EK1233" i="1"/>
  <c r="EK1234" i="1"/>
  <c r="EK1235" i="1"/>
  <c r="EK1236" i="1"/>
  <c r="EK1237" i="1"/>
  <c r="EK1238" i="1"/>
  <c r="EK1239" i="1"/>
  <c r="EK1240" i="1"/>
  <c r="EK1241" i="1"/>
  <c r="EK1242" i="1"/>
  <c r="EK1243" i="1"/>
  <c r="EK1244" i="1"/>
  <c r="EK1245" i="1"/>
  <c r="EK1246" i="1"/>
  <c r="EK1247" i="1"/>
  <c r="EK1248" i="1"/>
  <c r="EK1249" i="1"/>
  <c r="EK1250" i="1"/>
  <c r="EK1251" i="1"/>
  <c r="EK1252" i="1"/>
  <c r="EK1253" i="1"/>
  <c r="EK1254" i="1"/>
  <c r="EK1255" i="1"/>
  <c r="EK1256" i="1"/>
  <c r="EK1257" i="1"/>
  <c r="EK1258" i="1"/>
  <c r="EK1259" i="1"/>
  <c r="EK1260" i="1"/>
  <c r="EK1261" i="1"/>
  <c r="EK1262" i="1"/>
  <c r="EK1263" i="1"/>
  <c r="EK1264" i="1"/>
  <c r="EK1265" i="1"/>
  <c r="EK1266" i="1"/>
  <c r="EK1267" i="1"/>
  <c r="EK1268" i="1"/>
  <c r="EK1269" i="1"/>
  <c r="EK1270" i="1"/>
  <c r="EK1271" i="1"/>
  <c r="EK1272" i="1"/>
  <c r="EK1273" i="1"/>
  <c r="EK1274" i="1"/>
  <c r="EK1275" i="1"/>
  <c r="EK1276" i="1"/>
  <c r="EK1277" i="1"/>
  <c r="EK1278" i="1"/>
  <c r="EK1279" i="1"/>
  <c r="EK1280" i="1"/>
  <c r="EK1281" i="1"/>
  <c r="EK1282" i="1"/>
  <c r="EK1283" i="1"/>
  <c r="EK1284" i="1"/>
  <c r="EK1285" i="1"/>
  <c r="EK1286" i="1"/>
  <c r="EK1287" i="1"/>
  <c r="EK1288" i="1"/>
  <c r="EK1289" i="1"/>
  <c r="EK1290" i="1"/>
  <c r="EK1291" i="1"/>
  <c r="EK1292" i="1"/>
  <c r="EK1293" i="1"/>
  <c r="EK1294" i="1"/>
  <c r="EK1295" i="1"/>
  <c r="EK1296" i="1"/>
  <c r="EK1297" i="1"/>
  <c r="EK1298" i="1"/>
  <c r="EK1299" i="1"/>
  <c r="EK1300" i="1"/>
  <c r="EK1301" i="1"/>
  <c r="EK1302" i="1"/>
  <c r="EK1303" i="1"/>
  <c r="EK1304" i="1"/>
  <c r="EK1305" i="1"/>
  <c r="EK1306" i="1"/>
  <c r="EK1307" i="1"/>
  <c r="EK1308" i="1"/>
  <c r="EK1309" i="1"/>
  <c r="EK1310" i="1"/>
  <c r="EK1311" i="1"/>
  <c r="EK1312" i="1"/>
  <c r="EK1313" i="1"/>
  <c r="EK1314" i="1"/>
  <c r="EK1315" i="1"/>
  <c r="EK1316" i="1"/>
  <c r="EK1317" i="1"/>
  <c r="EK1318" i="1"/>
  <c r="EK1319" i="1"/>
  <c r="EK1320" i="1"/>
  <c r="EK1321" i="1"/>
  <c r="EK1322" i="1"/>
  <c r="EK1323" i="1"/>
  <c r="EK1324" i="1"/>
  <c r="EK1325" i="1"/>
  <c r="EK1326" i="1"/>
  <c r="EK1327" i="1"/>
  <c r="EK1328" i="1"/>
  <c r="EK1329" i="1"/>
  <c r="EK1330" i="1"/>
  <c r="EK1331" i="1"/>
  <c r="EK1332" i="1"/>
  <c r="EK1333" i="1"/>
  <c r="EK1334" i="1"/>
  <c r="EK1335" i="1"/>
  <c r="EK1336" i="1"/>
  <c r="EK1337" i="1"/>
  <c r="EK1338" i="1"/>
  <c r="EK1339" i="1"/>
  <c r="EK1340" i="1"/>
  <c r="EK1341" i="1"/>
  <c r="EK1342" i="1"/>
  <c r="EK1343" i="1"/>
  <c r="EK1344" i="1"/>
  <c r="EK1345" i="1"/>
  <c r="EK1346" i="1"/>
  <c r="EK1347" i="1"/>
  <c r="EK1348" i="1"/>
  <c r="EK1349" i="1"/>
  <c r="EK1350" i="1"/>
  <c r="EK1351" i="1"/>
  <c r="EK1352" i="1"/>
  <c r="EK1353" i="1"/>
  <c r="EK1354" i="1"/>
  <c r="EK1355" i="1"/>
  <c r="EK1356" i="1"/>
  <c r="EK1357" i="1"/>
  <c r="EK1358" i="1"/>
  <c r="EK1359" i="1"/>
  <c r="EK1360" i="1"/>
  <c r="EK1361" i="1"/>
  <c r="EK1362" i="1"/>
  <c r="EK1363" i="1"/>
  <c r="EK1364" i="1"/>
  <c r="EK1365" i="1"/>
  <c r="EK1366" i="1"/>
  <c r="EK1367" i="1"/>
  <c r="EK1368" i="1"/>
  <c r="EK1369" i="1"/>
  <c r="EK1370" i="1"/>
  <c r="EK1371" i="1"/>
  <c r="EK1372" i="1"/>
  <c r="EK1373" i="1"/>
  <c r="EK1374" i="1"/>
  <c r="EK1375" i="1"/>
  <c r="EK1376" i="1"/>
  <c r="EK1377" i="1"/>
  <c r="EK1378" i="1"/>
  <c r="EK1379" i="1"/>
  <c r="EK1380" i="1"/>
  <c r="EK1381" i="1"/>
  <c r="EK1382" i="1"/>
  <c r="EK1383" i="1"/>
  <c r="EK1384" i="1"/>
  <c r="EK1385" i="1"/>
  <c r="EK1386" i="1"/>
  <c r="EK1387" i="1"/>
  <c r="EK1388" i="1"/>
  <c r="EK1389" i="1"/>
  <c r="EK1390" i="1"/>
  <c r="EK1391" i="1"/>
  <c r="EK1392" i="1"/>
  <c r="EK1393" i="1"/>
  <c r="EK1394" i="1"/>
  <c r="EK1395" i="1"/>
  <c r="EK1396" i="1"/>
  <c r="EK1397" i="1"/>
  <c r="EK1398" i="1"/>
  <c r="EK1399" i="1"/>
  <c r="EK1400" i="1"/>
  <c r="EK1401" i="1"/>
  <c r="EK1402" i="1"/>
  <c r="EK1403" i="1"/>
  <c r="EK1404" i="1"/>
  <c r="EK1405" i="1"/>
  <c r="EK1406" i="1"/>
  <c r="EK1407" i="1"/>
  <c r="EK1408" i="1"/>
  <c r="EK1409" i="1"/>
  <c r="EK1410" i="1"/>
  <c r="EK1411" i="1"/>
  <c r="EK1412" i="1"/>
  <c r="EK1413" i="1"/>
  <c r="EK1414" i="1"/>
  <c r="EK1415" i="1"/>
  <c r="EK1416" i="1"/>
  <c r="EK1417" i="1"/>
  <c r="EK1418" i="1"/>
  <c r="EK1419" i="1"/>
  <c r="EK1420" i="1"/>
  <c r="EK1421" i="1"/>
  <c r="EK1422" i="1"/>
  <c r="EK1423" i="1"/>
  <c r="EK1424" i="1"/>
  <c r="EK1425" i="1"/>
  <c r="EK1426" i="1"/>
  <c r="EK1427" i="1"/>
  <c r="EK1428" i="1"/>
  <c r="EK1429" i="1"/>
  <c r="EK1430" i="1"/>
  <c r="EK1431" i="1"/>
  <c r="EK1432" i="1"/>
  <c r="EK1433" i="1"/>
  <c r="EK1434" i="1"/>
  <c r="EK1435" i="1"/>
  <c r="EK1436" i="1"/>
  <c r="EK1437" i="1"/>
  <c r="EK1438" i="1"/>
  <c r="EK1439" i="1"/>
  <c r="EK1440" i="1"/>
  <c r="EK1441" i="1"/>
  <c r="EK1442" i="1"/>
  <c r="EK1443" i="1"/>
  <c r="EK1444" i="1"/>
  <c r="EK1445" i="1"/>
  <c r="EK1446" i="1"/>
  <c r="EK1447" i="1"/>
  <c r="EK1448" i="1"/>
  <c r="EK1449" i="1"/>
  <c r="EK1450" i="1"/>
  <c r="EK1451" i="1"/>
  <c r="EK1452" i="1"/>
  <c r="EK1453" i="1"/>
  <c r="EK1454" i="1"/>
  <c r="EK1455" i="1"/>
  <c r="EK1456" i="1"/>
  <c r="EK1457" i="1"/>
  <c r="EK1458" i="1"/>
  <c r="EK1459" i="1"/>
  <c r="EK1460" i="1"/>
  <c r="EK1461" i="1"/>
  <c r="EK1462" i="1"/>
  <c r="EK1463" i="1"/>
  <c r="EK1464" i="1"/>
  <c r="EK1465" i="1"/>
  <c r="EK1466" i="1"/>
  <c r="EK1467" i="1"/>
  <c r="EK1468" i="1"/>
  <c r="EK1469" i="1"/>
  <c r="EK1470" i="1"/>
  <c r="EK1471" i="1"/>
  <c r="EK1472" i="1"/>
  <c r="EK1473" i="1"/>
  <c r="EK1474" i="1"/>
  <c r="EK1475" i="1"/>
  <c r="EK1476" i="1"/>
  <c r="EK1477" i="1"/>
  <c r="EK1478" i="1"/>
  <c r="EK1479" i="1"/>
  <c r="EK1480" i="1"/>
  <c r="EK1481" i="1"/>
  <c r="EK1482" i="1"/>
  <c r="EK1483" i="1"/>
  <c r="EK1484" i="1"/>
  <c r="EK1485" i="1"/>
  <c r="EK1486" i="1"/>
  <c r="EK1487" i="1"/>
  <c r="EK1488" i="1"/>
  <c r="EK1489" i="1"/>
  <c r="EK1490" i="1"/>
  <c r="EK1491" i="1"/>
  <c r="EK1492" i="1"/>
  <c r="EK1493" i="1"/>
  <c r="EK1494" i="1"/>
  <c r="EK1495" i="1"/>
  <c r="EK1496" i="1"/>
  <c r="EK1497" i="1"/>
  <c r="EK1498" i="1"/>
  <c r="EK1499" i="1"/>
  <c r="EK1500" i="1"/>
  <c r="EK1501" i="1"/>
  <c r="EK1502" i="1"/>
  <c r="EK1503" i="1"/>
  <c r="EK1504" i="1"/>
  <c r="EK1505" i="1"/>
  <c r="EK1506" i="1"/>
  <c r="EK1507" i="1"/>
  <c r="EK1508" i="1"/>
  <c r="EK1509" i="1"/>
  <c r="EK1510" i="1"/>
  <c r="EK1511" i="1"/>
  <c r="EK1512" i="1"/>
  <c r="EK1513" i="1"/>
  <c r="EK1514" i="1"/>
  <c r="EK1515" i="1"/>
  <c r="EK1516" i="1"/>
  <c r="EK1517" i="1"/>
  <c r="EK1518" i="1"/>
  <c r="EK1519" i="1"/>
  <c r="EK1520" i="1"/>
  <c r="EK1521" i="1"/>
  <c r="EK1522" i="1"/>
  <c r="EK1523" i="1"/>
  <c r="EK1524" i="1"/>
  <c r="EK1525" i="1"/>
  <c r="EK1526" i="1"/>
  <c r="EK1527" i="1"/>
  <c r="EK1528" i="1"/>
  <c r="EK1529" i="1"/>
  <c r="EK1530" i="1"/>
  <c r="EK1531" i="1"/>
  <c r="EK1532" i="1"/>
  <c r="EK1533" i="1"/>
  <c r="EK1534" i="1"/>
  <c r="EK1535" i="1"/>
  <c r="EK1536" i="1"/>
  <c r="EK1537" i="1"/>
  <c r="EK1538" i="1"/>
  <c r="EK1539" i="1"/>
  <c r="EK1540" i="1"/>
  <c r="EK1541" i="1"/>
  <c r="EK1542" i="1"/>
  <c r="EK1543" i="1"/>
  <c r="EK1544" i="1"/>
  <c r="EK1545" i="1"/>
  <c r="EK1546" i="1"/>
  <c r="EK1547" i="1"/>
  <c r="EK1548" i="1"/>
  <c r="EK1549" i="1"/>
  <c r="EK1550" i="1"/>
  <c r="EK1551" i="1"/>
  <c r="EK1552" i="1"/>
  <c r="EK1553" i="1"/>
  <c r="EK1554" i="1"/>
  <c r="EK1555" i="1"/>
  <c r="EK1556" i="1"/>
  <c r="EK1557" i="1"/>
  <c r="EK1558" i="1"/>
  <c r="EK1559" i="1"/>
  <c r="EK1560" i="1"/>
  <c r="EK1561" i="1"/>
  <c r="EK1562" i="1"/>
  <c r="EK1563" i="1"/>
  <c r="EK1564" i="1"/>
  <c r="EK1565" i="1"/>
  <c r="EK1566" i="1"/>
  <c r="EK1567" i="1"/>
  <c r="EK1568" i="1"/>
  <c r="EK1569" i="1"/>
  <c r="EK1570" i="1"/>
  <c r="EK1571" i="1"/>
  <c r="EK1572" i="1"/>
  <c r="EK1573" i="1"/>
  <c r="EK1574" i="1"/>
  <c r="EK1575" i="1"/>
  <c r="EK1576" i="1"/>
  <c r="EK1577" i="1"/>
  <c r="EK1578" i="1"/>
  <c r="EK1579" i="1"/>
  <c r="EK1580" i="1"/>
  <c r="EK1581" i="1"/>
  <c r="EK1582" i="1"/>
  <c r="EK1583" i="1"/>
  <c r="EK1584" i="1"/>
  <c r="EK1585" i="1"/>
  <c r="EK1586" i="1"/>
  <c r="EK1587" i="1"/>
  <c r="EK1588" i="1"/>
  <c r="EK1589" i="1"/>
  <c r="EK1590" i="1"/>
  <c r="EK1591" i="1"/>
  <c r="EK1592" i="1"/>
  <c r="EK1593" i="1"/>
  <c r="EK1594" i="1"/>
  <c r="EK1595" i="1"/>
  <c r="EK1596" i="1"/>
  <c r="EK1597" i="1"/>
  <c r="EK1598" i="1"/>
  <c r="EK1599" i="1"/>
  <c r="EK1600" i="1"/>
  <c r="EK1601" i="1"/>
  <c r="EK1602" i="1"/>
  <c r="EK1603" i="1"/>
  <c r="EK1604" i="1"/>
  <c r="EK1605" i="1"/>
  <c r="EK1606" i="1"/>
  <c r="EK1607" i="1"/>
  <c r="EK1608" i="1"/>
  <c r="EK1609" i="1"/>
  <c r="EK1610" i="1"/>
  <c r="EK1611" i="1"/>
  <c r="EK1612" i="1"/>
  <c r="EK1613" i="1"/>
  <c r="EK1614" i="1"/>
  <c r="EK1615" i="1"/>
  <c r="EK1616" i="1"/>
  <c r="EK1617" i="1"/>
  <c r="EK1618" i="1"/>
  <c r="EK1619" i="1"/>
  <c r="EK1620" i="1"/>
  <c r="EK1621" i="1"/>
  <c r="EK1622" i="1"/>
  <c r="EK1623" i="1"/>
  <c r="EK1624" i="1"/>
  <c r="EK1625" i="1"/>
  <c r="EK1626" i="1"/>
  <c r="EK1627" i="1"/>
  <c r="EK1628" i="1"/>
  <c r="EK1629" i="1"/>
  <c r="EK1630" i="1"/>
  <c r="EK1631" i="1"/>
  <c r="EK1632" i="1"/>
  <c r="EK1633" i="1"/>
  <c r="EK1634" i="1"/>
  <c r="EK1635" i="1"/>
  <c r="EK1636" i="1"/>
  <c r="EK1637" i="1"/>
  <c r="EK1638" i="1"/>
  <c r="EK1639" i="1"/>
  <c r="EK1640" i="1"/>
  <c r="EK1641" i="1"/>
  <c r="EK1642" i="1"/>
  <c r="EK1643" i="1"/>
  <c r="EK1644" i="1"/>
  <c r="EK1645" i="1"/>
  <c r="EK1646" i="1"/>
  <c r="EK1647" i="1"/>
  <c r="EK1648" i="1"/>
  <c r="EK1649" i="1"/>
  <c r="EK1650" i="1"/>
  <c r="EK1651" i="1"/>
  <c r="EK1652" i="1"/>
  <c r="EK1653" i="1"/>
  <c r="EK1654" i="1"/>
  <c r="EK1655" i="1"/>
  <c r="EK1656" i="1"/>
  <c r="EK1657" i="1"/>
  <c r="EK1658" i="1"/>
  <c r="EK1659" i="1"/>
  <c r="EK1660" i="1"/>
  <c r="EK1661" i="1"/>
  <c r="EK1662" i="1"/>
  <c r="EK1663" i="1"/>
  <c r="EK1664" i="1"/>
  <c r="EK1665" i="1"/>
  <c r="EK1666" i="1"/>
  <c r="EK1667" i="1"/>
  <c r="EK1668" i="1"/>
  <c r="EK1669" i="1"/>
  <c r="EK1670" i="1"/>
  <c r="EK1671" i="1"/>
  <c r="EK1672" i="1"/>
  <c r="EK1673" i="1"/>
  <c r="EK1674" i="1"/>
  <c r="EK1675" i="1"/>
  <c r="EK1676" i="1"/>
  <c r="EK1677" i="1"/>
  <c r="EK1678" i="1"/>
  <c r="EK1679" i="1"/>
  <c r="EK1680" i="1"/>
  <c r="EK1681" i="1"/>
  <c r="EK1682" i="1"/>
  <c r="EK1683" i="1"/>
  <c r="EK1684" i="1"/>
  <c r="EK1685" i="1"/>
  <c r="EK1686" i="1"/>
  <c r="EK1687" i="1"/>
  <c r="EK1688" i="1"/>
  <c r="EK1689" i="1"/>
  <c r="EK1690" i="1"/>
  <c r="EK1691" i="1"/>
  <c r="EK1692" i="1"/>
  <c r="EK1693" i="1"/>
  <c r="EK1694" i="1"/>
  <c r="EK1695" i="1"/>
  <c r="EK1696" i="1"/>
  <c r="EK1697" i="1"/>
  <c r="EK1698" i="1"/>
  <c r="EK1699" i="1"/>
  <c r="EK1700" i="1"/>
  <c r="EK1701" i="1"/>
  <c r="EK1702" i="1"/>
  <c r="EK1703" i="1"/>
  <c r="EK1704" i="1"/>
  <c r="EK1705" i="1"/>
  <c r="EK1706" i="1"/>
  <c r="EK1707" i="1"/>
  <c r="EK1708" i="1"/>
  <c r="EK1709" i="1"/>
  <c r="EK1710" i="1"/>
  <c r="EK1711" i="1"/>
  <c r="EK1712" i="1"/>
  <c r="EK1713" i="1"/>
  <c r="EK1714" i="1"/>
  <c r="EK1715" i="1"/>
  <c r="EK1716" i="1"/>
  <c r="EK1717" i="1"/>
  <c r="EK1718" i="1"/>
  <c r="EK1719" i="1"/>
  <c r="EK1720" i="1"/>
  <c r="EK1721" i="1"/>
  <c r="EK1722" i="1"/>
  <c r="EK1723" i="1"/>
  <c r="EK1724" i="1"/>
  <c r="EK1725" i="1"/>
  <c r="EK1726" i="1"/>
  <c r="EK1727" i="1"/>
  <c r="EK1728" i="1"/>
  <c r="EK1729" i="1"/>
  <c r="EK1730" i="1"/>
  <c r="EK1731" i="1"/>
  <c r="EK1732" i="1"/>
  <c r="EK1733" i="1"/>
  <c r="EK1734" i="1"/>
  <c r="EK1735" i="1"/>
  <c r="EK1736" i="1"/>
  <c r="EK1737" i="1"/>
  <c r="EK1738" i="1"/>
  <c r="EK1739" i="1"/>
  <c r="EK1740" i="1"/>
  <c r="EK1741" i="1"/>
  <c r="EK1742" i="1"/>
  <c r="EK1743" i="1"/>
  <c r="EK1744" i="1"/>
  <c r="EK1745" i="1"/>
  <c r="EK1746" i="1"/>
  <c r="EK1747" i="1"/>
  <c r="EK1748" i="1"/>
  <c r="EK1749" i="1"/>
  <c r="EK1750" i="1"/>
  <c r="EK1751" i="1"/>
  <c r="EK1752" i="1"/>
  <c r="EK1753" i="1"/>
  <c r="EK1754" i="1"/>
  <c r="EK1755" i="1"/>
  <c r="EK1756" i="1"/>
  <c r="EK1757" i="1"/>
  <c r="EK1758" i="1"/>
  <c r="EK1759" i="1"/>
  <c r="EK1760" i="1"/>
  <c r="EK1761" i="1"/>
  <c r="EK1762" i="1"/>
  <c r="EK1763" i="1"/>
  <c r="EK1764" i="1"/>
  <c r="EK1765" i="1"/>
  <c r="EK1766" i="1"/>
  <c r="EK1767" i="1"/>
  <c r="EK1768" i="1"/>
  <c r="EK1769" i="1"/>
  <c r="EK1770" i="1"/>
  <c r="EK1771" i="1"/>
  <c r="EK1772" i="1"/>
  <c r="EK1773" i="1"/>
  <c r="EK1774" i="1"/>
  <c r="EK1775" i="1"/>
  <c r="EK1776" i="1"/>
  <c r="EK1777" i="1"/>
  <c r="EK1778" i="1"/>
  <c r="EK1779" i="1"/>
  <c r="EK1780" i="1"/>
  <c r="EK1781" i="1"/>
  <c r="EK1782" i="1"/>
  <c r="EK1783" i="1"/>
  <c r="EK1784" i="1"/>
  <c r="EK1785" i="1"/>
  <c r="EK1786" i="1"/>
  <c r="EK1787" i="1"/>
  <c r="EK1788" i="1"/>
  <c r="EK1789" i="1"/>
  <c r="EK1790" i="1"/>
  <c r="EK1791" i="1"/>
  <c r="EK1792" i="1"/>
  <c r="EK1793" i="1"/>
  <c r="EK1794" i="1"/>
  <c r="EK1795" i="1"/>
  <c r="EK1796" i="1"/>
  <c r="EK1797" i="1"/>
  <c r="EK1798" i="1"/>
  <c r="EK1799" i="1"/>
  <c r="EK1800" i="1"/>
  <c r="EK1801" i="1"/>
  <c r="EK1802" i="1"/>
  <c r="EK1803" i="1"/>
  <c r="EK1804" i="1"/>
  <c r="EK1805" i="1"/>
  <c r="EK1806" i="1"/>
  <c r="EK1807" i="1"/>
  <c r="EK1808" i="1"/>
  <c r="EK1809" i="1"/>
  <c r="EK1810" i="1"/>
  <c r="EK1811" i="1"/>
  <c r="EK1812" i="1"/>
  <c r="EK1813" i="1"/>
  <c r="EK1814" i="1"/>
  <c r="EK1815" i="1"/>
  <c r="EK1816" i="1"/>
  <c r="EK1817" i="1"/>
  <c r="EK1818" i="1"/>
  <c r="EK1819" i="1"/>
  <c r="EK1820" i="1"/>
  <c r="EK1821" i="1"/>
  <c r="EK1822" i="1"/>
  <c r="EK1823" i="1"/>
  <c r="EK1824" i="1"/>
  <c r="EK1825" i="1"/>
  <c r="EK1826" i="1"/>
  <c r="EK1827" i="1"/>
  <c r="EK1828" i="1"/>
  <c r="EK1829" i="1"/>
  <c r="EK1830" i="1"/>
  <c r="EK1831" i="1"/>
  <c r="EK1832" i="1"/>
  <c r="EK1833" i="1"/>
  <c r="EK1834" i="1"/>
  <c r="EK1835" i="1"/>
  <c r="EK1836" i="1"/>
  <c r="EK1837" i="1"/>
  <c r="EK1838" i="1"/>
  <c r="EK1839" i="1"/>
  <c r="EK1840" i="1"/>
  <c r="EK1841" i="1"/>
  <c r="EK1842" i="1"/>
  <c r="EK1843" i="1"/>
  <c r="EK1844" i="1"/>
  <c r="EK1845" i="1"/>
  <c r="EK1846" i="1"/>
  <c r="EK1847" i="1"/>
  <c r="EK1848" i="1"/>
  <c r="EK1849" i="1"/>
  <c r="EK1850" i="1"/>
  <c r="EK1851" i="1"/>
  <c r="EK1852" i="1"/>
  <c r="EK1853" i="1"/>
  <c r="EK1854" i="1"/>
  <c r="EK1855" i="1"/>
  <c r="EK1856" i="1"/>
  <c r="EK1857" i="1"/>
  <c r="EK1858" i="1"/>
  <c r="EK1859" i="1"/>
  <c r="EK1860" i="1"/>
  <c r="EK1861" i="1"/>
  <c r="EK1862" i="1"/>
  <c r="EK1863" i="1"/>
  <c r="EK1864" i="1"/>
  <c r="EK1865" i="1"/>
  <c r="EK1866" i="1"/>
  <c r="EK1867" i="1"/>
  <c r="EK1868" i="1"/>
  <c r="EK1869" i="1"/>
  <c r="EK1870" i="1"/>
  <c r="EK1871" i="1"/>
  <c r="EK1872" i="1"/>
  <c r="EK1873" i="1"/>
  <c r="EK1874" i="1"/>
  <c r="EK1875" i="1"/>
  <c r="EK1876" i="1"/>
  <c r="EK1877" i="1"/>
  <c r="EK1878" i="1"/>
  <c r="EK1879" i="1"/>
  <c r="EK1880" i="1"/>
  <c r="EK1881" i="1"/>
  <c r="EK1882" i="1"/>
  <c r="EK1883" i="1"/>
  <c r="EK1884" i="1"/>
  <c r="EK1885" i="1"/>
  <c r="EK1886" i="1"/>
  <c r="EK1887" i="1"/>
  <c r="EK1888" i="1"/>
  <c r="EK1889" i="1"/>
  <c r="EK1890" i="1"/>
  <c r="EK1891" i="1"/>
  <c r="EK1892" i="1"/>
  <c r="EK1893" i="1"/>
  <c r="EK1894" i="1"/>
  <c r="EK1895" i="1"/>
  <c r="EK1896" i="1"/>
  <c r="EK1897" i="1"/>
  <c r="EK1898" i="1"/>
  <c r="EK1899" i="1"/>
  <c r="EK1900" i="1"/>
  <c r="EK1901" i="1"/>
  <c r="EK1902" i="1"/>
  <c r="EK1903" i="1"/>
  <c r="EK1904" i="1"/>
  <c r="EK1905" i="1"/>
  <c r="EK1906" i="1"/>
  <c r="EK1907" i="1"/>
  <c r="EK1908" i="1"/>
  <c r="EK1909" i="1"/>
  <c r="EK1910" i="1"/>
  <c r="EK1911" i="1"/>
  <c r="EK1912" i="1"/>
  <c r="EK1913" i="1"/>
  <c r="EK1914" i="1"/>
  <c r="EK1915" i="1"/>
  <c r="EK1916" i="1"/>
  <c r="EK1917" i="1"/>
  <c r="EK1918" i="1"/>
  <c r="EK1919" i="1"/>
  <c r="EK1920" i="1"/>
  <c r="EK1921" i="1"/>
  <c r="EK1922" i="1"/>
  <c r="EK1923" i="1"/>
  <c r="EK1924" i="1"/>
  <c r="EK1925" i="1"/>
  <c r="EK1926" i="1"/>
  <c r="EK1927" i="1"/>
  <c r="EK1928" i="1"/>
  <c r="EK1929" i="1"/>
  <c r="EK1930" i="1"/>
  <c r="EK1931" i="1"/>
  <c r="EK1932" i="1"/>
  <c r="EK1933" i="1"/>
  <c r="EK1934" i="1"/>
  <c r="EK1935" i="1"/>
  <c r="EK1936" i="1"/>
  <c r="EK1937" i="1"/>
  <c r="EK1938" i="1"/>
  <c r="EK1939" i="1"/>
  <c r="EK1940" i="1"/>
  <c r="EK1941" i="1"/>
  <c r="EK1942" i="1"/>
  <c r="EK1943" i="1"/>
  <c r="EK1944" i="1"/>
  <c r="EK1945" i="1"/>
  <c r="EK1946" i="1"/>
  <c r="EK1947" i="1"/>
  <c r="EK1948" i="1"/>
  <c r="EK1949" i="1"/>
  <c r="EK1950" i="1"/>
  <c r="EK1951" i="1"/>
  <c r="EK1952" i="1"/>
  <c r="EK1953" i="1"/>
  <c r="EK1954" i="1"/>
  <c r="EK1955" i="1"/>
  <c r="EK1956" i="1"/>
  <c r="EK1957" i="1"/>
  <c r="EK1958" i="1"/>
  <c r="EK1959" i="1"/>
  <c r="EK1960" i="1"/>
  <c r="EK1961" i="1"/>
  <c r="EK1962" i="1"/>
  <c r="EK1963" i="1"/>
  <c r="EK1964" i="1"/>
  <c r="EK1965" i="1"/>
  <c r="EK1966" i="1"/>
  <c r="EK1967" i="1"/>
  <c r="EK1968" i="1"/>
  <c r="EK1969" i="1"/>
  <c r="EK1970" i="1"/>
  <c r="EK1971" i="1"/>
  <c r="EK1972" i="1"/>
  <c r="EK1973" i="1"/>
  <c r="EK1974" i="1"/>
  <c r="EK1975" i="1"/>
  <c r="EK1976" i="1"/>
  <c r="EK1977" i="1"/>
  <c r="EK1978" i="1"/>
  <c r="EK1979" i="1"/>
  <c r="EK1980" i="1"/>
  <c r="EK1981" i="1"/>
  <c r="EK1982" i="1"/>
  <c r="EK1983" i="1"/>
  <c r="EK1984" i="1"/>
  <c r="EK1985" i="1"/>
  <c r="EK1986" i="1"/>
  <c r="EK1987" i="1"/>
  <c r="EK1988" i="1"/>
  <c r="EK1989" i="1"/>
  <c r="EK1990" i="1"/>
  <c r="EK1991" i="1"/>
  <c r="EK1992" i="1"/>
  <c r="EK1993" i="1"/>
  <c r="EK1994" i="1"/>
  <c r="EK1995" i="1"/>
  <c r="EK1996" i="1"/>
  <c r="EK1997" i="1"/>
  <c r="EK1998" i="1"/>
  <c r="EK1999" i="1"/>
  <c r="EK2000" i="1"/>
  <c r="EK2001" i="1"/>
  <c r="EK2002" i="1"/>
  <c r="EK2003" i="1"/>
  <c r="EK2004" i="1"/>
  <c r="EK2005" i="1"/>
  <c r="EK2006" i="1"/>
  <c r="EK2007" i="1"/>
  <c r="EK2008" i="1"/>
  <c r="EK2009" i="1"/>
  <c r="EK2010" i="1"/>
  <c r="EK2011" i="1"/>
  <c r="EK2012" i="1"/>
  <c r="EK2013" i="1"/>
  <c r="EK2014" i="1"/>
  <c r="EK2015" i="1"/>
  <c r="EK2016" i="1"/>
  <c r="EK2017" i="1"/>
  <c r="EK2018" i="1"/>
  <c r="EK2019" i="1"/>
  <c r="EK2020" i="1"/>
  <c r="EK2021" i="1"/>
  <c r="EK2022" i="1"/>
  <c r="EK2023" i="1"/>
  <c r="EK2024" i="1"/>
  <c r="EK2025" i="1"/>
  <c r="EK2026" i="1"/>
  <c r="EK2027" i="1"/>
  <c r="EK2028" i="1"/>
  <c r="EK2029" i="1"/>
  <c r="EK2030" i="1"/>
  <c r="EK2031" i="1"/>
  <c r="EK2032" i="1"/>
  <c r="EK2033" i="1"/>
  <c r="EK2034" i="1"/>
  <c r="EK2035" i="1"/>
  <c r="EK2036" i="1"/>
  <c r="EK2037" i="1"/>
  <c r="EK2038" i="1"/>
  <c r="EK2039" i="1"/>
  <c r="EK2040" i="1"/>
  <c r="EK2041" i="1"/>
  <c r="EK2042" i="1"/>
  <c r="EK2043" i="1"/>
  <c r="EK2044" i="1"/>
  <c r="EK2045" i="1"/>
  <c r="EK2046" i="1"/>
  <c r="EK2047" i="1"/>
  <c r="EK2048" i="1"/>
  <c r="EK2049" i="1"/>
  <c r="EK2050" i="1"/>
  <c r="EK2051" i="1"/>
  <c r="EK2052" i="1"/>
  <c r="EK2053" i="1"/>
  <c r="EK2054" i="1"/>
  <c r="EK2055" i="1"/>
  <c r="EK2056" i="1"/>
  <c r="EK2057" i="1"/>
  <c r="EK2058" i="1"/>
  <c r="EK2059" i="1"/>
  <c r="EK2060" i="1"/>
  <c r="EK2061" i="1"/>
  <c r="EK2062" i="1"/>
  <c r="EK2063" i="1"/>
  <c r="EK2064" i="1"/>
  <c r="EK2065" i="1"/>
  <c r="EK2066" i="1"/>
  <c r="EK2067" i="1"/>
  <c r="EK2068" i="1"/>
  <c r="EK2069" i="1"/>
  <c r="EK2070" i="1"/>
  <c r="EK2071" i="1"/>
  <c r="EK2072" i="1"/>
  <c r="EK2073" i="1"/>
  <c r="EK2074" i="1"/>
  <c r="EK2075" i="1"/>
  <c r="EK2076" i="1"/>
  <c r="EK2077" i="1"/>
  <c r="EK2078" i="1"/>
  <c r="EK2079" i="1"/>
  <c r="EK2080" i="1"/>
  <c r="EK2081" i="1"/>
  <c r="EK2082" i="1"/>
  <c r="EK2083" i="1"/>
  <c r="EK2084" i="1"/>
  <c r="EK2085" i="1"/>
  <c r="EK2086" i="1"/>
  <c r="EK2087" i="1"/>
  <c r="EK2088" i="1"/>
  <c r="EK2089" i="1"/>
  <c r="EK2090" i="1"/>
  <c r="EK2091" i="1"/>
  <c r="EK2092" i="1"/>
  <c r="EK2093" i="1"/>
  <c r="EK2094" i="1"/>
  <c r="EK2095" i="1"/>
  <c r="EK2096" i="1"/>
  <c r="EK2097" i="1"/>
  <c r="EK2098" i="1"/>
  <c r="EK2099" i="1"/>
  <c r="EK2100" i="1"/>
  <c r="EK2101" i="1"/>
  <c r="EK2102" i="1"/>
  <c r="EK2103" i="1"/>
  <c r="EK2104" i="1"/>
  <c r="EK2105" i="1"/>
  <c r="EK2106" i="1"/>
  <c r="EK2107" i="1"/>
  <c r="EK2108" i="1"/>
  <c r="EK2109" i="1"/>
  <c r="EK2110" i="1"/>
  <c r="EK2111" i="1"/>
  <c r="EK2112" i="1"/>
  <c r="EK2113" i="1"/>
  <c r="EK2114" i="1"/>
  <c r="EK2115" i="1"/>
  <c r="EK2116" i="1"/>
  <c r="EK2117" i="1"/>
  <c r="EK2118" i="1"/>
  <c r="EK2119" i="1"/>
  <c r="EK2120" i="1"/>
  <c r="EK2121" i="1"/>
  <c r="EK2122" i="1"/>
  <c r="EK2123" i="1"/>
  <c r="EK2124" i="1"/>
  <c r="EK2125" i="1"/>
  <c r="EK2126" i="1"/>
  <c r="EK2127" i="1"/>
  <c r="EK2128" i="1"/>
  <c r="EK2129" i="1"/>
  <c r="EK2130" i="1"/>
  <c r="EK2131" i="1"/>
  <c r="EK2132" i="1"/>
  <c r="EK2133" i="1"/>
  <c r="EK2134" i="1"/>
  <c r="EK2135" i="1"/>
  <c r="EK2136" i="1"/>
  <c r="EK2137" i="1"/>
  <c r="EK2138" i="1"/>
  <c r="EK2139" i="1"/>
  <c r="EK2140" i="1"/>
  <c r="EK2141" i="1"/>
  <c r="EK2142" i="1"/>
  <c r="EK2143" i="1"/>
  <c r="EK2144" i="1"/>
  <c r="EK2145" i="1"/>
  <c r="EK2146" i="1"/>
  <c r="EK2147" i="1"/>
  <c r="EK2148" i="1"/>
  <c r="EK2149" i="1"/>
  <c r="EK2150" i="1"/>
  <c r="EK2151" i="1"/>
  <c r="EK2152" i="1"/>
  <c r="EK2153" i="1"/>
  <c r="EK2154" i="1"/>
  <c r="EK2155" i="1"/>
  <c r="EK2156" i="1"/>
  <c r="EK2157" i="1"/>
  <c r="EK2158" i="1"/>
  <c r="EK2159" i="1"/>
  <c r="EK2160" i="1"/>
  <c r="EK2161" i="1"/>
  <c r="EK2162" i="1"/>
  <c r="EK2163" i="1"/>
  <c r="EK2164" i="1"/>
  <c r="EK2165" i="1"/>
  <c r="EK2166" i="1"/>
  <c r="EK2167" i="1"/>
  <c r="EK2168" i="1"/>
  <c r="EK2169" i="1"/>
  <c r="EK2170" i="1"/>
  <c r="EK2171" i="1"/>
  <c r="EK2172" i="1"/>
  <c r="EK2173" i="1"/>
  <c r="EK2174" i="1"/>
  <c r="EK2175" i="1"/>
  <c r="EK2176" i="1"/>
  <c r="EK2177" i="1"/>
  <c r="EK2178" i="1"/>
  <c r="EK2179" i="1"/>
  <c r="EK2180" i="1"/>
  <c r="EK2181" i="1"/>
  <c r="EK2182" i="1"/>
  <c r="EK2183" i="1"/>
  <c r="EK2184" i="1"/>
  <c r="EK2185" i="1"/>
  <c r="EK2186" i="1"/>
  <c r="EK2187" i="1"/>
  <c r="EK2188" i="1"/>
  <c r="EK2189" i="1"/>
  <c r="EK2190" i="1"/>
  <c r="EK2191" i="1"/>
  <c r="EK2192" i="1"/>
  <c r="EK2193" i="1"/>
  <c r="EK2194" i="1"/>
  <c r="EK2195" i="1"/>
  <c r="EK2196" i="1"/>
  <c r="EK2197" i="1"/>
  <c r="EK2198" i="1"/>
  <c r="EK2199" i="1"/>
  <c r="EK2200" i="1"/>
  <c r="EK2201" i="1"/>
  <c r="EK2202" i="1"/>
  <c r="EK2203" i="1"/>
  <c r="EK2204" i="1"/>
  <c r="EK2205" i="1"/>
  <c r="EK2206" i="1"/>
  <c r="EK2207" i="1"/>
  <c r="EK2208" i="1"/>
  <c r="EK2209" i="1"/>
  <c r="EK2210" i="1"/>
  <c r="EK2211" i="1"/>
  <c r="EK2212" i="1"/>
  <c r="EK2213" i="1"/>
  <c r="EK2214" i="1"/>
  <c r="EK2215" i="1"/>
  <c r="EK2216" i="1"/>
  <c r="EK2217" i="1"/>
  <c r="EK2218" i="1"/>
  <c r="EK2219" i="1"/>
  <c r="EK2220" i="1"/>
  <c r="EK2221" i="1"/>
  <c r="EK2222" i="1"/>
  <c r="EK2223" i="1"/>
  <c r="EK2224" i="1"/>
  <c r="EK2225" i="1"/>
  <c r="EK2226" i="1"/>
  <c r="EK2227" i="1"/>
  <c r="EK2228" i="1"/>
  <c r="EK2229" i="1"/>
  <c r="EK2230" i="1"/>
  <c r="EK2231" i="1"/>
  <c r="EK2232" i="1"/>
  <c r="EK2233" i="1"/>
  <c r="EK2234" i="1"/>
  <c r="EK2235" i="1"/>
  <c r="EK2236" i="1"/>
  <c r="EK2237" i="1"/>
  <c r="EK2238" i="1"/>
  <c r="EK2239" i="1"/>
  <c r="EK2240" i="1"/>
  <c r="EK2241" i="1"/>
  <c r="EK2242" i="1"/>
  <c r="EK2243" i="1"/>
  <c r="EK2244" i="1"/>
  <c r="EK2245" i="1"/>
  <c r="EK2246" i="1"/>
  <c r="EK2247" i="1"/>
  <c r="EK2248" i="1"/>
  <c r="EK2249" i="1"/>
  <c r="EK2250" i="1"/>
  <c r="EK2251" i="1"/>
  <c r="EK2252" i="1"/>
  <c r="EK2253" i="1"/>
  <c r="EK2254" i="1"/>
  <c r="EK2255" i="1"/>
  <c r="EK2256" i="1"/>
  <c r="EK2257" i="1"/>
  <c r="EK2258" i="1"/>
  <c r="EK2259" i="1"/>
  <c r="EK2260" i="1"/>
  <c r="EK2261" i="1"/>
  <c r="EK2262" i="1"/>
  <c r="EK2263" i="1"/>
  <c r="EK2264" i="1"/>
  <c r="EK2265" i="1"/>
  <c r="EK2266" i="1"/>
  <c r="EK2267" i="1"/>
  <c r="EK2268" i="1"/>
  <c r="EK2269" i="1"/>
  <c r="EK2270" i="1"/>
  <c r="EK2271" i="1"/>
  <c r="EK2272" i="1"/>
  <c r="EK2273" i="1"/>
  <c r="EK2274" i="1"/>
  <c r="EK2275" i="1"/>
  <c r="EK2276" i="1"/>
  <c r="EK2277" i="1"/>
  <c r="EK2278" i="1"/>
  <c r="EK2279" i="1"/>
  <c r="EK2280" i="1"/>
  <c r="EK2281" i="1"/>
  <c r="EK2282" i="1"/>
  <c r="EK2283" i="1"/>
  <c r="EK2284" i="1"/>
  <c r="EK2285" i="1"/>
  <c r="EK2286" i="1"/>
  <c r="EK2287" i="1"/>
  <c r="EK2288" i="1"/>
  <c r="EK2289" i="1"/>
  <c r="EK2290" i="1"/>
  <c r="EK2291" i="1"/>
  <c r="EK2292" i="1"/>
  <c r="EK2293" i="1"/>
  <c r="EK2294" i="1"/>
  <c r="EK2295" i="1"/>
  <c r="EK2296" i="1"/>
  <c r="EK2297" i="1"/>
  <c r="EK2298" i="1"/>
  <c r="EK2299" i="1"/>
  <c r="EK2300" i="1"/>
  <c r="EK2301" i="1"/>
  <c r="EK2302" i="1"/>
  <c r="EK2303" i="1"/>
  <c r="EK2304" i="1"/>
  <c r="EK2305" i="1"/>
  <c r="EK2306" i="1"/>
  <c r="EK2307" i="1"/>
  <c r="EK2308" i="1"/>
  <c r="EK2309" i="1"/>
  <c r="EK2310" i="1"/>
  <c r="EK2311" i="1"/>
  <c r="EK2312" i="1"/>
  <c r="EK2313" i="1"/>
  <c r="EK2314" i="1"/>
  <c r="EK2315" i="1"/>
  <c r="EK2316" i="1"/>
  <c r="EK2317" i="1"/>
  <c r="EK2318" i="1"/>
  <c r="EK2319" i="1"/>
  <c r="EK2320" i="1"/>
  <c r="EK2321" i="1"/>
  <c r="EK2322" i="1"/>
  <c r="EK2323" i="1"/>
  <c r="EK2324" i="1"/>
  <c r="EK2325" i="1"/>
  <c r="EK2326" i="1"/>
  <c r="EK2327" i="1"/>
  <c r="EK2328" i="1"/>
  <c r="EK2329" i="1"/>
  <c r="EK2330" i="1"/>
  <c r="EK2331" i="1"/>
  <c r="EK2332" i="1"/>
  <c r="EK2333" i="1"/>
  <c r="EK2334" i="1"/>
  <c r="EK2335" i="1"/>
  <c r="EK2336" i="1"/>
  <c r="EK2337" i="1"/>
  <c r="EK2338" i="1"/>
  <c r="EK2339" i="1"/>
  <c r="EK2340" i="1"/>
  <c r="EK2341" i="1"/>
  <c r="EK2342" i="1"/>
  <c r="EK2343" i="1"/>
  <c r="EK2344" i="1"/>
  <c r="EK2345" i="1"/>
  <c r="EK2346" i="1"/>
  <c r="EK2347" i="1"/>
  <c r="EK2348" i="1"/>
  <c r="EK2349" i="1"/>
  <c r="EK2350" i="1"/>
  <c r="EK2351" i="1"/>
  <c r="EK2352" i="1"/>
  <c r="EK2353" i="1"/>
  <c r="EK2354" i="1"/>
  <c r="EK2355" i="1"/>
  <c r="EK2356" i="1"/>
  <c r="EK2357" i="1"/>
  <c r="EK2358" i="1"/>
  <c r="EK2359" i="1"/>
  <c r="EK2360" i="1"/>
  <c r="EK2361" i="1"/>
  <c r="EK2362" i="1"/>
  <c r="EK2363" i="1"/>
  <c r="EK2364" i="1"/>
  <c r="EK2365" i="1"/>
  <c r="EK2366" i="1"/>
  <c r="EK2367" i="1"/>
  <c r="EK2368" i="1"/>
  <c r="EK2369" i="1"/>
  <c r="EK2370" i="1"/>
  <c r="EK2371" i="1"/>
  <c r="EK2372" i="1"/>
  <c r="EK2373" i="1"/>
  <c r="EK2374" i="1"/>
  <c r="EK2375" i="1"/>
  <c r="EK2376" i="1"/>
  <c r="EK2377" i="1"/>
  <c r="EK2378" i="1"/>
  <c r="EK2379" i="1"/>
  <c r="EK2380" i="1"/>
  <c r="EK2381" i="1"/>
  <c r="EK2382" i="1"/>
  <c r="EK2383" i="1"/>
  <c r="EK2384" i="1"/>
  <c r="EK2385" i="1"/>
  <c r="EK2386" i="1"/>
  <c r="EK2387" i="1"/>
  <c r="EK2388" i="1"/>
  <c r="EK2389" i="1"/>
  <c r="EK2390" i="1"/>
  <c r="EK2391" i="1"/>
  <c r="EK2392" i="1"/>
  <c r="EK2393" i="1"/>
  <c r="EK2394" i="1"/>
  <c r="EK2395" i="1"/>
  <c r="EK2396" i="1"/>
  <c r="EK2397" i="1"/>
  <c r="EK2398" i="1"/>
  <c r="EK2399" i="1"/>
  <c r="EK2400" i="1"/>
  <c r="EK2401" i="1"/>
  <c r="EK2402" i="1"/>
  <c r="EK2403" i="1"/>
  <c r="EK2404" i="1"/>
  <c r="EK2405" i="1"/>
  <c r="EK2406" i="1"/>
  <c r="EK2407" i="1"/>
  <c r="EK2408" i="1"/>
  <c r="EK2409" i="1"/>
  <c r="EK2410" i="1"/>
  <c r="EK2411" i="1"/>
  <c r="EK2412" i="1"/>
  <c r="EK2413" i="1"/>
  <c r="EK2414" i="1"/>
  <c r="EK2415" i="1"/>
  <c r="EK2416" i="1"/>
  <c r="EK2417" i="1"/>
  <c r="EK2418" i="1"/>
  <c r="EK2419" i="1"/>
  <c r="EK2420" i="1"/>
  <c r="EK2421" i="1"/>
  <c r="EK2422" i="1"/>
  <c r="EK2423" i="1"/>
  <c r="EK2424" i="1"/>
  <c r="EK2425" i="1"/>
  <c r="EK2426" i="1"/>
  <c r="EK2427" i="1"/>
  <c r="EK2428" i="1"/>
  <c r="EK2429" i="1"/>
  <c r="EK2430" i="1"/>
  <c r="EK2431" i="1"/>
  <c r="EK2432" i="1"/>
  <c r="EK2433" i="1"/>
  <c r="EK2434" i="1"/>
  <c r="EK2435" i="1"/>
  <c r="EK2436" i="1"/>
  <c r="EK2437" i="1"/>
  <c r="EK2438" i="1"/>
  <c r="EK2439" i="1"/>
  <c r="EK2440" i="1"/>
  <c r="EK2441" i="1"/>
  <c r="EK2442" i="1"/>
  <c r="EK2443" i="1"/>
  <c r="EK2444" i="1"/>
  <c r="EK2445" i="1"/>
  <c r="EK2446" i="1"/>
  <c r="EK2447" i="1"/>
  <c r="EK2448" i="1"/>
  <c r="EK2449" i="1"/>
  <c r="EK2450" i="1"/>
  <c r="EK2451" i="1"/>
  <c r="EK2452" i="1"/>
  <c r="EK2453" i="1"/>
  <c r="EK2454" i="1"/>
  <c r="EK2455" i="1"/>
  <c r="EK2456" i="1"/>
  <c r="EK2457" i="1"/>
  <c r="EK2458" i="1"/>
  <c r="EK2459" i="1"/>
  <c r="EK2460" i="1"/>
  <c r="EK2461" i="1"/>
  <c r="EK2462" i="1"/>
  <c r="EK2463" i="1"/>
  <c r="EK2464" i="1"/>
  <c r="EK2465" i="1"/>
  <c r="EK2466" i="1"/>
  <c r="EK2467" i="1"/>
  <c r="EK2468" i="1"/>
  <c r="EK2469" i="1"/>
  <c r="EK2470" i="1"/>
  <c r="EK2471" i="1"/>
  <c r="EK2472" i="1"/>
  <c r="EK2473" i="1"/>
  <c r="EK2474" i="1"/>
  <c r="EK2475" i="1"/>
  <c r="EK2476" i="1"/>
  <c r="EK2477" i="1"/>
  <c r="EK2478" i="1"/>
  <c r="EK2479" i="1"/>
  <c r="EK2480" i="1"/>
  <c r="EK2481" i="1"/>
  <c r="EK2482" i="1"/>
  <c r="EK2483" i="1"/>
  <c r="EK2484" i="1"/>
  <c r="EK2485" i="1"/>
  <c r="EK2486" i="1"/>
  <c r="EK2487" i="1"/>
  <c r="EK2488" i="1"/>
  <c r="EK2489" i="1"/>
  <c r="EK2490" i="1"/>
  <c r="EK2491" i="1"/>
  <c r="EK2492" i="1"/>
  <c r="EK2493" i="1"/>
  <c r="EK2494" i="1"/>
  <c r="EK2495" i="1"/>
  <c r="EK2496" i="1"/>
  <c r="EK2497" i="1"/>
  <c r="EK2498" i="1"/>
  <c r="EK2499" i="1"/>
  <c r="EK2500" i="1"/>
  <c r="EK2501" i="1"/>
  <c r="EK2502" i="1"/>
  <c r="EK2503" i="1"/>
  <c r="EK2504" i="1"/>
  <c r="EK2505" i="1"/>
  <c r="EK2506" i="1"/>
  <c r="EK2507" i="1"/>
  <c r="EK2508" i="1"/>
  <c r="EK2509" i="1"/>
  <c r="EK2510" i="1"/>
  <c r="EK2511" i="1"/>
  <c r="EK2512" i="1"/>
  <c r="EK2513" i="1"/>
  <c r="EK2514" i="1"/>
  <c r="EK2515" i="1"/>
  <c r="EK2516" i="1"/>
  <c r="EK2517" i="1"/>
  <c r="EK2518" i="1"/>
  <c r="EK2519" i="1"/>
  <c r="EK2520" i="1"/>
  <c r="EK2521" i="1"/>
  <c r="EK2522" i="1"/>
  <c r="EK2523" i="1"/>
  <c r="EK2524" i="1"/>
  <c r="EK2525" i="1"/>
  <c r="EK2526" i="1"/>
  <c r="EK2527" i="1"/>
  <c r="EK2528" i="1"/>
  <c r="EK2529" i="1"/>
  <c r="EK2530" i="1"/>
  <c r="EK2531" i="1"/>
  <c r="EK2532" i="1"/>
  <c r="EK2533" i="1"/>
  <c r="EK2534" i="1"/>
  <c r="EK2535" i="1"/>
  <c r="EK2536" i="1"/>
  <c r="EK2537" i="1"/>
  <c r="EK2538" i="1"/>
  <c r="EK2539" i="1"/>
  <c r="EK2540" i="1"/>
  <c r="EK2541" i="1"/>
  <c r="EK2542" i="1"/>
  <c r="EK2543" i="1"/>
  <c r="EK2544" i="1"/>
  <c r="EK2545" i="1"/>
  <c r="EK2546" i="1"/>
  <c r="EK2547" i="1"/>
  <c r="EK2548" i="1"/>
  <c r="EK2549" i="1"/>
  <c r="EK2550" i="1"/>
  <c r="AS13" i="1"/>
  <c r="I14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3" i="1"/>
  <c r="I12" i="1"/>
  <c r="I11" i="1"/>
  <c r="I10" i="1"/>
  <c r="I9" i="1"/>
  <c r="I8" i="1"/>
  <c r="I7" i="1"/>
  <c r="I6" i="1"/>
  <c r="I5" i="1"/>
  <c r="I4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AC7" i="1"/>
  <c r="AC8" i="1"/>
  <c r="AC9" i="1"/>
  <c r="AC10" i="1"/>
  <c r="AC11" i="1"/>
  <c r="AC12" i="1"/>
  <c r="AC13" i="1"/>
  <c r="AC14" i="1"/>
  <c r="AC15" i="1"/>
  <c r="AC16" i="1"/>
  <c r="AD34" i="1"/>
  <c r="AD35" i="1"/>
  <c r="AD36" i="1"/>
  <c r="AD37" i="1"/>
  <c r="AD38" i="1"/>
  <c r="AD39" i="1"/>
  <c r="F24" i="4"/>
  <c r="F25" i="4"/>
  <c r="F26" i="4"/>
  <c r="F27" i="4"/>
  <c r="F28" i="4"/>
  <c r="F29" i="4"/>
  <c r="F30" i="4"/>
  <c r="F31" i="4"/>
  <c r="F32" i="4"/>
  <c r="F23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4" i="4"/>
  <c r="E24" i="4"/>
  <c r="E25" i="4"/>
  <c r="E26" i="4"/>
  <c r="E27" i="4"/>
  <c r="E28" i="4"/>
  <c r="E29" i="4"/>
  <c r="E30" i="4"/>
  <c r="E31" i="4"/>
  <c r="E32" i="4"/>
  <c r="E23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C4" i="4"/>
  <c r="B4" i="4"/>
  <c r="C48" i="3"/>
  <c r="Q27" i="3"/>
  <c r="C45" i="3"/>
  <c r="Q30" i="3"/>
  <c r="Q29" i="3"/>
  <c r="C47" i="3"/>
  <c r="C49" i="3" s="1"/>
  <c r="Q33" i="3" s="1"/>
  <c r="Q31" i="3" s="1"/>
  <c r="C46" i="3"/>
  <c r="C35" i="3"/>
  <c r="C34" i="3"/>
  <c r="Q28" i="3"/>
  <c r="C44" i="3"/>
  <c r="EJ2551" i="1" l="1"/>
  <c r="EI2552" i="1" s="1"/>
  <c r="EI2554" i="1" s="1"/>
  <c r="AD41" i="1"/>
  <c r="AR13" i="1"/>
  <c r="AW27" i="1"/>
  <c r="AC18" i="1"/>
  <c r="EK2551" i="1"/>
  <c r="EI2553" i="1" l="1"/>
  <c r="D1" i="6" l="1"/>
  <c r="B21" i="6" s="1"/>
  <c r="D1" i="8"/>
  <c r="B29" i="8" l="1"/>
  <c r="C8" i="8"/>
  <c r="B9" i="8" l="1"/>
  <c r="C9" i="8" s="1"/>
  <c r="B10" i="8"/>
  <c r="B11" i="8"/>
  <c r="B8" i="8"/>
  <c r="L3" i="8"/>
  <c r="M3" i="8"/>
  <c r="E1" i="8"/>
  <c r="J3" i="8"/>
  <c r="N3" i="8" s="1"/>
  <c r="K3" i="8"/>
  <c r="I3" i="8"/>
  <c r="Q12" i="8" l="1"/>
  <c r="X12" i="8" s="1"/>
  <c r="Q13" i="8"/>
  <c r="X13" i="8" s="1"/>
  <c r="Q15" i="8"/>
  <c r="X15" i="8" s="1"/>
  <c r="R13" i="8"/>
  <c r="Q14" i="8"/>
  <c r="X14" i="8" s="1"/>
  <c r="R14" i="8"/>
  <c r="R15" i="8"/>
  <c r="Q11" i="8"/>
  <c r="X11" i="8" s="1"/>
  <c r="T11" i="8"/>
  <c r="T13" i="8"/>
  <c r="T14" i="8"/>
  <c r="T12" i="8"/>
  <c r="T15" i="8"/>
  <c r="H13" i="8"/>
  <c r="H14" i="8"/>
  <c r="H12" i="8"/>
  <c r="I12" i="8" s="1"/>
  <c r="H11" i="8"/>
  <c r="H15" i="8"/>
  <c r="S15" i="8"/>
  <c r="S14" i="8"/>
  <c r="S13" i="8"/>
  <c r="I11" i="8" l="1"/>
  <c r="K11" i="8"/>
  <c r="M11" i="8"/>
  <c r="L11" i="8"/>
  <c r="B21" i="8" l="1"/>
  <c r="B13" i="6"/>
  <c r="B22" i="6" l="1"/>
  <c r="C13" i="3" s="1"/>
  <c r="B26" i="8" l="1"/>
  <c r="B18" i="6"/>
  <c r="H69" i="6" s="1"/>
  <c r="B19" i="6"/>
  <c r="B27" i="8"/>
  <c r="B24" i="8"/>
  <c r="N15" i="8" l="1"/>
  <c r="N13" i="8"/>
  <c r="N11" i="8"/>
  <c r="N12" i="8"/>
  <c r="N14" i="8"/>
  <c r="M14" i="8"/>
  <c r="M15" i="8"/>
  <c r="M12" i="8"/>
  <c r="M13" i="8"/>
  <c r="B3" i="8" l="1"/>
  <c r="B3" i="6"/>
  <c r="C19" i="3" l="1"/>
  <c r="C23" i="3" l="1"/>
  <c r="C20" i="3"/>
  <c r="Q9" i="3" s="1"/>
  <c r="B4" i="6" l="1"/>
  <c r="C4" i="6" s="1"/>
  <c r="B4" i="8"/>
  <c r="B5" i="8" l="1"/>
  <c r="B5" i="6"/>
  <c r="C21" i="3"/>
  <c r="Q10" i="3" s="1"/>
  <c r="T10" i="6" l="1"/>
  <c r="T9" i="6"/>
  <c r="C5" i="6"/>
  <c r="C22" i="3" l="1"/>
  <c r="Q11" i="3" l="1"/>
  <c r="C25" i="3"/>
  <c r="C24" i="3"/>
  <c r="W9" i="3" l="1"/>
  <c r="W10" i="3" s="1"/>
  <c r="V10" i="3" s="1"/>
  <c r="W12" i="3"/>
  <c r="W13" i="3" s="1"/>
  <c r="V13" i="3" s="1"/>
  <c r="V12" i="3" s="1"/>
  <c r="C16" i="3"/>
  <c r="C17" i="3"/>
  <c r="C18" i="3"/>
  <c r="B2" i="6" l="1"/>
  <c r="B2" i="8"/>
  <c r="C14" i="3"/>
  <c r="C15" i="3"/>
  <c r="W11" i="3"/>
  <c r="V11" i="3" s="1"/>
  <c r="V9" i="3" s="1"/>
  <c r="X9" i="3" s="1"/>
  <c r="W14" i="3"/>
  <c r="V14" i="3" s="1"/>
  <c r="B6" i="6"/>
  <c r="C6" i="6" s="1"/>
  <c r="B6" i="8"/>
  <c r="E70" i="3" l="1"/>
  <c r="F70" i="3" s="1"/>
  <c r="E69" i="3"/>
  <c r="F69" i="3" s="1"/>
  <c r="E50" i="3"/>
  <c r="F50" i="3" s="1"/>
  <c r="E51" i="3"/>
  <c r="F51" i="3" s="1"/>
  <c r="E53" i="3"/>
  <c r="F53" i="3" s="1"/>
  <c r="E68" i="3"/>
  <c r="F68" i="3" s="1"/>
  <c r="E71" i="3"/>
  <c r="F71" i="3" s="1"/>
  <c r="E52" i="3"/>
  <c r="F52" i="3" s="1"/>
  <c r="J13" i="8"/>
  <c r="J15" i="8"/>
  <c r="J14" i="8"/>
  <c r="J12" i="8"/>
  <c r="J10" i="8"/>
  <c r="J11" i="8"/>
  <c r="V11" i="8" s="1"/>
  <c r="K15" i="8"/>
  <c r="K12" i="8"/>
  <c r="K14" i="8"/>
  <c r="K13" i="8"/>
  <c r="C9" i="3"/>
  <c r="BA6" i="1" l="1"/>
  <c r="BA7" i="1" s="1"/>
  <c r="AY5" i="1"/>
  <c r="AZ6" i="1"/>
  <c r="AZ7" i="1" s="1"/>
  <c r="BA5" i="1"/>
  <c r="BB6" i="1"/>
  <c r="BB7" i="1" s="1"/>
  <c r="BB5" i="1"/>
  <c r="AY6" i="1"/>
  <c r="AY7" i="1" s="1"/>
  <c r="AZ5" i="1"/>
  <c r="B20" i="8" l="1"/>
  <c r="B12" i="6"/>
  <c r="D65" i="6" l="1"/>
  <c r="D63" i="6"/>
  <c r="L14" i="8"/>
  <c r="V14" i="8" s="1"/>
  <c r="L15" i="8"/>
  <c r="V15" i="8" s="1"/>
  <c r="W15" i="8" s="1"/>
  <c r="L13" i="8"/>
  <c r="V13" i="8" s="1"/>
  <c r="B19" i="8"/>
  <c r="L12" i="8" s="1"/>
  <c r="V12" i="8" s="1"/>
  <c r="W14" i="8" l="1"/>
  <c r="W12" i="8"/>
  <c r="W11" i="8"/>
  <c r="F64" i="6"/>
  <c r="F63" i="6"/>
  <c r="B91" i="6"/>
  <c r="B92" i="6" s="1"/>
  <c r="W13" i="8"/>
  <c r="F69" i="6"/>
  <c r="H70" i="6" s="1"/>
  <c r="I92" i="6" s="1"/>
  <c r="F67" i="6"/>
  <c r="F65" i="6"/>
  <c r="W17" i="8" l="1"/>
  <c r="H1" i="8" s="1"/>
  <c r="C91" i="6"/>
  <c r="C92" i="6" s="1"/>
  <c r="B9" i="6" l="1"/>
  <c r="B16" i="8"/>
  <c r="B10" i="6" l="1"/>
  <c r="B17" i="8"/>
  <c r="B18" i="8"/>
  <c r="B11" i="6"/>
  <c r="D22" i="6" s="1"/>
  <c r="C29" i="3"/>
  <c r="B7" i="6"/>
  <c r="F38" i="6" l="1"/>
  <c r="F48" i="6"/>
  <c r="F22" i="6"/>
  <c r="F24" i="6"/>
  <c r="F36" i="6"/>
  <c r="F58" i="6"/>
  <c r="D3" i="6"/>
  <c r="Q14" i="3"/>
  <c r="Q12" i="3" s="1"/>
  <c r="C26" i="3"/>
  <c r="C30" i="3"/>
  <c r="B8" i="6"/>
  <c r="BE5" i="1"/>
  <c r="BF5" i="1"/>
  <c r="BG6" i="1"/>
  <c r="BG7" i="1" s="1"/>
  <c r="BH6" i="1"/>
  <c r="BH7" i="1" s="1"/>
  <c r="BH5" i="1"/>
  <c r="BE6" i="1"/>
  <c r="BE7" i="1" s="1"/>
  <c r="BF6" i="1"/>
  <c r="BF7" i="1" s="1"/>
  <c r="BG5" i="1"/>
  <c r="W17" i="3" l="1"/>
  <c r="W15" i="3"/>
  <c r="W16" i="3" s="1"/>
  <c r="V16" i="3" s="1"/>
  <c r="R17" i="3"/>
  <c r="S17" i="3" s="1"/>
  <c r="R14" i="3"/>
  <c r="S14" i="3" s="1"/>
  <c r="F13" i="6"/>
  <c r="F8" i="6"/>
  <c r="F18" i="6"/>
  <c r="F3" i="6"/>
  <c r="D91" i="6"/>
  <c r="E92" i="6" s="1"/>
  <c r="H30" i="6"/>
  <c r="H26" i="6"/>
  <c r="H28" i="6"/>
  <c r="H24" i="6"/>
  <c r="H32" i="6"/>
  <c r="C27" i="3"/>
  <c r="Q15" i="3"/>
  <c r="Q13" i="3" s="1"/>
  <c r="R22" i="3" s="1"/>
  <c r="S22" i="3" s="1"/>
  <c r="H61" i="6"/>
  <c r="H60" i="6"/>
  <c r="H62" i="6"/>
  <c r="H58" i="6"/>
  <c r="H59" i="6"/>
  <c r="J57" i="6"/>
  <c r="J52" i="6"/>
  <c r="J51" i="6"/>
  <c r="H48" i="6"/>
  <c r="H56" i="6"/>
  <c r="J48" i="6"/>
  <c r="J50" i="6"/>
  <c r="J55" i="6"/>
  <c r="J49" i="6"/>
  <c r="H52" i="6"/>
  <c r="J53" i="6"/>
  <c r="J56" i="6"/>
  <c r="H50" i="6"/>
  <c r="H54" i="6"/>
  <c r="J54" i="6"/>
  <c r="C28" i="3"/>
  <c r="E15" i="3"/>
  <c r="F15" i="3" s="1"/>
  <c r="E13" i="3" s="1"/>
  <c r="C11" i="3" s="1"/>
  <c r="E108" i="3"/>
  <c r="F108" i="3" s="1"/>
  <c r="E17" i="3"/>
  <c r="F17" i="3" s="1"/>
  <c r="E91" i="3"/>
  <c r="F91" i="3" s="1"/>
  <c r="E101" i="3"/>
  <c r="F101" i="3" s="1"/>
  <c r="E41" i="3"/>
  <c r="F41" i="3" s="1"/>
  <c r="E25" i="3"/>
  <c r="F25" i="3" s="1"/>
  <c r="E23" i="3"/>
  <c r="F23" i="3" s="1"/>
  <c r="E16" i="3"/>
  <c r="F16" i="3" s="1"/>
  <c r="E31" i="3"/>
  <c r="F31" i="3" s="1"/>
  <c r="E22" i="3"/>
  <c r="F22" i="3" s="1"/>
  <c r="E86" i="3"/>
  <c r="F86" i="3" s="1"/>
  <c r="E34" i="3"/>
  <c r="F34" i="3" s="1"/>
  <c r="E94" i="3"/>
  <c r="F94" i="3" s="1"/>
  <c r="E48" i="3"/>
  <c r="F48" i="3" s="1"/>
  <c r="E44" i="3"/>
  <c r="F44" i="3" s="1"/>
  <c r="E38" i="3"/>
  <c r="F38" i="3" s="1"/>
  <c r="E24" i="3"/>
  <c r="F24" i="3" s="1"/>
  <c r="E19" i="3"/>
  <c r="F19" i="3" s="1"/>
  <c r="E111" i="3"/>
  <c r="F111" i="3" s="1"/>
  <c r="E42" i="3"/>
  <c r="F42" i="3" s="1"/>
  <c r="E40" i="3"/>
  <c r="F40" i="3" s="1"/>
  <c r="E97" i="3"/>
  <c r="F97" i="3" s="1"/>
  <c r="E49" i="3"/>
  <c r="F49" i="3" s="1"/>
  <c r="E103" i="3"/>
  <c r="F103" i="3" s="1"/>
  <c r="E96" i="3"/>
  <c r="F96" i="3" s="1"/>
  <c r="E33" i="3"/>
  <c r="F33" i="3" s="1"/>
  <c r="E29" i="3"/>
  <c r="F29" i="3" s="1"/>
  <c r="E98" i="3"/>
  <c r="F98" i="3" s="1"/>
  <c r="E18" i="3"/>
  <c r="F18" i="3" s="1"/>
  <c r="E21" i="3"/>
  <c r="F21" i="3" s="1"/>
  <c r="E26" i="3"/>
  <c r="F26" i="3" s="1"/>
  <c r="E87" i="3"/>
  <c r="F87" i="3" s="1"/>
  <c r="E28" i="3"/>
  <c r="F28" i="3" s="1"/>
  <c r="E99" i="3"/>
  <c r="F99" i="3" s="1"/>
  <c r="E20" i="3"/>
  <c r="F20" i="3" s="1"/>
  <c r="E113" i="3"/>
  <c r="F113" i="3" s="1"/>
  <c r="E100" i="3"/>
  <c r="F100" i="3" s="1"/>
  <c r="E107" i="3"/>
  <c r="F107" i="3" s="1"/>
  <c r="E89" i="3"/>
  <c r="F89" i="3" s="1"/>
  <c r="E47" i="3"/>
  <c r="F47" i="3" s="1"/>
  <c r="E46" i="3"/>
  <c r="F46" i="3" s="1"/>
  <c r="E32" i="3"/>
  <c r="F32" i="3" s="1"/>
  <c r="E88" i="3"/>
  <c r="F88" i="3" s="1"/>
  <c r="E105" i="3"/>
  <c r="F105" i="3" s="1"/>
  <c r="E92" i="3"/>
  <c r="F92" i="3" s="1"/>
  <c r="E39" i="3"/>
  <c r="F39" i="3" s="1"/>
  <c r="E110" i="3"/>
  <c r="F110" i="3" s="1"/>
  <c r="E93" i="3"/>
  <c r="F93" i="3" s="1"/>
  <c r="E104" i="3"/>
  <c r="F104" i="3" s="1"/>
  <c r="E36" i="3"/>
  <c r="F36" i="3" s="1"/>
  <c r="E45" i="3"/>
  <c r="F45" i="3" s="1"/>
  <c r="E112" i="3"/>
  <c r="F112" i="3" s="1"/>
  <c r="E90" i="3"/>
  <c r="F90" i="3" s="1"/>
  <c r="E102" i="3"/>
  <c r="F102" i="3" s="1"/>
  <c r="E109" i="3"/>
  <c r="F109" i="3" s="1"/>
  <c r="E43" i="3"/>
  <c r="F43" i="3" s="1"/>
  <c r="E106" i="3"/>
  <c r="F106" i="3" s="1"/>
  <c r="E95" i="3"/>
  <c r="F95" i="3" s="1"/>
  <c r="E35" i="3"/>
  <c r="F35" i="3" s="1"/>
  <c r="E27" i="3"/>
  <c r="F27" i="3" s="1"/>
  <c r="E37" i="3"/>
  <c r="F37" i="3" s="1"/>
  <c r="E30" i="3"/>
  <c r="F30" i="3" s="1"/>
  <c r="J37" i="6"/>
  <c r="J36" i="6"/>
  <c r="J42" i="6"/>
  <c r="J47" i="6"/>
  <c r="J40" i="6"/>
  <c r="H42" i="6"/>
  <c r="J43" i="6"/>
  <c r="J46" i="6"/>
  <c r="H46" i="6"/>
  <c r="J44" i="6"/>
  <c r="H40" i="6"/>
  <c r="J45" i="6"/>
  <c r="H44" i="6"/>
  <c r="J41" i="6"/>
  <c r="J39" i="6"/>
  <c r="J38" i="6"/>
  <c r="H38" i="6"/>
  <c r="G91" i="6" l="1"/>
  <c r="G92" i="6" s="1"/>
  <c r="C4" i="3"/>
  <c r="C7" i="3" s="1"/>
  <c r="D9" i="3" s="1"/>
  <c r="C5" i="3"/>
  <c r="H13" i="6"/>
  <c r="H15" i="6"/>
  <c r="H17" i="6"/>
  <c r="H14" i="6"/>
  <c r="H16" i="6"/>
  <c r="R15" i="3"/>
  <c r="S15" i="3" s="1"/>
  <c r="H10" i="6"/>
  <c r="H9" i="6"/>
  <c r="H8" i="6"/>
  <c r="H12" i="6"/>
  <c r="H11" i="6"/>
  <c r="R19" i="3"/>
  <c r="S19" i="3" s="1"/>
  <c r="W20" i="3"/>
  <c r="V20" i="3" s="1"/>
  <c r="V18" i="3" s="1"/>
  <c r="X11" i="3" s="1"/>
  <c r="W18" i="3"/>
  <c r="W19" i="3" s="1"/>
  <c r="V19" i="3" s="1"/>
  <c r="R12" i="3"/>
  <c r="S12" i="3" s="1"/>
  <c r="R13" i="3"/>
  <c r="S13" i="3" s="1"/>
  <c r="R11" i="3"/>
  <c r="S11" i="3" s="1"/>
  <c r="H6" i="6"/>
  <c r="H7" i="6"/>
  <c r="F92" i="6"/>
  <c r="H5" i="6"/>
  <c r="H3" i="6"/>
  <c r="H4" i="6"/>
  <c r="F93" i="6"/>
  <c r="R16" i="3"/>
  <c r="S16" i="3" s="1"/>
  <c r="R20" i="3"/>
  <c r="S20" i="3" s="1"/>
  <c r="E65" i="3"/>
  <c r="F65" i="3" s="1"/>
  <c r="E64" i="3"/>
  <c r="F64" i="3" s="1"/>
  <c r="E62" i="3"/>
  <c r="F62" i="3" s="1"/>
  <c r="E81" i="3"/>
  <c r="F81" i="3" s="1"/>
  <c r="E83" i="3"/>
  <c r="F83" i="3" s="1"/>
  <c r="E82" i="3"/>
  <c r="F82" i="3" s="1"/>
  <c r="E66" i="3"/>
  <c r="F66" i="3" s="1"/>
  <c r="E80" i="3"/>
  <c r="F80" i="3" s="1"/>
  <c r="E63" i="3"/>
  <c r="F63" i="3" s="1"/>
  <c r="E85" i="3"/>
  <c r="F85" i="3" s="1"/>
  <c r="E84" i="3"/>
  <c r="F84" i="3" s="1"/>
  <c r="E67" i="3"/>
  <c r="F67" i="3" s="1"/>
  <c r="E61" i="3"/>
  <c r="F61" i="3" s="1"/>
  <c r="E72" i="3"/>
  <c r="F72" i="3" s="1"/>
  <c r="E78" i="3"/>
  <c r="F78" i="3" s="1"/>
  <c r="E79" i="3"/>
  <c r="F79" i="3" s="1"/>
  <c r="E59" i="3"/>
  <c r="F59" i="3" s="1"/>
  <c r="E54" i="3"/>
  <c r="F54" i="3" s="1"/>
  <c r="E76" i="3"/>
  <c r="F76" i="3" s="1"/>
  <c r="E74" i="3"/>
  <c r="F74" i="3" s="1"/>
  <c r="E56" i="3"/>
  <c r="F56" i="3" s="1"/>
  <c r="E77" i="3"/>
  <c r="F77" i="3" s="1"/>
  <c r="E57" i="3"/>
  <c r="F57" i="3" s="1"/>
  <c r="E60" i="3"/>
  <c r="F60" i="3" s="1"/>
  <c r="E55" i="3"/>
  <c r="F55" i="3" s="1"/>
  <c r="E75" i="3"/>
  <c r="F75" i="3" s="1"/>
  <c r="E58" i="3"/>
  <c r="F58" i="3" s="1"/>
  <c r="E73" i="3"/>
  <c r="F73" i="3" s="1"/>
  <c r="R21" i="3"/>
  <c r="S21" i="3" s="1"/>
  <c r="R18" i="3"/>
  <c r="S18" i="3" s="1"/>
  <c r="V17" i="3"/>
  <c r="V15" i="3" s="1"/>
  <c r="X10" i="3" s="1"/>
  <c r="S9" i="3" l="1"/>
  <c r="P19" i="3" s="1"/>
  <c r="P21" i="3"/>
  <c r="X22" i="3" s="1"/>
  <c r="X23" i="3" s="1"/>
  <c r="Q19" i="3" s="1"/>
  <c r="H91" i="6"/>
  <c r="H92" i="6" s="1"/>
  <c r="A92" i="6" s="1"/>
  <c r="E1" i="6" s="1"/>
  <c r="H93" i="6"/>
  <c r="H94" i="6" s="1"/>
  <c r="A93" i="6" s="1"/>
  <c r="G1" i="6" s="1"/>
  <c r="B23" i="8" l="1"/>
  <c r="C21" i="8" s="1"/>
  <c r="B15" i="6"/>
  <c r="B16" i="6" s="1"/>
  <c r="B14" i="6" l="1"/>
  <c r="B22" i="8" l="1"/>
  <c r="F1" i="6" l="1"/>
  <c r="F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Adriano S.A.</author>
  </authors>
  <commentList>
    <comment ref="AW2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Adriano S.A.:</t>
        </r>
        <r>
          <rPr>
            <sz val="8"/>
            <color indexed="81"/>
            <rFont val="Tahoma"/>
            <family val="2"/>
          </rPr>
          <t xml:space="preserve">
Arrastar o cursor desta célula até à célula que contém o peso do picnómetro de 20º
</t>
        </r>
      </text>
    </comment>
  </commentList>
</comments>
</file>

<file path=xl/sharedStrings.xml><?xml version="1.0" encoding="utf-8"?>
<sst xmlns="http://schemas.openxmlformats.org/spreadsheetml/2006/main" count="1069" uniqueCount="440">
  <si>
    <t>Tabela do Peso Específico da Água</t>
  </si>
  <si>
    <t>E. A.</t>
  </si>
  <si>
    <t>Tara</t>
  </si>
  <si>
    <t>Graus ( º )</t>
  </si>
  <si>
    <t>P. Esp. da Água</t>
  </si>
  <si>
    <t>% Retida ao # 3/4"</t>
  </si>
  <si>
    <t>Factor de Correcção</t>
  </si>
  <si>
    <t>Volume</t>
  </si>
  <si>
    <t>Tamanho</t>
  </si>
  <si>
    <t>Proveta Nº.</t>
  </si>
  <si>
    <t>Constante</t>
  </si>
  <si>
    <t>CONSTANTE DO ANEL</t>
  </si>
  <si>
    <t>DE C.B.R. DE</t>
  </si>
  <si>
    <t>3000 KG Nº. - 14994</t>
  </si>
  <si>
    <t>PICNÓMETROS</t>
  </si>
  <si>
    <t xml:space="preserve">FUSOS     GRANULOMÉTRICOS  -  GRANULOMETRIA     </t>
  </si>
  <si>
    <t>FUSOS     GRANULOMÉTRICOS  -  GRANULOMETRIA   DE   BARRAGENS</t>
  </si>
  <si>
    <t>BETUMINOSOS</t>
  </si>
  <si>
    <t>Grande</t>
  </si>
  <si>
    <t>P. Esp. do Betume</t>
  </si>
  <si>
    <t>Pequeno</t>
  </si>
  <si>
    <t>DIV.</t>
  </si>
  <si>
    <t>Kg.</t>
  </si>
  <si>
    <t>K</t>
  </si>
  <si>
    <t>ANEL N°</t>
  </si>
  <si>
    <t>Picnometro Nº.</t>
  </si>
  <si>
    <t/>
  </si>
  <si>
    <t xml:space="preserve">Graus </t>
  </si>
  <si>
    <t>4"</t>
  </si>
  <si>
    <t>3"</t>
  </si>
  <si>
    <t>2 1/2"</t>
  </si>
  <si>
    <t>2"</t>
  </si>
  <si>
    <t>1 1/2"</t>
  </si>
  <si>
    <t>1"</t>
  </si>
  <si>
    <t>3/4"</t>
  </si>
  <si>
    <t>1/2"</t>
  </si>
  <si>
    <t>3/8"</t>
  </si>
  <si>
    <t>3/4</t>
  </si>
  <si>
    <t>3/8</t>
  </si>
  <si>
    <t>Fuso</t>
  </si>
  <si>
    <t>Limite Superior</t>
  </si>
  <si>
    <t>RUGOSO</t>
  </si>
  <si>
    <t>Nº.</t>
  </si>
  <si>
    <t>Limite Inferior</t>
  </si>
  <si>
    <t>DRENANTE</t>
  </si>
  <si>
    <t>MÉDIA =</t>
  </si>
  <si>
    <t>Pragal</t>
  </si>
  <si>
    <t>Emp 1</t>
  </si>
  <si>
    <t>Emp 2</t>
  </si>
  <si>
    <t>KN</t>
  </si>
  <si>
    <t>Kgr F</t>
  </si>
  <si>
    <t>1 KN</t>
  </si>
  <si>
    <t xml:space="preserve"> Kg F</t>
  </si>
  <si>
    <t>Amostras</t>
  </si>
  <si>
    <t>PLATAFORMA FERROVIÁRIA - Base Britada ( Granulometria 0/40 )</t>
  </si>
  <si>
    <t>Fuso Granulometrico do NUCLEO</t>
  </si>
  <si>
    <t>PLATAFORMA FERROVIÁRIA - Base Britada ( Granulometria 0/30 )</t>
  </si>
  <si>
    <t>Fuso Granulometrico para o MAÇIÇO DE JUSANTE</t>
  </si>
  <si>
    <t>PLATAFORMA FERROVIÁRIA - Sub-Base Britada</t>
  </si>
  <si>
    <t>Fuso Granulometrico para o MAÇIÇO DE MONTANTE</t>
  </si>
  <si>
    <t>PLATAFORMA FERROVIÁRIA - Base Britada Estabilizada com Cimento</t>
  </si>
  <si>
    <t>Fuso Granulometrico para os MAÇIÇOS NA ENSECADEIRA</t>
  </si>
  <si>
    <t>PAVIMENTAÇÃO RODOVIÁRIA - Base Britada</t>
  </si>
  <si>
    <t>Fuso Granulometrico para o MATERIAL 3 ( Com % de finos &gt; = 25% )</t>
  </si>
  <si>
    <t>PAVIMENTAÇÃO RODOVIÁRIA - Sub-Base Britada</t>
  </si>
  <si>
    <t>Fuso Granulometrico para os FILTROS</t>
  </si>
  <si>
    <t>MATERIAL DE ENCHIMENTO</t>
  </si>
  <si>
    <t>Fuso Granulometrico para os DRENOS</t>
  </si>
  <si>
    <t>Fuso Granulometrico para o ENROCAMENTO NO PÉ DE JUSANTE</t>
  </si>
  <si>
    <t>Fuso Granulometrico para o RIP-RAP ( Acima da cota 248,6 )</t>
  </si>
  <si>
    <t>Fuso Granulometrico para o RIP-RAP ( Abaixo da cota 248,6 )</t>
  </si>
  <si>
    <t>Plat. Ferroviária - Base  ( Fuso 0/40 )</t>
  </si>
  <si>
    <t>ENROCAMENTO DE GRANULOMETRIA EXTENSA</t>
  </si>
  <si>
    <t>Plat. Ferroviária - Base  ( Fuso 0/30 )</t>
  </si>
  <si>
    <t>MACIÇO ESTABILIZADOR</t>
  </si>
  <si>
    <t>Plat. Ferroviária - Sub-Base</t>
  </si>
  <si>
    <t>NÚCLEO</t>
  </si>
  <si>
    <t>Plat. Fer. - Base Estab. c/ Cimento</t>
  </si>
  <si>
    <t>FILTRO</t>
  </si>
  <si>
    <t xml:space="preserve">PAVI. RODOVIÁRIA - Base </t>
  </si>
  <si>
    <t>DRENO</t>
  </si>
  <si>
    <t>PAV. RODOVIÁRIA - Sub-Base</t>
  </si>
  <si>
    <t>TOUT - VENANT</t>
  </si>
  <si>
    <t>Material de Enchimento</t>
  </si>
  <si>
    <t>RIPRAP  7 B</t>
  </si>
  <si>
    <t>RIPRAP  7 A</t>
  </si>
  <si>
    <t xml:space="preserve">GRANULOMETRIA     </t>
  </si>
  <si>
    <t>Classificação Unificada</t>
  </si>
  <si>
    <t>Classificação Rodoviária</t>
  </si>
  <si>
    <t>% Passada</t>
  </si>
  <si>
    <t>Nº.10</t>
  </si>
  <si>
    <t>Nº.40</t>
  </si>
  <si>
    <t>&lt;200</t>
  </si>
  <si>
    <t>A-1-a</t>
  </si>
  <si>
    <t>A-1-b</t>
  </si>
  <si>
    <t>Solo</t>
  </si>
  <si>
    <t>A-3</t>
  </si>
  <si>
    <t>Cu</t>
  </si>
  <si>
    <t>L.L.</t>
  </si>
  <si>
    <t>A-2-4</t>
  </si>
  <si>
    <t>Cc</t>
  </si>
  <si>
    <t>CL</t>
  </si>
  <si>
    <t>CL - Argila magra</t>
  </si>
  <si>
    <t>I.P.</t>
  </si>
  <si>
    <t>A-2-5</t>
  </si>
  <si>
    <t>D 60</t>
  </si>
  <si>
    <t>CL - Argila magra com areia</t>
  </si>
  <si>
    <t>A-2-6</t>
  </si>
  <si>
    <t>D 30</t>
  </si>
  <si>
    <t>CL - Argila magra com cascalho</t>
  </si>
  <si>
    <t>A-2-7</t>
  </si>
  <si>
    <t>D 10</t>
  </si>
  <si>
    <t>CL - Argila magra arenosa</t>
  </si>
  <si>
    <t>A-4</t>
  </si>
  <si>
    <t>Nº. 4</t>
  </si>
  <si>
    <t>CL - Argila magra arenosa com cascalho</t>
  </si>
  <si>
    <t>A-5</t>
  </si>
  <si>
    <t>Nº. 10</t>
  </si>
  <si>
    <t>CL - Argila magra cascalhenta</t>
  </si>
  <si>
    <t>A-6</t>
  </si>
  <si>
    <t>Nº. 40</t>
  </si>
  <si>
    <t>CL - Argila magra cascalhenta com areia</t>
  </si>
  <si>
    <t>A-7-5</t>
  </si>
  <si>
    <t>CL-ML</t>
  </si>
  <si>
    <t>CL-ML - Argila siltosa</t>
  </si>
  <si>
    <t>A-7-6</t>
  </si>
  <si>
    <t>% de cascalho</t>
  </si>
  <si>
    <t>CL-ML - Argila siltosa com areia</t>
  </si>
  <si>
    <t>% de areia</t>
  </si>
  <si>
    <t>CL-ML - Argila siltosa com cascalho</t>
  </si>
  <si>
    <t>% Ret. acum. 200</t>
  </si>
  <si>
    <t>CL-ML - Argila silto-arenosa</t>
  </si>
  <si>
    <t>LL</t>
  </si>
  <si>
    <t>CL-ML - Argila silto-arenosa com cascalho</t>
  </si>
  <si>
    <t>IP</t>
  </si>
  <si>
    <t>CL-ML - Argila silto-cascalhenta</t>
  </si>
  <si>
    <t>Linha  "A"</t>
  </si>
  <si>
    <t>CL-ML - Argila silto-cascalhenta com areia</t>
  </si>
  <si>
    <t>ML</t>
  </si>
  <si>
    <t>ML - Silte</t>
  </si>
  <si>
    <t>ML - Silte com areia</t>
  </si>
  <si>
    <t>ML - Silte com cascalho</t>
  </si>
  <si>
    <t>ML - Silte arenoso</t>
  </si>
  <si>
    <t>ML - Silte arenoso com cascalho</t>
  </si>
  <si>
    <t>ML - Silte cascalhento</t>
  </si>
  <si>
    <t>ML - Silte cascalhento com areia</t>
  </si>
  <si>
    <t>CH</t>
  </si>
  <si>
    <t>CH - Argila gorda</t>
  </si>
  <si>
    <t>CH - Argila gorda com areia</t>
  </si>
  <si>
    <t>CH - Argila gorda com cascalho</t>
  </si>
  <si>
    <t>CH - Argila gorda arenosa</t>
  </si>
  <si>
    <t>CH - Argila gorda arenosa com cascalho</t>
  </si>
  <si>
    <t>CH - Argila gorda cascalhenta</t>
  </si>
  <si>
    <t>CH - Argila gorda cascalhenta com areia</t>
  </si>
  <si>
    <t>MH</t>
  </si>
  <si>
    <t>MH - Silte elástico</t>
  </si>
  <si>
    <t>MH - Silte elástico com areia</t>
  </si>
  <si>
    <t>MH - Silte elástico com cascalho</t>
  </si>
  <si>
    <t>MH - Silte elástico arenoso</t>
  </si>
  <si>
    <t>MH - Silte elástico arenoso com cascalho</t>
  </si>
  <si>
    <t>MH - Silte elástico cascalhento</t>
  </si>
  <si>
    <t>MH - Silte elástico cascalhento com areia</t>
  </si>
  <si>
    <t>GW</t>
  </si>
  <si>
    <t>GW - Cascalho bem graduado</t>
  </si>
  <si>
    <t>GW - Cascalho bem graduado com areia</t>
  </si>
  <si>
    <t>GP</t>
  </si>
  <si>
    <t>GP - Cascalho mal graduado</t>
  </si>
  <si>
    <t>GP - Cascalho mal graduado com areia</t>
  </si>
  <si>
    <t>GW-GM</t>
  </si>
  <si>
    <t>GW-GM - Cascalho bem graduado com silte</t>
  </si>
  <si>
    <t>GW-GM - Cascalho bem graduado com silte e areia</t>
  </si>
  <si>
    <t>GM-GC</t>
  </si>
  <si>
    <t>GM-GC - Cascalho bem graduado com argila (ou argila siltosa)</t>
  </si>
  <si>
    <t>GM-GC - Cascalho bem graduado com argila e areia (ou argila siltosa e areia)</t>
  </si>
  <si>
    <t>GP-GM</t>
  </si>
  <si>
    <t>GP-GM - Cascalho mal graduado com silte</t>
  </si>
  <si>
    <t>GP-GM - Cascalho mal graduado com silte e areia</t>
  </si>
  <si>
    <t>GP-GC</t>
  </si>
  <si>
    <t>GP-GC - Cascalho mal graduado com argila (ou argila siltosa)</t>
  </si>
  <si>
    <t>GP-GC - Cascalho mal graduado com argila e areia (ou argila siltosa e areia)</t>
  </si>
  <si>
    <t>GM</t>
  </si>
  <si>
    <t>GM - Cascalho siltoso</t>
  </si>
  <si>
    <t>GM - Cascalho siltoso com areia</t>
  </si>
  <si>
    <t>GC</t>
  </si>
  <si>
    <t>GC - Cascalho argiloso</t>
  </si>
  <si>
    <t>GC - Cascalho argiloso com areia</t>
  </si>
  <si>
    <t>GC-GM</t>
  </si>
  <si>
    <t>GC-GM - Cascalho argilo-siltoso</t>
  </si>
  <si>
    <t>GC-GM - Cascalho argilo-siltoso com areia</t>
  </si>
  <si>
    <t>SW</t>
  </si>
  <si>
    <t>SW - Areia bem graduada</t>
  </si>
  <si>
    <t>SW - Areia bem graduada com cascalho</t>
  </si>
  <si>
    <t>SP</t>
  </si>
  <si>
    <t>SP - Areia mal graduada</t>
  </si>
  <si>
    <t>SP - Areia mal graduada com cascalho</t>
  </si>
  <si>
    <t>SW-SM</t>
  </si>
  <si>
    <t>SW-SM - Areia bem graduada com silte</t>
  </si>
  <si>
    <t>SW-SM - Areia bem graduada com silte e cascalho</t>
  </si>
  <si>
    <t>SW-SC</t>
  </si>
  <si>
    <t>SW-SC - Areia bem graduada com argila (ou argila siltosa)</t>
  </si>
  <si>
    <t>SW-SC - Areia bem graduada com argila e cascalho (ou argila siltosa com cascalho)</t>
  </si>
  <si>
    <t>SP-SM</t>
  </si>
  <si>
    <t>SP-SM - Areia mal graduada com silte</t>
  </si>
  <si>
    <t>SP-SM - Areia mal graduada com silte e cascalho</t>
  </si>
  <si>
    <t>SP-SC</t>
  </si>
  <si>
    <t>SP-SC - Areia mal graduada com argila (ou argila siltosa)</t>
  </si>
  <si>
    <t>SP-SC - Areia mal graduada com argila e cascalho (ou argila siltosa e cascalho)</t>
  </si>
  <si>
    <t>SM</t>
  </si>
  <si>
    <t>SM - Areia siltosa</t>
  </si>
  <si>
    <t>SM - Areia siltosa com cascalho</t>
  </si>
  <si>
    <t>SC</t>
  </si>
  <si>
    <t>SC - Areia argilosa</t>
  </si>
  <si>
    <t>SC - Areia argilosa com cascalho</t>
  </si>
  <si>
    <t>SC-SM</t>
  </si>
  <si>
    <t>SC-SM - Areia argilo-siltosa</t>
  </si>
  <si>
    <t>SC-SM - Areia argilo-siltosa com cascalho</t>
  </si>
  <si>
    <t>OL</t>
  </si>
  <si>
    <t>OL - Argila orgânica</t>
  </si>
  <si>
    <t>OL - Argila orgânica com areia</t>
  </si>
  <si>
    <t>OL - Argila orgânica com cascalho</t>
  </si>
  <si>
    <t>OL - Argila orgânica arenosa</t>
  </si>
  <si>
    <t>OL - Argila orgânica arenosa com cascalho</t>
  </si>
  <si>
    <t>OL - Argila orgânica cascalhenta</t>
  </si>
  <si>
    <t>OL - Argila orgânica cascalhenta com areia</t>
  </si>
  <si>
    <t>OL - Silte orgânico</t>
  </si>
  <si>
    <t>OL - Silte orgânico com areia</t>
  </si>
  <si>
    <t>OL - Silte orgânico com cascalho</t>
  </si>
  <si>
    <t>OL - Silte orgânico arenoso</t>
  </si>
  <si>
    <t>OL - Silte orgânico arenoso com cascalho</t>
  </si>
  <si>
    <t>OL - Silte orgânico cascalhento</t>
  </si>
  <si>
    <t>OL - Silte orgânico cascalhento com areia</t>
  </si>
  <si>
    <t>OH</t>
  </si>
  <si>
    <t>OH - Argila orgânica</t>
  </si>
  <si>
    <t>OH - Argila orgânica com areia</t>
  </si>
  <si>
    <t>OH - Argila orgânica com cascalho</t>
  </si>
  <si>
    <t>OH - Argila orgânica arenosa</t>
  </si>
  <si>
    <t>OH - Argila orgânica arenosa com cascalho</t>
  </si>
  <si>
    <t>OH - Argila orgânica cascalhenta</t>
  </si>
  <si>
    <t>OH - Argila orgânica cascalhenta com areia</t>
  </si>
  <si>
    <t>OH - Silte orgânico</t>
  </si>
  <si>
    <t>OH - Silte orgânico com areia</t>
  </si>
  <si>
    <t>OH - Silte orgânico com cascalho</t>
  </si>
  <si>
    <t>OH - Silte orgânico arenoso</t>
  </si>
  <si>
    <t>OH - Silte orgânico arenoso com cascalho</t>
  </si>
  <si>
    <t>OH - Silte orgânico cascalhento</t>
  </si>
  <si>
    <t>OH - Silte orgânico cascalhento com areia</t>
  </si>
  <si>
    <t>C.Daire</t>
  </si>
  <si>
    <t>Minutos</t>
  </si>
  <si>
    <t>Núcleo (Mat. 1)</t>
  </si>
  <si>
    <t>Maciço Jusante (Mat. 2)</t>
  </si>
  <si>
    <t>Maciço Montante (Mat. 2')</t>
  </si>
  <si>
    <t>Maciço Ensecadeira (Mat. 3)</t>
  </si>
  <si>
    <t>Núcleo Ensecadeira (Mat. 3')</t>
  </si>
  <si>
    <t>Filtros (Mat. 4)</t>
  </si>
  <si>
    <t>Drenos (Mat. 5)</t>
  </si>
  <si>
    <t>Enrocamento (Mat. 6)</t>
  </si>
  <si>
    <t>Rip-Rap (Mat. 7A)</t>
  </si>
  <si>
    <t>Rip-Rap (Mat. 7B)</t>
  </si>
  <si>
    <t>A2, lote K</t>
  </si>
  <si>
    <t>Tunisia</t>
  </si>
  <si>
    <t>CBR</t>
  </si>
  <si>
    <t>Designação dos fusos dos</t>
  </si>
  <si>
    <t>Enrocamento Granulometria Extensa para Protecção de Pé de Aterros</t>
  </si>
  <si>
    <t>Material Britado para Regularização sobre Rocha</t>
  </si>
  <si>
    <t>ABGE (Tout-venant)</t>
  </si>
  <si>
    <t xml:space="preserve"> =X10+X11+X12</t>
  </si>
  <si>
    <t>TABULEIROS</t>
  </si>
  <si>
    <t>CÁPSULAS</t>
  </si>
  <si>
    <t>10 ºC</t>
  </si>
  <si>
    <t xml:space="preserve"> =SE(É.ERRO(X9+X10+X11);"";SE(P21=0;"( 0 )";P21))</t>
  </si>
  <si>
    <t>Material Drenante a Aplicar sobre Geotêxtil</t>
  </si>
  <si>
    <t>Material Granular para assentamento de tubos metalicos.</t>
  </si>
  <si>
    <t>Material para solo - enrocamento, para espaldar aterros zonados.</t>
  </si>
  <si>
    <t>Cobrimento de drenos protegidos com geotêxtil.</t>
  </si>
  <si>
    <t>Material para Recobrimento de Drenos</t>
  </si>
  <si>
    <t>Cobrimento de drenos protegidos com geotêxtil na proximidade do pavimento.</t>
  </si>
  <si>
    <t>Materiais rochosos para Enrocamento.</t>
  </si>
  <si>
    <t>Materiais do tipo Solo Enrocamento.</t>
  </si>
  <si>
    <t>Solos Adequados para aterro.</t>
  </si>
  <si>
    <t>Solos Toleráveis para aterro.</t>
  </si>
  <si>
    <t>MOLDES</t>
  </si>
  <si>
    <t>Peso</t>
  </si>
  <si>
    <t>Betão Betuminoso</t>
  </si>
  <si>
    <t>MACADAME B</t>
  </si>
  <si>
    <t>P. Esp. Agreg.</t>
  </si>
  <si>
    <t>AC 20 base 35/50 (MB)</t>
  </si>
  <si>
    <t>Mepavi</t>
  </si>
  <si>
    <t>AC 20 Reg 35/50 (MBd)</t>
  </si>
  <si>
    <t>h1</t>
  </si>
  <si>
    <t>h2</t>
  </si>
  <si>
    <t>H0</t>
  </si>
  <si>
    <t>H1</t>
  </si>
  <si>
    <t>h</t>
  </si>
  <si>
    <t>Vd</t>
  </si>
  <si>
    <t>A</t>
  </si>
  <si>
    <t>A1</t>
  </si>
  <si>
    <t>th</t>
  </si>
  <si>
    <t>m</t>
  </si>
  <si>
    <t>s</t>
  </si>
  <si>
    <t>ts</t>
  </si>
  <si>
    <t>A2</t>
  </si>
  <si>
    <t>A3</t>
  </si>
  <si>
    <t>A4</t>
  </si>
  <si>
    <t>&lt;80</t>
  </si>
  <si>
    <t>Dmax</t>
  </si>
  <si>
    <t>VBs</t>
  </si>
  <si>
    <t>Teneur Naturel</t>
  </si>
  <si>
    <t>Ipi</t>
  </si>
  <si>
    <t>Wopn</t>
  </si>
  <si>
    <t>IC</t>
  </si>
  <si>
    <t>FS</t>
  </si>
  <si>
    <t>LA</t>
  </si>
  <si>
    <t>MDE</t>
  </si>
  <si>
    <t>B</t>
  </si>
  <si>
    <t>B11</t>
  </si>
  <si>
    <t>B12</t>
  </si>
  <si>
    <t>B21</t>
  </si>
  <si>
    <t>B22</t>
  </si>
  <si>
    <t>B31</t>
  </si>
  <si>
    <t>B32</t>
  </si>
  <si>
    <t>B41</t>
  </si>
  <si>
    <t>B42</t>
  </si>
  <si>
    <t>B51</t>
  </si>
  <si>
    <t>B52</t>
  </si>
  <si>
    <t>C</t>
  </si>
  <si>
    <t>C2</t>
  </si>
  <si>
    <t>D</t>
  </si>
  <si>
    <t>D1</t>
  </si>
  <si>
    <t>D2</t>
  </si>
  <si>
    <t>D3</t>
  </si>
  <si>
    <t>D11</t>
  </si>
  <si>
    <t>D12</t>
  </si>
  <si>
    <t>D21</t>
  </si>
  <si>
    <t>D22</t>
  </si>
  <si>
    <t>D31</t>
  </si>
  <si>
    <t>D32</t>
  </si>
  <si>
    <t>AG</t>
  </si>
  <si>
    <t>Ip</t>
  </si>
  <si>
    <t>&lt;2</t>
  </si>
  <si>
    <t>recyclés</t>
  </si>
  <si>
    <t>Trousse n°</t>
  </si>
  <si>
    <t>Masse</t>
  </si>
  <si>
    <t xml:space="preserve"> + Plaque</t>
  </si>
  <si>
    <t>Hauteur</t>
  </si>
  <si>
    <t>Diamètre</t>
  </si>
  <si>
    <t>73,23</t>
  </si>
  <si>
    <t>72,08</t>
  </si>
  <si>
    <t>Tare</t>
  </si>
  <si>
    <t>Èprouvets</t>
  </si>
  <si>
    <t>Hc =</t>
  </si>
  <si>
    <t>Vide</t>
  </si>
  <si>
    <t>Initial</t>
  </si>
  <si>
    <t>Avec Densimetre</t>
  </si>
  <si>
    <t>Volume 2000mm3</t>
  </si>
  <si>
    <t>Ar</t>
  </si>
  <si>
    <t>Cm</t>
  </si>
  <si>
    <t>Cd</t>
  </si>
  <si>
    <t>R1</t>
  </si>
  <si>
    <t>R2</t>
  </si>
  <si>
    <t>Ct</t>
  </si>
  <si>
    <t>R</t>
  </si>
  <si>
    <t>R'</t>
  </si>
  <si>
    <t>Densimetre</t>
  </si>
  <si>
    <t>Nº récipients / bacs</t>
  </si>
  <si>
    <t>Masse tare</t>
  </si>
  <si>
    <t>Matériaux</t>
  </si>
  <si>
    <t xml:space="preserve">Température (°C) </t>
  </si>
  <si>
    <r>
      <t>Densité eau
Mg/m</t>
    </r>
    <r>
      <rPr>
        <b/>
        <vertAlign val="superscript"/>
        <sz val="10"/>
        <rFont val="Arial"/>
        <family val="2"/>
      </rPr>
      <t>3</t>
    </r>
  </si>
  <si>
    <t>12bis</t>
  </si>
  <si>
    <t>1'</t>
  </si>
  <si>
    <t>2'</t>
  </si>
  <si>
    <t>3'</t>
  </si>
  <si>
    <t>4'</t>
  </si>
  <si>
    <t>Moules</t>
  </si>
  <si>
    <t>N° moule</t>
  </si>
  <si>
    <t>Masse moule (g)</t>
  </si>
  <si>
    <t>Hauteur avec embasse (cm)</t>
  </si>
  <si>
    <t>Diamètre (cm)</t>
  </si>
  <si>
    <t>Masse moule avec base(g)</t>
  </si>
  <si>
    <t>Hauteur sans embasse (cm)</t>
  </si>
  <si>
    <t>Nom</t>
  </si>
  <si>
    <t>Moule CBR</t>
  </si>
  <si>
    <t>Moule proctor</t>
  </si>
  <si>
    <t>N°</t>
  </si>
  <si>
    <t>Aire de la section transversal du tube réservoir de alimentationen Eau de l'écoulement</t>
  </si>
  <si>
    <t>a</t>
  </si>
  <si>
    <t>g</t>
  </si>
  <si>
    <t>Accéleration de pesanteur</t>
  </si>
  <si>
    <t>Reservoir</t>
  </si>
  <si>
    <t>mm</t>
  </si>
  <si>
    <t>C1</t>
  </si>
  <si>
    <t>M</t>
  </si>
  <si>
    <t>E</t>
  </si>
  <si>
    <t>T</t>
  </si>
  <si>
    <t>SOL</t>
  </si>
  <si>
    <t>D/Max</t>
  </si>
  <si>
    <t>% Fines</t>
  </si>
  <si>
    <t>VBS</t>
  </si>
  <si>
    <t>&lt;63</t>
  </si>
  <si>
    <t>Sulfates</t>
  </si>
  <si>
    <t>VBS 0/D</t>
  </si>
  <si>
    <t>Durete</t>
  </si>
  <si>
    <t>Plastiques + matières putrescibles</t>
  </si>
  <si>
    <t>Métaux</t>
  </si>
  <si>
    <t>Plastiques</t>
  </si>
  <si>
    <t>Matières putrescibles</t>
  </si>
  <si>
    <t>GD</t>
  </si>
  <si>
    <t>Indice de concassage</t>
  </si>
  <si>
    <t>% de Enrobés 8/Dmax</t>
  </si>
  <si>
    <t>Origine</t>
  </si>
  <si>
    <t>Refus de Tamisage</t>
  </si>
  <si>
    <t>Refus de tamisage</t>
  </si>
  <si>
    <t>Classe granulaire</t>
  </si>
  <si>
    <t>LF/UF</t>
  </si>
  <si>
    <t>0/D</t>
  </si>
  <si>
    <t>OC</t>
  </si>
  <si>
    <t>2D</t>
  </si>
  <si>
    <t>1,4D</t>
  </si>
  <si>
    <t>Désignation</t>
  </si>
  <si>
    <t>NOTE Le Tableau 5 ne définit pas des dimensions de tamis C et G pour tous les</t>
  </si>
  <si>
    <t>Tamis A</t>
  </si>
  <si>
    <t xml:space="preserve"> Tamis B</t>
  </si>
  <si>
    <t xml:space="preserve"> Tamis C</t>
  </si>
  <si>
    <t xml:space="preserve"> Tamis E</t>
  </si>
  <si>
    <t xml:space="preserve"> Tamis F</t>
  </si>
  <si>
    <t xml:space="preserve"> Tamis G</t>
  </si>
  <si>
    <t>-</t>
  </si>
  <si>
    <t>Δh</t>
  </si>
  <si>
    <t>H</t>
  </si>
  <si>
    <t>t</t>
  </si>
  <si>
    <t>T°</t>
  </si>
  <si>
    <t>Ucp</t>
  </si>
  <si>
    <t>W</t>
  </si>
  <si>
    <t>SR</t>
  </si>
  <si>
    <t>Pd</t>
  </si>
  <si>
    <t>Ps</t>
  </si>
  <si>
    <t>Pw</t>
  </si>
  <si>
    <t>MO %</t>
  </si>
  <si>
    <t>sol fin si C</t>
  </si>
  <si>
    <t>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</si>
</sst>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"/>
    <numFmt numFmtId="165" formatCode="0.0"/>
    <numFmt numFmtId="166" formatCode="0.0000000"/>
    <numFmt numFmtId="167" formatCode="0.000000"/>
    <numFmt numFmtId="168" formatCode="0.0000"/>
    <numFmt numFmtId="169" formatCode="0.000000000000000"/>
    <numFmt numFmtId="170" formatCode="0.00000"/>
    <numFmt numFmtId="171" formatCode="0.00000000"/>
    <numFmt numFmtId="172" formatCode="&quot;$&quot;#,##0.00"/>
    <numFmt numFmtId="173" formatCode="0.00000000000000E+00"/>
    <numFmt numFmtId="174" formatCode="0.0000E+00"/>
  </numFmts>
  <fonts count="40" x14ac:knownFonts="1">
    <font>
      <sz val="10"/>
      <name val="Arial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16"/>
      <color indexed="10"/>
      <name val="Arial"/>
      <family val="2"/>
    </font>
    <font>
      <sz val="14"/>
      <color indexed="10"/>
      <name val="Arial"/>
      <family val="2"/>
    </font>
    <font>
      <sz val="10"/>
      <color indexed="12"/>
      <name val="Arial"/>
      <family val="2"/>
    </font>
    <font>
      <sz val="8"/>
      <color indexed="10"/>
      <name val="Arial"/>
      <family val="2"/>
    </font>
    <font>
      <b/>
      <sz val="9"/>
      <color indexed="10"/>
      <name val="Arial"/>
      <family val="2"/>
    </font>
    <font>
      <sz val="8"/>
      <color indexed="10"/>
      <name val="MS Sans Serif"/>
      <family val="2"/>
    </font>
    <font>
      <sz val="8"/>
      <color indexed="12"/>
      <name val="Arial"/>
      <family val="2"/>
    </font>
    <font>
      <b/>
      <sz val="8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10"/>
      <color indexed="53"/>
      <name val="Arial"/>
      <family val="2"/>
    </font>
    <font>
      <b/>
      <sz val="9"/>
      <name val="Arial"/>
      <family val="2"/>
    </font>
    <font>
      <sz val="10"/>
      <color indexed="17"/>
      <name val="Arial"/>
      <family val="2"/>
    </font>
    <font>
      <sz val="10"/>
      <color indexed="14"/>
      <name val="Arial"/>
      <family val="2"/>
    </font>
    <font>
      <sz val="10"/>
      <color indexed="37"/>
      <name val="Arial"/>
      <family val="2"/>
    </font>
    <font>
      <sz val="10"/>
      <color indexed="32"/>
      <name val="Arial"/>
      <family val="2"/>
    </font>
    <font>
      <sz val="10"/>
      <color indexed="25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color indexed="48"/>
      <name val="Arial"/>
      <family val="2"/>
    </font>
    <font>
      <sz val="7"/>
      <name val="Arial"/>
      <family val="2"/>
    </font>
    <font>
      <b/>
      <sz val="8"/>
      <color indexed="81"/>
      <name val="Tahoma"/>
      <family val="2"/>
    </font>
    <font>
      <b/>
      <sz val="10"/>
      <color indexed="12"/>
      <name val="Arial"/>
      <family val="2"/>
    </font>
    <font>
      <sz val="8"/>
      <color indexed="9"/>
      <name val="Arial"/>
      <family val="2"/>
    </font>
    <font>
      <sz val="12"/>
      <name val="Arial"/>
      <family val="2"/>
    </font>
    <font>
      <sz val="12"/>
      <name val="Times New Roman"/>
      <family val="1"/>
    </font>
    <font>
      <b/>
      <vertAlign val="superscript"/>
      <sz val="10"/>
      <name val="Arial"/>
      <family val="2"/>
    </font>
    <font>
      <sz val="10"/>
      <color rgb="FFFF0000"/>
      <name val="Arial"/>
      <family val="2"/>
    </font>
    <font>
      <sz val="10"/>
      <color rgb="FFC00000"/>
      <name val="Arial"/>
      <family val="2"/>
    </font>
    <font>
      <sz val="10"/>
      <color theme="1"/>
      <name val="Arial"/>
      <family val="2"/>
    </font>
    <font>
      <b/>
      <i/>
      <sz val="10"/>
      <color rgb="FF0000FF"/>
      <name val="Arial"/>
      <family val="2"/>
    </font>
    <font>
      <sz val="7"/>
      <color rgb="FFFF0000"/>
      <name val="Arial"/>
      <family val="2"/>
    </font>
    <font>
      <sz val="7"/>
      <color indexed="1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8">
    <border>
      <left/>
      <right/>
      <top/>
      <bottom/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/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double">
        <color indexed="10"/>
      </left>
      <right/>
      <top style="double">
        <color indexed="10"/>
      </top>
      <bottom style="double">
        <color indexed="10"/>
      </bottom>
      <diagonal/>
    </border>
    <border>
      <left/>
      <right/>
      <top style="double">
        <color indexed="10"/>
      </top>
      <bottom style="double">
        <color indexed="10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/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thin">
        <color indexed="10"/>
      </bottom>
      <diagonal/>
    </border>
    <border>
      <left style="double">
        <color indexed="10"/>
      </left>
      <right style="thin">
        <color indexed="10"/>
      </right>
      <top style="double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double">
        <color indexed="10"/>
      </top>
      <bottom style="thin">
        <color indexed="10"/>
      </bottom>
      <diagonal/>
    </border>
    <border>
      <left style="thin">
        <color indexed="10"/>
      </left>
      <right style="double">
        <color indexed="10"/>
      </right>
      <top style="double">
        <color indexed="10"/>
      </top>
      <bottom style="thin">
        <color indexed="10"/>
      </bottom>
      <diagonal/>
    </border>
    <border>
      <left/>
      <right style="double">
        <color indexed="10"/>
      </right>
      <top style="double">
        <color indexed="10"/>
      </top>
      <bottom/>
      <diagonal/>
    </border>
    <border>
      <left style="double">
        <color indexed="10"/>
      </left>
      <right/>
      <top style="double">
        <color indexed="10"/>
      </top>
      <bottom/>
      <diagonal/>
    </border>
    <border>
      <left/>
      <right/>
      <top style="double">
        <color indexed="10"/>
      </top>
      <bottom/>
      <diagonal/>
    </border>
    <border>
      <left style="double">
        <color indexed="10"/>
      </left>
      <right style="double">
        <color indexed="10"/>
      </right>
      <top/>
      <bottom/>
      <diagonal/>
    </border>
    <border>
      <left style="double">
        <color indexed="10"/>
      </left>
      <right style="double">
        <color indexed="10"/>
      </right>
      <top style="thin">
        <color indexed="10"/>
      </top>
      <bottom style="thin">
        <color indexed="10"/>
      </bottom>
      <diagonal/>
    </border>
    <border>
      <left style="double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double">
        <color indexed="10"/>
      </right>
      <top style="thin">
        <color indexed="10"/>
      </top>
      <bottom style="thin">
        <color indexed="10"/>
      </bottom>
      <diagonal/>
    </border>
    <border>
      <left/>
      <right style="double">
        <color indexed="10"/>
      </right>
      <top style="thin">
        <color indexed="10"/>
      </top>
      <bottom style="thin">
        <color indexed="10"/>
      </bottom>
      <diagonal/>
    </border>
    <border>
      <left style="double">
        <color indexed="1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10"/>
      </right>
      <top/>
      <bottom/>
      <diagonal/>
    </border>
    <border>
      <left style="double">
        <color indexed="1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10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10"/>
      </right>
      <top style="thin">
        <color indexed="64"/>
      </top>
      <bottom style="thin">
        <color indexed="64"/>
      </bottom>
      <diagonal/>
    </border>
    <border>
      <left style="double">
        <color indexed="10"/>
      </left>
      <right style="double">
        <color indexed="1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10"/>
      </right>
      <top style="thin">
        <color indexed="64"/>
      </top>
      <bottom style="thin">
        <color indexed="64"/>
      </bottom>
      <diagonal/>
    </border>
    <border>
      <left style="double">
        <color indexed="10"/>
      </left>
      <right style="double">
        <color indexed="10"/>
      </right>
      <top style="thin">
        <color indexed="10"/>
      </top>
      <bottom style="double">
        <color indexed="10"/>
      </bottom>
      <diagonal/>
    </border>
    <border>
      <left/>
      <right style="double">
        <color indexed="10"/>
      </right>
      <top style="thin">
        <color indexed="10"/>
      </top>
      <bottom style="double">
        <color indexed="10"/>
      </bottom>
      <diagonal/>
    </border>
    <border>
      <left style="double">
        <color indexed="10"/>
      </left>
      <right/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10"/>
      </left>
      <right/>
      <top/>
      <bottom style="double">
        <color indexed="10"/>
      </bottom>
      <diagonal/>
    </border>
    <border>
      <left/>
      <right/>
      <top/>
      <bottom style="double">
        <color indexed="10"/>
      </bottom>
      <diagonal/>
    </border>
    <border>
      <left/>
      <right style="double">
        <color indexed="10"/>
      </right>
      <top/>
      <bottom style="double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10"/>
      </left>
      <right style="thin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10"/>
      </left>
      <right style="thin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10"/>
      </left>
      <right style="thin">
        <color indexed="64"/>
      </right>
      <top style="thin">
        <color indexed="64"/>
      </top>
      <bottom style="double">
        <color indexed="10"/>
      </bottom>
      <diagonal/>
    </border>
    <border>
      <left style="double">
        <color indexed="10"/>
      </left>
      <right/>
      <top style="thin">
        <color indexed="64"/>
      </top>
      <bottom style="double">
        <color indexed="10"/>
      </bottom>
      <diagonal/>
    </border>
    <border>
      <left/>
      <right style="double">
        <color indexed="10"/>
      </right>
      <top style="thin">
        <color indexed="64"/>
      </top>
      <bottom style="double">
        <color indexed="10"/>
      </bottom>
      <diagonal/>
    </border>
    <border>
      <left style="double">
        <color indexed="10"/>
      </left>
      <right style="double">
        <color indexed="10"/>
      </right>
      <top style="thin">
        <color indexed="64"/>
      </top>
      <bottom style="double">
        <color indexed="10"/>
      </bottom>
      <diagonal/>
    </border>
    <border>
      <left style="thin">
        <color indexed="64"/>
      </left>
      <right style="double">
        <color indexed="10"/>
      </right>
      <top style="thin">
        <color indexed="64"/>
      </top>
      <bottom style="double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 style="double">
        <color indexed="10"/>
      </left>
      <right style="double">
        <color indexed="10"/>
      </right>
      <top/>
      <bottom style="double">
        <color indexed="10"/>
      </bottom>
      <diagonal/>
    </border>
    <border>
      <left style="double">
        <color indexed="10"/>
      </left>
      <right style="thin">
        <color indexed="10"/>
      </right>
      <top style="thin">
        <color indexed="10"/>
      </top>
      <bottom style="double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double">
        <color indexed="10"/>
      </bottom>
      <diagonal/>
    </border>
    <border>
      <left style="thin">
        <color indexed="10"/>
      </left>
      <right style="double">
        <color indexed="10"/>
      </right>
      <top style="thin">
        <color indexed="10"/>
      </top>
      <bottom style="double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53"/>
      </top>
      <bottom style="double">
        <color indexed="53"/>
      </bottom>
      <diagonal/>
    </border>
    <border>
      <left/>
      <right style="double">
        <color indexed="53"/>
      </right>
      <top style="double">
        <color indexed="53"/>
      </top>
      <bottom style="double">
        <color indexed="53"/>
      </bottom>
      <diagonal/>
    </border>
    <border>
      <left/>
      <right style="double">
        <color indexed="10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1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uble">
        <color indexed="1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1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10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53"/>
      </left>
      <right/>
      <top style="double">
        <color indexed="53"/>
      </top>
      <bottom style="double">
        <color indexed="53"/>
      </bottom>
      <diagonal/>
    </border>
    <border>
      <left style="double">
        <color indexed="17"/>
      </left>
      <right style="thin">
        <color indexed="64"/>
      </right>
      <top style="double">
        <color indexed="17"/>
      </top>
      <bottom style="thin">
        <color indexed="64"/>
      </bottom>
      <diagonal/>
    </border>
    <border>
      <left style="thin">
        <color indexed="64"/>
      </left>
      <right style="double">
        <color indexed="17"/>
      </right>
      <top style="double">
        <color indexed="17"/>
      </top>
      <bottom style="thin">
        <color indexed="64"/>
      </bottom>
      <diagonal/>
    </border>
    <border>
      <left style="double">
        <color indexed="17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17"/>
      </right>
      <top style="thin">
        <color indexed="64"/>
      </top>
      <bottom style="thin">
        <color indexed="64"/>
      </bottom>
      <diagonal/>
    </border>
    <border>
      <left style="double">
        <color indexed="17"/>
      </left>
      <right style="thin">
        <color indexed="64"/>
      </right>
      <top style="thin">
        <color indexed="64"/>
      </top>
      <bottom style="double">
        <color indexed="17"/>
      </bottom>
      <diagonal/>
    </border>
    <border>
      <left style="thin">
        <color indexed="64"/>
      </left>
      <right style="double">
        <color indexed="17"/>
      </right>
      <top style="thin">
        <color indexed="64"/>
      </top>
      <bottom style="double">
        <color indexed="17"/>
      </bottom>
      <diagonal/>
    </border>
    <border>
      <left style="double">
        <color indexed="17"/>
      </left>
      <right style="thin">
        <color indexed="17"/>
      </right>
      <top/>
      <bottom style="double">
        <color indexed="17"/>
      </bottom>
      <diagonal/>
    </border>
    <border>
      <left style="thin">
        <color indexed="17"/>
      </left>
      <right style="double">
        <color indexed="17"/>
      </right>
      <top/>
      <bottom style="double">
        <color indexed="17"/>
      </bottom>
      <diagonal/>
    </border>
    <border>
      <left/>
      <right/>
      <top/>
      <bottom style="double">
        <color indexed="17"/>
      </bottom>
      <diagonal/>
    </border>
    <border>
      <left style="double">
        <color indexed="17"/>
      </left>
      <right style="thin">
        <color indexed="8"/>
      </right>
      <top style="double">
        <color indexed="17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double">
        <color indexed="17"/>
      </top>
      <bottom style="thin">
        <color indexed="8"/>
      </bottom>
      <diagonal/>
    </border>
    <border>
      <left style="thin">
        <color indexed="8"/>
      </left>
      <right style="double">
        <color indexed="17"/>
      </right>
      <top style="double">
        <color indexed="17"/>
      </top>
      <bottom style="thin">
        <color indexed="8"/>
      </bottom>
      <diagonal/>
    </border>
    <border>
      <left style="double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17"/>
      </right>
      <top style="thin">
        <color indexed="8"/>
      </top>
      <bottom style="thin">
        <color indexed="8"/>
      </bottom>
      <diagonal/>
    </border>
    <border>
      <left style="double">
        <color indexed="17"/>
      </left>
      <right style="thin">
        <color indexed="8"/>
      </right>
      <top style="thin">
        <color indexed="8"/>
      </top>
      <bottom style="double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17"/>
      </bottom>
      <diagonal/>
    </border>
    <border>
      <left style="thin">
        <color indexed="8"/>
      </left>
      <right style="double">
        <color indexed="17"/>
      </right>
      <top style="thin">
        <color indexed="8"/>
      </top>
      <bottom style="double">
        <color indexed="17"/>
      </bottom>
      <diagonal/>
    </border>
    <border>
      <left style="thin">
        <color indexed="8"/>
      </left>
      <right/>
      <top style="double">
        <color indexed="17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double">
        <color indexed="17"/>
      </bottom>
      <diagonal/>
    </border>
    <border>
      <left style="thin">
        <color indexed="17"/>
      </left>
      <right style="thin">
        <color indexed="17"/>
      </right>
      <top/>
      <bottom style="double">
        <color indexed="17"/>
      </bottom>
      <diagonal/>
    </border>
    <border>
      <left style="thin">
        <color indexed="64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double">
        <color indexed="10"/>
      </left>
      <right style="thin">
        <color indexed="64"/>
      </right>
      <top/>
      <bottom/>
      <diagonal/>
    </border>
    <border>
      <left style="double">
        <color indexed="17"/>
      </left>
      <right style="thin">
        <color indexed="17"/>
      </right>
      <top style="double">
        <color indexed="17"/>
      </top>
      <bottom/>
      <diagonal/>
    </border>
    <border>
      <left style="thin">
        <color indexed="17"/>
      </left>
      <right style="double">
        <color indexed="17"/>
      </right>
      <top style="double">
        <color indexed="17"/>
      </top>
      <bottom/>
      <diagonal/>
    </border>
    <border>
      <left/>
      <right/>
      <top style="double">
        <color indexed="17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double">
        <color rgb="FFFF0000"/>
      </left>
      <right style="thin">
        <color rgb="FFFF0000"/>
      </right>
      <top style="double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double">
        <color rgb="FFFF0000"/>
      </top>
      <bottom style="thin">
        <color rgb="FFFF0000"/>
      </bottom>
      <diagonal/>
    </border>
    <border>
      <left style="thin">
        <color rgb="FFFF0000"/>
      </left>
      <right style="double">
        <color rgb="FFFF0000"/>
      </right>
      <top style="double">
        <color rgb="FFFF0000"/>
      </top>
      <bottom style="thin">
        <color rgb="FFFF0000"/>
      </bottom>
      <diagonal/>
    </border>
    <border>
      <left style="double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double">
        <color rgb="FFFF0000"/>
      </right>
      <top style="thin">
        <color rgb="FFFF0000"/>
      </top>
      <bottom style="thin">
        <color rgb="FFFF0000"/>
      </bottom>
      <diagonal/>
    </border>
    <border>
      <left style="double">
        <color rgb="FFFF0000"/>
      </left>
      <right style="thin">
        <color rgb="FFFF0000"/>
      </right>
      <top style="thin">
        <color rgb="FFFF0000"/>
      </top>
      <bottom style="double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double">
        <color rgb="FFFF0000"/>
      </bottom>
      <diagonal/>
    </border>
    <border>
      <left style="thin">
        <color rgb="FFFF0000"/>
      </left>
      <right style="double">
        <color rgb="FFFF0000"/>
      </right>
      <top style="thin">
        <color rgb="FFFF0000"/>
      </top>
      <bottom style="double">
        <color rgb="FFFF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indexed="10"/>
      </left>
      <right style="thin">
        <color indexed="10"/>
      </right>
      <top style="double">
        <color indexed="10"/>
      </top>
      <bottom style="thin">
        <color auto="1"/>
      </bottom>
      <diagonal/>
    </border>
    <border>
      <left style="thin">
        <color indexed="10"/>
      </left>
      <right style="thin">
        <color indexed="10"/>
      </right>
      <top style="double">
        <color indexed="10"/>
      </top>
      <bottom style="thin">
        <color auto="1"/>
      </bottom>
      <diagonal/>
    </border>
    <border>
      <left style="thin">
        <color indexed="10"/>
      </left>
      <right style="double">
        <color indexed="10"/>
      </right>
      <top style="double">
        <color indexed="10"/>
      </top>
      <bottom style="thin">
        <color auto="1"/>
      </bottom>
      <diagonal/>
    </border>
    <border>
      <left style="double">
        <color indexed="10"/>
      </left>
      <right style="thin">
        <color indexed="10"/>
      </right>
      <top style="thin">
        <color auto="1"/>
      </top>
      <bottom style="thin">
        <color auto="1"/>
      </bottom>
      <diagonal/>
    </border>
    <border>
      <left style="thin">
        <color indexed="10"/>
      </left>
      <right style="thin">
        <color indexed="10"/>
      </right>
      <top style="thin">
        <color auto="1"/>
      </top>
      <bottom style="thin">
        <color auto="1"/>
      </bottom>
      <diagonal/>
    </border>
    <border>
      <left style="thin">
        <color indexed="10"/>
      </left>
      <right style="double">
        <color indexed="10"/>
      </right>
      <top style="thin">
        <color auto="1"/>
      </top>
      <bottom style="thin">
        <color auto="1"/>
      </bottom>
      <diagonal/>
    </border>
    <border>
      <left style="double">
        <color indexed="10"/>
      </left>
      <right style="thin">
        <color indexed="10"/>
      </right>
      <top style="thin">
        <color auto="1"/>
      </top>
      <bottom style="double">
        <color indexed="10"/>
      </bottom>
      <diagonal/>
    </border>
    <border>
      <left style="thin">
        <color indexed="10"/>
      </left>
      <right style="thin">
        <color indexed="10"/>
      </right>
      <top style="thin">
        <color auto="1"/>
      </top>
      <bottom style="double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0" fontId="31" fillId="0" borderId="0"/>
  </cellStyleXfs>
  <cellXfs count="43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horizontal="center" vertical="center" textRotation="90"/>
    </xf>
    <xf numFmtId="0" fontId="3" fillId="0" borderId="2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164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2" fillId="0" borderId="2" xfId="0" applyFont="1" applyBorder="1" applyAlignment="1">
      <alignment horizontal="center" vertical="center" textRotation="90"/>
    </xf>
    <xf numFmtId="0" fontId="2" fillId="0" borderId="3" xfId="0" applyFont="1" applyBorder="1" applyAlignment="1">
      <alignment horizontal="center" vertical="center" textRotation="90"/>
    </xf>
    <xf numFmtId="0" fontId="2" fillId="0" borderId="4" xfId="0" applyFont="1" applyBorder="1" applyAlignment="1">
      <alignment horizontal="center" vertical="center" textRotation="90"/>
    </xf>
    <xf numFmtId="0" fontId="2" fillId="0" borderId="4" xfId="0" applyFont="1" applyBorder="1" applyAlignment="1">
      <alignment horizontal="centerContinuous" vertical="center"/>
    </xf>
    <xf numFmtId="165" fontId="2" fillId="0" borderId="4" xfId="0" applyNumberFormat="1" applyFont="1" applyBorder="1" applyAlignment="1">
      <alignment horizontal="centerContinuous"/>
    </xf>
    <xf numFmtId="0" fontId="0" fillId="0" borderId="5" xfId="0" applyBorder="1"/>
    <xf numFmtId="2" fontId="6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6" fontId="6" fillId="0" borderId="8" xfId="0" applyNumberFormat="1" applyFont="1" applyBorder="1" applyAlignment="1">
      <alignment horizontal="center"/>
    </xf>
    <xf numFmtId="167" fontId="6" fillId="0" borderId="9" xfId="0" applyNumberFormat="1" applyFont="1" applyBorder="1" applyAlignment="1">
      <alignment horizontal="center"/>
    </xf>
    <xf numFmtId="2" fontId="6" fillId="0" borderId="5" xfId="0" applyNumberFormat="1" applyFont="1" applyBorder="1" applyAlignment="1">
      <alignment horizontal="center"/>
    </xf>
    <xf numFmtId="168" fontId="6" fillId="0" borderId="5" xfId="0" applyNumberFormat="1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3" fillId="0" borderId="11" xfId="0" applyFont="1" applyBorder="1" applyAlignment="1">
      <alignment horizontal="centerContinuous"/>
    </xf>
    <xf numFmtId="0" fontId="0" fillId="0" borderId="12" xfId="0" applyBorder="1" applyAlignment="1">
      <alignment horizontal="centerContinuous"/>
    </xf>
    <xf numFmtId="0" fontId="0" fillId="0" borderId="10" xfId="0" applyBorder="1" applyAlignment="1">
      <alignment horizontal="centerContinuous"/>
    </xf>
    <xf numFmtId="0" fontId="0" fillId="0" borderId="11" xfId="0" applyBorder="1"/>
    <xf numFmtId="0" fontId="0" fillId="0" borderId="12" xfId="0" applyBorder="1"/>
    <xf numFmtId="0" fontId="0" fillId="0" borderId="10" xfId="0" applyBorder="1"/>
    <xf numFmtId="165" fontId="2" fillId="0" borderId="0" xfId="0" applyNumberFormat="1" applyFont="1" applyAlignment="1">
      <alignment horizontal="center"/>
    </xf>
    <xf numFmtId="0" fontId="7" fillId="0" borderId="3" xfId="0" applyFont="1" applyBorder="1" applyProtection="1">
      <protection hidden="1"/>
    </xf>
    <xf numFmtId="0" fontId="7" fillId="0" borderId="3" xfId="0" applyFont="1" applyBorder="1" applyAlignment="1" applyProtection="1">
      <alignment horizontal="centerContinuous"/>
      <protection hidden="1"/>
    </xf>
    <xf numFmtId="0" fontId="7" fillId="0" borderId="2" xfId="0" applyFont="1" applyBorder="1" applyAlignment="1" applyProtection="1">
      <alignment horizontal="centerContinuous"/>
      <protection hidden="1"/>
    </xf>
    <xf numFmtId="0" fontId="7" fillId="0" borderId="1" xfId="0" applyFont="1" applyBorder="1" applyProtection="1">
      <protection hidden="1"/>
    </xf>
    <xf numFmtId="0" fontId="0" fillId="0" borderId="13" xfId="0" applyBorder="1"/>
    <xf numFmtId="0" fontId="6" fillId="0" borderId="14" xfId="0" applyFont="1" applyBorder="1" applyAlignment="1">
      <alignment horizontal="center"/>
    </xf>
    <xf numFmtId="2" fontId="6" fillId="0" borderId="14" xfId="0" applyNumberFormat="1" applyFont="1" applyBorder="1" applyAlignment="1">
      <alignment horizontal="center"/>
    </xf>
    <xf numFmtId="2" fontId="2" fillId="0" borderId="14" xfId="0" applyNumberFormat="1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166" fontId="6" fillId="0" borderId="16" xfId="0" applyNumberFormat="1" applyFont="1" applyBorder="1" applyAlignment="1">
      <alignment horizontal="center"/>
    </xf>
    <xf numFmtId="167" fontId="6" fillId="0" borderId="17" xfId="0" applyNumberFormat="1" applyFont="1" applyBorder="1" applyAlignment="1">
      <alignment horizontal="center"/>
    </xf>
    <xf numFmtId="168" fontId="6" fillId="0" borderId="14" xfId="0" applyNumberFormat="1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9" xfId="0" applyBorder="1"/>
    <xf numFmtId="0" fontId="6" fillId="0" borderId="0" xfId="0" applyFont="1" applyAlignment="1">
      <alignment horizontal="right"/>
    </xf>
    <xf numFmtId="0" fontId="0" fillId="0" borderId="21" xfId="0" applyBorder="1"/>
    <xf numFmtId="0" fontId="7" fillId="0" borderId="22" xfId="0" applyFont="1" applyBorder="1" applyAlignment="1" applyProtection="1">
      <alignment horizontal="center"/>
      <protection hidden="1"/>
    </xf>
    <xf numFmtId="0" fontId="7" fillId="0" borderId="23" xfId="0" applyFont="1" applyBorder="1" applyProtection="1">
      <protection hidden="1"/>
    </xf>
    <xf numFmtId="0" fontId="7" fillId="0" borderId="24" xfId="0" applyFont="1" applyBorder="1" applyProtection="1">
      <protection hidden="1"/>
    </xf>
    <xf numFmtId="2" fontId="7" fillId="0" borderId="25" xfId="0" applyNumberFormat="1" applyFont="1" applyBorder="1" applyAlignment="1" applyProtection="1">
      <alignment horizontal="center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2" fillId="0" borderId="19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68" fontId="2" fillId="0" borderId="21" xfId="0" applyNumberFormat="1" applyFont="1" applyBorder="1" applyAlignment="1">
      <alignment horizontal="center"/>
    </xf>
    <xf numFmtId="0" fontId="3" fillId="0" borderId="0" xfId="0" applyFont="1" applyAlignment="1">
      <alignment horizontal="centerContinuous"/>
    </xf>
    <xf numFmtId="0" fontId="3" fillId="2" borderId="20" xfId="0" applyFont="1" applyFill="1" applyBorder="1" applyAlignment="1">
      <alignment horizontal="center"/>
    </xf>
    <xf numFmtId="49" fontId="3" fillId="2" borderId="20" xfId="0" applyNumberFormat="1" applyFont="1" applyFill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168" fontId="2" fillId="0" borderId="18" xfId="0" applyNumberFormat="1" applyFont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0" fillId="0" borderId="0" xfId="0" applyAlignment="1">
      <alignment horizontal="centerContinuous"/>
    </xf>
    <xf numFmtId="0" fontId="3" fillId="0" borderId="0" xfId="0" applyFont="1"/>
    <xf numFmtId="0" fontId="8" fillId="0" borderId="0" xfId="0" applyFont="1" applyAlignment="1">
      <alignment horizontal="centerContinuous"/>
    </xf>
    <xf numFmtId="0" fontId="3" fillId="0" borderId="0" xfId="0" applyFont="1" applyAlignment="1">
      <alignment horizontal="center"/>
    </xf>
    <xf numFmtId="165" fontId="3" fillId="2" borderId="20" xfId="0" applyNumberFormat="1" applyFont="1" applyFill="1" applyBorder="1" applyAlignment="1">
      <alignment horizontal="center"/>
    </xf>
    <xf numFmtId="164" fontId="3" fillId="2" borderId="20" xfId="0" applyNumberFormat="1" applyFont="1" applyFill="1" applyBorder="1" applyAlignment="1">
      <alignment horizontal="center"/>
    </xf>
    <xf numFmtId="0" fontId="9" fillId="0" borderId="23" xfId="0" applyFont="1" applyBorder="1" applyProtection="1">
      <protection hidden="1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3" fillId="0" borderId="20" xfId="0" applyFont="1" applyBorder="1"/>
    <xf numFmtId="0" fontId="3" fillId="0" borderId="34" xfId="0" applyFont="1" applyBorder="1" applyAlignment="1">
      <alignment horizontal="center"/>
    </xf>
    <xf numFmtId="1" fontId="3" fillId="0" borderId="35" xfId="0" applyNumberFormat="1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11" fillId="0" borderId="42" xfId="0" applyFont="1" applyBorder="1" applyAlignment="1">
      <alignment horizontal="center"/>
    </xf>
    <xf numFmtId="1" fontId="3" fillId="0" borderId="42" xfId="0" applyNumberFormat="1" applyFont="1" applyBorder="1" applyAlignment="1">
      <alignment horizontal="center"/>
    </xf>
    <xf numFmtId="0" fontId="10" fillId="0" borderId="42" xfId="0" applyFont="1" applyBorder="1" applyAlignment="1">
      <alignment horizontal="center"/>
    </xf>
    <xf numFmtId="0" fontId="10" fillId="0" borderId="43" xfId="0" applyFont="1" applyBorder="1" applyAlignment="1">
      <alignment horizontal="center"/>
    </xf>
    <xf numFmtId="0" fontId="10" fillId="0" borderId="44" xfId="0" applyFont="1" applyBorder="1" applyAlignment="1">
      <alignment horizontal="center"/>
    </xf>
    <xf numFmtId="0" fontId="10" fillId="0" borderId="45" xfId="0" applyFont="1" applyBorder="1" applyAlignment="1">
      <alignment horizontal="center"/>
    </xf>
    <xf numFmtId="49" fontId="10" fillId="0" borderId="44" xfId="0" applyNumberFormat="1" applyFont="1" applyBorder="1" applyAlignment="1">
      <alignment horizontal="center"/>
    </xf>
    <xf numFmtId="49" fontId="10" fillId="0" borderId="45" xfId="0" applyNumberFormat="1" applyFont="1" applyBorder="1" applyAlignment="1">
      <alignment horizontal="center"/>
    </xf>
    <xf numFmtId="0" fontId="7" fillId="0" borderId="46" xfId="0" applyFont="1" applyBorder="1" applyAlignment="1" applyProtection="1">
      <alignment horizontal="center"/>
      <protection hidden="1"/>
    </xf>
    <xf numFmtId="0" fontId="7" fillId="0" borderId="47" xfId="0" applyFont="1" applyBorder="1" applyProtection="1">
      <protection hidden="1"/>
    </xf>
    <xf numFmtId="0" fontId="7" fillId="0" borderId="48" xfId="0" applyFont="1" applyBorder="1" applyProtection="1">
      <protection hidden="1"/>
    </xf>
    <xf numFmtId="2" fontId="7" fillId="0" borderId="49" xfId="0" applyNumberFormat="1" applyFont="1" applyBorder="1" applyAlignment="1" applyProtection="1">
      <alignment horizontal="center"/>
      <protection hidden="1"/>
    </xf>
    <xf numFmtId="0" fontId="7" fillId="0" borderId="50" xfId="0" applyFont="1" applyBorder="1" applyAlignment="1" applyProtection="1">
      <alignment horizontal="center"/>
      <protection hidden="1"/>
    </xf>
    <xf numFmtId="0" fontId="10" fillId="0" borderId="6" xfId="0" applyFont="1" applyBorder="1" applyAlignment="1">
      <alignment horizontal="center"/>
    </xf>
    <xf numFmtId="2" fontId="10" fillId="0" borderId="8" xfId="0" applyNumberFormat="1" applyFont="1" applyBorder="1" applyAlignment="1">
      <alignment horizontal="center"/>
    </xf>
    <xf numFmtId="2" fontId="10" fillId="0" borderId="8" xfId="0" applyNumberFormat="1" applyFont="1" applyBorder="1"/>
    <xf numFmtId="2" fontId="10" fillId="0" borderId="9" xfId="0" applyNumberFormat="1" applyFont="1" applyBorder="1"/>
    <xf numFmtId="0" fontId="0" fillId="0" borderId="6" xfId="0" applyBorder="1"/>
    <xf numFmtId="49" fontId="3" fillId="0" borderId="0" xfId="0" applyNumberFormat="1" applyFont="1" applyAlignment="1">
      <alignment horizontal="center"/>
    </xf>
    <xf numFmtId="0" fontId="10" fillId="0" borderId="14" xfId="0" applyFont="1" applyBorder="1" applyAlignment="1">
      <alignment horizontal="center"/>
    </xf>
    <xf numFmtId="2" fontId="10" fillId="0" borderId="16" xfId="0" applyNumberFormat="1" applyFont="1" applyBorder="1" applyAlignment="1">
      <alignment horizontal="center"/>
    </xf>
    <xf numFmtId="2" fontId="10" fillId="0" borderId="17" xfId="0" applyNumberFormat="1" applyFont="1" applyBorder="1"/>
    <xf numFmtId="0" fontId="0" fillId="0" borderId="14" xfId="0" applyBorder="1"/>
    <xf numFmtId="2" fontId="10" fillId="0" borderId="16" xfId="0" applyNumberFormat="1" applyFont="1" applyBorder="1"/>
    <xf numFmtId="0" fontId="0" fillId="0" borderId="14" xfId="0" applyBorder="1" applyAlignment="1">
      <alignment horizontal="center"/>
    </xf>
    <xf numFmtId="49" fontId="10" fillId="0" borderId="38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2" fontId="3" fillId="0" borderId="16" xfId="0" applyNumberFormat="1" applyFont="1" applyBorder="1" applyAlignment="1">
      <alignment horizontal="center"/>
    </xf>
    <xf numFmtId="2" fontId="3" fillId="0" borderId="16" xfId="0" applyNumberFormat="1" applyFont="1" applyBorder="1"/>
    <xf numFmtId="2" fontId="3" fillId="0" borderId="17" xfId="0" applyNumberFormat="1" applyFont="1" applyBorder="1"/>
    <xf numFmtId="0" fontId="12" fillId="0" borderId="13" xfId="0" applyFont="1" applyBorder="1"/>
    <xf numFmtId="0" fontId="2" fillId="0" borderId="31" xfId="0" applyFont="1" applyBorder="1" applyAlignment="1">
      <alignment horizontal="center"/>
    </xf>
    <xf numFmtId="0" fontId="2" fillId="0" borderId="52" xfId="0" applyFont="1" applyBorder="1" applyAlignment="1">
      <alignment horizontal="center"/>
    </xf>
    <xf numFmtId="168" fontId="2" fillId="0" borderId="33" xfId="0" applyNumberFormat="1" applyFont="1" applyBorder="1" applyAlignment="1">
      <alignment horizontal="center"/>
    </xf>
    <xf numFmtId="49" fontId="10" fillId="0" borderId="37" xfId="0" applyNumberFormat="1" applyFont="1" applyBorder="1" applyAlignment="1">
      <alignment horizontal="center"/>
    </xf>
    <xf numFmtId="0" fontId="13" fillId="0" borderId="0" xfId="0" applyFont="1" applyAlignment="1">
      <alignment horizontal="right"/>
    </xf>
    <xf numFmtId="168" fontId="2" fillId="0" borderId="1" xfId="0" applyNumberFormat="1" applyFont="1" applyBorder="1" applyAlignment="1">
      <alignment horizontal="center"/>
    </xf>
    <xf numFmtId="168" fontId="2" fillId="0" borderId="0" xfId="0" applyNumberFormat="1" applyFont="1" applyAlignment="1">
      <alignment horizontal="center"/>
    </xf>
    <xf numFmtId="0" fontId="0" fillId="0" borderId="27" xfId="0" applyBorder="1" applyAlignment="1">
      <alignment horizontal="center"/>
    </xf>
    <xf numFmtId="0" fontId="6" fillId="0" borderId="1" xfId="0" applyFont="1" applyBorder="1" applyAlignment="1">
      <alignment horizontal="center"/>
    </xf>
    <xf numFmtId="168" fontId="6" fillId="0" borderId="1" xfId="0" applyNumberFormat="1" applyFont="1" applyBorder="1" applyAlignment="1">
      <alignment horizontal="center"/>
    </xf>
    <xf numFmtId="0" fontId="3" fillId="2" borderId="20" xfId="0" applyFont="1" applyFill="1" applyBorder="1"/>
    <xf numFmtId="0" fontId="3" fillId="0" borderId="16" xfId="0" applyFont="1" applyBorder="1"/>
    <xf numFmtId="0" fontId="3" fillId="3" borderId="16" xfId="0" applyFont="1" applyFill="1" applyBorder="1"/>
    <xf numFmtId="1" fontId="6" fillId="2" borderId="1" xfId="0" applyNumberFormat="1" applyFont="1" applyFill="1" applyBorder="1" applyAlignment="1">
      <alignment horizontal="center"/>
    </xf>
    <xf numFmtId="168" fontId="6" fillId="2" borderId="1" xfId="0" applyNumberFormat="1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167" fontId="3" fillId="0" borderId="20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56" xfId="0" applyBorder="1"/>
    <xf numFmtId="0" fontId="0" fillId="0" borderId="51" xfId="0" applyBorder="1"/>
    <xf numFmtId="0" fontId="0" fillId="0" borderId="57" xfId="0" applyBorder="1"/>
    <xf numFmtId="0" fontId="2" fillId="0" borderId="16" xfId="0" applyFont="1" applyBorder="1"/>
    <xf numFmtId="0" fontId="6" fillId="0" borderId="53" xfId="0" applyFont="1" applyBorder="1" applyAlignment="1">
      <alignment horizontal="center"/>
    </xf>
    <xf numFmtId="166" fontId="6" fillId="0" borderId="54" xfId="0" applyNumberFormat="1" applyFont="1" applyBorder="1" applyAlignment="1">
      <alignment horizontal="center"/>
    </xf>
    <xf numFmtId="167" fontId="6" fillId="0" borderId="55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0" fontId="14" fillId="2" borderId="20" xfId="0" applyFont="1" applyFill="1" applyBorder="1" applyAlignment="1">
      <alignment horizontal="center"/>
    </xf>
    <xf numFmtId="165" fontId="3" fillId="0" borderId="20" xfId="0" applyNumberFormat="1" applyFont="1" applyBorder="1" applyAlignment="1">
      <alignment horizontal="center"/>
    </xf>
    <xf numFmtId="0" fontId="0" fillId="0" borderId="52" xfId="0" applyBorder="1"/>
    <xf numFmtId="0" fontId="2" fillId="0" borderId="5" xfId="0" applyFont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0" fillId="0" borderId="58" xfId="0" applyFont="1" applyBorder="1" applyAlignment="1">
      <alignment horizontal="left"/>
    </xf>
    <xf numFmtId="0" fontId="10" fillId="0" borderId="59" xfId="0" applyFont="1" applyBorder="1" applyAlignment="1">
      <alignment horizontal="center"/>
    </xf>
    <xf numFmtId="0" fontId="3" fillId="0" borderId="59" xfId="0" applyFont="1" applyBorder="1" applyAlignment="1">
      <alignment horizontal="center"/>
    </xf>
    <xf numFmtId="0" fontId="3" fillId="0" borderId="60" xfId="0" applyFont="1" applyBorder="1"/>
    <xf numFmtId="0" fontId="10" fillId="0" borderId="58" xfId="0" applyFont="1" applyBorder="1" applyAlignment="1">
      <alignment horizontal="center"/>
    </xf>
    <xf numFmtId="0" fontId="10" fillId="0" borderId="59" xfId="0" applyFont="1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0" fillId="0" borderId="58" xfId="0" applyFont="1" applyBorder="1"/>
    <xf numFmtId="2" fontId="6" fillId="0" borderId="52" xfId="0" applyNumberFormat="1" applyFont="1" applyBorder="1" applyAlignment="1">
      <alignment horizontal="center"/>
    </xf>
    <xf numFmtId="168" fontId="6" fillId="0" borderId="52" xfId="0" applyNumberFormat="1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58" xfId="0" applyBorder="1" applyAlignment="1">
      <alignment horizontal="left"/>
    </xf>
    <xf numFmtId="0" fontId="5" fillId="0" borderId="61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16" fillId="4" borderId="30" xfId="0" applyFont="1" applyFill="1" applyBorder="1" applyAlignment="1">
      <alignment horizontal="center"/>
    </xf>
    <xf numFmtId="0" fontId="1" fillId="0" borderId="3" xfId="0" applyFont="1" applyBorder="1" applyAlignment="1">
      <alignment horizontal="centerContinuous" vertical="center"/>
    </xf>
    <xf numFmtId="0" fontId="0" fillId="0" borderId="4" xfId="0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3" fillId="2" borderId="3" xfId="0" applyFont="1" applyFill="1" applyBorder="1"/>
    <xf numFmtId="0" fontId="0" fillId="2" borderId="4" xfId="0" applyFill="1" applyBorder="1"/>
    <xf numFmtId="0" fontId="0" fillId="2" borderId="2" xfId="0" applyFill="1" applyBorder="1"/>
    <xf numFmtId="0" fontId="17" fillId="0" borderId="0" xfId="0" applyFont="1" applyAlignment="1">
      <alignment horizontal="right"/>
    </xf>
    <xf numFmtId="0" fontId="0" fillId="0" borderId="63" xfId="0" applyBorder="1"/>
    <xf numFmtId="169" fontId="0" fillId="0" borderId="64" xfId="0" applyNumberFormat="1" applyBorder="1" applyAlignment="1">
      <alignment horizontal="centerContinuous"/>
    </xf>
    <xf numFmtId="165" fontId="2" fillId="0" borderId="65" xfId="0" applyNumberFormat="1" applyFont="1" applyBorder="1" applyAlignment="1">
      <alignment horizontal="center"/>
    </xf>
    <xf numFmtId="0" fontId="3" fillId="2" borderId="66" xfId="0" applyFont="1" applyFill="1" applyBorder="1"/>
    <xf numFmtId="0" fontId="0" fillId="2" borderId="67" xfId="0" applyFill="1" applyBorder="1"/>
    <xf numFmtId="0" fontId="0" fillId="2" borderId="68" xfId="0" applyFill="1" applyBorder="1"/>
    <xf numFmtId="0" fontId="0" fillId="0" borderId="69" xfId="0" applyBorder="1" applyAlignment="1">
      <alignment horizontal="center"/>
    </xf>
    <xf numFmtId="1" fontId="2" fillId="0" borderId="38" xfId="0" applyNumberFormat="1" applyFont="1" applyBorder="1" applyAlignment="1">
      <alignment horizontal="center"/>
    </xf>
    <xf numFmtId="165" fontId="2" fillId="0" borderId="34" xfId="0" applyNumberFormat="1" applyFont="1" applyBorder="1" applyAlignment="1">
      <alignment horizontal="center"/>
    </xf>
    <xf numFmtId="1" fontId="2" fillId="0" borderId="63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1" fontId="2" fillId="0" borderId="70" xfId="0" applyNumberFormat="1" applyFont="1" applyBorder="1" applyAlignment="1">
      <alignment horizontal="center"/>
    </xf>
    <xf numFmtId="165" fontId="2" fillId="0" borderId="71" xfId="0" applyNumberFormat="1" applyFont="1" applyBorder="1" applyAlignment="1">
      <alignment horizontal="center"/>
    </xf>
    <xf numFmtId="0" fontId="0" fillId="0" borderId="1" xfId="0" applyBorder="1"/>
    <xf numFmtId="0" fontId="13" fillId="5" borderId="3" xfId="0" applyFont="1" applyFill="1" applyBorder="1"/>
    <xf numFmtId="0" fontId="0" fillId="5" borderId="4" xfId="0" applyFill="1" applyBorder="1"/>
    <xf numFmtId="0" fontId="0" fillId="5" borderId="2" xfId="0" applyFill="1" applyBorder="1"/>
    <xf numFmtId="0" fontId="2" fillId="0" borderId="0" xfId="0" applyFont="1"/>
    <xf numFmtId="165" fontId="2" fillId="0" borderId="42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0" fontId="2" fillId="6" borderId="65" xfId="0" applyFont="1" applyFill="1" applyBorder="1" applyAlignment="1">
      <alignment horizontal="center"/>
    </xf>
    <xf numFmtId="0" fontId="0" fillId="0" borderId="73" xfId="0" applyBorder="1" applyAlignment="1">
      <alignment horizontal="center"/>
    </xf>
    <xf numFmtId="1" fontId="2" fillId="0" borderId="45" xfId="0" applyNumberFormat="1" applyFont="1" applyBorder="1" applyAlignment="1">
      <alignment horizontal="center"/>
    </xf>
    <xf numFmtId="2" fontId="2" fillId="0" borderId="70" xfId="0" applyNumberFormat="1" applyFont="1" applyBorder="1" applyAlignment="1">
      <alignment horizontal="center"/>
    </xf>
    <xf numFmtId="1" fontId="2" fillId="0" borderId="34" xfId="0" applyNumberFormat="1" applyFont="1" applyBorder="1" applyAlignment="1">
      <alignment horizontal="center"/>
    </xf>
    <xf numFmtId="164" fontId="2" fillId="0" borderId="38" xfId="0" applyNumberFormat="1" applyFont="1" applyBorder="1" applyAlignment="1">
      <alignment horizontal="center"/>
    </xf>
    <xf numFmtId="0" fontId="2" fillId="0" borderId="71" xfId="0" applyFont="1" applyBorder="1" applyAlignment="1">
      <alignment horizontal="center"/>
    </xf>
    <xf numFmtId="164" fontId="2" fillId="0" borderId="70" xfId="0" applyNumberFormat="1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164" fontId="2" fillId="0" borderId="45" xfId="0" applyNumberFormat="1" applyFont="1" applyBorder="1" applyAlignment="1">
      <alignment horizontal="center"/>
    </xf>
    <xf numFmtId="165" fontId="2" fillId="0" borderId="74" xfId="0" applyNumberFormat="1" applyFont="1" applyBorder="1" applyAlignment="1">
      <alignment horizontal="center"/>
    </xf>
    <xf numFmtId="0" fontId="14" fillId="7" borderId="75" xfId="0" applyFont="1" applyFill="1" applyBorder="1" applyAlignment="1">
      <alignment horizontal="center"/>
    </xf>
    <xf numFmtId="165" fontId="2" fillId="0" borderId="76" xfId="0" applyNumberFormat="1" applyFont="1" applyBorder="1" applyAlignment="1">
      <alignment horizontal="center"/>
    </xf>
    <xf numFmtId="165" fontId="2" fillId="0" borderId="70" xfId="0" applyNumberFormat="1" applyFont="1" applyBorder="1" applyAlignment="1">
      <alignment horizontal="center"/>
    </xf>
    <xf numFmtId="165" fontId="2" fillId="0" borderId="45" xfId="0" applyNumberFormat="1" applyFont="1" applyBorder="1" applyAlignment="1">
      <alignment horizontal="center"/>
    </xf>
    <xf numFmtId="0" fontId="18" fillId="0" borderId="0" xfId="0" applyFont="1" applyAlignment="1">
      <alignment horizontal="center"/>
    </xf>
    <xf numFmtId="1" fontId="2" fillId="2" borderId="1" xfId="0" applyNumberFormat="1" applyFont="1" applyFill="1" applyBorder="1" applyAlignment="1">
      <alignment horizontal="center"/>
    </xf>
    <xf numFmtId="165" fontId="2" fillId="0" borderId="38" xfId="0" applyNumberFormat="1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19" fillId="0" borderId="0" xfId="0" applyFont="1" applyAlignment="1">
      <alignment horizontal="center"/>
    </xf>
    <xf numFmtId="165" fontId="2" fillId="0" borderId="77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2" fontId="2" fillId="0" borderId="19" xfId="0" applyNumberFormat="1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171" fontId="2" fillId="0" borderId="0" xfId="0" applyNumberFormat="1" applyFont="1" applyAlignment="1">
      <alignment horizontal="center"/>
    </xf>
    <xf numFmtId="0" fontId="5" fillId="0" borderId="3" xfId="0" applyFont="1" applyBorder="1" applyAlignment="1">
      <alignment vertical="center"/>
    </xf>
    <xf numFmtId="0" fontId="2" fillId="0" borderId="3" xfId="0" applyFont="1" applyBorder="1"/>
    <xf numFmtId="0" fontId="4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0" fillId="0" borderId="4" xfId="0" applyBorder="1"/>
    <xf numFmtId="0" fontId="0" fillId="0" borderId="2" xfId="0" applyBorder="1"/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5" fillId="0" borderId="78" xfId="0" applyFont="1" applyBorder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4" fillId="0" borderId="0" xfId="0" applyFont="1"/>
    <xf numFmtId="0" fontId="13" fillId="0" borderId="0" xfId="0" applyFont="1" applyAlignment="1">
      <alignment horizontal="center"/>
    </xf>
    <xf numFmtId="168" fontId="24" fillId="0" borderId="0" xfId="0" applyNumberFormat="1" applyFont="1" applyAlignment="1">
      <alignment horizontal="center"/>
    </xf>
    <xf numFmtId="0" fontId="2" fillId="0" borderId="4" xfId="0" applyFont="1" applyBorder="1" applyAlignment="1">
      <alignment vertical="center"/>
    </xf>
    <xf numFmtId="0" fontId="6" fillId="5" borderId="14" xfId="0" applyFont="1" applyFill="1" applyBorder="1" applyAlignment="1">
      <alignment horizontal="center"/>
    </xf>
    <xf numFmtId="0" fontId="25" fillId="5" borderId="0" xfId="0" applyFont="1" applyFill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27" xfId="0" applyFont="1" applyFill="1" applyBorder="1" applyAlignment="1">
      <alignment horizontal="center"/>
    </xf>
    <xf numFmtId="0" fontId="10" fillId="5" borderId="7" xfId="0" applyFont="1" applyFill="1" applyBorder="1" applyAlignment="1">
      <alignment horizontal="center"/>
    </xf>
    <xf numFmtId="0" fontId="10" fillId="5" borderId="15" xfId="0" applyFont="1" applyFill="1" applyBorder="1" applyAlignment="1">
      <alignment horizontal="center"/>
    </xf>
    <xf numFmtId="0" fontId="26" fillId="5" borderId="15" xfId="0" applyFont="1" applyFill="1" applyBorder="1" applyAlignment="1">
      <alignment horizontal="center"/>
    </xf>
    <xf numFmtId="0" fontId="26" fillId="0" borderId="14" xfId="0" applyFont="1" applyBorder="1" applyAlignment="1">
      <alignment horizontal="center"/>
    </xf>
    <xf numFmtId="2" fontId="26" fillId="0" borderId="16" xfId="0" applyNumberFormat="1" applyFont="1" applyBorder="1" applyAlignment="1">
      <alignment horizontal="center"/>
    </xf>
    <xf numFmtId="2" fontId="26" fillId="0" borderId="16" xfId="0" applyNumberFormat="1" applyFont="1" applyBorder="1"/>
    <xf numFmtId="2" fontId="26" fillId="0" borderId="17" xfId="0" applyNumberFormat="1" applyFont="1" applyBorder="1"/>
    <xf numFmtId="0" fontId="6" fillId="8" borderId="14" xfId="0" applyFont="1" applyFill="1" applyBorder="1" applyAlignment="1">
      <alignment horizontal="center"/>
    </xf>
    <xf numFmtId="0" fontId="13" fillId="8" borderId="0" xfId="0" applyFont="1" applyFill="1" applyAlignment="1">
      <alignment horizontal="center"/>
    </xf>
    <xf numFmtId="0" fontId="6" fillId="8" borderId="27" xfId="0" applyFont="1" applyFill="1" applyBorder="1" applyAlignment="1">
      <alignment horizontal="center"/>
    </xf>
    <xf numFmtId="0" fontId="26" fillId="8" borderId="15" xfId="0" applyFont="1" applyFill="1" applyBorder="1" applyAlignment="1">
      <alignment horizontal="center"/>
    </xf>
    <xf numFmtId="0" fontId="27" fillId="9" borderId="0" xfId="0" applyFont="1" applyFill="1" applyAlignment="1">
      <alignment horizontal="center"/>
    </xf>
    <xf numFmtId="0" fontId="6" fillId="9" borderId="14" xfId="0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6" fillId="10" borderId="14" xfId="0" applyFont="1" applyFill="1" applyBorder="1" applyAlignment="1">
      <alignment horizontal="center"/>
    </xf>
    <xf numFmtId="0" fontId="13" fillId="10" borderId="0" xfId="0" applyFont="1" applyFill="1" applyAlignment="1">
      <alignment horizontal="center"/>
    </xf>
    <xf numFmtId="0" fontId="6" fillId="9" borderId="27" xfId="0" applyFont="1" applyFill="1" applyBorder="1" applyAlignment="1">
      <alignment horizontal="center"/>
    </xf>
    <xf numFmtId="0" fontId="26" fillId="11" borderId="15" xfId="0" applyFont="1" applyFill="1" applyBorder="1" applyAlignment="1">
      <alignment horizontal="center"/>
    </xf>
    <xf numFmtId="0" fontId="10" fillId="8" borderId="59" xfId="0" applyFont="1" applyFill="1" applyBorder="1" applyAlignment="1">
      <alignment horizontal="center"/>
    </xf>
    <xf numFmtId="0" fontId="3" fillId="8" borderId="59" xfId="0" applyFont="1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0" fillId="8" borderId="60" xfId="0" applyFill="1" applyBorder="1" applyAlignment="1">
      <alignment horizontal="center"/>
    </xf>
    <xf numFmtId="0" fontId="3" fillId="11" borderId="59" xfId="0" applyFont="1" applyFill="1" applyBorder="1" applyAlignment="1">
      <alignment horizontal="center"/>
    </xf>
    <xf numFmtId="0" fontId="2" fillId="11" borderId="59" xfId="0" applyFont="1" applyFill="1" applyBorder="1" applyAlignment="1">
      <alignment horizontal="center"/>
    </xf>
    <xf numFmtId="0" fontId="0" fillId="11" borderId="59" xfId="0" applyFill="1" applyBorder="1" applyAlignment="1">
      <alignment horizontal="center"/>
    </xf>
    <xf numFmtId="0" fontId="0" fillId="8" borderId="0" xfId="0" applyFill="1"/>
    <xf numFmtId="165" fontId="2" fillId="3" borderId="34" xfId="0" applyNumberFormat="1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165" fontId="2" fillId="4" borderId="34" xfId="0" applyNumberFormat="1" applyFont="1" applyFill="1" applyBorder="1" applyAlignment="1">
      <alignment horizontal="center"/>
    </xf>
    <xf numFmtId="0" fontId="2" fillId="4" borderId="34" xfId="0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2" fontId="0" fillId="0" borderId="80" xfId="0" applyNumberFormat="1" applyBorder="1" applyAlignment="1">
      <alignment horizontal="center"/>
    </xf>
    <xf numFmtId="0" fontId="0" fillId="0" borderId="81" xfId="0" applyBorder="1" applyAlignment="1">
      <alignment horizontal="center"/>
    </xf>
    <xf numFmtId="2" fontId="0" fillId="0" borderId="82" xfId="0" applyNumberFormat="1" applyBorder="1" applyAlignment="1">
      <alignment horizontal="center"/>
    </xf>
    <xf numFmtId="0" fontId="0" fillId="0" borderId="83" xfId="0" applyBorder="1" applyAlignment="1">
      <alignment horizontal="center"/>
    </xf>
    <xf numFmtId="2" fontId="0" fillId="0" borderId="84" xfId="0" applyNumberFormat="1" applyBorder="1" applyAlignment="1">
      <alignment horizontal="center"/>
    </xf>
    <xf numFmtId="0" fontId="29" fillId="4" borderId="85" xfId="0" applyFont="1" applyFill="1" applyBorder="1" applyAlignment="1">
      <alignment horizontal="center"/>
    </xf>
    <xf numFmtId="0" fontId="29" fillId="4" borderId="86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2" fontId="10" fillId="9" borderId="16" xfId="0" applyNumberFormat="1" applyFont="1" applyFill="1" applyBorder="1"/>
    <xf numFmtId="0" fontId="10" fillId="9" borderId="14" xfId="0" applyFont="1" applyFill="1" applyBorder="1" applyAlignment="1">
      <alignment horizontal="center"/>
    </xf>
    <xf numFmtId="2" fontId="27" fillId="0" borderId="0" xfId="0" applyNumberFormat="1" applyFont="1"/>
    <xf numFmtId="1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2" fontId="14" fillId="7" borderId="75" xfId="0" applyNumberFormat="1" applyFont="1" applyFill="1" applyBorder="1" applyAlignment="1">
      <alignment horizontal="center"/>
    </xf>
    <xf numFmtId="0" fontId="29" fillId="4" borderId="87" xfId="0" applyFont="1" applyFill="1" applyBorder="1" applyAlignment="1">
      <alignment horizontal="center"/>
    </xf>
    <xf numFmtId="0" fontId="0" fillId="0" borderId="88" xfId="0" applyBorder="1" applyAlignment="1">
      <alignment horizontal="center"/>
    </xf>
    <xf numFmtId="1" fontId="0" fillId="0" borderId="89" xfId="0" applyNumberFormat="1" applyBorder="1" applyAlignment="1">
      <alignment horizontal="center"/>
    </xf>
    <xf numFmtId="1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1" fontId="0" fillId="0" borderId="92" xfId="0" applyNumberFormat="1" applyBorder="1" applyAlignment="1">
      <alignment horizontal="center"/>
    </xf>
    <xf numFmtId="1" fontId="0" fillId="0" borderId="93" xfId="0" applyNumberFormat="1" applyBorder="1" applyAlignment="1">
      <alignment horizontal="center"/>
    </xf>
    <xf numFmtId="0" fontId="0" fillId="0" borderId="94" xfId="0" applyBorder="1" applyAlignment="1">
      <alignment horizontal="center"/>
    </xf>
    <xf numFmtId="1" fontId="0" fillId="0" borderId="95" xfId="0" applyNumberFormat="1" applyBorder="1" applyAlignment="1">
      <alignment horizontal="center"/>
    </xf>
    <xf numFmtId="1" fontId="0" fillId="0" borderId="96" xfId="0" applyNumberFormat="1" applyBorder="1" applyAlignment="1">
      <alignment horizontal="center"/>
    </xf>
    <xf numFmtId="1" fontId="0" fillId="0" borderId="97" xfId="0" applyNumberFormat="1" applyBorder="1" applyAlignment="1">
      <alignment horizontal="center"/>
    </xf>
    <xf numFmtId="1" fontId="0" fillId="0" borderId="98" xfId="0" applyNumberFormat="1" applyBorder="1" applyAlignment="1">
      <alignment horizontal="center"/>
    </xf>
    <xf numFmtId="1" fontId="0" fillId="0" borderId="99" xfId="0" applyNumberFormat="1" applyBorder="1" applyAlignment="1">
      <alignment horizontal="center"/>
    </xf>
    <xf numFmtId="0" fontId="29" fillId="4" borderId="100" xfId="0" applyFont="1" applyFill="1" applyBorder="1" applyAlignment="1">
      <alignment horizontal="center"/>
    </xf>
    <xf numFmtId="0" fontId="13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70" fontId="14" fillId="3" borderId="0" xfId="0" applyNumberFormat="1" applyFont="1" applyFill="1" applyAlignment="1">
      <alignment horizontal="center"/>
    </xf>
    <xf numFmtId="0" fontId="29" fillId="3" borderId="0" xfId="0" applyFont="1" applyFill="1" applyAlignment="1">
      <alignment horizontal="center"/>
    </xf>
    <xf numFmtId="0" fontId="6" fillId="12" borderId="14" xfId="0" applyFont="1" applyFill="1" applyBorder="1" applyAlignment="1">
      <alignment horizontal="center"/>
    </xf>
    <xf numFmtId="0" fontId="30" fillId="12" borderId="0" xfId="0" applyFont="1" applyFill="1"/>
    <xf numFmtId="0" fontId="6" fillId="12" borderId="6" xfId="0" applyFont="1" applyFill="1" applyBorder="1" applyAlignment="1">
      <alignment horizontal="center"/>
    </xf>
    <xf numFmtId="0" fontId="6" fillId="12" borderId="27" xfId="0" applyFont="1" applyFill="1" applyBorder="1" applyAlignment="1">
      <alignment horizontal="center"/>
    </xf>
    <xf numFmtId="0" fontId="26" fillId="12" borderId="15" xfId="0" applyFont="1" applyFill="1" applyBorder="1" applyAlignment="1">
      <alignment horizontal="center"/>
    </xf>
    <xf numFmtId="0" fontId="3" fillId="0" borderId="23" xfId="0" applyFont="1" applyBorder="1" applyProtection="1">
      <protection hidden="1"/>
    </xf>
    <xf numFmtId="0" fontId="3" fillId="0" borderId="101" xfId="0" applyFont="1" applyBorder="1" applyAlignment="1" applyProtection="1">
      <alignment horizontal="center"/>
      <protection hidden="1"/>
    </xf>
    <xf numFmtId="0" fontId="3" fillId="0" borderId="24" xfId="0" applyFont="1" applyBorder="1" applyProtection="1">
      <protection hidden="1"/>
    </xf>
    <xf numFmtId="0" fontId="0" fillId="0" borderId="102" xfId="0" applyBorder="1" applyAlignment="1">
      <alignment horizontal="center"/>
    </xf>
    <xf numFmtId="2" fontId="0" fillId="0" borderId="0" xfId="0" applyNumberFormat="1"/>
    <xf numFmtId="0" fontId="0" fillId="13" borderId="0" xfId="0" applyFill="1"/>
    <xf numFmtId="0" fontId="24" fillId="13" borderId="0" xfId="0" applyFont="1" applyFill="1"/>
    <xf numFmtId="0" fontId="0" fillId="14" borderId="0" xfId="0" applyFill="1"/>
    <xf numFmtId="172" fontId="24" fillId="0" borderId="0" xfId="0" applyNumberFormat="1" applyFont="1"/>
    <xf numFmtId="0" fontId="0" fillId="15" borderId="0" xfId="0" applyFill="1"/>
    <xf numFmtId="2" fontId="2" fillId="0" borderId="45" xfId="0" applyNumberFormat="1" applyFont="1" applyBorder="1" applyAlignment="1">
      <alignment horizontal="center"/>
    </xf>
    <xf numFmtId="1" fontId="34" fillId="0" borderId="45" xfId="0" applyNumberFormat="1" applyFont="1" applyBorder="1" applyAlignment="1">
      <alignment horizontal="center"/>
    </xf>
    <xf numFmtId="0" fontId="35" fillId="16" borderId="0" xfId="0" applyFont="1" applyFill="1"/>
    <xf numFmtId="0" fontId="32" fillId="0" borderId="0" xfId="1" applyFont="1" applyAlignment="1">
      <alignment horizontal="left" vertical="center"/>
    </xf>
    <xf numFmtId="165" fontId="2" fillId="0" borderId="18" xfId="0" applyNumberFormat="1" applyFont="1" applyBorder="1" applyAlignment="1">
      <alignment horizontal="center"/>
    </xf>
    <xf numFmtId="0" fontId="13" fillId="0" borderId="0" xfId="0" applyFont="1" applyAlignment="1" applyProtection="1">
      <alignment horizontal="center"/>
      <protection hidden="1"/>
    </xf>
    <xf numFmtId="0" fontId="24" fillId="17" borderId="0" xfId="0" applyFont="1" applyFill="1"/>
    <xf numFmtId="0" fontId="24" fillId="17" borderId="0" xfId="0" applyFont="1" applyFill="1" applyAlignment="1" applyProtection="1">
      <alignment horizontal="centerContinuous"/>
      <protection hidden="1"/>
    </xf>
    <xf numFmtId="173" fontId="0" fillId="0" borderId="0" xfId="0" applyNumberFormat="1"/>
    <xf numFmtId="168" fontId="24" fillId="0" borderId="0" xfId="0" applyNumberFormat="1" applyFont="1"/>
    <xf numFmtId="168" fontId="0" fillId="0" borderId="0" xfId="0" applyNumberFormat="1"/>
    <xf numFmtId="0" fontId="24" fillId="0" borderId="5" xfId="0" applyFont="1" applyBorder="1"/>
    <xf numFmtId="0" fontId="36" fillId="17" borderId="5" xfId="0" applyFont="1" applyFill="1" applyBorder="1"/>
    <xf numFmtId="0" fontId="0" fillId="0" borderId="106" xfId="0" applyBorder="1"/>
    <xf numFmtId="2" fontId="0" fillId="0" borderId="106" xfId="0" applyNumberFormat="1" applyBorder="1"/>
    <xf numFmtId="2" fontId="24" fillId="17" borderId="106" xfId="0" applyNumberFormat="1" applyFont="1" applyFill="1" applyBorder="1" applyAlignment="1" applyProtection="1">
      <alignment horizontal="centerContinuous"/>
      <protection hidden="1"/>
    </xf>
    <xf numFmtId="168" fontId="0" fillId="0" borderId="106" xfId="0" applyNumberFormat="1" applyBorder="1"/>
    <xf numFmtId="0" fontId="0" fillId="0" borderId="107" xfId="0" applyBorder="1"/>
    <xf numFmtId="2" fontId="0" fillId="0" borderId="108" xfId="0" applyNumberFormat="1" applyBorder="1"/>
    <xf numFmtId="2" fontId="24" fillId="17" borderId="108" xfId="0" applyNumberFormat="1" applyFont="1" applyFill="1" applyBorder="1" applyAlignment="1" applyProtection="1">
      <alignment horizontal="centerContinuous"/>
      <protection hidden="1"/>
    </xf>
    <xf numFmtId="168" fontId="0" fillId="0" borderId="108" xfId="0" applyNumberFormat="1" applyBorder="1"/>
    <xf numFmtId="168" fontId="24" fillId="17" borderId="108" xfId="0" applyNumberFormat="1" applyFont="1" applyFill="1" applyBorder="1" applyAlignment="1" applyProtection="1">
      <alignment horizontal="centerContinuous"/>
      <protection hidden="1"/>
    </xf>
    <xf numFmtId="168" fontId="24" fillId="0" borderId="108" xfId="0" applyNumberFormat="1" applyFont="1" applyBorder="1"/>
    <xf numFmtId="168" fontId="0" fillId="0" borderId="109" xfId="0" applyNumberFormat="1" applyBorder="1"/>
    <xf numFmtId="0" fontId="0" fillId="0" borderId="110" xfId="0" applyBorder="1"/>
    <xf numFmtId="168" fontId="0" fillId="0" borderId="111" xfId="0" applyNumberFormat="1" applyBorder="1"/>
    <xf numFmtId="0" fontId="0" fillId="0" borderId="112" xfId="0" applyBorder="1"/>
    <xf numFmtId="2" fontId="0" fillId="0" borderId="113" xfId="0" applyNumberFormat="1" applyBorder="1"/>
    <xf numFmtId="2" fontId="24" fillId="17" borderId="113" xfId="0" applyNumberFormat="1" applyFont="1" applyFill="1" applyBorder="1" applyAlignment="1" applyProtection="1">
      <alignment horizontal="centerContinuous"/>
      <protection hidden="1"/>
    </xf>
    <xf numFmtId="168" fontId="0" fillId="0" borderId="113" xfId="0" applyNumberFormat="1" applyBorder="1"/>
    <xf numFmtId="168" fontId="0" fillId="0" borderId="114" xfId="0" applyNumberFormat="1" applyBorder="1"/>
    <xf numFmtId="0" fontId="0" fillId="0" borderId="108" xfId="0" applyBorder="1"/>
    <xf numFmtId="0" fontId="0" fillId="0" borderId="109" xfId="0" applyBorder="1"/>
    <xf numFmtId="0" fontId="0" fillId="0" borderId="111" xfId="0" applyBorder="1"/>
    <xf numFmtId="0" fontId="0" fillId="0" borderId="113" xfId="0" applyBorder="1"/>
    <xf numFmtId="0" fontId="0" fillId="0" borderId="114" xfId="0" applyBorder="1"/>
    <xf numFmtId="0" fontId="24" fillId="0" borderId="102" xfId="0" applyFont="1" applyBorder="1" applyAlignment="1">
      <alignment horizontal="center"/>
    </xf>
    <xf numFmtId="167" fontId="6" fillId="0" borderId="16" xfId="0" applyNumberFormat="1" applyFont="1" applyBorder="1" applyAlignment="1">
      <alignment horizontal="center"/>
    </xf>
    <xf numFmtId="167" fontId="6" fillId="0" borderId="8" xfId="0" applyNumberFormat="1" applyFont="1" applyBorder="1" applyAlignment="1">
      <alignment horizontal="center"/>
    </xf>
    <xf numFmtId="167" fontId="6" fillId="0" borderId="54" xfId="0" applyNumberFormat="1" applyFont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12" fillId="18" borderId="68" xfId="0" applyFont="1" applyFill="1" applyBorder="1" applyAlignment="1">
      <alignment horizontal="center" vertical="center" textRotation="90" wrapText="1"/>
    </xf>
    <xf numFmtId="0" fontId="12" fillId="18" borderId="30" xfId="0" applyFont="1" applyFill="1" applyBorder="1" applyAlignment="1">
      <alignment horizontal="center" vertical="center" textRotation="90"/>
    </xf>
    <xf numFmtId="1" fontId="24" fillId="19" borderId="115" xfId="0" applyNumberFormat="1" applyFont="1" applyFill="1" applyBorder="1" applyAlignment="1">
      <alignment horizontal="center" vertical="center" wrapText="1"/>
    </xf>
    <xf numFmtId="1" fontId="24" fillId="20" borderId="116" xfId="0" applyNumberFormat="1" applyFont="1" applyFill="1" applyBorder="1" applyAlignment="1">
      <alignment horizontal="center" vertical="center" wrapText="1"/>
    </xf>
    <xf numFmtId="1" fontId="24" fillId="19" borderId="116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67" fontId="24" fillId="19" borderId="115" xfId="0" applyNumberFormat="1" applyFont="1" applyFill="1" applyBorder="1" applyAlignment="1">
      <alignment horizontal="center" vertical="center" wrapText="1"/>
    </xf>
    <xf numFmtId="167" fontId="24" fillId="20" borderId="116" xfId="0" applyNumberFormat="1" applyFont="1" applyFill="1" applyBorder="1" applyAlignment="1">
      <alignment horizontal="center" vertical="center" wrapText="1"/>
    </xf>
    <xf numFmtId="167" fontId="24" fillId="19" borderId="116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4" fillId="0" borderId="112" xfId="0" applyFont="1" applyBorder="1"/>
    <xf numFmtId="0" fontId="24" fillId="0" borderId="110" xfId="0" applyFont="1" applyBorder="1"/>
    <xf numFmtId="0" fontId="2" fillId="0" borderId="117" xfId="0" applyFont="1" applyBorder="1"/>
    <xf numFmtId="0" fontId="2" fillId="0" borderId="118" xfId="0" applyFont="1" applyBorder="1" applyAlignment="1">
      <alignment horizontal="centerContinuous"/>
    </xf>
    <xf numFmtId="0" fontId="2" fillId="0" borderId="119" xfId="0" applyFont="1" applyBorder="1" applyAlignment="1">
      <alignment horizontal="centerContinuous"/>
    </xf>
    <xf numFmtId="0" fontId="2" fillId="0" borderId="120" xfId="0" applyFont="1" applyBorder="1" applyAlignment="1">
      <alignment horizontal="center" vertical="center" textRotation="90"/>
    </xf>
    <xf numFmtId="0" fontId="2" fillId="0" borderId="121" xfId="0" applyFont="1" applyBorder="1" applyAlignment="1">
      <alignment horizontal="center" vertical="center" textRotation="90"/>
    </xf>
    <xf numFmtId="0" fontId="2" fillId="0" borderId="122" xfId="0" applyFont="1" applyBorder="1" applyAlignment="1">
      <alignment horizontal="center" vertical="center" textRotation="90"/>
    </xf>
    <xf numFmtId="0" fontId="6" fillId="0" borderId="121" xfId="0" applyFont="1" applyBorder="1" applyAlignment="1">
      <alignment horizontal="center"/>
    </xf>
    <xf numFmtId="0" fontId="6" fillId="0" borderId="120" xfId="0" applyFont="1" applyBorder="1" applyAlignment="1">
      <alignment horizontal="center"/>
    </xf>
    <xf numFmtId="0" fontId="0" fillId="0" borderId="121" xfId="0" applyBorder="1" applyAlignment="1">
      <alignment horizontal="center"/>
    </xf>
    <xf numFmtId="0" fontId="6" fillId="0" borderId="123" xfId="0" applyFont="1" applyBorder="1" applyAlignment="1">
      <alignment horizontal="center"/>
    </xf>
    <xf numFmtId="0" fontId="6" fillId="0" borderId="124" xfId="0" applyFont="1" applyBorder="1" applyAlignment="1">
      <alignment horizontal="center"/>
    </xf>
    <xf numFmtId="0" fontId="0" fillId="0" borderId="124" xfId="0" applyBorder="1" applyAlignment="1">
      <alignment horizontal="center"/>
    </xf>
    <xf numFmtId="0" fontId="6" fillId="21" borderId="120" xfId="0" applyFont="1" applyFill="1" applyBorder="1" applyAlignment="1">
      <alignment horizontal="center"/>
    </xf>
    <xf numFmtId="0" fontId="6" fillId="21" borderId="121" xfId="0" applyFont="1" applyFill="1" applyBorder="1" applyAlignment="1">
      <alignment horizontal="center"/>
    </xf>
    <xf numFmtId="0" fontId="0" fillId="21" borderId="121" xfId="0" applyFill="1" applyBorder="1" applyAlignment="1">
      <alignment horizontal="center"/>
    </xf>
    <xf numFmtId="0" fontId="38" fillId="0" borderId="125" xfId="0" applyFont="1" applyBorder="1" applyAlignment="1">
      <alignment horizontal="center" vertical="center"/>
    </xf>
    <xf numFmtId="2" fontId="38" fillId="0" borderId="125" xfId="0" applyNumberFormat="1" applyFont="1" applyBorder="1" applyAlignment="1">
      <alignment horizontal="center" vertical="center"/>
    </xf>
    <xf numFmtId="2" fontId="39" fillId="0" borderId="126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left" vertical="center" wrapText="1"/>
    </xf>
    <xf numFmtId="1" fontId="0" fillId="0" borderId="0" xfId="0" applyNumberFormat="1"/>
    <xf numFmtId="0" fontId="24" fillId="0" borderId="22" xfId="0" applyFont="1" applyBorder="1" applyAlignment="1">
      <alignment horizontal="center"/>
    </xf>
    <xf numFmtId="0" fontId="24" fillId="0" borderId="0" xfId="0" applyFont="1" applyAlignment="1">
      <alignment horizontal="left"/>
    </xf>
    <xf numFmtId="0" fontId="24" fillId="0" borderId="73" xfId="0" applyFont="1" applyBorder="1" applyAlignment="1">
      <alignment horizontal="center"/>
    </xf>
    <xf numFmtId="165" fontId="0" fillId="0" borderId="0" xfId="0" applyNumberFormat="1"/>
    <xf numFmtId="1" fontId="24" fillId="0" borderId="0" xfId="0" applyNumberFormat="1" applyFont="1"/>
    <xf numFmtId="0" fontId="25" fillId="0" borderId="127" xfId="0" applyFont="1" applyBorder="1" applyAlignment="1" applyProtection="1">
      <alignment horizontal="centerContinuous"/>
      <protection hidden="1"/>
    </xf>
    <xf numFmtId="0" fontId="25" fillId="0" borderId="128" xfId="0" applyFont="1" applyBorder="1" applyAlignment="1" applyProtection="1">
      <alignment horizontal="centerContinuous"/>
      <protection hidden="1"/>
    </xf>
    <xf numFmtId="0" fontId="0" fillId="0" borderId="129" xfId="0" applyBorder="1"/>
    <xf numFmtId="0" fontId="0" fillId="0" borderId="130" xfId="0" applyBorder="1"/>
    <xf numFmtId="0" fontId="25" fillId="0" borderId="131" xfId="0" applyFont="1" applyBorder="1" applyAlignment="1" applyProtection="1">
      <alignment horizontal="centerContinuous"/>
      <protection hidden="1"/>
    </xf>
    <xf numFmtId="0" fontId="25" fillId="0" borderId="125" xfId="0" applyFont="1" applyBorder="1" applyAlignment="1" applyProtection="1">
      <alignment horizontal="centerContinuous"/>
      <protection hidden="1"/>
    </xf>
    <xf numFmtId="0" fontId="0" fillId="0" borderId="132" xfId="0" applyBorder="1"/>
    <xf numFmtId="0" fontId="0" fillId="0" borderId="133" xfId="0" applyBorder="1"/>
    <xf numFmtId="0" fontId="25" fillId="0" borderId="134" xfId="0" applyFont="1" applyBorder="1" applyAlignment="1" applyProtection="1">
      <alignment horizontal="centerContinuous"/>
      <protection hidden="1"/>
    </xf>
    <xf numFmtId="0" fontId="25" fillId="0" borderId="135" xfId="0" applyFont="1" applyBorder="1" applyAlignment="1" applyProtection="1">
      <alignment horizontal="centerContinuous"/>
      <protection hidden="1"/>
    </xf>
    <xf numFmtId="0" fontId="0" fillId="0" borderId="136" xfId="0" applyBorder="1"/>
    <xf numFmtId="0" fontId="0" fillId="0" borderId="137" xfId="0" applyBorder="1"/>
    <xf numFmtId="174" fontId="0" fillId="0" borderId="0" xfId="0" applyNumberFormat="1"/>
    <xf numFmtId="172" fontId="0" fillId="0" borderId="0" xfId="0" applyNumberFormat="1"/>
    <xf numFmtId="0" fontId="24" fillId="0" borderId="0" xfId="0" quotePrefix="1" applyFont="1"/>
    <xf numFmtId="0" fontId="30" fillId="21" borderId="0" xfId="0" applyFont="1" applyFill="1"/>
    <xf numFmtId="0" fontId="25" fillId="21" borderId="0" xfId="0" applyFont="1" applyFill="1" applyAlignment="1">
      <alignment horizontal="center"/>
    </xf>
    <xf numFmtId="0" fontId="13" fillId="21" borderId="0" xfId="0" applyFont="1" applyFill="1" applyAlignment="1">
      <alignment horizontal="center"/>
    </xf>
    <xf numFmtId="0" fontId="27" fillId="21" borderId="0" xfId="0" applyFont="1" applyFill="1" applyAlignment="1">
      <alignment horizontal="center"/>
    </xf>
    <xf numFmtId="2" fontId="6" fillId="0" borderId="2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9" fillId="4" borderId="103" xfId="0" applyFont="1" applyFill="1" applyBorder="1" applyAlignment="1">
      <alignment horizontal="center"/>
    </xf>
    <xf numFmtId="0" fontId="29" fillId="4" borderId="104" xfId="0" applyFont="1" applyFill="1" applyBorder="1" applyAlignment="1">
      <alignment horizontal="center"/>
    </xf>
    <xf numFmtId="0" fontId="29" fillId="4" borderId="105" xfId="0" applyFont="1" applyFill="1" applyBorder="1" applyAlignment="1">
      <alignment horizontal="center"/>
    </xf>
  </cellXfs>
  <cellStyles count="2">
    <cellStyle name="Normal" xfId="0" builtinId="0"/>
    <cellStyle name="Normal_retrait linéaire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Folha1!$AU$47:$AU$53</c:f>
              <c:strCache>
                <c:ptCount val="7"/>
                <c:pt idx="0">
                  <c:v>8.4</c:v>
                </c:pt>
                <c:pt idx="1">
                  <c:v>9.6</c:v>
                </c:pt>
                <c:pt idx="2">
                  <c:v>12.8</c:v>
                </c:pt>
                <c:pt idx="3">
                  <c:v>14.9</c:v>
                </c:pt>
                <c:pt idx="4">
                  <c:v>24.1</c:v>
                </c:pt>
                <c:pt idx="5">
                  <c:v>26.8</c:v>
                </c:pt>
                <c:pt idx="6">
                  <c:v>29.2</c:v>
                </c:pt>
              </c:strCache>
            </c:strRef>
          </c:tx>
          <c:spPr>
            <a:ln w="28575">
              <a:noFill/>
            </a:ln>
          </c:spPr>
          <c:xVal>
            <c:numRef>
              <c:f>Folha1!$AU$47:$AU$53</c:f>
              <c:numCache>
                <c:formatCode>General</c:formatCode>
                <c:ptCount val="7"/>
                <c:pt idx="0">
                  <c:v>8.4</c:v>
                </c:pt>
                <c:pt idx="1">
                  <c:v>9.6</c:v>
                </c:pt>
                <c:pt idx="2">
                  <c:v>12.8</c:v>
                </c:pt>
                <c:pt idx="3">
                  <c:v>14.9</c:v>
                </c:pt>
                <c:pt idx="4">
                  <c:v>24.1</c:v>
                </c:pt>
                <c:pt idx="5">
                  <c:v>26.8</c:v>
                </c:pt>
                <c:pt idx="6">
                  <c:v>29.2</c:v>
                </c:pt>
              </c:numCache>
            </c:numRef>
          </c:xVal>
          <c:yVal>
            <c:numRef>
              <c:f>Folha1!$AX$47:$AX$53</c:f>
              <c:numCache>
                <c:formatCode>General</c:formatCode>
                <c:ptCount val="7"/>
                <c:pt idx="0">
                  <c:v>-2.6999999999999247E-3</c:v>
                </c:pt>
                <c:pt idx="1">
                  <c:v>-2.4999999999999467E-3</c:v>
                </c:pt>
                <c:pt idx="2">
                  <c:v>-2.1999999999999797E-3</c:v>
                </c:pt>
                <c:pt idx="3">
                  <c:v>-2.0000000000000018E-3</c:v>
                </c:pt>
                <c:pt idx="4">
                  <c:v>-8.9999999999990088E-4</c:v>
                </c:pt>
                <c:pt idx="5">
                  <c:v>0</c:v>
                </c:pt>
                <c:pt idx="6">
                  <c:v>1.0999999999999899E-3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9-4045-A23F-3DBB4B60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4748752"/>
        <c:axId val="-964749296"/>
      </c:scatterChart>
      <c:valAx>
        <c:axId val="-96474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-964749296"/>
        <c:crosses val="autoZero"/>
        <c:crossBetween val="midCat"/>
      </c:valAx>
      <c:valAx>
        <c:axId val="-964749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-964748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438150</xdr:colOff>
      <xdr:row>45</xdr:row>
      <xdr:rowOff>38100</xdr:rowOff>
    </xdr:from>
    <xdr:to>
      <xdr:col>63</xdr:col>
      <xdr:colOff>228600</xdr:colOff>
      <xdr:row>61</xdr:row>
      <xdr:rowOff>152400</xdr:rowOff>
    </xdr:to>
    <xdr:graphicFrame macro="">
      <xdr:nvGraphicFramePr>
        <xdr:cNvPr id="1986" name="Graphique 1">
          <a:extLs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</xdr:row>
          <xdr:rowOff>22860</xdr:rowOff>
        </xdr:from>
        <xdr:to>
          <xdr:col>4</xdr:col>
          <xdr:colOff>426720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1</xdr:row>
          <xdr:rowOff>175260</xdr:rowOff>
        </xdr:from>
        <xdr:to>
          <xdr:col>12</xdr:col>
          <xdr:colOff>304800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</xdr:colOff>
          <xdr:row>2</xdr:row>
          <xdr:rowOff>0</xdr:rowOff>
        </xdr:from>
        <xdr:to>
          <xdr:col>25</xdr:col>
          <xdr:colOff>441960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</xdr:colOff>
          <xdr:row>2</xdr:row>
          <xdr:rowOff>7620</xdr:rowOff>
        </xdr:from>
        <xdr:to>
          <xdr:col>36</xdr:col>
          <xdr:colOff>7620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7620</xdr:colOff>
          <xdr:row>2</xdr:row>
          <xdr:rowOff>7620</xdr:rowOff>
        </xdr:from>
        <xdr:to>
          <xdr:col>54</xdr:col>
          <xdr:colOff>388620</xdr:colOff>
          <xdr:row>2</xdr:row>
          <xdr:rowOff>1409700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7620</xdr:colOff>
          <xdr:row>2</xdr:row>
          <xdr:rowOff>7620</xdr:rowOff>
        </xdr:from>
        <xdr:to>
          <xdr:col>69</xdr:col>
          <xdr:colOff>388620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89</xdr:col>
          <xdr:colOff>7620</xdr:colOff>
          <xdr:row>2</xdr:row>
          <xdr:rowOff>7620</xdr:rowOff>
        </xdr:from>
        <xdr:to>
          <xdr:col>90</xdr:col>
          <xdr:colOff>22860</xdr:colOff>
          <xdr:row>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7620</xdr:colOff>
          <xdr:row>2</xdr:row>
          <xdr:rowOff>7620</xdr:rowOff>
        </xdr:from>
        <xdr:to>
          <xdr:col>109</xdr:col>
          <xdr:colOff>22860</xdr:colOff>
          <xdr:row>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123</xdr:col>
          <xdr:colOff>7620</xdr:colOff>
          <xdr:row>2</xdr:row>
          <xdr:rowOff>7620</xdr:rowOff>
        </xdr:from>
        <xdr:to>
          <xdr:col>123</xdr:col>
          <xdr:colOff>388620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</xdr:row>
          <xdr:rowOff>22860</xdr:rowOff>
        </xdr:from>
        <xdr:to>
          <xdr:col>2</xdr:col>
          <xdr:colOff>655320</xdr:colOff>
          <xdr:row>1</xdr:row>
          <xdr:rowOff>1051560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10</xdr:row>
      <xdr:rowOff>95250</xdr:rowOff>
    </xdr:from>
    <xdr:to>
      <xdr:col>1</xdr:col>
      <xdr:colOff>504825</xdr:colOff>
      <xdr:row>10</xdr:row>
      <xdr:rowOff>95250</xdr:rowOff>
    </xdr:to>
    <xdr:sp macro="" textlink="">
      <xdr:nvSpPr>
        <xdr:cNvPr id="255667" name="Line 1">
          <a:extLst>
            <a:ext uri="{FF2B5EF4-FFF2-40B4-BE49-F238E27FC236}">
              <a16:creationId xmlns:a16="http://schemas.microsoft.com/office/drawing/2014/main" id="{00000000-0008-0000-0200-0000B3E60300}"/>
            </a:ext>
          </a:extLst>
        </xdr:cNvPr>
        <xdr:cNvSpPr>
          <a:spLocks noChangeShapeType="1"/>
        </xdr:cNvSpPr>
      </xdr:nvSpPr>
      <xdr:spPr bwMode="auto">
        <a:xfrm>
          <a:off x="819150" y="1857375"/>
          <a:ext cx="447675" cy="0"/>
        </a:xfrm>
        <a:prstGeom prst="line">
          <a:avLst/>
        </a:prstGeom>
        <a:noFill/>
        <a:ln w="1">
          <a:solidFill>
            <a:srgbClr val="0000FF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3</xdr:row>
          <xdr:rowOff>38100</xdr:rowOff>
        </xdr:from>
        <xdr:to>
          <xdr:col>1</xdr:col>
          <xdr:colOff>647700</xdr:colOff>
          <xdr:row>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3</xdr:row>
          <xdr:rowOff>38100</xdr:rowOff>
        </xdr:from>
        <xdr:to>
          <xdr:col>11</xdr:col>
          <xdr:colOff>144780</xdr:colOff>
          <xdr:row>7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3</xdr:row>
          <xdr:rowOff>38100</xdr:rowOff>
        </xdr:from>
        <xdr:to>
          <xdr:col>20</xdr:col>
          <xdr:colOff>144780</xdr:colOff>
          <xdr:row>7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335280</xdr:colOff>
          <xdr:row>3</xdr:row>
          <xdr:rowOff>38100</xdr:rowOff>
        </xdr:from>
        <xdr:to>
          <xdr:col>28</xdr:col>
          <xdr:colOff>45720</xdr:colOff>
          <xdr:row>7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7620</xdr:rowOff>
        </xdr:from>
        <xdr:to>
          <xdr:col>9</xdr:col>
          <xdr:colOff>419100</xdr:colOff>
          <xdr:row>9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boratori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TRAD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"/>
      <sheetName val="Menu"/>
      <sheetName val="RA"/>
      <sheetName val="R. Am."/>
      <sheetName val="Résumé granulats"/>
      <sheetName val="Teor hum."/>
      <sheetName val="W% granulats"/>
      <sheetName val="azul met."/>
      <sheetName val="MB"/>
      <sheetName val="Granulometria"/>
      <sheetName val="Granulo-granulats"/>
      <sheetName val="Sedi"/>
      <sheetName val="Lim."/>
      <sheetName val="Limite de retrait"/>
      <sheetName val="Proctor"/>
      <sheetName val="CBR Instantaneo"/>
      <sheetName val="CBR immédiat"/>
      <sheetName val="CBR immersion"/>
      <sheetName val="MV des sols fins en laboratoire"/>
      <sheetName val="Profil hydrique"/>
      <sheetName val="fragmentabilidade"/>
      <sheetName val="degradabilidade"/>
      <sheetName val="Mat.Org."/>
      <sheetName val="Oedomètre"/>
      <sheetName val="Gonflement"/>
      <sheetName val="Cis. lent"/>
      <sheetName val="Cis. rapide"/>
      <sheetName val="Triaxial"/>
      <sheetName val="E. Areia"/>
      <sheetName val="Teneur en sulfate"/>
      <sheetName val="LA et-ou MDE"/>
      <sheetName val="Résistance à la compression"/>
      <sheetName val="Analyse chimique (EUROFINS)"/>
      <sheetName val="Perméabilité à l'oedomètre"/>
      <sheetName val="Perméabilité Charge variable"/>
      <sheetName val="Aptitude traitement"/>
      <sheetName val="Aplatissement"/>
      <sheetName val="Fiche produit"/>
      <sheetName val="Teneur en carbonates"/>
      <sheetName val="Gel - Dégel"/>
      <sheetName val="Teneur en Soufre"/>
      <sheetName val="Infiltometre DA"/>
      <sheetName val="Proctor Traitement"/>
      <sheetName val="IPI Traitement"/>
      <sheetName val="Feuil25"/>
      <sheetName val="Feuil26"/>
      <sheetName val="Feuil27"/>
      <sheetName val="Feuil28"/>
      <sheetName val="Masse volumique &gt; 31.5"/>
      <sheetName val="Masse volumique &lt; 31.5 &gt;4"/>
      <sheetName val="Masse volumique &lt; 4"/>
      <sheetName val="Masse volPcm Carotes e Cailloux"/>
      <sheetName val="à conserver"/>
      <sheetName val="Saisie GTR"/>
      <sheetName val="Synthèse GTR"/>
      <sheetName val="GRANULO"/>
      <sheetName val="Sedimento"/>
      <sheetName val="VBS"/>
      <sheetName val="Limite COUPELLE"/>
      <sheetName val="Proct"/>
      <sheetName val="IPI"/>
      <sheetName val="MDE"/>
      <sheetName val="Frag"/>
      <sheetName val="Degra"/>
      <sheetName val="MV"/>
      <sheetName val="APTITUDE"/>
      <sheetName val="IPI(1%)"/>
      <sheetName val="CBR(1%)"/>
      <sheetName val="IPI(2%)"/>
      <sheetName val="CBR(2%)"/>
    </sheetNames>
    <sheetDataSet>
      <sheetData sheetId="0"/>
      <sheetData sheetId="1">
        <row r="7">
          <cell r="D7">
            <v>836.07</v>
          </cell>
        </row>
        <row r="36">
          <cell r="M36" t="str">
            <v>B6th</v>
          </cell>
        </row>
      </sheetData>
      <sheetData sheetId="2"/>
      <sheetData sheetId="3">
        <row r="19">
          <cell r="S19" t="str">
            <v/>
          </cell>
        </row>
        <row r="24">
          <cell r="S24" t="str">
            <v/>
          </cell>
        </row>
        <row r="25">
          <cell r="S25" t="str">
            <v/>
          </cell>
        </row>
        <row r="30">
          <cell r="Y30" t="str">
            <v/>
          </cell>
          <cell r="Z30" t="str">
            <v/>
          </cell>
        </row>
        <row r="31">
          <cell r="S31" t="str">
            <v/>
          </cell>
          <cell r="Y31" t="str">
            <v/>
          </cell>
          <cell r="Z31" t="str">
            <v/>
          </cell>
        </row>
        <row r="32">
          <cell r="S32" t="str">
            <v/>
          </cell>
          <cell r="Y32" t="str">
            <v/>
          </cell>
          <cell r="Z32" t="str">
            <v/>
          </cell>
        </row>
        <row r="33">
          <cell r="S33" t="str">
            <v/>
          </cell>
          <cell r="Y33" t="str">
            <v/>
          </cell>
          <cell r="Z33" t="str">
            <v/>
          </cell>
        </row>
        <row r="34">
          <cell r="Y34" t="str">
            <v/>
          </cell>
          <cell r="Z34" t="str">
            <v/>
          </cell>
        </row>
        <row r="35">
          <cell r="S35" t="str">
            <v/>
          </cell>
          <cell r="Y35" t="str">
            <v/>
          </cell>
          <cell r="Z35" t="str">
            <v/>
          </cell>
        </row>
        <row r="36">
          <cell r="S36">
            <v>2.5384967427048233</v>
          </cell>
          <cell r="Y36" t="str">
            <v/>
          </cell>
          <cell r="Z36" t="str">
            <v/>
          </cell>
        </row>
        <row r="37">
          <cell r="S37">
            <v>21.036906854130041</v>
          </cell>
          <cell r="Y37" t="str">
            <v/>
          </cell>
          <cell r="Z37" t="str">
            <v/>
          </cell>
        </row>
        <row r="38">
          <cell r="Y38" t="str">
            <v/>
          </cell>
          <cell r="Z38" t="str">
            <v/>
          </cell>
        </row>
        <row r="39">
          <cell r="Y39" t="str">
            <v/>
          </cell>
          <cell r="Z39" t="str">
            <v/>
          </cell>
        </row>
        <row r="40">
          <cell r="S40">
            <v>0</v>
          </cell>
          <cell r="Y40" t="str">
            <v/>
          </cell>
          <cell r="Z40" t="str">
            <v/>
          </cell>
        </row>
        <row r="41">
          <cell r="S41" t="str">
            <v/>
          </cell>
          <cell r="Y41" t="str">
            <v/>
          </cell>
          <cell r="Z41" t="str">
            <v/>
          </cell>
        </row>
        <row r="42">
          <cell r="S42" t="str">
            <v/>
          </cell>
          <cell r="Y42" t="str">
            <v/>
          </cell>
          <cell r="Z42" t="str">
            <v/>
          </cell>
        </row>
        <row r="43">
          <cell r="Y43" t="str">
            <v/>
          </cell>
          <cell r="Z43" t="str">
            <v/>
          </cell>
        </row>
        <row r="44">
          <cell r="Y44" t="str">
            <v/>
          </cell>
          <cell r="Z44" t="str">
            <v/>
          </cell>
        </row>
        <row r="45">
          <cell r="S45" t="str">
            <v/>
          </cell>
          <cell r="Y45" t="str">
            <v/>
          </cell>
          <cell r="Z45" t="str">
            <v/>
          </cell>
        </row>
      </sheetData>
      <sheetData sheetId="4"/>
      <sheetData sheetId="5"/>
      <sheetData sheetId="6"/>
      <sheetData sheetId="7">
        <row r="47">
          <cell r="M47">
            <v>2.5384967427048233</v>
          </cell>
        </row>
      </sheetData>
      <sheetData sheetId="8">
        <row r="45">
          <cell r="M45">
            <v>2.5384967427048233</v>
          </cell>
        </row>
      </sheetData>
      <sheetData sheetId="9">
        <row r="73">
          <cell r="E73" t="str">
            <v/>
          </cell>
        </row>
        <row r="76">
          <cell r="E76" t="str">
            <v/>
          </cell>
        </row>
        <row r="79">
          <cell r="E79" t="str">
            <v/>
          </cell>
        </row>
        <row r="80">
          <cell r="E80" t="str">
            <v/>
          </cell>
        </row>
        <row r="84">
          <cell r="R84" t="str">
            <v/>
          </cell>
        </row>
        <row r="91">
          <cell r="R91" t="str">
            <v/>
          </cell>
        </row>
        <row r="98">
          <cell r="R98" t="str">
            <v/>
          </cell>
        </row>
      </sheetData>
      <sheetData sheetId="10"/>
      <sheetData sheetId="11"/>
      <sheetData sheetId="12">
        <row r="67">
          <cell r="R67" t="str">
            <v/>
          </cell>
        </row>
      </sheetData>
      <sheetData sheetId="13"/>
      <sheetData sheetId="14"/>
      <sheetData sheetId="15">
        <row r="3">
          <cell r="AG3" t="e">
            <v>#N/A</v>
          </cell>
        </row>
        <row r="64">
          <cell r="L64" t="str">
            <v/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34">
          <cell r="L34" t="str">
            <v/>
          </cell>
        </row>
      </sheetData>
      <sheetData sheetId="30">
        <row r="31">
          <cell r="L31" t="str">
            <v/>
          </cell>
        </row>
        <row r="45">
          <cell r="L45" t="str">
            <v/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>
        <row r="26">
          <cell r="N26">
            <v>0</v>
          </cell>
          <cell r="P26">
            <v>0</v>
          </cell>
          <cell r="R26">
            <v>0</v>
          </cell>
          <cell r="T26">
            <v>0</v>
          </cell>
        </row>
        <row r="30">
          <cell r="N30">
            <v>0</v>
          </cell>
          <cell r="P30">
            <v>0</v>
          </cell>
          <cell r="R30">
            <v>0</v>
          </cell>
          <cell r="T30">
            <v>0</v>
          </cell>
        </row>
      </sheetData>
      <sheetData sheetId="50">
        <row r="26">
          <cell r="N26">
            <v>0</v>
          </cell>
          <cell r="P26">
            <v>0</v>
          </cell>
          <cell r="R26">
            <v>0</v>
          </cell>
          <cell r="T26">
            <v>0</v>
          </cell>
        </row>
        <row r="30">
          <cell r="N30">
            <v>0</v>
          </cell>
          <cell r="P30">
            <v>0</v>
          </cell>
          <cell r="R30">
            <v>0</v>
          </cell>
          <cell r="T30">
            <v>0</v>
          </cell>
        </row>
      </sheetData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rid. Inertes"/>
      <sheetName val="Roturas"/>
      <sheetName val="Baridades"/>
      <sheetName val="Reflux"/>
      <sheetName val="Centrifuga"/>
      <sheetName val="Amostras"/>
      <sheetName val="Ens. Realiz."/>
      <sheetName val="T.Hum."/>
      <sheetName val="Granulometria"/>
      <sheetName val="Granulometria 1"/>
      <sheetName val="Granulo-granulats"/>
      <sheetName val="Sedi"/>
      <sheetName val="Azul Met."/>
      <sheetName val="L.L."/>
      <sheetName val="L.P."/>
      <sheetName val="Limite de retrait"/>
      <sheetName val="Proctor"/>
      <sheetName val="CBR Instantaneo"/>
      <sheetName val="LA et-ou MDE"/>
      <sheetName val="Lamel. e Along."/>
      <sheetName val="CBRi"/>
      <sheetName val="CBR immersion"/>
      <sheetName val="Traitement"/>
      <sheetName val="Aptitude au traitement"/>
      <sheetName val="Perméametre"/>
      <sheetName val="FRAGMENTABILIDADE"/>
      <sheetName val="Degradabilidade"/>
      <sheetName val="Mat. Org."/>
      <sheetName val="Teneur en sulfate"/>
      <sheetName val="W% granulats"/>
      <sheetName val="MB"/>
      <sheetName val="Teneur en carbonates"/>
      <sheetName val="Teneur en Soufre"/>
      <sheetName val="E.A."/>
      <sheetName val="Profil hydrique"/>
      <sheetName val="Misturacalculos"/>
      <sheetName val="MV des sols fins en laboratoire"/>
      <sheetName val="Rc"/>
      <sheetName val="Perméabilité à l'oedomètre"/>
      <sheetName val="Masse Volumic des Sols Fin"/>
      <sheetName val="Masse volumique &gt; 31.5"/>
      <sheetName val="P.E&gt; # 19"/>
      <sheetName val="Masse volumique &lt; 31.5 &gt;4"/>
      <sheetName val="P.E.&gt; # 9.51"/>
      <sheetName val="Masse volumique &gt;4"/>
      <sheetName val="Macro"/>
      <sheetName val="Sheet2"/>
      <sheetName val="Pcm Carotes e Cailloux"/>
      <sheetName val="Gel - Dégel"/>
      <sheetName val="CD"/>
      <sheetName val="PERMEAMETRE OEDO"/>
      <sheetName val="L. ANG."/>
      <sheetName val="Fusos"/>
      <sheetName val="Sheet1"/>
      <sheetName val="P.Esp.Betume"/>
      <sheetName val="Pic. Vácuo"/>
      <sheetName val="resumo solos"/>
      <sheetName val="RA"/>
      <sheetName val="C.B.R.1"/>
      <sheetName val="C.B.R.2"/>
    </sheetNames>
    <sheetDataSet>
      <sheetData sheetId="0"/>
      <sheetData sheetId="1"/>
      <sheetData sheetId="2"/>
      <sheetData sheetId="3"/>
      <sheetData sheetId="4"/>
      <sheetData sheetId="5">
        <row r="3">
          <cell r="A3" t="str">
            <v>Réf labo.</v>
          </cell>
          <cell r="P3" t="str">
            <v xml:space="preserve">Description visuelle </v>
          </cell>
          <cell r="T3" t="str">
            <v>Recyclé</v>
          </cell>
        </row>
        <row r="4">
          <cell r="T4" t="str">
            <v>Sol</v>
          </cell>
          <cell r="W4" t="str">
            <v>Sol</v>
          </cell>
        </row>
        <row r="5">
          <cell r="A5">
            <v>1</v>
          </cell>
          <cell r="P5" t="str">
            <v>Grave sableuse</v>
          </cell>
          <cell r="W5" t="str">
            <v>Sol</v>
          </cell>
        </row>
        <row r="6">
          <cell r="A6">
            <v>2</v>
          </cell>
          <cell r="P6" t="str">
            <v>Grave sableuse</v>
          </cell>
          <cell r="W6" t="str">
            <v>Sol</v>
          </cell>
        </row>
        <row r="7">
          <cell r="A7">
            <v>3</v>
          </cell>
          <cell r="P7" t="str">
            <v>Limon traité</v>
          </cell>
          <cell r="W7" t="str">
            <v>Sol</v>
          </cell>
        </row>
        <row r="8">
          <cell r="A8">
            <v>4</v>
          </cell>
          <cell r="P8" t="str">
            <v>Limon traité</v>
          </cell>
          <cell r="W8" t="str">
            <v>Sol</v>
          </cell>
        </row>
        <row r="9">
          <cell r="A9">
            <v>5</v>
          </cell>
          <cell r="P9" t="str">
            <v>Limon traité</v>
          </cell>
          <cell r="W9" t="str">
            <v>Sol</v>
          </cell>
        </row>
        <row r="10">
          <cell r="A10">
            <v>6</v>
          </cell>
          <cell r="P10" t="str">
            <v>Limon traité</v>
          </cell>
          <cell r="W10" t="str">
            <v>Sol</v>
          </cell>
        </row>
        <row r="11">
          <cell r="A11">
            <v>7</v>
          </cell>
          <cell r="P11" t="str">
            <v>Limon traité</v>
          </cell>
          <cell r="W11" t="str">
            <v>Sol</v>
          </cell>
        </row>
        <row r="12">
          <cell r="A12">
            <v>8</v>
          </cell>
          <cell r="P12" t="str">
            <v>Limon traité</v>
          </cell>
          <cell r="W12" t="str">
            <v>Sol</v>
          </cell>
        </row>
        <row r="13">
          <cell r="A13">
            <v>9</v>
          </cell>
          <cell r="P13" t="str">
            <v>Limon sableux +/- indurée</v>
          </cell>
          <cell r="W13" t="str">
            <v>Sol</v>
          </cell>
        </row>
        <row r="14">
          <cell r="A14">
            <v>10</v>
          </cell>
          <cell r="P14" t="str">
            <v>Limon sableux +/- indurée</v>
          </cell>
          <cell r="W14" t="str">
            <v>Sol</v>
          </cell>
        </row>
        <row r="15">
          <cell r="A15">
            <v>11</v>
          </cell>
          <cell r="P15" t="str">
            <v>Limon argileux</v>
          </cell>
          <cell r="W15" t="str">
            <v>Sol</v>
          </cell>
        </row>
        <row r="16">
          <cell r="A16">
            <v>12</v>
          </cell>
          <cell r="P16" t="str">
            <v>Limon argileux</v>
          </cell>
          <cell r="W16" t="str">
            <v>Sol</v>
          </cell>
        </row>
        <row r="17">
          <cell r="A17">
            <v>13</v>
          </cell>
          <cell r="P17" t="str">
            <v>Limon argileux</v>
          </cell>
          <cell r="W17" t="str">
            <v>Sol</v>
          </cell>
        </row>
        <row r="18">
          <cell r="A18">
            <v>14</v>
          </cell>
          <cell r="P18" t="str">
            <v>Sable limono argileux avec des passages sableuses</v>
          </cell>
          <cell r="W18" t="str">
            <v>Sol</v>
          </cell>
        </row>
        <row r="19">
          <cell r="A19">
            <v>15</v>
          </cell>
          <cell r="P19" t="str">
            <v>Limon très fin</v>
          </cell>
          <cell r="W19" t="str">
            <v>Sol</v>
          </cell>
        </row>
        <row r="20">
          <cell r="A20">
            <v>16</v>
          </cell>
          <cell r="P20" t="str">
            <v>Limon très fin</v>
          </cell>
          <cell r="W20" t="str">
            <v>Sol</v>
          </cell>
        </row>
        <row r="21">
          <cell r="A21">
            <v>17</v>
          </cell>
          <cell r="P21" t="str">
            <v>Argile limoneuse avec qq graviers</v>
          </cell>
          <cell r="W21" t="str">
            <v>Sol</v>
          </cell>
        </row>
        <row r="22">
          <cell r="A22">
            <v>18</v>
          </cell>
          <cell r="P22" t="str">
            <v>Sable avec quelques graviers et coquillages</v>
          </cell>
          <cell r="W22" t="str">
            <v>Sol</v>
          </cell>
        </row>
        <row r="23">
          <cell r="A23">
            <v>19</v>
          </cell>
          <cell r="P23" t="str">
            <v>Limon argilo graveleux</v>
          </cell>
          <cell r="W23" t="str">
            <v>Sol</v>
          </cell>
        </row>
        <row r="24">
          <cell r="A24">
            <v>20</v>
          </cell>
          <cell r="P24" t="str">
            <v>Grave sableuse légèrement limoneuse</v>
          </cell>
          <cell r="W24" t="str">
            <v>Sol</v>
          </cell>
        </row>
        <row r="25">
          <cell r="A25">
            <v>21</v>
          </cell>
          <cell r="P25" t="str">
            <v>Recyclé de beton</v>
          </cell>
          <cell r="W25" t="str">
            <v xml:space="preserve"> B </v>
          </cell>
        </row>
        <row r="26">
          <cell r="A26">
            <v>22</v>
          </cell>
          <cell r="P26" t="str">
            <v>Limon argileux avec passages de sable avec quelques graviers</v>
          </cell>
          <cell r="W26" t="str">
            <v>Sol</v>
          </cell>
        </row>
        <row r="27">
          <cell r="A27">
            <v>23</v>
          </cell>
          <cell r="P27" t="str">
            <v>Sable avec graves ø0-80 mm</v>
          </cell>
          <cell r="W27" t="str">
            <v>Sol</v>
          </cell>
        </row>
        <row r="28">
          <cell r="A28">
            <v>24</v>
          </cell>
          <cell r="P28" t="str">
            <v>Grave sableuse ø0-63 mm</v>
          </cell>
          <cell r="W28" t="str">
            <v>Sol</v>
          </cell>
        </row>
        <row r="29">
          <cell r="A29">
            <v>25</v>
          </cell>
          <cell r="P29" t="str">
            <v>Argile légèrement limoneuse avec quelques graves</v>
          </cell>
          <cell r="W29" t="str">
            <v>Sol</v>
          </cell>
        </row>
        <row r="30">
          <cell r="A30">
            <v>26</v>
          </cell>
          <cell r="P30" t="str">
            <v>Grave sableuse ø0-31,5 mm</v>
          </cell>
          <cell r="W30" t="str">
            <v>Sol</v>
          </cell>
        </row>
        <row r="31">
          <cell r="A31">
            <v>27</v>
          </cell>
          <cell r="P31" t="str">
            <v>Sable limoneux avec graves et quelques racines</v>
          </cell>
          <cell r="W31" t="str">
            <v>Sol</v>
          </cell>
        </row>
        <row r="32">
          <cell r="A32">
            <v>28</v>
          </cell>
          <cell r="P32" t="str">
            <v>Grave sableuse</v>
          </cell>
          <cell r="W32" t="str">
            <v>Sol</v>
          </cell>
        </row>
        <row r="33">
          <cell r="A33">
            <v>29</v>
          </cell>
          <cell r="P33" t="str">
            <v>Grave limono sableuse</v>
          </cell>
          <cell r="W33" t="str">
            <v>Sol</v>
          </cell>
        </row>
        <row r="34">
          <cell r="A34">
            <v>30</v>
          </cell>
          <cell r="P34" t="str">
            <v>Grave sablo limoneuse</v>
          </cell>
          <cell r="W34" t="str">
            <v>Sol</v>
          </cell>
        </row>
        <row r="35">
          <cell r="A35">
            <v>31</v>
          </cell>
          <cell r="P35" t="str">
            <v>Limon argileuxavec graves et quelques racines</v>
          </cell>
          <cell r="W35" t="str">
            <v>Sol</v>
          </cell>
        </row>
        <row r="36">
          <cell r="A36">
            <v>32</v>
          </cell>
          <cell r="P36" t="str">
            <v>Grave sableuse avec des poches limono argileuses</v>
          </cell>
          <cell r="W36" t="str">
            <v>Sol</v>
          </cell>
        </row>
        <row r="37">
          <cell r="A37">
            <v>33</v>
          </cell>
          <cell r="P37" t="str">
            <v>Limon argileux légèrement graveleux</v>
          </cell>
          <cell r="W37" t="str">
            <v>Sol</v>
          </cell>
        </row>
        <row r="38">
          <cell r="A38">
            <v>34</v>
          </cell>
          <cell r="P38" t="str">
            <v>Grave alluvionaire dans une matrice limono sableuse</v>
          </cell>
          <cell r="W38" t="str">
            <v>Sol</v>
          </cell>
        </row>
        <row r="39">
          <cell r="A39">
            <v>35</v>
          </cell>
          <cell r="P39" t="str">
            <v>Limon argileux peu graveleux</v>
          </cell>
          <cell r="W39" t="str">
            <v>Sol</v>
          </cell>
        </row>
        <row r="40">
          <cell r="A40">
            <v>36</v>
          </cell>
          <cell r="P40" t="str">
            <v>Limon sablo argileux avec graves</v>
          </cell>
          <cell r="W40" t="str">
            <v>Sol</v>
          </cell>
        </row>
        <row r="41">
          <cell r="A41">
            <v>37</v>
          </cell>
          <cell r="P41" t="str">
            <v>Limon argilo sableux avec graves</v>
          </cell>
          <cell r="W41" t="str">
            <v>Sol</v>
          </cell>
        </row>
        <row r="42">
          <cell r="A42">
            <v>38</v>
          </cell>
          <cell r="P42" t="str">
            <v>Graves avec une matrice argileuse</v>
          </cell>
          <cell r="W42" t="str">
            <v>Sol</v>
          </cell>
        </row>
        <row r="43">
          <cell r="A43">
            <v>39</v>
          </cell>
          <cell r="P43" t="str">
            <v>Grave sableuse induré</v>
          </cell>
          <cell r="W43" t="str">
            <v>Sol</v>
          </cell>
        </row>
        <row r="44">
          <cell r="A44">
            <v>40</v>
          </cell>
          <cell r="P44" t="str">
            <v>Grave sableuse concassée</v>
          </cell>
          <cell r="W44" t="str">
            <v>Sol</v>
          </cell>
        </row>
        <row r="45">
          <cell r="A45">
            <v>41</v>
          </cell>
          <cell r="P45" t="str">
            <v>Grave sableuse concassée</v>
          </cell>
          <cell r="W45" t="str">
            <v>Sol</v>
          </cell>
        </row>
        <row r="46">
          <cell r="A46">
            <v>42</v>
          </cell>
          <cell r="P46" t="str">
            <v>Grave sableuse avec beaucoup débris de verre, machê fer, tuiles, brique et bois</v>
          </cell>
          <cell r="W46" t="str">
            <v>Sol</v>
          </cell>
        </row>
        <row r="47">
          <cell r="A47">
            <v>43</v>
          </cell>
          <cell r="P47" t="str">
            <v>Grave sableuse avec beaucoup débris de verre, machê fer, tuiles, brique et bois</v>
          </cell>
          <cell r="W47" t="str">
            <v>Sol</v>
          </cell>
        </row>
        <row r="48">
          <cell r="A48">
            <v>44</v>
          </cell>
          <cell r="P48" t="str">
            <v>Sable ø0-5mm</v>
          </cell>
          <cell r="W48" t="str">
            <v>Sol</v>
          </cell>
        </row>
        <row r="49">
          <cell r="A49">
            <v>45</v>
          </cell>
          <cell r="P49" t="str">
            <v>Sable ø0-2mm</v>
          </cell>
          <cell r="W49" t="str">
            <v>Sol</v>
          </cell>
        </row>
        <row r="50">
          <cell r="A50">
            <v>46</v>
          </cell>
          <cell r="P50" t="str">
            <v>Grave ø20-40mm</v>
          </cell>
          <cell r="W50" t="str">
            <v>Sol</v>
          </cell>
        </row>
        <row r="51">
          <cell r="A51">
            <v>47</v>
          </cell>
          <cell r="P51" t="str">
            <v>Grave ø4-12mm</v>
          </cell>
          <cell r="W51" t="str">
            <v>Sol</v>
          </cell>
        </row>
        <row r="52">
          <cell r="A52">
            <v>48</v>
          </cell>
          <cell r="P52" t="str">
            <v>Graves ø30-100mm</v>
          </cell>
          <cell r="W52" t="str">
            <v>Sol</v>
          </cell>
        </row>
        <row r="53">
          <cell r="A53">
            <v>49</v>
          </cell>
          <cell r="P53" t="str">
            <v>Grave sableuse ø0-14mm</v>
          </cell>
          <cell r="W53" t="str">
            <v>Sol</v>
          </cell>
        </row>
        <row r="54">
          <cell r="A54">
            <v>50</v>
          </cell>
          <cell r="P54" t="str">
            <v>Grave ø5-20mm</v>
          </cell>
          <cell r="W54" t="str">
            <v>Sol</v>
          </cell>
        </row>
        <row r="55">
          <cell r="A55">
            <v>51</v>
          </cell>
          <cell r="P55" t="str">
            <v>Grave sableuse recyclée de beton ø0-80mm</v>
          </cell>
          <cell r="W55" t="str">
            <v xml:space="preserve"> B </v>
          </cell>
        </row>
        <row r="56">
          <cell r="A56">
            <v>52</v>
          </cell>
          <cell r="P56" t="str">
            <v>Grave sableuse recyclée de beton ø0-31,5mm</v>
          </cell>
          <cell r="W56" t="str">
            <v>Sol</v>
          </cell>
        </row>
        <row r="57">
          <cell r="A57">
            <v>53</v>
          </cell>
          <cell r="P57" t="str">
            <v>Grave sableuse recyclée de beton ø0-80mm</v>
          </cell>
          <cell r="W57" t="str">
            <v xml:space="preserve"> B </v>
          </cell>
        </row>
        <row r="58">
          <cell r="A58">
            <v>54</v>
          </cell>
          <cell r="P58" t="str">
            <v>Limon argileux</v>
          </cell>
          <cell r="W58" t="str">
            <v>Sol</v>
          </cell>
        </row>
        <row r="59">
          <cell r="A59">
            <v>55</v>
          </cell>
          <cell r="P59" t="str">
            <v>Grave sablo limoneuse</v>
          </cell>
          <cell r="W59" t="str">
            <v>Sol</v>
          </cell>
        </row>
        <row r="60">
          <cell r="A60">
            <v>56</v>
          </cell>
          <cell r="P60" t="str">
            <v>Mélange de 3 sols argilo lioneux avec quelques graves</v>
          </cell>
          <cell r="W60" t="str">
            <v>Sol</v>
          </cell>
        </row>
        <row r="61">
          <cell r="A61">
            <v>57</v>
          </cell>
          <cell r="W61" t="str">
            <v>Sol</v>
          </cell>
        </row>
        <row r="62">
          <cell r="A62">
            <v>58</v>
          </cell>
          <cell r="W62" t="str">
            <v>Sol</v>
          </cell>
        </row>
        <row r="63">
          <cell r="A63">
            <v>59</v>
          </cell>
          <cell r="W63" t="str">
            <v>Sol</v>
          </cell>
        </row>
        <row r="64">
          <cell r="A64">
            <v>60</v>
          </cell>
          <cell r="P64" t="str">
            <v>Limon sablo argileux avec quelques graves</v>
          </cell>
          <cell r="W64" t="str">
            <v>Sol</v>
          </cell>
        </row>
        <row r="65">
          <cell r="A65">
            <v>61</v>
          </cell>
          <cell r="P65" t="str">
            <v>Limon sablo argileux avec quelques graves</v>
          </cell>
          <cell r="W65" t="str">
            <v>Sol</v>
          </cell>
        </row>
        <row r="66">
          <cell r="A66">
            <v>62</v>
          </cell>
          <cell r="P66" t="str">
            <v>Argile tourbeuse</v>
          </cell>
          <cell r="W66" t="str">
            <v>Sol</v>
          </cell>
        </row>
        <row r="67">
          <cell r="A67">
            <v>63</v>
          </cell>
          <cell r="P67" t="str">
            <v>Argile tourbeuse</v>
          </cell>
          <cell r="W67" t="str">
            <v>Sol</v>
          </cell>
        </row>
        <row r="68">
          <cell r="A68">
            <v>64</v>
          </cell>
          <cell r="P68" t="str">
            <v>Sable recycle avec présence de fibre de metal</v>
          </cell>
          <cell r="W68" t="str">
            <v>Sol</v>
          </cell>
        </row>
        <row r="69">
          <cell r="A69">
            <v>65</v>
          </cell>
          <cell r="P69" t="str">
            <v>Sable recycle avec présence de fibre de metal</v>
          </cell>
          <cell r="W69" t="str">
            <v>Sol</v>
          </cell>
        </row>
        <row r="70">
          <cell r="A70">
            <v>66</v>
          </cell>
          <cell r="P70" t="str">
            <v>Remblais de grave, tuile,et bois dans un sable légèrement limoneux</v>
          </cell>
          <cell r="W70" t="str">
            <v>Sol</v>
          </cell>
        </row>
        <row r="71">
          <cell r="A71">
            <v>67</v>
          </cell>
          <cell r="P71" t="str">
            <v>Argile limoneuse avec quelques graviers et présence de racines</v>
          </cell>
          <cell r="W71" t="str">
            <v>Sol</v>
          </cell>
        </row>
        <row r="72">
          <cell r="A72">
            <v>68</v>
          </cell>
          <cell r="P72" t="str">
            <v>Sable fin légèrement argileux</v>
          </cell>
          <cell r="W72" t="str">
            <v>Sol</v>
          </cell>
        </row>
        <row r="73">
          <cell r="A73">
            <v>69</v>
          </cell>
          <cell r="P73" t="str">
            <v>Grave sablo limoneuse ø0-150mm avec présence de briques</v>
          </cell>
          <cell r="W73" t="str">
            <v>Sol</v>
          </cell>
        </row>
        <row r="74">
          <cell r="A74">
            <v>70</v>
          </cell>
          <cell r="P74" t="str">
            <v>Grave sableuse légèrement limoneuse ø0-150mm</v>
          </cell>
          <cell r="W74" t="str">
            <v>Sol</v>
          </cell>
        </row>
        <row r="75">
          <cell r="A75">
            <v>71</v>
          </cell>
          <cell r="P75" t="str">
            <v>Grave sablo limoneuse ø0-150mm avec avec présence de briques, ferraille et enrobé</v>
          </cell>
          <cell r="W75" t="str">
            <v>Sol</v>
          </cell>
        </row>
        <row r="76">
          <cell r="A76">
            <v>72</v>
          </cell>
          <cell r="P76" t="str">
            <v>Grave sableuse légèrement limoneuse ø0-150mm avec présence de briques, ferraille et enrobé</v>
          </cell>
          <cell r="W76" t="str">
            <v>Sol</v>
          </cell>
        </row>
        <row r="77">
          <cell r="A77">
            <v>73</v>
          </cell>
          <cell r="P77" t="str">
            <v>Grave sableuse recyclée de beton ø0-80mm</v>
          </cell>
          <cell r="W77" t="str">
            <v xml:space="preserve"> M </v>
          </cell>
        </row>
        <row r="78">
          <cell r="A78">
            <v>74</v>
          </cell>
          <cell r="P78" t="str">
            <v>Argile tourbeuse</v>
          </cell>
          <cell r="W78" t="str">
            <v>Sol</v>
          </cell>
        </row>
        <row r="79">
          <cell r="A79">
            <v>75</v>
          </cell>
          <cell r="P79" t="str">
            <v>Grave alluvionnaire sableuse</v>
          </cell>
          <cell r="W79" t="str">
            <v>Sol</v>
          </cell>
        </row>
        <row r="80">
          <cell r="A80">
            <v>76</v>
          </cell>
          <cell r="P80" t="str">
            <v>Argile limoneuse à quelques graves</v>
          </cell>
          <cell r="W80" t="str">
            <v>Sol</v>
          </cell>
        </row>
        <row r="81">
          <cell r="A81">
            <v>77</v>
          </cell>
          <cell r="W81" t="str">
            <v>Sol</v>
          </cell>
        </row>
        <row r="82">
          <cell r="A82">
            <v>78</v>
          </cell>
          <cell r="W82" t="str">
            <v>Sol</v>
          </cell>
        </row>
        <row r="83">
          <cell r="A83">
            <v>79</v>
          </cell>
          <cell r="P83" t="str">
            <v>Limon argileu à quelques graves</v>
          </cell>
          <cell r="W83" t="str">
            <v>Sol</v>
          </cell>
        </row>
        <row r="84">
          <cell r="A84">
            <v>80</v>
          </cell>
          <cell r="P84" t="str">
            <v>Galets anguleux à matrice sablo-limoneuse</v>
          </cell>
          <cell r="W84" t="str">
            <v>Sol</v>
          </cell>
        </row>
        <row r="85">
          <cell r="A85">
            <v>81</v>
          </cell>
          <cell r="P85" t="str">
            <v>Grave sableuse</v>
          </cell>
          <cell r="W85" t="str">
            <v>Sol</v>
          </cell>
        </row>
        <row r="86">
          <cell r="A86">
            <v>82</v>
          </cell>
          <cell r="P86" t="str">
            <v>Grave limono-sableuse</v>
          </cell>
          <cell r="W86" t="str">
            <v>Sol</v>
          </cell>
        </row>
        <row r="87">
          <cell r="A87">
            <v>83</v>
          </cell>
          <cell r="P87" t="str">
            <v>Argile limono-sableuse à quelques graves</v>
          </cell>
          <cell r="W87" t="str">
            <v>Sol</v>
          </cell>
        </row>
        <row r="88">
          <cell r="A88">
            <v>84</v>
          </cell>
          <cell r="P88" t="str">
            <v xml:space="preserve">Argile sablo-limoneuse à graves </v>
          </cell>
          <cell r="W88" t="str">
            <v>Sol</v>
          </cell>
        </row>
        <row r="89">
          <cell r="A89">
            <v>85</v>
          </cell>
          <cell r="P89" t="str">
            <v>Grave sableuse très légérement limoneuse</v>
          </cell>
          <cell r="W89" t="str">
            <v>Sol</v>
          </cell>
        </row>
        <row r="90">
          <cell r="A90">
            <v>86</v>
          </cell>
          <cell r="P90" t="str">
            <v>Sable limoneu à quelques graves</v>
          </cell>
          <cell r="W90" t="str">
            <v>Sol</v>
          </cell>
        </row>
        <row r="91">
          <cell r="A91">
            <v>87</v>
          </cell>
          <cell r="P91" t="str">
            <v xml:space="preserve">Galets et gravier </v>
          </cell>
          <cell r="W91" t="str">
            <v>Sol</v>
          </cell>
        </row>
        <row r="92">
          <cell r="A92">
            <v>88</v>
          </cell>
          <cell r="P92" t="str">
            <v>Grave sableuse</v>
          </cell>
          <cell r="W92" t="str">
            <v>Sol</v>
          </cell>
        </row>
        <row r="93">
          <cell r="A93">
            <v>89</v>
          </cell>
          <cell r="P93" t="str">
            <v>Galets et graviers à matrice limon-sableuse et quelques lentilles d'argile</v>
          </cell>
          <cell r="W93" t="str">
            <v>Sol</v>
          </cell>
        </row>
        <row r="94">
          <cell r="A94">
            <v>90</v>
          </cell>
          <cell r="P94" t="str">
            <v>Grave alluvionnaire sableuse</v>
          </cell>
          <cell r="W94" t="str">
            <v>Sol</v>
          </cell>
        </row>
        <row r="95">
          <cell r="A95">
            <v>91</v>
          </cell>
          <cell r="P95" t="str">
            <v>Grave sablo-limoneuse</v>
          </cell>
          <cell r="W95" t="str">
            <v>Sol</v>
          </cell>
        </row>
        <row r="96">
          <cell r="A96">
            <v>92</v>
          </cell>
          <cell r="P96" t="str">
            <v>Argile</v>
          </cell>
          <cell r="W96" t="str">
            <v>Sol</v>
          </cell>
        </row>
        <row r="97">
          <cell r="A97">
            <v>93</v>
          </cell>
          <cell r="P97" t="str">
            <v>Graves limoneuses</v>
          </cell>
          <cell r="W97" t="str">
            <v>Sol</v>
          </cell>
        </row>
        <row r="98">
          <cell r="A98">
            <v>94</v>
          </cell>
          <cell r="P98" t="str">
            <v>Graves limono-sableuses</v>
          </cell>
          <cell r="W98" t="str">
            <v>Sol</v>
          </cell>
        </row>
        <row r="99">
          <cell r="A99">
            <v>95</v>
          </cell>
          <cell r="P99" t="str">
            <v>Argile tourbeuse</v>
          </cell>
          <cell r="W99" t="str">
            <v>Sol</v>
          </cell>
        </row>
        <row r="100">
          <cell r="A100">
            <v>96</v>
          </cell>
          <cell r="P100" t="str">
            <v>Tourbe</v>
          </cell>
          <cell r="W100" t="str">
            <v>Sol</v>
          </cell>
        </row>
        <row r="101">
          <cell r="A101">
            <v>97</v>
          </cell>
          <cell r="P101" t="str">
            <v>Argile tourbeuse</v>
          </cell>
          <cell r="W101" t="str">
            <v>Sol</v>
          </cell>
        </row>
        <row r="102">
          <cell r="A102">
            <v>98</v>
          </cell>
          <cell r="P102" t="str">
            <v>Tourbe à argile limoneuse</v>
          </cell>
          <cell r="W102" t="str">
            <v>Sol</v>
          </cell>
        </row>
        <row r="103">
          <cell r="A103">
            <v>99</v>
          </cell>
          <cell r="P103" t="str">
            <v>Grave alluvionnaire sableuse</v>
          </cell>
          <cell r="W103" t="str">
            <v>Sol</v>
          </cell>
        </row>
        <row r="104">
          <cell r="A104">
            <v>100</v>
          </cell>
          <cell r="P104" t="str">
            <v>Argile limono-sableuse à coquillage</v>
          </cell>
          <cell r="W104" t="str">
            <v>Sol</v>
          </cell>
        </row>
        <row r="105">
          <cell r="A105">
            <v>101</v>
          </cell>
          <cell r="P105" t="str">
            <v>Limon argilo-sableux à racines et quelques graves</v>
          </cell>
          <cell r="W105" t="str">
            <v>Sol</v>
          </cell>
        </row>
        <row r="106">
          <cell r="A106">
            <v>102</v>
          </cell>
          <cell r="P106" t="str">
            <v>Limon argilo-sableux à racines</v>
          </cell>
          <cell r="W106" t="str">
            <v>Sol</v>
          </cell>
        </row>
        <row r="107">
          <cell r="A107">
            <v>103</v>
          </cell>
          <cell r="P107" t="str">
            <v xml:space="preserve">Limon argilo-sableux à graves </v>
          </cell>
          <cell r="W107" t="str">
            <v>Sol</v>
          </cell>
        </row>
        <row r="108">
          <cell r="A108">
            <v>104</v>
          </cell>
          <cell r="P108" t="str">
            <v>Argile limono-sableuse</v>
          </cell>
          <cell r="W108" t="str">
            <v>Sol</v>
          </cell>
        </row>
        <row r="109">
          <cell r="A109">
            <v>105</v>
          </cell>
          <cell r="P109" t="str">
            <v>Sable limoneux à graves</v>
          </cell>
          <cell r="W109" t="str">
            <v>Sol</v>
          </cell>
        </row>
        <row r="110">
          <cell r="A110">
            <v>106</v>
          </cell>
          <cell r="P110" t="str">
            <v>Limon argilo-sableux à graves et racines</v>
          </cell>
          <cell r="W110" t="str">
            <v>Sol</v>
          </cell>
        </row>
        <row r="111">
          <cell r="A111">
            <v>107</v>
          </cell>
          <cell r="P111" t="str">
            <v>Grave sableuse recyclée de beton ø0-80mm</v>
          </cell>
          <cell r="W111" t="str">
            <v>Sol</v>
          </cell>
        </row>
        <row r="112">
          <cell r="A112">
            <v>108</v>
          </cell>
          <cell r="P112" t="str">
            <v>Grave sableuse recyclée de beton ø0-31,5mm</v>
          </cell>
          <cell r="W112" t="str">
            <v>Sol</v>
          </cell>
        </row>
        <row r="113">
          <cell r="A113">
            <v>109</v>
          </cell>
          <cell r="P113" t="str">
            <v>Graves ø4/12mm</v>
          </cell>
          <cell r="W113" t="str">
            <v>Sol</v>
          </cell>
        </row>
        <row r="114">
          <cell r="A114">
            <v>110</v>
          </cell>
          <cell r="P114" t="str">
            <v>Grave ø12/20 mm</v>
          </cell>
          <cell r="W114" t="str">
            <v>Sol</v>
          </cell>
        </row>
        <row r="115">
          <cell r="A115">
            <v>111</v>
          </cell>
          <cell r="P115" t="str">
            <v>Grave sableuse ø0-14mm</v>
          </cell>
          <cell r="W115" t="str">
            <v>Sol</v>
          </cell>
        </row>
        <row r="116">
          <cell r="A116">
            <v>112</v>
          </cell>
          <cell r="P116" t="str">
            <v>Graves sableuses</v>
          </cell>
          <cell r="W116" t="str">
            <v>Sol</v>
          </cell>
        </row>
        <row r="117">
          <cell r="A117">
            <v>113</v>
          </cell>
          <cell r="P117" t="str">
            <v xml:space="preserve">Argile sablo-limoneuse à graves </v>
          </cell>
          <cell r="W117" t="str">
            <v>Sol</v>
          </cell>
        </row>
        <row r="118">
          <cell r="A118">
            <v>114</v>
          </cell>
          <cell r="P118" t="str">
            <v>Limon argilo-sableux à graves</v>
          </cell>
          <cell r="W118" t="str">
            <v>Sol</v>
          </cell>
        </row>
        <row r="119">
          <cell r="A119">
            <v>115</v>
          </cell>
          <cell r="P119" t="str">
            <v>Graves sableuses à nodules argileux</v>
          </cell>
          <cell r="W119" t="str">
            <v>Sol</v>
          </cell>
        </row>
        <row r="120">
          <cell r="A120">
            <v>116</v>
          </cell>
          <cell r="P120" t="str">
            <v>Graves sableuese</v>
          </cell>
          <cell r="W120" t="str">
            <v>Sol</v>
          </cell>
        </row>
        <row r="121">
          <cell r="A121">
            <v>117</v>
          </cell>
          <cell r="P121" t="str">
            <v>Limon sableux à nodules argileux à graves</v>
          </cell>
          <cell r="W121" t="str">
            <v>Sol</v>
          </cell>
        </row>
        <row r="122">
          <cell r="A122">
            <v>118</v>
          </cell>
          <cell r="P122" t="str">
            <v>Argiles sablo-limoneuses à cailloutis</v>
          </cell>
          <cell r="W122" t="str">
            <v>Sol</v>
          </cell>
        </row>
        <row r="123">
          <cell r="A123">
            <v>119</v>
          </cell>
          <cell r="P123" t="str">
            <v>Graves sableuse</v>
          </cell>
          <cell r="W123" t="str">
            <v>Sol</v>
          </cell>
        </row>
        <row r="124">
          <cell r="A124">
            <v>120</v>
          </cell>
          <cell r="P124" t="str">
            <v>Limons argileux à cailloutis et graves</v>
          </cell>
          <cell r="W124" t="str">
            <v>Sol</v>
          </cell>
        </row>
        <row r="125">
          <cell r="A125">
            <v>121</v>
          </cell>
          <cell r="P125" t="str">
            <v>Graves sableuses</v>
          </cell>
          <cell r="W125" t="str">
            <v>Sol</v>
          </cell>
        </row>
        <row r="126">
          <cell r="A126">
            <v>122</v>
          </cell>
          <cell r="P126" t="str">
            <v>Graves à cailloutis à matrice argileuse</v>
          </cell>
          <cell r="W126" t="str">
            <v>Sol</v>
          </cell>
        </row>
        <row r="127">
          <cell r="A127">
            <v>123</v>
          </cell>
          <cell r="P127" t="str">
            <v>Sable limoneux à graves et cailloutis à nodules argileux</v>
          </cell>
          <cell r="W127" t="str">
            <v>Sol</v>
          </cell>
        </row>
        <row r="128">
          <cell r="A128">
            <v>124</v>
          </cell>
          <cell r="P128" t="str">
            <v>Argiles sablo-limoneuses à cailloutis et coquille</v>
          </cell>
          <cell r="W128" t="str">
            <v>Sol</v>
          </cell>
        </row>
        <row r="129">
          <cell r="A129">
            <v>125</v>
          </cell>
          <cell r="P129" t="str">
            <v>Galet et graves sableuses</v>
          </cell>
          <cell r="W129" t="str">
            <v>Sol</v>
          </cell>
        </row>
        <row r="130">
          <cell r="A130">
            <v>126</v>
          </cell>
          <cell r="P130" t="str">
            <v xml:space="preserve">Argiles grise </v>
          </cell>
          <cell r="W130" t="str">
            <v>Sol</v>
          </cell>
        </row>
        <row r="131">
          <cell r="A131">
            <v>127</v>
          </cell>
          <cell r="P131" t="str">
            <v>Limon sablo-argileux à cailloutis et graves</v>
          </cell>
          <cell r="W131" t="str">
            <v>Sol</v>
          </cell>
        </row>
        <row r="132">
          <cell r="A132">
            <v>128</v>
          </cell>
          <cell r="P132" t="str">
            <v>Argile limono-sableuse à cailloutis et graves</v>
          </cell>
          <cell r="W132" t="str">
            <v>Sol</v>
          </cell>
        </row>
        <row r="133">
          <cell r="A133">
            <v>129</v>
          </cell>
          <cell r="P133" t="str">
            <v>Limon sableux à cailloutis et graves à débris de briques et quelques racines</v>
          </cell>
          <cell r="W133" t="str">
            <v>Sol</v>
          </cell>
        </row>
        <row r="134">
          <cell r="A134">
            <v>130</v>
          </cell>
          <cell r="P134" t="str">
            <v>Limon sableux à cailloutis et nodule d'argile</v>
          </cell>
          <cell r="W134" t="str">
            <v>Sol</v>
          </cell>
        </row>
        <row r="135">
          <cell r="A135">
            <v>131</v>
          </cell>
          <cell r="P135" t="str">
            <v>Limon sableux à cailloutis et graves à débris de briques et quelques racines</v>
          </cell>
          <cell r="W135" t="str">
            <v>Sol</v>
          </cell>
        </row>
        <row r="136">
          <cell r="A136">
            <v>132</v>
          </cell>
          <cell r="P136" t="str">
            <v>Limon sableux à cailloutis et nodule d'argile</v>
          </cell>
          <cell r="W136" t="str">
            <v>Sol</v>
          </cell>
        </row>
        <row r="137">
          <cell r="A137">
            <v>133</v>
          </cell>
          <cell r="P137" t="str">
            <v>Graves sableuses à nodules argileux</v>
          </cell>
          <cell r="W137" t="str">
            <v>Sol</v>
          </cell>
        </row>
        <row r="138">
          <cell r="A138">
            <v>134</v>
          </cell>
          <cell r="P138" t="str">
            <v>Limon sableux à graves et cailloutis</v>
          </cell>
          <cell r="W138" t="str">
            <v>Sol</v>
          </cell>
        </row>
        <row r="139">
          <cell r="A139">
            <v>135</v>
          </cell>
          <cell r="P139" t="str">
            <v>Sable à galets</v>
          </cell>
          <cell r="W139" t="str">
            <v>Sol</v>
          </cell>
        </row>
        <row r="140">
          <cell r="A140">
            <v>136</v>
          </cell>
          <cell r="P140" t="str">
            <v>Sable à galets</v>
          </cell>
          <cell r="W140" t="str">
            <v>Sol</v>
          </cell>
        </row>
        <row r="141">
          <cell r="A141">
            <v>137</v>
          </cell>
          <cell r="P141" t="str">
            <v>Sable limoneux à quelques cailloutis</v>
          </cell>
          <cell r="W141" t="str">
            <v>Sol</v>
          </cell>
        </row>
        <row r="142">
          <cell r="A142">
            <v>138</v>
          </cell>
          <cell r="P142" t="str">
            <v>Argile à passage limono sableux à éléments organiques et quelques graves</v>
          </cell>
          <cell r="W142" t="str">
            <v>Sol</v>
          </cell>
        </row>
        <row r="143">
          <cell r="A143">
            <v>139</v>
          </cell>
          <cell r="P143" t="str">
            <v>Sable à galets</v>
          </cell>
          <cell r="W143" t="str">
            <v>Sol</v>
          </cell>
        </row>
        <row r="144">
          <cell r="A144">
            <v>140</v>
          </cell>
          <cell r="P144" t="str">
            <v>Roche silteuse</v>
          </cell>
          <cell r="W144" t="str">
            <v>Sol</v>
          </cell>
        </row>
        <row r="145">
          <cell r="A145">
            <v>141</v>
          </cell>
          <cell r="P145" t="str">
            <v>Recyclé béton ø30/80mm</v>
          </cell>
          <cell r="W145" t="str">
            <v xml:space="preserve"> B </v>
          </cell>
        </row>
        <row r="146">
          <cell r="A146">
            <v>142</v>
          </cell>
          <cell r="P146" t="str">
            <v>Sable à galets (Alluvion)</v>
          </cell>
          <cell r="W146" t="str">
            <v>Sol</v>
          </cell>
        </row>
        <row r="147">
          <cell r="A147">
            <v>143</v>
          </cell>
          <cell r="P147" t="str">
            <v>Sable à galets (Alluvion)</v>
          </cell>
          <cell r="W147" t="str">
            <v>Sol</v>
          </cell>
        </row>
        <row r="148">
          <cell r="A148">
            <v>144</v>
          </cell>
          <cell r="P148" t="str">
            <v xml:space="preserve">Limons </v>
          </cell>
          <cell r="W148" t="str">
            <v>Sol</v>
          </cell>
        </row>
        <row r="149">
          <cell r="A149">
            <v>145</v>
          </cell>
          <cell r="P149" t="str">
            <v xml:space="preserve">Limons </v>
          </cell>
          <cell r="W149" t="str">
            <v>Sol</v>
          </cell>
        </row>
        <row r="150">
          <cell r="A150">
            <v>146</v>
          </cell>
          <cell r="P150" t="str">
            <v xml:space="preserve">Limons </v>
          </cell>
          <cell r="W150" t="str">
            <v>Sol</v>
          </cell>
        </row>
        <row r="151">
          <cell r="A151">
            <v>147</v>
          </cell>
          <cell r="P151" t="str">
            <v xml:space="preserve">Limons </v>
          </cell>
          <cell r="W151" t="str">
            <v>Sol</v>
          </cell>
        </row>
        <row r="152">
          <cell r="A152">
            <v>148</v>
          </cell>
          <cell r="P152" t="str">
            <v xml:space="preserve">Limons </v>
          </cell>
          <cell r="W152" t="str">
            <v>Sol</v>
          </cell>
        </row>
        <row r="153">
          <cell r="A153">
            <v>149</v>
          </cell>
          <cell r="P153" t="str">
            <v xml:space="preserve">Limons </v>
          </cell>
          <cell r="W153" t="str">
            <v>Sol</v>
          </cell>
        </row>
        <row r="154">
          <cell r="A154">
            <v>150</v>
          </cell>
          <cell r="P154" t="str">
            <v xml:space="preserve">Limons </v>
          </cell>
          <cell r="W154" t="str">
            <v>Sol</v>
          </cell>
        </row>
        <row r="155">
          <cell r="A155">
            <v>151</v>
          </cell>
          <cell r="P155" t="str">
            <v xml:space="preserve">Limons </v>
          </cell>
          <cell r="W155" t="str">
            <v>Sol</v>
          </cell>
        </row>
        <row r="156">
          <cell r="A156">
            <v>152</v>
          </cell>
          <cell r="P156" t="str">
            <v xml:space="preserve">Limons </v>
          </cell>
          <cell r="W156" t="str">
            <v>Sol</v>
          </cell>
        </row>
        <row r="157">
          <cell r="A157">
            <v>153</v>
          </cell>
          <cell r="P157" t="str">
            <v xml:space="preserve">Limons </v>
          </cell>
          <cell r="W157" t="str">
            <v>Sol</v>
          </cell>
        </row>
        <row r="158">
          <cell r="A158">
            <v>154</v>
          </cell>
          <cell r="P158" t="str">
            <v xml:space="preserve">Limons </v>
          </cell>
          <cell r="W158" t="str">
            <v>Sol</v>
          </cell>
        </row>
        <row r="159">
          <cell r="A159">
            <v>155</v>
          </cell>
          <cell r="P159" t="str">
            <v xml:space="preserve">Limons </v>
          </cell>
          <cell r="W159" t="str">
            <v>Sol</v>
          </cell>
        </row>
        <row r="160">
          <cell r="A160">
            <v>156</v>
          </cell>
          <cell r="P160" t="str">
            <v xml:space="preserve">Limons </v>
          </cell>
          <cell r="W160" t="str">
            <v>Sol</v>
          </cell>
        </row>
        <row r="161">
          <cell r="A161">
            <v>157</v>
          </cell>
          <cell r="P161" t="str">
            <v xml:space="preserve">Limons </v>
          </cell>
          <cell r="W161" t="str">
            <v>Sol</v>
          </cell>
        </row>
        <row r="162">
          <cell r="A162">
            <v>158</v>
          </cell>
          <cell r="P162" t="str">
            <v xml:space="preserve">Limons </v>
          </cell>
          <cell r="W162" t="str">
            <v>Sol</v>
          </cell>
        </row>
        <row r="163">
          <cell r="A163">
            <v>159</v>
          </cell>
          <cell r="P163" t="str">
            <v>Grave sableuse</v>
          </cell>
          <cell r="W163" t="str">
            <v>Sol</v>
          </cell>
        </row>
        <row r="164">
          <cell r="A164">
            <v>160</v>
          </cell>
          <cell r="P164" t="str">
            <v>Grave sableuse</v>
          </cell>
          <cell r="W164" t="str">
            <v>Sol</v>
          </cell>
        </row>
        <row r="165">
          <cell r="A165">
            <v>161</v>
          </cell>
          <cell r="P165" t="str">
            <v>Limon argileux à graves</v>
          </cell>
          <cell r="W165" t="str">
            <v>Sol</v>
          </cell>
        </row>
        <row r="166">
          <cell r="A166">
            <v>162</v>
          </cell>
          <cell r="P166" t="str">
            <v>Grave sub-angulaire sableuse</v>
          </cell>
          <cell r="W166" t="str">
            <v>Sol</v>
          </cell>
        </row>
        <row r="167">
          <cell r="A167">
            <v>163</v>
          </cell>
          <cell r="P167" t="str">
            <v>Limon argileux brun à passage sableux à racines et à tuiles</v>
          </cell>
          <cell r="W167" t="str">
            <v>Sol</v>
          </cell>
        </row>
        <row r="168">
          <cell r="A168">
            <v>164</v>
          </cell>
          <cell r="P168" t="str">
            <v>Grave sableuse alluvionaire ø0-80mm</v>
          </cell>
          <cell r="W168" t="str">
            <v>Sol</v>
          </cell>
        </row>
        <row r="169">
          <cell r="A169">
            <v>165</v>
          </cell>
          <cell r="P169" t="str">
            <v>Grave sablo-limoneuse ø0-20mm</v>
          </cell>
          <cell r="W169" t="str">
            <v>Sol</v>
          </cell>
        </row>
        <row r="170">
          <cell r="A170">
            <v>166</v>
          </cell>
          <cell r="P170" t="str">
            <v>Grave drainante ø20-50mm</v>
          </cell>
          <cell r="W170" t="str">
            <v>Sol</v>
          </cell>
        </row>
        <row r="171">
          <cell r="A171">
            <v>167</v>
          </cell>
          <cell r="P171" t="str">
            <v>Grave</v>
          </cell>
          <cell r="W171" t="str">
            <v>Sol</v>
          </cell>
        </row>
        <row r="172">
          <cell r="A172">
            <v>168</v>
          </cell>
          <cell r="P172" t="str">
            <v>Grave ø5/31,5mm à matrice sableuse</v>
          </cell>
          <cell r="W172" t="str">
            <v>Sol</v>
          </cell>
        </row>
        <row r="173">
          <cell r="A173">
            <v>169</v>
          </cell>
          <cell r="P173" t="str">
            <v>Sable limoneux</v>
          </cell>
          <cell r="W173" t="str">
            <v>Sol</v>
          </cell>
        </row>
        <row r="174">
          <cell r="A174">
            <v>170</v>
          </cell>
          <cell r="P174" t="str">
            <v>Grave sableuse</v>
          </cell>
          <cell r="W174" t="str">
            <v>Sol</v>
          </cell>
        </row>
        <row r="175">
          <cell r="A175">
            <v>171</v>
          </cell>
          <cell r="P175" t="str">
            <v>Recyclé béton ø0-100mm</v>
          </cell>
          <cell r="W175" t="str">
            <v xml:space="preserve"> M </v>
          </cell>
        </row>
        <row r="176">
          <cell r="A176">
            <v>172</v>
          </cell>
          <cell r="P176" t="str">
            <v>Grave sableuse schisteuse concassée</v>
          </cell>
          <cell r="W176" t="str">
            <v>Sol</v>
          </cell>
        </row>
        <row r="177">
          <cell r="A177">
            <v>173</v>
          </cell>
          <cell r="P177" t="str">
            <v>Grave sableuse alluvionaire ø0-100mm</v>
          </cell>
          <cell r="W177" t="str">
            <v>Sol</v>
          </cell>
        </row>
        <row r="178">
          <cell r="A178">
            <v>174</v>
          </cell>
          <cell r="P178" t="str">
            <v>Recyclé béton ø0-100mm</v>
          </cell>
          <cell r="W178" t="str">
            <v>Sol</v>
          </cell>
        </row>
        <row r="179">
          <cell r="A179">
            <v>175</v>
          </cell>
          <cell r="P179" t="str">
            <v>Recyclé béton ø0-100mm</v>
          </cell>
          <cell r="W179" t="str">
            <v>Sol</v>
          </cell>
        </row>
        <row r="180">
          <cell r="A180">
            <v>176</v>
          </cell>
          <cell r="P180" t="str">
            <v>Grave sableuse Calcaire ø0-60mm</v>
          </cell>
          <cell r="W180" t="str">
            <v>Sol</v>
          </cell>
        </row>
        <row r="181">
          <cell r="A181">
            <v>177</v>
          </cell>
          <cell r="P181" t="str">
            <v>Remblai graveleux avec débris de demolition</v>
          </cell>
          <cell r="W181" t="str">
            <v>Sol</v>
          </cell>
        </row>
        <row r="182">
          <cell r="A182">
            <v>178</v>
          </cell>
          <cell r="P182" t="str">
            <v>Remblai graveleux avec débris de demolition</v>
          </cell>
          <cell r="W182" t="str">
            <v>Sol</v>
          </cell>
        </row>
        <row r="183">
          <cell r="A183">
            <v>179</v>
          </cell>
          <cell r="P183" t="str">
            <v xml:space="preserve">Graves et graviers à matrice limono-argileuse </v>
          </cell>
          <cell r="W183" t="str">
            <v>Sol</v>
          </cell>
        </row>
        <row r="184">
          <cell r="A184">
            <v>180</v>
          </cell>
          <cell r="P184" t="str">
            <v xml:space="preserve">Remblais de graves et graviers à matrice limono-argileuse </v>
          </cell>
          <cell r="W184" t="str">
            <v>Sol</v>
          </cell>
        </row>
        <row r="185">
          <cell r="A185">
            <v>181</v>
          </cell>
          <cell r="P185" t="str">
            <v xml:space="preserve">Grave limono-sableuse ø0/30mm </v>
          </cell>
          <cell r="W185" t="str">
            <v>Sol</v>
          </cell>
        </row>
        <row r="186">
          <cell r="A186">
            <v>182</v>
          </cell>
          <cell r="P186" t="str">
            <v xml:space="preserve">Grave sableuse légérement limoneuse ø0/30mm </v>
          </cell>
          <cell r="W186" t="str">
            <v>Sol</v>
          </cell>
        </row>
        <row r="187">
          <cell r="A187">
            <v>183</v>
          </cell>
          <cell r="P187" t="str">
            <v>Grave sablo-limoneuse</v>
          </cell>
          <cell r="W187" t="str">
            <v>Sol</v>
          </cell>
        </row>
        <row r="188">
          <cell r="A188">
            <v>184</v>
          </cell>
          <cell r="P188" t="str">
            <v>Limon sableux à grave</v>
          </cell>
          <cell r="W188" t="str">
            <v>Sol</v>
          </cell>
        </row>
        <row r="189">
          <cell r="A189">
            <v>185</v>
          </cell>
          <cell r="P189" t="str">
            <v>Grave sablo-limoneuse à poche argileuse</v>
          </cell>
          <cell r="W189" t="str">
            <v>Sol</v>
          </cell>
        </row>
        <row r="190">
          <cell r="A190">
            <v>186</v>
          </cell>
          <cell r="P190" t="str">
            <v>Grave recyclé beton</v>
          </cell>
          <cell r="W190" t="str">
            <v xml:space="preserve"> B </v>
          </cell>
        </row>
        <row r="191">
          <cell r="A191">
            <v>187</v>
          </cell>
          <cell r="P191" t="str">
            <v>ø0/31,5mm</v>
          </cell>
          <cell r="W191" t="str">
            <v>Sol</v>
          </cell>
        </row>
        <row r="192">
          <cell r="A192">
            <v>188</v>
          </cell>
          <cell r="P192" t="str">
            <v>ø0/4mm. Limon sableux à gravellette</v>
          </cell>
          <cell r="W192" t="str">
            <v>Sol</v>
          </cell>
        </row>
        <row r="193">
          <cell r="A193">
            <v>189</v>
          </cell>
          <cell r="P193" t="str">
            <v>ø0/4mm. Limon sableux à gravellette</v>
          </cell>
          <cell r="W193" t="str">
            <v>Sol</v>
          </cell>
        </row>
        <row r="194">
          <cell r="A194">
            <v>190</v>
          </cell>
          <cell r="P194" t="str">
            <v>Grave sableuse ø0/31,5mm</v>
          </cell>
          <cell r="W194" t="str">
            <v>Sol</v>
          </cell>
        </row>
        <row r="195">
          <cell r="A195">
            <v>191</v>
          </cell>
          <cell r="P195" t="str">
            <v>Grave ø4/12mm</v>
          </cell>
          <cell r="W195" t="str">
            <v>Sol</v>
          </cell>
        </row>
        <row r="196">
          <cell r="A196">
            <v>192</v>
          </cell>
          <cell r="P196" t="str">
            <v>Grave ø12/20mm</v>
          </cell>
          <cell r="W196" t="str">
            <v>Sol</v>
          </cell>
        </row>
        <row r="197">
          <cell r="A197">
            <v>193</v>
          </cell>
          <cell r="P197" t="str">
            <v>Recyclé ø0/80mm</v>
          </cell>
          <cell r="W197" t="str">
            <v>Sol</v>
          </cell>
        </row>
        <row r="198">
          <cell r="A198">
            <v>194</v>
          </cell>
          <cell r="P198" t="str">
            <v>Tourbe limoneuse (cendre)</v>
          </cell>
          <cell r="W198" t="str">
            <v>Sol</v>
          </cell>
        </row>
        <row r="199">
          <cell r="A199">
            <v>195</v>
          </cell>
          <cell r="P199" t="str">
            <v>Grave sablo-limoneuse</v>
          </cell>
          <cell r="W199" t="str">
            <v>Sol</v>
          </cell>
        </row>
        <row r="200">
          <cell r="A200">
            <v>196</v>
          </cell>
          <cell r="P200" t="str">
            <v>Limon à quelques grave</v>
          </cell>
          <cell r="W200" t="str">
            <v>Sol</v>
          </cell>
        </row>
        <row r="201">
          <cell r="A201">
            <v>197</v>
          </cell>
          <cell r="P201" t="str">
            <v>Limon sablo-argileux brun à nombreux cailloutis et grave roulé</v>
          </cell>
          <cell r="W201" t="str">
            <v>Sol</v>
          </cell>
        </row>
        <row r="202">
          <cell r="A202">
            <v>198</v>
          </cell>
          <cell r="P202" t="str">
            <v>Grave limoneuse</v>
          </cell>
          <cell r="W202" t="str">
            <v>Sol</v>
          </cell>
        </row>
        <row r="203">
          <cell r="A203">
            <v>199</v>
          </cell>
          <cell r="P203" t="str">
            <v>Grave alluvionnaire sableuse beige pâle</v>
          </cell>
          <cell r="W203" t="str">
            <v>Sol</v>
          </cell>
        </row>
        <row r="204">
          <cell r="A204">
            <v>200</v>
          </cell>
          <cell r="P204" t="str">
            <v>Sable limoneux graveleux</v>
          </cell>
          <cell r="W204" t="str">
            <v>Sol</v>
          </cell>
        </row>
        <row r="205">
          <cell r="A205">
            <v>201</v>
          </cell>
          <cell r="P205" t="str">
            <v xml:space="preserve">Limon </v>
          </cell>
          <cell r="W205" t="str">
            <v>Sol</v>
          </cell>
        </row>
        <row r="206">
          <cell r="A206">
            <v>202</v>
          </cell>
          <cell r="P206" t="str">
            <v>Grave roulé à sable micassé à débris végétaux</v>
          </cell>
          <cell r="W206" t="str">
            <v>Sol</v>
          </cell>
        </row>
        <row r="207">
          <cell r="A207">
            <v>203</v>
          </cell>
          <cell r="P207" t="str">
            <v>Sable fin micassé à nombreux éléments vegétaux</v>
          </cell>
          <cell r="W207" t="str">
            <v>Sol</v>
          </cell>
        </row>
        <row r="208">
          <cell r="A208">
            <v>204</v>
          </cell>
          <cell r="P208" t="str">
            <v>Grave roulé à sable micassé à débris végétaux</v>
          </cell>
          <cell r="W208" t="str">
            <v>Sol</v>
          </cell>
        </row>
        <row r="209">
          <cell r="A209">
            <v>205</v>
          </cell>
          <cell r="P209" t="str">
            <v>Sable fin micassé à nombreux éléments vegétaux</v>
          </cell>
          <cell r="W209" t="str">
            <v>Sol</v>
          </cell>
        </row>
        <row r="210">
          <cell r="A210">
            <v>206</v>
          </cell>
          <cell r="P210" t="str">
            <v>Sable fin micassé à nombreux éléments vegétaux</v>
          </cell>
          <cell r="W210" t="str">
            <v>Sol</v>
          </cell>
        </row>
        <row r="211">
          <cell r="A211">
            <v>207</v>
          </cell>
          <cell r="P211" t="str">
            <v>Grave roulé à sable micassé à débris végétaux</v>
          </cell>
          <cell r="W211" t="str">
            <v>Sol</v>
          </cell>
        </row>
        <row r="212">
          <cell r="A212">
            <v>208</v>
          </cell>
          <cell r="P212" t="str">
            <v>Sable fin micassé à nombreux éléments vegétaux</v>
          </cell>
          <cell r="W212" t="str">
            <v>Sol</v>
          </cell>
        </row>
        <row r="213">
          <cell r="A213">
            <v>209</v>
          </cell>
          <cell r="P213" t="str">
            <v>Grave roulé à sable micassé à débris végétaux</v>
          </cell>
          <cell r="W213" t="str">
            <v>Sol</v>
          </cell>
        </row>
        <row r="214">
          <cell r="A214">
            <v>210</v>
          </cell>
          <cell r="P214" t="str">
            <v>Sable fin micassé à nombreux éléments vegétaux</v>
          </cell>
          <cell r="W214" t="str">
            <v>Sol</v>
          </cell>
        </row>
        <row r="215">
          <cell r="A215">
            <v>211</v>
          </cell>
          <cell r="P215" t="str">
            <v>Grave roulé à sable micassé à débris végétaux</v>
          </cell>
          <cell r="W215" t="str">
            <v>Sol</v>
          </cell>
        </row>
        <row r="216">
          <cell r="A216">
            <v>212</v>
          </cell>
          <cell r="P216" t="str">
            <v>Grave roulé à sable micassé à débris végétaux</v>
          </cell>
          <cell r="W216" t="str">
            <v>Sol</v>
          </cell>
        </row>
        <row r="217">
          <cell r="A217">
            <v>213</v>
          </cell>
          <cell r="P217" t="str">
            <v>Sable fin micassé à nombreux éléments vegétaux</v>
          </cell>
          <cell r="W217" t="str">
            <v>Sol</v>
          </cell>
        </row>
        <row r="218">
          <cell r="A218">
            <v>214</v>
          </cell>
          <cell r="P218" t="str">
            <v>Sable limoneux brun à grave à quelques racines</v>
          </cell>
          <cell r="W218" t="str">
            <v>Sol</v>
          </cell>
        </row>
        <row r="219">
          <cell r="A219">
            <v>215</v>
          </cell>
          <cell r="P219" t="str">
            <v>Sable limoneux brun à beige à grave</v>
          </cell>
          <cell r="W219" t="str">
            <v>Sol</v>
          </cell>
        </row>
        <row r="220">
          <cell r="A220">
            <v>216</v>
          </cell>
          <cell r="P220" t="str">
            <v>Limon argileux brun verdâtre à grave</v>
          </cell>
          <cell r="W220" t="str">
            <v>Sol</v>
          </cell>
        </row>
        <row r="221">
          <cell r="A221">
            <v>217</v>
          </cell>
          <cell r="P221" t="str">
            <v>Limon argileux beige à brun à grave</v>
          </cell>
          <cell r="W221" t="str">
            <v>Sol</v>
          </cell>
        </row>
        <row r="222">
          <cell r="A222">
            <v>218</v>
          </cell>
          <cell r="P222" t="str">
            <v>Limon sableux avec fine couches argileuses</v>
          </cell>
          <cell r="W222" t="str">
            <v>Sol</v>
          </cell>
        </row>
        <row r="223">
          <cell r="A223">
            <v>219</v>
          </cell>
          <cell r="P223" t="str">
            <v>Limon sableux avec fine couches argileuses</v>
          </cell>
          <cell r="W223" t="str">
            <v>Sol</v>
          </cell>
        </row>
        <row r="224">
          <cell r="A224">
            <v>220</v>
          </cell>
          <cell r="P224" t="str">
            <v>Limon sablo graveleux</v>
          </cell>
          <cell r="W224" t="str">
            <v>Sol</v>
          </cell>
        </row>
        <row r="225">
          <cell r="A225">
            <v>221</v>
          </cell>
          <cell r="P225" t="str">
            <v>Limon sablo graveleux</v>
          </cell>
          <cell r="W225" t="str">
            <v>Sol</v>
          </cell>
        </row>
        <row r="226">
          <cell r="A226">
            <v>222</v>
          </cell>
          <cell r="P226" t="str">
            <v>Limon sablo graveleux</v>
          </cell>
          <cell r="W226" t="str">
            <v>Sol</v>
          </cell>
        </row>
        <row r="227">
          <cell r="A227">
            <v>223</v>
          </cell>
          <cell r="P227" t="str">
            <v>Grave sableuse</v>
          </cell>
          <cell r="W227" t="str">
            <v>Sol</v>
          </cell>
        </row>
        <row r="228">
          <cell r="A228">
            <v>224</v>
          </cell>
          <cell r="P228" t="str">
            <v>Limon sablo graveleux</v>
          </cell>
          <cell r="W228" t="str">
            <v>Sol</v>
          </cell>
        </row>
        <row r="229">
          <cell r="A229">
            <v>225</v>
          </cell>
          <cell r="P229" t="str">
            <v>Grave sableuse</v>
          </cell>
          <cell r="W229" t="str">
            <v>Sol</v>
          </cell>
        </row>
        <row r="230">
          <cell r="A230">
            <v>226</v>
          </cell>
          <cell r="P230" t="str">
            <v>déchets : plastique, tuiles, PVC, béton, piquet d’implantation et morceaux de bois coupés et broyés</v>
          </cell>
          <cell r="W230" t="str">
            <v>Sol</v>
          </cell>
        </row>
        <row r="231">
          <cell r="A231">
            <v>227</v>
          </cell>
          <cell r="W231" t="str">
            <v>Sol</v>
          </cell>
        </row>
        <row r="232">
          <cell r="A232">
            <v>228</v>
          </cell>
          <cell r="P232" t="str">
            <v>Sable limoneux à racines</v>
          </cell>
          <cell r="W232" t="str">
            <v>Sol</v>
          </cell>
        </row>
        <row r="233">
          <cell r="A233">
            <v>229</v>
          </cell>
          <cell r="P233" t="str">
            <v>Grave sableuse</v>
          </cell>
          <cell r="W233" t="str">
            <v>Sol</v>
          </cell>
        </row>
        <row r="234">
          <cell r="A234">
            <v>230</v>
          </cell>
          <cell r="P234" t="str">
            <v>Grave sableuse brune à nodule limono-argileux</v>
          </cell>
          <cell r="W234" t="str">
            <v>Sol</v>
          </cell>
        </row>
        <row r="235">
          <cell r="A235">
            <v>231</v>
          </cell>
          <cell r="P235" t="str">
            <v xml:space="preserve">Limon sableux peu graveleux </v>
          </cell>
          <cell r="W235" t="str">
            <v>Sol</v>
          </cell>
        </row>
        <row r="236">
          <cell r="A236">
            <v>232</v>
          </cell>
          <cell r="P236" t="str">
            <v>Grave sableuse</v>
          </cell>
          <cell r="W236" t="str">
            <v>Sol</v>
          </cell>
        </row>
        <row r="237">
          <cell r="A237">
            <v>233</v>
          </cell>
          <cell r="P237" t="str">
            <v xml:space="preserve">Grave sableuse </v>
          </cell>
          <cell r="W237" t="str">
            <v>Sol</v>
          </cell>
        </row>
        <row r="238">
          <cell r="A238">
            <v>234</v>
          </cell>
          <cell r="P238" t="str">
            <v>Grave sableuse 0/50mm</v>
          </cell>
          <cell r="W238" t="str">
            <v>Sol</v>
          </cell>
        </row>
        <row r="239">
          <cell r="A239">
            <v>235</v>
          </cell>
          <cell r="P239" t="str">
            <v>Grave sableuse 0/63mm</v>
          </cell>
          <cell r="W239" t="str">
            <v>Sol</v>
          </cell>
        </row>
        <row r="240">
          <cell r="A240">
            <v>236</v>
          </cell>
          <cell r="P240" t="str">
            <v>Grave sableuse 0/63mm</v>
          </cell>
          <cell r="W240" t="str">
            <v>Sol</v>
          </cell>
        </row>
        <row r="241">
          <cell r="A241">
            <v>237</v>
          </cell>
          <cell r="P241" t="str">
            <v>Grave sableuse 0/63mm</v>
          </cell>
          <cell r="W241" t="str">
            <v>Sol</v>
          </cell>
        </row>
        <row r="242">
          <cell r="A242">
            <v>238</v>
          </cell>
          <cell r="P242" t="str">
            <v>Limon sableux brun à racines</v>
          </cell>
          <cell r="W242" t="str">
            <v>Sol</v>
          </cell>
        </row>
        <row r="243">
          <cell r="A243">
            <v>239</v>
          </cell>
          <cell r="P243" t="str">
            <v xml:space="preserve">Limon sableux brun </v>
          </cell>
          <cell r="W243" t="str">
            <v>Sol</v>
          </cell>
        </row>
        <row r="244">
          <cell r="A244">
            <v>240</v>
          </cell>
          <cell r="P244" t="str">
            <v>Limon sableux à graves et cailloutis à racines</v>
          </cell>
          <cell r="W244" t="str">
            <v>Sol</v>
          </cell>
        </row>
        <row r="245">
          <cell r="A245">
            <v>241</v>
          </cell>
          <cell r="W245" t="str">
            <v>Sol</v>
          </cell>
        </row>
        <row r="246">
          <cell r="A246">
            <v>242</v>
          </cell>
          <cell r="W246" t="str">
            <v>Sol</v>
          </cell>
        </row>
        <row r="247">
          <cell r="A247">
            <v>243</v>
          </cell>
          <cell r="W247" t="str">
            <v>Sol</v>
          </cell>
        </row>
        <row r="248">
          <cell r="A248">
            <v>244</v>
          </cell>
          <cell r="P248" t="str">
            <v>Grave concassée calcaire ø0-200mm</v>
          </cell>
          <cell r="W248" t="str">
            <v>Sol</v>
          </cell>
        </row>
        <row r="249">
          <cell r="A249">
            <v>245</v>
          </cell>
          <cell r="P249" t="str">
            <v>Grave concassée calcaire ø0-200mm</v>
          </cell>
          <cell r="W249" t="str">
            <v>Sol</v>
          </cell>
        </row>
        <row r="250">
          <cell r="A250">
            <v>246</v>
          </cell>
          <cell r="P250" t="str">
            <v>Grave concassée calcaire ø0-200mm</v>
          </cell>
          <cell r="W250" t="str">
            <v>Sol</v>
          </cell>
        </row>
        <row r="251">
          <cell r="A251">
            <v>247</v>
          </cell>
          <cell r="P251" t="str">
            <v>Grave concassée calcaire ø0-200mm</v>
          </cell>
          <cell r="W251" t="str">
            <v>Sol</v>
          </cell>
        </row>
        <row r="252">
          <cell r="A252">
            <v>248</v>
          </cell>
          <cell r="P252" t="str">
            <v>Grave concassée calcaire ø0-200mm</v>
          </cell>
          <cell r="W252" t="str">
            <v>Sol</v>
          </cell>
        </row>
        <row r="253">
          <cell r="A253">
            <v>249</v>
          </cell>
          <cell r="P253" t="str">
            <v>Grave concassée calcaire ø0-200mm</v>
          </cell>
          <cell r="W253" t="str">
            <v>Sol</v>
          </cell>
        </row>
        <row r="254">
          <cell r="A254">
            <v>250</v>
          </cell>
          <cell r="W254" t="str">
            <v>Sol</v>
          </cell>
        </row>
        <row r="255">
          <cell r="A255">
            <v>251</v>
          </cell>
          <cell r="P255" t="str">
            <v>Limon argileux à graves et cailloutis</v>
          </cell>
          <cell r="W255" t="str">
            <v>Sol</v>
          </cell>
        </row>
        <row r="256">
          <cell r="A256">
            <v>252</v>
          </cell>
          <cell r="P256" t="str">
            <v xml:space="preserve">Grave sableuse </v>
          </cell>
          <cell r="W256" t="str">
            <v>Sol</v>
          </cell>
        </row>
        <row r="257">
          <cell r="A257">
            <v>253</v>
          </cell>
          <cell r="P257" t="str">
            <v>Sable limoneux à graves et cailloutis</v>
          </cell>
          <cell r="W257" t="str">
            <v>Sol</v>
          </cell>
        </row>
        <row r="258">
          <cell r="A258">
            <v>254</v>
          </cell>
          <cell r="P258" t="str">
            <v xml:space="preserve">Grave sableuse </v>
          </cell>
          <cell r="W258" t="str">
            <v>Sol</v>
          </cell>
        </row>
        <row r="259">
          <cell r="A259">
            <v>255</v>
          </cell>
          <cell r="P259" t="str">
            <v>Limon argileux à graves et cailloutis</v>
          </cell>
          <cell r="W259" t="str">
            <v>Sol</v>
          </cell>
        </row>
        <row r="260">
          <cell r="A260">
            <v>256</v>
          </cell>
          <cell r="P260" t="str">
            <v>Limon à grave et cailloutis à racines</v>
          </cell>
          <cell r="W260" t="str">
            <v>Sol</v>
          </cell>
        </row>
        <row r="261">
          <cell r="A261">
            <v>257</v>
          </cell>
          <cell r="P261" t="str">
            <v>Limon argileux à graves et cailloutis</v>
          </cell>
          <cell r="W261" t="str">
            <v>Sol</v>
          </cell>
        </row>
        <row r="262">
          <cell r="A262">
            <v>258</v>
          </cell>
          <cell r="P262" t="str">
            <v>Limon brun à cailloutis à graves à racines</v>
          </cell>
          <cell r="W262" t="str">
            <v>Sol</v>
          </cell>
        </row>
        <row r="263">
          <cell r="A263">
            <v>259</v>
          </cell>
          <cell r="P263" t="str">
            <v>Limon argileux brun à cailloutis</v>
          </cell>
          <cell r="W263" t="str">
            <v>Sol</v>
          </cell>
        </row>
        <row r="264">
          <cell r="A264">
            <v>260</v>
          </cell>
          <cell r="P264" t="str">
            <v>Argile beihe à quelques cailloutis</v>
          </cell>
          <cell r="W264" t="str">
            <v>Sol</v>
          </cell>
        </row>
        <row r="265">
          <cell r="A265">
            <v>261</v>
          </cell>
          <cell r="W265" t="str">
            <v>Sol</v>
          </cell>
        </row>
        <row r="266">
          <cell r="A266">
            <v>262</v>
          </cell>
          <cell r="W266" t="str">
            <v>Sol</v>
          </cell>
        </row>
        <row r="267">
          <cell r="A267">
            <v>263</v>
          </cell>
          <cell r="W267" t="str">
            <v>Sol</v>
          </cell>
        </row>
        <row r="268">
          <cell r="A268">
            <v>264</v>
          </cell>
          <cell r="W268" t="str">
            <v>Sol</v>
          </cell>
        </row>
        <row r="269">
          <cell r="A269">
            <v>265</v>
          </cell>
          <cell r="W269" t="str">
            <v>Sol</v>
          </cell>
        </row>
        <row r="270">
          <cell r="A270">
            <v>266</v>
          </cell>
          <cell r="W270" t="str">
            <v>Sol</v>
          </cell>
        </row>
        <row r="271">
          <cell r="A271">
            <v>267</v>
          </cell>
          <cell r="W271" t="str">
            <v>Sol</v>
          </cell>
        </row>
        <row r="272">
          <cell r="A272">
            <v>268</v>
          </cell>
          <cell r="W272" t="str">
            <v>Sol</v>
          </cell>
        </row>
        <row r="273">
          <cell r="A273">
            <v>269</v>
          </cell>
          <cell r="P273" t="str">
            <v>Grave sableuse</v>
          </cell>
          <cell r="W273" t="str">
            <v>Sol</v>
          </cell>
        </row>
        <row r="274">
          <cell r="A274">
            <v>270</v>
          </cell>
          <cell r="P274" t="str">
            <v>Grave sableuse</v>
          </cell>
          <cell r="W274" t="str">
            <v>Sol</v>
          </cell>
        </row>
        <row r="275">
          <cell r="A275">
            <v>271</v>
          </cell>
          <cell r="P275" t="str">
            <v>Grave sableuse</v>
          </cell>
          <cell r="W275" t="str">
            <v>Sol</v>
          </cell>
        </row>
        <row r="276">
          <cell r="A276">
            <v>272</v>
          </cell>
          <cell r="P276" t="str">
            <v>Grave sableuse</v>
          </cell>
          <cell r="W276" t="str">
            <v>Sol</v>
          </cell>
        </row>
        <row r="277">
          <cell r="A277">
            <v>273</v>
          </cell>
          <cell r="W277" t="str">
            <v>Sol</v>
          </cell>
        </row>
        <row r="278">
          <cell r="A278">
            <v>274</v>
          </cell>
          <cell r="W278" t="str">
            <v>Sol</v>
          </cell>
        </row>
        <row r="279">
          <cell r="A279">
            <v>275</v>
          </cell>
          <cell r="W279" t="str">
            <v>Sol</v>
          </cell>
        </row>
        <row r="280">
          <cell r="A280">
            <v>276</v>
          </cell>
          <cell r="W280" t="str">
            <v>Sol</v>
          </cell>
        </row>
        <row r="281">
          <cell r="A281">
            <v>277</v>
          </cell>
          <cell r="W281" t="str">
            <v>Sol</v>
          </cell>
        </row>
        <row r="282">
          <cell r="A282">
            <v>278</v>
          </cell>
          <cell r="W282" t="str">
            <v>Sol</v>
          </cell>
        </row>
        <row r="283">
          <cell r="A283">
            <v>279</v>
          </cell>
          <cell r="W283" t="str">
            <v>Sol</v>
          </cell>
        </row>
        <row r="284">
          <cell r="A284">
            <v>280</v>
          </cell>
          <cell r="W284" t="str">
            <v>Sol</v>
          </cell>
        </row>
        <row r="285">
          <cell r="A285">
            <v>281</v>
          </cell>
          <cell r="W285" t="str">
            <v>Sol</v>
          </cell>
        </row>
        <row r="286">
          <cell r="A286">
            <v>282</v>
          </cell>
          <cell r="W286" t="str">
            <v>Sol</v>
          </cell>
        </row>
        <row r="287">
          <cell r="A287">
            <v>283</v>
          </cell>
          <cell r="W287" t="str">
            <v>Sol</v>
          </cell>
        </row>
        <row r="288">
          <cell r="A288">
            <v>284</v>
          </cell>
          <cell r="W288" t="str">
            <v>Sol</v>
          </cell>
        </row>
        <row r="289">
          <cell r="A289">
            <v>285</v>
          </cell>
          <cell r="W289" t="str">
            <v>Sol</v>
          </cell>
        </row>
        <row r="290">
          <cell r="A290">
            <v>286</v>
          </cell>
          <cell r="W290" t="str">
            <v>Sol</v>
          </cell>
        </row>
        <row r="291">
          <cell r="A291">
            <v>287</v>
          </cell>
          <cell r="W291" t="str">
            <v>Sol</v>
          </cell>
        </row>
        <row r="292">
          <cell r="A292">
            <v>288</v>
          </cell>
          <cell r="W292" t="str">
            <v>Sol</v>
          </cell>
        </row>
        <row r="293">
          <cell r="A293">
            <v>289</v>
          </cell>
          <cell r="W293" t="str">
            <v>Sol</v>
          </cell>
        </row>
        <row r="294">
          <cell r="A294">
            <v>290</v>
          </cell>
          <cell r="W294" t="str">
            <v>Sol</v>
          </cell>
        </row>
        <row r="295">
          <cell r="A295">
            <v>291</v>
          </cell>
          <cell r="W295" t="str">
            <v>Sol</v>
          </cell>
        </row>
        <row r="296">
          <cell r="A296">
            <v>292</v>
          </cell>
          <cell r="W296" t="str">
            <v>Sol</v>
          </cell>
        </row>
        <row r="297">
          <cell r="A297">
            <v>293</v>
          </cell>
          <cell r="W297" t="str">
            <v>Sol</v>
          </cell>
        </row>
        <row r="298">
          <cell r="A298">
            <v>294</v>
          </cell>
          <cell r="W298" t="str">
            <v>Sol</v>
          </cell>
        </row>
        <row r="299">
          <cell r="A299">
            <v>295</v>
          </cell>
          <cell r="W299" t="str">
            <v>Sol</v>
          </cell>
        </row>
        <row r="300">
          <cell r="A300">
            <v>296</v>
          </cell>
          <cell r="W300" t="str">
            <v>Sol</v>
          </cell>
        </row>
        <row r="301">
          <cell r="A301">
            <v>297</v>
          </cell>
          <cell r="W301" t="str">
            <v>Sol</v>
          </cell>
        </row>
        <row r="302">
          <cell r="A302">
            <v>298</v>
          </cell>
          <cell r="W302" t="str">
            <v>Sol</v>
          </cell>
        </row>
        <row r="303">
          <cell r="A303">
            <v>299</v>
          </cell>
          <cell r="W303" t="str">
            <v>Sol</v>
          </cell>
        </row>
        <row r="304">
          <cell r="A304">
            <v>300</v>
          </cell>
          <cell r="W304" t="str">
            <v>Sol</v>
          </cell>
        </row>
        <row r="305">
          <cell r="A305">
            <v>301</v>
          </cell>
          <cell r="P305" t="str">
            <v>Grave recyclé ø0/80mm sablo limoneuse</v>
          </cell>
          <cell r="W305" t="str">
            <v>Sol</v>
          </cell>
        </row>
        <row r="306">
          <cell r="A306">
            <v>302</v>
          </cell>
          <cell r="P306" t="str">
            <v>Grave sableuse</v>
          </cell>
          <cell r="W306" t="str">
            <v>Sol</v>
          </cell>
        </row>
        <row r="307">
          <cell r="A307">
            <v>303</v>
          </cell>
          <cell r="P307" t="str">
            <v>Limon argileux graveleux</v>
          </cell>
          <cell r="W307" t="str">
            <v>Sol</v>
          </cell>
        </row>
        <row r="308">
          <cell r="A308">
            <v>304</v>
          </cell>
          <cell r="P308" t="str">
            <v>Remblais de grave limoneuse</v>
          </cell>
          <cell r="W308" t="str">
            <v>Sol</v>
          </cell>
        </row>
        <row r="309">
          <cell r="A309">
            <v>305</v>
          </cell>
          <cell r="P309" t="str">
            <v>Grave sablo-limoneuse avec un présence d'enrobé</v>
          </cell>
          <cell r="W309" t="str">
            <v>Sol</v>
          </cell>
        </row>
        <row r="310">
          <cell r="A310">
            <v>306</v>
          </cell>
          <cell r="P310" t="str">
            <v>Recyclé béton ø0/80mm</v>
          </cell>
          <cell r="W310" t="str">
            <v>Sol</v>
          </cell>
        </row>
        <row r="311">
          <cell r="A311">
            <v>307</v>
          </cell>
          <cell r="P311" t="str">
            <v>Recyclé béton ø0/31,5mm</v>
          </cell>
          <cell r="W311" t="str">
            <v>Sol</v>
          </cell>
        </row>
        <row r="312">
          <cell r="A312">
            <v>308</v>
          </cell>
          <cell r="P312" t="str">
            <v>Recyclé beton ø12/20mm</v>
          </cell>
          <cell r="W312" t="str">
            <v>Sol</v>
          </cell>
        </row>
        <row r="313">
          <cell r="A313">
            <v>309</v>
          </cell>
          <cell r="P313" t="str">
            <v>Recyclé béton ø4/12mm</v>
          </cell>
          <cell r="W313" t="str">
            <v>Sol</v>
          </cell>
        </row>
        <row r="314">
          <cell r="A314">
            <v>310</v>
          </cell>
          <cell r="P314" t="str">
            <v>Grave sablo-limoneuse ø0/60mm</v>
          </cell>
          <cell r="W314" t="str">
            <v>Sol</v>
          </cell>
        </row>
        <row r="315">
          <cell r="A315">
            <v>311</v>
          </cell>
          <cell r="P315" t="str">
            <v>Recyclé béton sable ø0/4mm</v>
          </cell>
          <cell r="W315" t="str">
            <v>Sol</v>
          </cell>
        </row>
        <row r="316">
          <cell r="A316">
            <v>312</v>
          </cell>
          <cell r="P316" t="str">
            <v>Cloutage ø40/120mm</v>
          </cell>
          <cell r="W316" t="str">
            <v>Sol</v>
          </cell>
        </row>
        <row r="317">
          <cell r="A317">
            <v>313</v>
          </cell>
          <cell r="P317" t="str">
            <v>Grave drainante 60/120mm</v>
          </cell>
          <cell r="W317" t="str">
            <v>Sol</v>
          </cell>
        </row>
        <row r="318">
          <cell r="A318">
            <v>314</v>
          </cell>
          <cell r="P318" t="str">
            <v>Cloutage ø60/200mm</v>
          </cell>
          <cell r="W318" t="str">
            <v>Sol</v>
          </cell>
        </row>
        <row r="319">
          <cell r="A319">
            <v>315</v>
          </cell>
          <cell r="P319" t="str">
            <v>Grave limono-sableuse</v>
          </cell>
          <cell r="W319" t="str">
            <v>Sol</v>
          </cell>
        </row>
        <row r="320">
          <cell r="A320">
            <v>316</v>
          </cell>
          <cell r="P320" t="str">
            <v xml:space="preserve">Grave limono-sableuse </v>
          </cell>
          <cell r="W320" t="str">
            <v>Sol</v>
          </cell>
        </row>
        <row r="321">
          <cell r="A321">
            <v>317</v>
          </cell>
          <cell r="P321" t="str">
            <v>Grave à matrice limoneuse</v>
          </cell>
          <cell r="W321" t="str">
            <v>Sol</v>
          </cell>
        </row>
        <row r="322">
          <cell r="A322">
            <v>318</v>
          </cell>
          <cell r="P322" t="str">
            <v>Grave sableuse</v>
          </cell>
          <cell r="W322" t="str">
            <v>Sol</v>
          </cell>
        </row>
        <row r="323">
          <cell r="A323">
            <v>319</v>
          </cell>
          <cell r="P323" t="str">
            <v>Grave à matrice limoneuse</v>
          </cell>
          <cell r="W323" t="str">
            <v>Sol</v>
          </cell>
        </row>
        <row r="324">
          <cell r="A324">
            <v>320</v>
          </cell>
          <cell r="P324" t="str">
            <v>Grave sableuse à passage limoneux</v>
          </cell>
          <cell r="W324" t="str">
            <v>Sol</v>
          </cell>
        </row>
        <row r="325">
          <cell r="A325">
            <v>321</v>
          </cell>
          <cell r="P325" t="str">
            <v>Grave limono sableuse</v>
          </cell>
          <cell r="W325" t="str">
            <v>Sol</v>
          </cell>
        </row>
        <row r="326">
          <cell r="A326">
            <v>322</v>
          </cell>
          <cell r="P326" t="str">
            <v>Grave sableuse</v>
          </cell>
          <cell r="W326" t="str">
            <v>Sol</v>
          </cell>
        </row>
        <row r="327">
          <cell r="A327">
            <v>323</v>
          </cell>
          <cell r="P327" t="str">
            <v>Grave à matrice limoneuse à cailloutis</v>
          </cell>
          <cell r="W327" t="str">
            <v>Sol</v>
          </cell>
        </row>
        <row r="328">
          <cell r="A328">
            <v>324</v>
          </cell>
          <cell r="P328" t="str">
            <v>Limon argileux à graves</v>
          </cell>
          <cell r="W328" t="str">
            <v>Sol</v>
          </cell>
        </row>
        <row r="329">
          <cell r="A329">
            <v>325</v>
          </cell>
          <cell r="P329" t="str">
            <v>Argile à graviers et graves</v>
          </cell>
          <cell r="W329" t="str">
            <v>Sol</v>
          </cell>
        </row>
        <row r="330">
          <cell r="A330">
            <v>326</v>
          </cell>
          <cell r="P330" t="str">
            <v>Grave limono-sableuse</v>
          </cell>
          <cell r="W330" t="str">
            <v>Sol</v>
          </cell>
        </row>
        <row r="331">
          <cell r="A331">
            <v>327</v>
          </cell>
          <cell r="P331" t="str">
            <v>Grave limono-sableuse</v>
          </cell>
          <cell r="W331" t="str">
            <v>Sol</v>
          </cell>
        </row>
        <row r="332">
          <cell r="A332">
            <v>328</v>
          </cell>
          <cell r="P332" t="str">
            <v>Grave limono-sableuse</v>
          </cell>
          <cell r="W332" t="str">
            <v>Sol</v>
          </cell>
        </row>
        <row r="333">
          <cell r="A333">
            <v>329</v>
          </cell>
          <cell r="P333" t="str">
            <v>Grave sableuse</v>
          </cell>
          <cell r="W333" t="str">
            <v>Sol</v>
          </cell>
        </row>
        <row r="334">
          <cell r="A334">
            <v>330</v>
          </cell>
          <cell r="P334" t="str">
            <v>Grave limono-sableuse</v>
          </cell>
          <cell r="W334" t="str">
            <v>Sol</v>
          </cell>
        </row>
        <row r="335">
          <cell r="A335">
            <v>331</v>
          </cell>
          <cell r="P335" t="str">
            <v>Grave sableuse</v>
          </cell>
          <cell r="W335" t="str">
            <v>Sol</v>
          </cell>
        </row>
        <row r="336">
          <cell r="A336">
            <v>332</v>
          </cell>
          <cell r="P336" t="str">
            <v>Grave sablo-limoneuse à beton</v>
          </cell>
          <cell r="W336" t="str">
            <v>Sol</v>
          </cell>
        </row>
        <row r="337">
          <cell r="A337">
            <v>333</v>
          </cell>
          <cell r="P337" t="str">
            <v>Grave sableuse</v>
          </cell>
          <cell r="W337" t="str">
            <v>Sol</v>
          </cell>
        </row>
        <row r="338">
          <cell r="A338">
            <v>334</v>
          </cell>
          <cell r="P338" t="str">
            <v>Grave sableuse</v>
          </cell>
          <cell r="W338" t="str">
            <v>Sol</v>
          </cell>
        </row>
        <row r="339">
          <cell r="A339">
            <v>335</v>
          </cell>
          <cell r="P339" t="str">
            <v>Grave limono-sableuse à béton</v>
          </cell>
          <cell r="W339" t="str">
            <v>Sol</v>
          </cell>
        </row>
        <row r="340">
          <cell r="A340">
            <v>336</v>
          </cell>
          <cell r="P340" t="str">
            <v>Limon graveleux</v>
          </cell>
          <cell r="W340" t="str">
            <v>Sol</v>
          </cell>
        </row>
        <row r="341">
          <cell r="A341">
            <v>337</v>
          </cell>
          <cell r="P341" t="str">
            <v>Argile marneuse à quelques cailloutis</v>
          </cell>
          <cell r="W341" t="str">
            <v>Sol</v>
          </cell>
        </row>
        <row r="342">
          <cell r="A342">
            <v>338</v>
          </cell>
          <cell r="P342" t="str">
            <v>Argile marneuse à quelques cailloutis</v>
          </cell>
          <cell r="W342" t="str">
            <v>Sol</v>
          </cell>
        </row>
        <row r="343">
          <cell r="A343">
            <v>339</v>
          </cell>
          <cell r="P343" t="str">
            <v>Limon argileux à graves et cailloutis traité avec 1% de Chaux</v>
          </cell>
          <cell r="W343" t="str">
            <v>Sol</v>
          </cell>
        </row>
        <row r="344">
          <cell r="A344">
            <v>340</v>
          </cell>
          <cell r="P344" t="str">
            <v>Limon argileux à graves et cailloutis traité avec 1% de Chaux</v>
          </cell>
          <cell r="W344" t="str">
            <v>Sol</v>
          </cell>
        </row>
        <row r="345">
          <cell r="A345">
            <v>341</v>
          </cell>
          <cell r="P345" t="str">
            <v>Limon argileux à graves et cailloutis traité avec 1% de Chaux</v>
          </cell>
          <cell r="W345" t="str">
            <v>Sol</v>
          </cell>
        </row>
        <row r="346">
          <cell r="A346">
            <v>342</v>
          </cell>
          <cell r="P346" t="str">
            <v>Limon argileux à graves et cailloutis</v>
          </cell>
          <cell r="W346" t="str">
            <v>Sol</v>
          </cell>
        </row>
        <row r="347">
          <cell r="A347">
            <v>343</v>
          </cell>
          <cell r="P347" t="str">
            <v>Limon argileux à graves et cailloutis traité avec 2% de Chaux</v>
          </cell>
          <cell r="W347" t="str">
            <v>Sol</v>
          </cell>
        </row>
        <row r="348">
          <cell r="A348">
            <v>344</v>
          </cell>
          <cell r="P348" t="str">
            <v>Limon argileux à graves et cailloutis traité avec 4% de Chaux</v>
          </cell>
          <cell r="W348" t="str">
            <v>Sol</v>
          </cell>
        </row>
        <row r="349">
          <cell r="A349">
            <v>345</v>
          </cell>
          <cell r="P349" t="str">
            <v>Limon argileux à graves et cailloutis traité avec 5% de Chaux</v>
          </cell>
          <cell r="W349" t="str">
            <v>Sol</v>
          </cell>
        </row>
        <row r="350">
          <cell r="A350">
            <v>346</v>
          </cell>
          <cell r="P350" t="str">
            <v>Limon argileux à graves et cailloutis étude de traitement</v>
          </cell>
          <cell r="W350" t="str">
            <v>Sol</v>
          </cell>
        </row>
        <row r="351">
          <cell r="A351">
            <v>347</v>
          </cell>
          <cell r="P351" t="str">
            <v>Sable argileux à galet</v>
          </cell>
          <cell r="W351" t="str">
            <v>Sol</v>
          </cell>
        </row>
        <row r="352">
          <cell r="A352">
            <v>348</v>
          </cell>
          <cell r="P352" t="str">
            <v>Argile sableuse (limite tourbeux) à graves</v>
          </cell>
          <cell r="W352" t="str">
            <v>Sol</v>
          </cell>
        </row>
        <row r="353">
          <cell r="A353">
            <v>349</v>
          </cell>
          <cell r="P353" t="str">
            <v>Recyclé béton ø0-100mm</v>
          </cell>
          <cell r="W353" t="str">
            <v xml:space="preserve"> M </v>
          </cell>
        </row>
        <row r="354">
          <cell r="A354">
            <v>350</v>
          </cell>
          <cell r="P354" t="str">
            <v>Recyclé béton ø0-100mm</v>
          </cell>
          <cell r="W354" t="str">
            <v xml:space="preserve"> M </v>
          </cell>
        </row>
        <row r="355">
          <cell r="A355">
            <v>351</v>
          </cell>
          <cell r="P355" t="str">
            <v>Argile sableuse à graves schisteuse</v>
          </cell>
          <cell r="W355" t="str">
            <v>Sol</v>
          </cell>
        </row>
        <row r="356">
          <cell r="A356">
            <v>352</v>
          </cell>
          <cell r="P356" t="str">
            <v>Limon argileus à graves</v>
          </cell>
          <cell r="W356" t="str">
            <v>Sol</v>
          </cell>
        </row>
        <row r="357">
          <cell r="A357">
            <v>353</v>
          </cell>
          <cell r="P357" t="str">
            <v>Limon argileux graveleux</v>
          </cell>
          <cell r="W357" t="str">
            <v>Sol</v>
          </cell>
        </row>
        <row r="358">
          <cell r="A358">
            <v>354</v>
          </cell>
          <cell r="P358" t="str">
            <v>Galet et gravier dans une matrice sablo limoneux</v>
          </cell>
          <cell r="W358" t="str">
            <v>Sol</v>
          </cell>
        </row>
        <row r="359">
          <cell r="A359">
            <v>355</v>
          </cell>
          <cell r="P359" t="str">
            <v>Grave (galets) à matrice sablo limoneuse</v>
          </cell>
          <cell r="W359" t="str">
            <v>Sol</v>
          </cell>
        </row>
        <row r="360">
          <cell r="A360">
            <v>356</v>
          </cell>
          <cell r="P360" t="str">
            <v>Grave sableuse</v>
          </cell>
          <cell r="W360" t="str">
            <v>Sol</v>
          </cell>
        </row>
        <row r="361">
          <cell r="A361">
            <v>357</v>
          </cell>
          <cell r="P361" t="str">
            <v>Grave sableuse</v>
          </cell>
          <cell r="W361" t="str">
            <v>Sol</v>
          </cell>
        </row>
        <row r="362">
          <cell r="A362">
            <v>358</v>
          </cell>
          <cell r="P362" t="str">
            <v>Grave sableuse</v>
          </cell>
          <cell r="W362" t="str">
            <v>Sol</v>
          </cell>
        </row>
        <row r="363">
          <cell r="A363">
            <v>359</v>
          </cell>
          <cell r="P363" t="str">
            <v>Limon graveleux avec 1% de chaux</v>
          </cell>
          <cell r="W363" t="str">
            <v>Sol</v>
          </cell>
        </row>
        <row r="364">
          <cell r="A364">
            <v>360</v>
          </cell>
          <cell r="P364" t="str">
            <v>Limon graveleux avec 1% de chaux</v>
          </cell>
          <cell r="W364" t="str">
            <v>Sol</v>
          </cell>
        </row>
        <row r="365">
          <cell r="A365">
            <v>361</v>
          </cell>
          <cell r="P365" t="str">
            <v>Limon graveleux avec 1% de chaux</v>
          </cell>
          <cell r="W365" t="str">
            <v>Sol</v>
          </cell>
        </row>
        <row r="366">
          <cell r="A366">
            <v>362</v>
          </cell>
        </row>
        <row r="367">
          <cell r="A367">
            <v>363</v>
          </cell>
          <cell r="P367" t="str">
            <v>Grave galets à matrice sablo-limoneuse</v>
          </cell>
          <cell r="W367" t="str">
            <v>Sol</v>
          </cell>
        </row>
        <row r="368">
          <cell r="A368">
            <v>364</v>
          </cell>
          <cell r="P368" t="str">
            <v>Grave sablo limoneuse concassée calcaire ø0/200mm</v>
          </cell>
          <cell r="W368" t="str">
            <v>Sol</v>
          </cell>
        </row>
        <row r="369">
          <cell r="A369">
            <v>365</v>
          </cell>
          <cell r="P369" t="str">
            <v>Grave sablo limoneuse concassée calcaire ø0/200mm</v>
          </cell>
          <cell r="W369" t="str">
            <v>Sol</v>
          </cell>
        </row>
        <row r="370">
          <cell r="A370">
            <v>366</v>
          </cell>
          <cell r="P370" t="str">
            <v>Grave sablo limoneuse concassée calcaire ø0/200mm</v>
          </cell>
          <cell r="W370" t="str">
            <v>Sol</v>
          </cell>
        </row>
        <row r="371">
          <cell r="A371">
            <v>367</v>
          </cell>
          <cell r="P371" t="str">
            <v>Grave sablo limoneuse concassée calcaire ø0/200mm</v>
          </cell>
          <cell r="W371" t="str">
            <v>Sol</v>
          </cell>
        </row>
        <row r="372">
          <cell r="A372">
            <v>368</v>
          </cell>
          <cell r="P372" t="str">
            <v>Grave sablo limoneuse concassée calcaire ø0/200mm</v>
          </cell>
          <cell r="W372" t="str">
            <v>Sol</v>
          </cell>
        </row>
        <row r="373">
          <cell r="A373">
            <v>369</v>
          </cell>
          <cell r="P373" t="str">
            <v>Grave sablo limoneuse concassée calcaire ø0/200mm</v>
          </cell>
          <cell r="W373" t="str">
            <v>Sol</v>
          </cell>
        </row>
        <row r="374">
          <cell r="A374">
            <v>370</v>
          </cell>
          <cell r="P374" t="str">
            <v>Grave sablo limoneuse concassée calcaire ø0/200mm</v>
          </cell>
          <cell r="W374" t="str">
            <v>Sol</v>
          </cell>
        </row>
        <row r="375">
          <cell r="A375">
            <v>371</v>
          </cell>
          <cell r="P375" t="str">
            <v>Grave sablo limoneuse concassée calcaire ø0/60mm</v>
          </cell>
          <cell r="W375" t="str">
            <v>Sol</v>
          </cell>
        </row>
        <row r="376">
          <cell r="A376">
            <v>372</v>
          </cell>
          <cell r="P376" t="str">
            <v>Grave concassée à matrice limoneuse</v>
          </cell>
          <cell r="W376" t="str">
            <v>Sol</v>
          </cell>
        </row>
        <row r="377">
          <cell r="A377">
            <v>373</v>
          </cell>
          <cell r="P377" t="str">
            <v>Limon à galet</v>
          </cell>
          <cell r="W377" t="str">
            <v>Sol</v>
          </cell>
        </row>
        <row r="378">
          <cell r="A378">
            <v>374</v>
          </cell>
          <cell r="P378" t="str">
            <v>Galet et gravier à matrice limono-sableuse à enrobé</v>
          </cell>
          <cell r="W378" t="str">
            <v>Sol</v>
          </cell>
        </row>
        <row r="379">
          <cell r="A379">
            <v>375</v>
          </cell>
          <cell r="P379" t="str">
            <v>Limon sableux à graves anguleuse à enrobé</v>
          </cell>
          <cell r="W379" t="str">
            <v>Sol</v>
          </cell>
        </row>
        <row r="380">
          <cell r="A380">
            <v>376</v>
          </cell>
          <cell r="P380" t="str">
            <v>Remblais de graves recyclées à matrice sableuse, prèsence de fer geotextile et enrobé (10%)</v>
          </cell>
          <cell r="W380" t="str">
            <v>Sol</v>
          </cell>
        </row>
        <row r="381">
          <cell r="A381">
            <v>377</v>
          </cell>
          <cell r="P381" t="str">
            <v>Grave sableuse (gypse)</v>
          </cell>
          <cell r="W381" t="str">
            <v>Sol</v>
          </cell>
        </row>
        <row r="382">
          <cell r="A382">
            <v>378</v>
          </cell>
          <cell r="P382" t="str">
            <v>Grave sablo argileuse (gypse)</v>
          </cell>
          <cell r="W382" t="str">
            <v>Sol</v>
          </cell>
        </row>
        <row r="383">
          <cell r="A383">
            <v>379</v>
          </cell>
          <cell r="P383" t="str">
            <v>Limons argileux à graves</v>
          </cell>
          <cell r="W383" t="str">
            <v>Sol</v>
          </cell>
        </row>
        <row r="384">
          <cell r="A384">
            <v>380</v>
          </cell>
          <cell r="P384" t="str">
            <v>Grave sableuse</v>
          </cell>
          <cell r="W384" t="str">
            <v>Sol</v>
          </cell>
        </row>
        <row r="385">
          <cell r="A385">
            <v>381</v>
          </cell>
          <cell r="P385" t="str">
            <v>Grave sablo-limoneuse</v>
          </cell>
          <cell r="W385" t="str">
            <v>Sol</v>
          </cell>
        </row>
        <row r="386">
          <cell r="A386">
            <v>382</v>
          </cell>
          <cell r="P386" t="str">
            <v xml:space="preserve">Limon argilo sableux à graves </v>
          </cell>
          <cell r="W386" t="str">
            <v>Sol</v>
          </cell>
        </row>
        <row r="387">
          <cell r="A387">
            <v>383</v>
          </cell>
          <cell r="P387" t="str">
            <v>Grave sableuse</v>
          </cell>
          <cell r="W387" t="str">
            <v>Sol</v>
          </cell>
        </row>
        <row r="388">
          <cell r="A388">
            <v>384</v>
          </cell>
          <cell r="P388" t="str">
            <v>Grave limono-sableuse</v>
          </cell>
          <cell r="W388" t="str">
            <v>Sol</v>
          </cell>
        </row>
        <row r="389">
          <cell r="A389">
            <v>385</v>
          </cell>
          <cell r="P389" t="str">
            <v>Grave limono-sableuse</v>
          </cell>
          <cell r="W389" t="str">
            <v>Sol</v>
          </cell>
        </row>
        <row r="390">
          <cell r="A390">
            <v>386</v>
          </cell>
          <cell r="P390" t="str">
            <v>Grave limono sableuse avec quelques passages argileuses (présence de débris de demolition)</v>
          </cell>
          <cell r="W390" t="str">
            <v>Sol</v>
          </cell>
        </row>
        <row r="391">
          <cell r="A391">
            <v>387</v>
          </cell>
          <cell r="P391" t="str">
            <v>Grave limono sableuse (présence de débris de demolition)</v>
          </cell>
          <cell r="W391" t="str">
            <v>Sol</v>
          </cell>
        </row>
        <row r="392">
          <cell r="A392">
            <v>388</v>
          </cell>
          <cell r="P392" t="str">
            <v>Sable limoneux avec quelques nodules argileux</v>
          </cell>
          <cell r="W392" t="str">
            <v>Sol</v>
          </cell>
        </row>
        <row r="393">
          <cell r="A393">
            <v>389</v>
          </cell>
          <cell r="P393" t="str">
            <v>Sable limoneux avec quelques nodules argileux (présence de scories,débris de demolition)</v>
          </cell>
          <cell r="W393" t="str">
            <v>Sol</v>
          </cell>
        </row>
        <row r="394">
          <cell r="A394">
            <v>390</v>
          </cell>
          <cell r="P394" t="str">
            <v>Sable limoneux avec quelques nodules argileux (présence de scories,débris de demolition)</v>
          </cell>
          <cell r="W394" t="str">
            <v>Sol</v>
          </cell>
        </row>
        <row r="395">
          <cell r="A395">
            <v>391</v>
          </cell>
          <cell r="P395" t="str">
            <v>Sable limoneux à graves de demolition (beton brique) avec présence de scories à nodules argilo-limoneux</v>
          </cell>
          <cell r="W395" t="str">
            <v>Sol</v>
          </cell>
        </row>
        <row r="396">
          <cell r="A396">
            <v>392</v>
          </cell>
          <cell r="P396" t="str">
            <v>Grave limoneuse avec présence de nodules argileux</v>
          </cell>
          <cell r="W396" t="str">
            <v>Sol</v>
          </cell>
        </row>
        <row r="397">
          <cell r="A397">
            <v>393</v>
          </cell>
          <cell r="P397" t="str">
            <v>Argile limoneuse avec quelques nodules argileux (présence de scories,débris de demolition)</v>
          </cell>
          <cell r="W397" t="str">
            <v>Sol</v>
          </cell>
        </row>
        <row r="398">
          <cell r="A398">
            <v>394</v>
          </cell>
          <cell r="P398" t="str">
            <v>Sable graveleux avec quelques passages plus argileuses (présence de débris de demolition)</v>
          </cell>
          <cell r="W398" t="str">
            <v>Sol</v>
          </cell>
        </row>
        <row r="399">
          <cell r="A399">
            <v>395</v>
          </cell>
          <cell r="P399" t="str">
            <v>Argile graveleuse</v>
          </cell>
          <cell r="W399" t="str">
            <v>Sol</v>
          </cell>
        </row>
        <row r="400">
          <cell r="A400">
            <v>396</v>
          </cell>
          <cell r="P400" t="str">
            <v>Argile à rares cailloutis et racines</v>
          </cell>
          <cell r="W400" t="str">
            <v>Sol</v>
          </cell>
        </row>
        <row r="401">
          <cell r="A401">
            <v>397</v>
          </cell>
          <cell r="P401" t="str">
            <v>Argile à rares cailloutis et racines</v>
          </cell>
          <cell r="W401" t="str">
            <v>Sol</v>
          </cell>
        </row>
        <row r="402">
          <cell r="A402">
            <v>398</v>
          </cell>
          <cell r="P402" t="str">
            <v>Recyclée ø0/60mm limono-argileux à enrobé</v>
          </cell>
          <cell r="T402" t="str">
            <v>Recyclé</v>
          </cell>
          <cell r="W402" t="str">
            <v xml:space="preserve">Recyclé B </v>
          </cell>
        </row>
        <row r="403">
          <cell r="A403">
            <v>399</v>
          </cell>
          <cell r="P403" t="str">
            <v>Grave ø0/80mm</v>
          </cell>
          <cell r="W403" t="str">
            <v>Sol</v>
          </cell>
        </row>
        <row r="404">
          <cell r="A404">
            <v>400</v>
          </cell>
          <cell r="W404" t="str">
            <v>Sol</v>
          </cell>
        </row>
        <row r="405">
          <cell r="A405">
            <v>401</v>
          </cell>
          <cell r="W405" t="str">
            <v>Sol</v>
          </cell>
        </row>
        <row r="406">
          <cell r="A406">
            <v>402</v>
          </cell>
          <cell r="W406" t="str">
            <v>Sol</v>
          </cell>
        </row>
        <row r="407">
          <cell r="A407">
            <v>403</v>
          </cell>
          <cell r="P407" t="str">
            <v>Argile limoneuse à grave</v>
          </cell>
          <cell r="W407" t="str">
            <v>Sol</v>
          </cell>
        </row>
        <row r="408">
          <cell r="A408">
            <v>404</v>
          </cell>
          <cell r="P408" t="str">
            <v>Argile limoneuse</v>
          </cell>
          <cell r="W408" t="str">
            <v>Sol</v>
          </cell>
        </row>
        <row r="409">
          <cell r="A409">
            <v>405</v>
          </cell>
          <cell r="P409" t="str">
            <v>Limon argileux à cailloutis et quelques graves</v>
          </cell>
          <cell r="W409" t="str">
            <v>Sol</v>
          </cell>
        </row>
        <row r="410">
          <cell r="A410">
            <v>406</v>
          </cell>
          <cell r="P410" t="str">
            <v>Grave schisteuse argileuse</v>
          </cell>
          <cell r="W410" t="str">
            <v>Sol</v>
          </cell>
        </row>
        <row r="411">
          <cell r="A411">
            <v>407</v>
          </cell>
          <cell r="P411" t="str">
            <v>Grave schisteuse argileuse</v>
          </cell>
          <cell r="W411" t="str">
            <v>Sol</v>
          </cell>
        </row>
        <row r="412">
          <cell r="A412">
            <v>408</v>
          </cell>
          <cell r="P412" t="str">
            <v>Grave ø0/150mm sableuse</v>
          </cell>
          <cell r="W412" t="str">
            <v>Sol</v>
          </cell>
        </row>
        <row r="413">
          <cell r="A413">
            <v>409</v>
          </cell>
          <cell r="P413" t="str">
            <v xml:space="preserve">Argile limoneux à cailloutis et quelques racines </v>
          </cell>
          <cell r="W413" t="str">
            <v>Sol</v>
          </cell>
        </row>
        <row r="414">
          <cell r="A414">
            <v>410</v>
          </cell>
          <cell r="P414" t="str">
            <v>Argile à cailloutis</v>
          </cell>
          <cell r="W414" t="str">
            <v>Sol</v>
          </cell>
        </row>
        <row r="415">
          <cell r="A415">
            <v>411</v>
          </cell>
          <cell r="P415" t="str">
            <v>Grave sableuse</v>
          </cell>
          <cell r="W415" t="str">
            <v>Sol</v>
          </cell>
        </row>
        <row r="416">
          <cell r="A416">
            <v>412</v>
          </cell>
          <cell r="P416" t="str">
            <v>Grave limono-sableuse à schistes</v>
          </cell>
          <cell r="W416" t="str">
            <v>Sol</v>
          </cell>
        </row>
        <row r="417">
          <cell r="A417">
            <v>413</v>
          </cell>
          <cell r="P417" t="str">
            <v xml:space="preserve">Grave limono-sableuse  </v>
          </cell>
          <cell r="W417" t="str">
            <v>Sol</v>
          </cell>
        </row>
        <row r="418">
          <cell r="A418">
            <v>414</v>
          </cell>
          <cell r="P418" t="str">
            <v>Grave sableuse</v>
          </cell>
          <cell r="W418" t="str">
            <v>Sol</v>
          </cell>
        </row>
        <row r="419">
          <cell r="A419">
            <v>415</v>
          </cell>
          <cell r="P419" t="str">
            <v>Grave sableuse</v>
          </cell>
          <cell r="W419" t="str">
            <v>Sol</v>
          </cell>
        </row>
        <row r="420">
          <cell r="A420">
            <v>416</v>
          </cell>
          <cell r="P420" t="str">
            <v>Grave sableuse</v>
          </cell>
          <cell r="W420" t="str">
            <v>Sol</v>
          </cell>
        </row>
        <row r="421">
          <cell r="A421">
            <v>417</v>
          </cell>
          <cell r="P421" t="str">
            <v>Grave sableuse</v>
          </cell>
          <cell r="W421" t="str">
            <v>Sol</v>
          </cell>
        </row>
        <row r="422">
          <cell r="A422">
            <v>418</v>
          </cell>
          <cell r="W422" t="str">
            <v>Sol</v>
          </cell>
        </row>
        <row r="423">
          <cell r="A423">
            <v>419</v>
          </cell>
          <cell r="W423" t="str">
            <v>Sol</v>
          </cell>
        </row>
        <row r="424">
          <cell r="A424">
            <v>420</v>
          </cell>
          <cell r="P424" t="str">
            <v>Grave limoneuse ø0/60mm</v>
          </cell>
          <cell r="W424" t="str">
            <v>Sol</v>
          </cell>
        </row>
        <row r="425">
          <cell r="A425">
            <v>421</v>
          </cell>
          <cell r="W425" t="str">
            <v>Sol</v>
          </cell>
        </row>
        <row r="426">
          <cell r="A426">
            <v>422</v>
          </cell>
          <cell r="P426" t="str">
            <v xml:space="preserve">Grave recyclée ø0/31,5mm </v>
          </cell>
          <cell r="W426" t="str">
            <v>Sol</v>
          </cell>
        </row>
        <row r="427">
          <cell r="A427">
            <v>423</v>
          </cell>
          <cell r="P427" t="str">
            <v xml:space="preserve"> </v>
          </cell>
          <cell r="W427" t="str">
            <v>Sol</v>
          </cell>
        </row>
        <row r="428">
          <cell r="A428">
            <v>424</v>
          </cell>
          <cell r="P428" t="str">
            <v>Grave recyclée ø12/20mm</v>
          </cell>
          <cell r="W428" t="str">
            <v>Sol</v>
          </cell>
        </row>
        <row r="429">
          <cell r="A429">
            <v>425</v>
          </cell>
          <cell r="P429" t="str">
            <v>Grave recyclée ø4/12mm</v>
          </cell>
          <cell r="W429" t="str">
            <v>Sol</v>
          </cell>
        </row>
        <row r="430">
          <cell r="A430">
            <v>426</v>
          </cell>
          <cell r="P430" t="str">
            <v xml:space="preserve">Grave recyclée ø0/80mm </v>
          </cell>
          <cell r="W430" t="str">
            <v>Sol</v>
          </cell>
        </row>
        <row r="431">
          <cell r="A431">
            <v>427</v>
          </cell>
          <cell r="P431" t="str">
            <v>Sable limoneux à passage limono-argileux</v>
          </cell>
          <cell r="W431" t="str">
            <v>Sol</v>
          </cell>
        </row>
        <row r="432">
          <cell r="A432">
            <v>428</v>
          </cell>
          <cell r="P432" t="str">
            <v>Grave sableuse à nodule limono-sableux</v>
          </cell>
          <cell r="W432" t="str">
            <v>Sol</v>
          </cell>
        </row>
        <row r="433">
          <cell r="A433">
            <v>429</v>
          </cell>
          <cell r="P433" t="str">
            <v>Limon argileux</v>
          </cell>
          <cell r="W433" t="str">
            <v>Sol</v>
          </cell>
        </row>
        <row r="434">
          <cell r="A434">
            <v>430</v>
          </cell>
          <cell r="P434" t="str">
            <v>Limon sableux à cailloutis</v>
          </cell>
          <cell r="W434" t="str">
            <v>Sol</v>
          </cell>
        </row>
        <row r="435">
          <cell r="A435">
            <v>431</v>
          </cell>
          <cell r="P435" t="str">
            <v>Argile</v>
          </cell>
          <cell r="W435" t="str">
            <v>Sol</v>
          </cell>
        </row>
        <row r="436">
          <cell r="A436">
            <v>432</v>
          </cell>
          <cell r="P436" t="str">
            <v>Sable à cailloutis à nodules argileux</v>
          </cell>
          <cell r="W436" t="str">
            <v>Sol</v>
          </cell>
        </row>
        <row r="437">
          <cell r="A437">
            <v>433</v>
          </cell>
          <cell r="P437" t="str">
            <v>Argile limoneuse à trace de coquilles (MO)</v>
          </cell>
          <cell r="W437" t="str">
            <v>Sol</v>
          </cell>
        </row>
        <row r="438">
          <cell r="A438">
            <v>434</v>
          </cell>
          <cell r="P438" t="str">
            <v>Argile à trace de coquille (MO)</v>
          </cell>
          <cell r="W438" t="str">
            <v>Sol</v>
          </cell>
        </row>
        <row r="439">
          <cell r="A439">
            <v>435</v>
          </cell>
          <cell r="P439" t="str">
            <v>Limon sablo-argileux à quelques graves</v>
          </cell>
          <cell r="W439" t="str">
            <v>Sol</v>
          </cell>
        </row>
        <row r="440">
          <cell r="A440">
            <v>436</v>
          </cell>
          <cell r="P440" t="str">
            <v>Argile limoneuse à graves et cailloutis</v>
          </cell>
          <cell r="W440" t="str">
            <v>Sol</v>
          </cell>
        </row>
        <row r="441">
          <cell r="A441">
            <v>437</v>
          </cell>
          <cell r="P441" t="str">
            <v>Grave "machefer" à nombreux debris de verre</v>
          </cell>
          <cell r="W441" t="str">
            <v>Sol</v>
          </cell>
        </row>
        <row r="442">
          <cell r="A442">
            <v>438</v>
          </cell>
          <cell r="P442" t="str">
            <v>Argile à traces de racines</v>
          </cell>
          <cell r="W442" t="str">
            <v>Sol</v>
          </cell>
        </row>
        <row r="443">
          <cell r="A443">
            <v>439</v>
          </cell>
          <cell r="P443" t="str">
            <v>Grave à cailloutis à matrice arilo-limoneuse</v>
          </cell>
          <cell r="W443" t="str">
            <v>Sol</v>
          </cell>
        </row>
        <row r="444">
          <cell r="A444">
            <v>440</v>
          </cell>
          <cell r="P444" t="str">
            <v>Grave recyclée sableuse ø0/31,5mm avec 0,4% de chaux</v>
          </cell>
          <cell r="W444" t="str">
            <v>Sol</v>
          </cell>
        </row>
        <row r="445">
          <cell r="A445">
            <v>441</v>
          </cell>
          <cell r="P445" t="str">
            <v>Refus de central de Ciment</v>
          </cell>
          <cell r="W445" t="str">
            <v>Sol</v>
          </cell>
        </row>
        <row r="446">
          <cell r="A446">
            <v>442</v>
          </cell>
          <cell r="P446" t="str">
            <v>Chaux vive</v>
          </cell>
          <cell r="W446" t="str">
            <v>Sol</v>
          </cell>
        </row>
        <row r="447">
          <cell r="A447">
            <v>443</v>
          </cell>
          <cell r="P447" t="str">
            <v>Grave ø0/80mm sablo-limoneuse (recyclée)</v>
          </cell>
          <cell r="W447" t="str">
            <v>Sol</v>
          </cell>
        </row>
        <row r="448">
          <cell r="A448">
            <v>444</v>
          </cell>
          <cell r="P448" t="str">
            <v xml:space="preserve">Grave sableuse </v>
          </cell>
          <cell r="W448" t="str">
            <v>Sol</v>
          </cell>
        </row>
        <row r="449">
          <cell r="A449">
            <v>445</v>
          </cell>
          <cell r="P449" t="str">
            <v>Grave sableuse</v>
          </cell>
          <cell r="W449" t="str">
            <v>Sol</v>
          </cell>
        </row>
        <row r="450">
          <cell r="A450">
            <v>446</v>
          </cell>
          <cell r="P450" t="str">
            <v>Sable limoneux à graves</v>
          </cell>
          <cell r="W450" t="str">
            <v>Sol</v>
          </cell>
        </row>
        <row r="451">
          <cell r="A451">
            <v>447</v>
          </cell>
          <cell r="W451" t="str">
            <v>Sol</v>
          </cell>
        </row>
        <row r="452">
          <cell r="A452">
            <v>448</v>
          </cell>
          <cell r="P452" t="str">
            <v>Grave sableuse</v>
          </cell>
          <cell r="W452" t="str">
            <v>Sol</v>
          </cell>
        </row>
        <row r="453">
          <cell r="A453">
            <v>449</v>
          </cell>
          <cell r="P453" t="str">
            <v>Grave sableuse à scories</v>
          </cell>
          <cell r="W453" t="str">
            <v>Sol</v>
          </cell>
        </row>
        <row r="454">
          <cell r="A454">
            <v>450</v>
          </cell>
          <cell r="W454" t="str">
            <v>Sol</v>
          </cell>
        </row>
        <row r="455">
          <cell r="A455">
            <v>451</v>
          </cell>
          <cell r="W455" t="str">
            <v>Sol</v>
          </cell>
        </row>
        <row r="456">
          <cell r="A456">
            <v>452</v>
          </cell>
          <cell r="P456" t="str">
            <v>Grave ø0/31,5mm</v>
          </cell>
          <cell r="W456" t="str">
            <v>Sol</v>
          </cell>
        </row>
        <row r="457">
          <cell r="A457">
            <v>453</v>
          </cell>
          <cell r="P457" t="str">
            <v>Agrssivité Beton</v>
          </cell>
          <cell r="W457" t="str">
            <v>Sol</v>
          </cell>
        </row>
        <row r="458">
          <cell r="A458">
            <v>454</v>
          </cell>
          <cell r="P458" t="str">
            <v>Agrssivité Beton</v>
          </cell>
          <cell r="W458" t="str">
            <v>Sol</v>
          </cell>
        </row>
        <row r="459">
          <cell r="A459">
            <v>455</v>
          </cell>
          <cell r="P459" t="str">
            <v>Grave limoneuse (schiste)</v>
          </cell>
          <cell r="W459" t="str">
            <v>Sol</v>
          </cell>
        </row>
        <row r="460">
          <cell r="A460">
            <v>456</v>
          </cell>
          <cell r="P460" t="str">
            <v xml:space="preserve">Limon peu graveleu </v>
          </cell>
          <cell r="W460" t="str">
            <v>Sol</v>
          </cell>
        </row>
        <row r="461">
          <cell r="A461">
            <v>457</v>
          </cell>
          <cell r="P461" t="str">
            <v>Limon sableux peu graveleux à quelques racines</v>
          </cell>
          <cell r="W461" t="str">
            <v>Sol</v>
          </cell>
        </row>
        <row r="462">
          <cell r="A462">
            <v>458</v>
          </cell>
          <cell r="P462" t="str">
            <v>Grave sablo-limoneuse</v>
          </cell>
          <cell r="W462" t="str">
            <v>Sol</v>
          </cell>
        </row>
        <row r="463">
          <cell r="A463">
            <v>459</v>
          </cell>
          <cell r="P463" t="str">
            <v>limon sableux à graves</v>
          </cell>
          <cell r="W463" t="str">
            <v>Sol</v>
          </cell>
        </row>
        <row r="464">
          <cell r="A464">
            <v>460</v>
          </cell>
          <cell r="P464" t="str">
            <v>Cailloutis à matrice argileuse à racines</v>
          </cell>
          <cell r="W464" t="str">
            <v>Sol</v>
          </cell>
        </row>
        <row r="465">
          <cell r="A465">
            <v>461</v>
          </cell>
          <cell r="P465" t="str">
            <v>Argile marneuse</v>
          </cell>
          <cell r="W465" t="str">
            <v>Sol</v>
          </cell>
        </row>
        <row r="466">
          <cell r="A466">
            <v>462</v>
          </cell>
          <cell r="P466" t="str">
            <v>Argile marneuse</v>
          </cell>
          <cell r="W466" t="str">
            <v>Sol</v>
          </cell>
        </row>
        <row r="467">
          <cell r="A467">
            <v>463</v>
          </cell>
          <cell r="P467" t="str">
            <v>Argile marneuse</v>
          </cell>
          <cell r="W467" t="str">
            <v>Sol</v>
          </cell>
        </row>
        <row r="468">
          <cell r="A468">
            <v>464</v>
          </cell>
          <cell r="P468" t="str">
            <v>Argile marneuse</v>
          </cell>
          <cell r="W468" t="str">
            <v>Sol</v>
          </cell>
        </row>
        <row r="469">
          <cell r="A469">
            <v>465</v>
          </cell>
          <cell r="P469" t="str">
            <v>Argile à racines et rares cailloutis</v>
          </cell>
          <cell r="W469" t="str">
            <v>Sol</v>
          </cell>
        </row>
        <row r="470">
          <cell r="A470">
            <v>466</v>
          </cell>
          <cell r="P470" t="str">
            <v>Argile bleuté à rares trace de M.O.</v>
          </cell>
          <cell r="W470" t="str">
            <v>Sol</v>
          </cell>
        </row>
        <row r="471">
          <cell r="A471">
            <v>467</v>
          </cell>
          <cell r="P471" t="str">
            <v>Grave sableuse</v>
          </cell>
          <cell r="W471" t="str">
            <v>Sol</v>
          </cell>
        </row>
        <row r="472">
          <cell r="A472">
            <v>468</v>
          </cell>
          <cell r="P472" t="str">
            <v>Grave sableuse</v>
          </cell>
          <cell r="W472" t="str">
            <v>Sol</v>
          </cell>
        </row>
        <row r="473">
          <cell r="A473">
            <v>469</v>
          </cell>
          <cell r="P473" t="str">
            <v>Argile limoneuse avec quelques rares graviers ø0-10mm traces de coquillages</v>
          </cell>
          <cell r="W473" t="str">
            <v>Sol</v>
          </cell>
        </row>
        <row r="474">
          <cell r="A474">
            <v>470</v>
          </cell>
          <cell r="P474" t="str">
            <v>Grave sableuse</v>
          </cell>
          <cell r="W474" t="str">
            <v>Sol</v>
          </cell>
        </row>
        <row r="475">
          <cell r="A475">
            <v>471</v>
          </cell>
          <cell r="P475" t="str">
            <v>Grave sableuse</v>
          </cell>
          <cell r="W475" t="str">
            <v>Sol</v>
          </cell>
        </row>
        <row r="476">
          <cell r="A476">
            <v>472</v>
          </cell>
          <cell r="W476" t="str">
            <v>Sol</v>
          </cell>
        </row>
        <row r="477">
          <cell r="A477">
            <v>473</v>
          </cell>
          <cell r="W477" t="str">
            <v>Sol</v>
          </cell>
        </row>
        <row r="478">
          <cell r="A478">
            <v>474</v>
          </cell>
          <cell r="W478" t="str">
            <v>Sol</v>
          </cell>
        </row>
        <row r="479">
          <cell r="A479">
            <v>475</v>
          </cell>
          <cell r="P479" t="str">
            <v>Limon sableu à graves et racines</v>
          </cell>
          <cell r="W479" t="str">
            <v>Sol</v>
          </cell>
        </row>
        <row r="480">
          <cell r="A480">
            <v>476</v>
          </cell>
          <cell r="W480" t="str">
            <v>Sol</v>
          </cell>
        </row>
        <row r="481">
          <cell r="A481">
            <v>477</v>
          </cell>
          <cell r="P481" t="str">
            <v>Grave sableuse aluvionnaire ø0-80mm</v>
          </cell>
          <cell r="W481" t="str">
            <v>Sol</v>
          </cell>
        </row>
        <row r="482">
          <cell r="A482">
            <v>478</v>
          </cell>
          <cell r="P482" t="str">
            <v>Grave sableuse</v>
          </cell>
          <cell r="W482" t="str">
            <v>Sol</v>
          </cell>
        </row>
        <row r="483">
          <cell r="A483">
            <v>479</v>
          </cell>
          <cell r="P483" t="str">
            <v>Limon argileux à quelques graves</v>
          </cell>
          <cell r="W483" t="str">
            <v>Sol</v>
          </cell>
        </row>
        <row r="484">
          <cell r="A484">
            <v>480</v>
          </cell>
          <cell r="W484" t="str">
            <v>Sol</v>
          </cell>
        </row>
        <row r="485">
          <cell r="A485">
            <v>481</v>
          </cell>
          <cell r="W485" t="str">
            <v>Sol</v>
          </cell>
        </row>
        <row r="486">
          <cell r="A486">
            <v>482</v>
          </cell>
          <cell r="W486" t="str">
            <v>Sol</v>
          </cell>
        </row>
        <row r="487">
          <cell r="A487">
            <v>483</v>
          </cell>
          <cell r="W487" t="str">
            <v>Sol</v>
          </cell>
        </row>
        <row r="488">
          <cell r="A488">
            <v>484</v>
          </cell>
          <cell r="W488" t="str">
            <v>Sol</v>
          </cell>
        </row>
        <row r="489">
          <cell r="A489">
            <v>485</v>
          </cell>
          <cell r="W489" t="str">
            <v>Sol</v>
          </cell>
        </row>
        <row r="490">
          <cell r="A490">
            <v>486</v>
          </cell>
          <cell r="P490" t="str">
            <v xml:space="preserve">Grave limono-sableuse </v>
          </cell>
          <cell r="W490" t="str">
            <v>Sol</v>
          </cell>
        </row>
        <row r="491">
          <cell r="A491">
            <v>487</v>
          </cell>
          <cell r="P491" t="str">
            <v>Grave limono-sableuse</v>
          </cell>
          <cell r="W491" t="str">
            <v>Sol</v>
          </cell>
        </row>
        <row r="492">
          <cell r="A492">
            <v>488</v>
          </cell>
          <cell r="P492" t="str">
            <v>Grave limono-sableuse</v>
          </cell>
          <cell r="W492" t="str">
            <v>Sol</v>
          </cell>
        </row>
        <row r="493">
          <cell r="A493">
            <v>489</v>
          </cell>
          <cell r="P493" t="str">
            <v>Grave limono-sableuse</v>
          </cell>
          <cell r="W493" t="str">
            <v>Sol</v>
          </cell>
        </row>
        <row r="494">
          <cell r="A494">
            <v>490</v>
          </cell>
          <cell r="P494" t="str">
            <v>Grave limono-sableuse</v>
          </cell>
          <cell r="W494" t="str">
            <v>Sol</v>
          </cell>
        </row>
        <row r="495">
          <cell r="A495">
            <v>491</v>
          </cell>
          <cell r="P495" t="str">
            <v>Grave limono-sableuse</v>
          </cell>
          <cell r="W495" t="str">
            <v>Sol</v>
          </cell>
        </row>
        <row r="496">
          <cell r="A496">
            <v>492</v>
          </cell>
          <cell r="P496" t="str">
            <v>Grave limono-sableuse</v>
          </cell>
          <cell r="W496" t="str">
            <v>Sol</v>
          </cell>
        </row>
        <row r="497">
          <cell r="A497">
            <v>493</v>
          </cell>
          <cell r="P497" t="str">
            <v>Grave limono-sableuse</v>
          </cell>
          <cell r="W497" t="str">
            <v>Sol</v>
          </cell>
        </row>
        <row r="498">
          <cell r="A498">
            <v>494</v>
          </cell>
          <cell r="P498" t="str">
            <v>Grave limono-sableuse</v>
          </cell>
          <cell r="W498" t="str">
            <v>Sol</v>
          </cell>
        </row>
        <row r="499">
          <cell r="A499">
            <v>495</v>
          </cell>
          <cell r="P499" t="str">
            <v>Limon argileux à cailloutis et quelques graves</v>
          </cell>
          <cell r="W499" t="str">
            <v>Sol</v>
          </cell>
        </row>
        <row r="500">
          <cell r="A500">
            <v>496</v>
          </cell>
          <cell r="P500" t="str">
            <v>Limon argileux à cailloutis et quelques graves</v>
          </cell>
          <cell r="W500" t="str">
            <v>Sol</v>
          </cell>
        </row>
        <row r="501">
          <cell r="A501">
            <v>497</v>
          </cell>
          <cell r="P501" t="str">
            <v>Grave recyclée ø20/40mm</v>
          </cell>
          <cell r="W501" t="str">
            <v>Sol</v>
          </cell>
        </row>
        <row r="502">
          <cell r="A502">
            <v>498</v>
          </cell>
          <cell r="P502" t="str">
            <v>Grave recyclée ø0/80mm</v>
          </cell>
          <cell r="W502" t="str">
            <v>Sol</v>
          </cell>
        </row>
        <row r="503">
          <cell r="A503">
            <v>499</v>
          </cell>
          <cell r="P503" t="str">
            <v>Grave recyclée ø12/20mm</v>
          </cell>
          <cell r="W503" t="str">
            <v>Sol</v>
          </cell>
        </row>
        <row r="504">
          <cell r="A504">
            <v>500</v>
          </cell>
          <cell r="P504" t="str">
            <v>Grave recyclée ø0/31,5mm</v>
          </cell>
          <cell r="W504" t="str">
            <v>Sol</v>
          </cell>
        </row>
        <row r="505">
          <cell r="A505">
            <v>501</v>
          </cell>
          <cell r="P505" t="str">
            <v>Sable chaulé ø0/4mm</v>
          </cell>
          <cell r="W505" t="str">
            <v>Sol</v>
          </cell>
        </row>
        <row r="506">
          <cell r="A506">
            <v>502</v>
          </cell>
          <cell r="P506" t="str">
            <v>Grave recyclée ø4/12mm</v>
          </cell>
          <cell r="W506" t="str">
            <v>Sol</v>
          </cell>
        </row>
        <row r="507">
          <cell r="A507">
            <v>503</v>
          </cell>
          <cell r="P507" t="str">
            <v>Grave sablo-limoneuse</v>
          </cell>
          <cell r="W507" t="str">
            <v>Sol</v>
          </cell>
        </row>
        <row r="508">
          <cell r="A508">
            <v>504</v>
          </cell>
          <cell r="P508" t="str">
            <v>Grave sablo-limoneuse</v>
          </cell>
          <cell r="W508" t="str">
            <v>Sol</v>
          </cell>
        </row>
        <row r="509">
          <cell r="A509">
            <v>505</v>
          </cell>
          <cell r="P509" t="str">
            <v>Grave sablo-limoneuse</v>
          </cell>
          <cell r="W509" t="str">
            <v>Sol</v>
          </cell>
        </row>
        <row r="510">
          <cell r="A510">
            <v>506</v>
          </cell>
          <cell r="P510" t="str">
            <v>Grave limoneuse</v>
          </cell>
          <cell r="W510" t="str">
            <v>Sol</v>
          </cell>
        </row>
        <row r="511">
          <cell r="A511">
            <v>507</v>
          </cell>
          <cell r="P511" t="str">
            <v>Grave sablo-limoneuse</v>
          </cell>
          <cell r="W511" t="str">
            <v>Sol</v>
          </cell>
        </row>
        <row r="512">
          <cell r="A512">
            <v>508</v>
          </cell>
          <cell r="P512" t="str">
            <v>Sable limoneux à grave</v>
          </cell>
          <cell r="W512" t="str">
            <v>Sol</v>
          </cell>
        </row>
        <row r="513">
          <cell r="A513">
            <v>509</v>
          </cell>
          <cell r="P513" t="str">
            <v>Grave argilo-limoneuse</v>
          </cell>
          <cell r="W513" t="str">
            <v>Sol</v>
          </cell>
        </row>
        <row r="514">
          <cell r="A514">
            <v>510</v>
          </cell>
          <cell r="P514" t="str">
            <v>Grave sablo-limoneuse</v>
          </cell>
          <cell r="W514" t="str">
            <v>Sol</v>
          </cell>
        </row>
        <row r="515">
          <cell r="A515">
            <v>511</v>
          </cell>
          <cell r="P515" t="str">
            <v>Grave sablo-limoneuse</v>
          </cell>
          <cell r="W515" t="str">
            <v>Sol</v>
          </cell>
        </row>
        <row r="516">
          <cell r="A516">
            <v>512</v>
          </cell>
          <cell r="P516" t="str">
            <v>Grave sablo-limoneuse à racines</v>
          </cell>
          <cell r="W516" t="str">
            <v>Sol</v>
          </cell>
        </row>
        <row r="517">
          <cell r="A517">
            <v>513</v>
          </cell>
          <cell r="W517" t="str">
            <v>Sol</v>
          </cell>
        </row>
        <row r="518">
          <cell r="A518">
            <v>514</v>
          </cell>
          <cell r="W518" t="str">
            <v>Sol</v>
          </cell>
        </row>
        <row r="519">
          <cell r="A519">
            <v>515</v>
          </cell>
          <cell r="W519" t="str">
            <v>Sol</v>
          </cell>
        </row>
        <row r="520">
          <cell r="A520">
            <v>516</v>
          </cell>
          <cell r="W520" t="str">
            <v>Sol</v>
          </cell>
        </row>
        <row r="521">
          <cell r="A521">
            <v>517</v>
          </cell>
          <cell r="W521" t="str">
            <v>Sol</v>
          </cell>
        </row>
        <row r="522">
          <cell r="A522">
            <v>518</v>
          </cell>
          <cell r="W522" t="str">
            <v>Sol</v>
          </cell>
        </row>
        <row r="523">
          <cell r="A523">
            <v>519</v>
          </cell>
          <cell r="W523" t="str">
            <v>Sol</v>
          </cell>
        </row>
        <row r="524">
          <cell r="A524">
            <v>520</v>
          </cell>
          <cell r="W524" t="str">
            <v>Sol</v>
          </cell>
        </row>
        <row r="525">
          <cell r="A525">
            <v>521</v>
          </cell>
          <cell r="W525" t="str">
            <v>Sol</v>
          </cell>
        </row>
        <row r="526">
          <cell r="A526">
            <v>522</v>
          </cell>
          <cell r="W526" t="str">
            <v>Sol</v>
          </cell>
        </row>
        <row r="527">
          <cell r="A527">
            <v>523</v>
          </cell>
          <cell r="W527" t="str">
            <v>Sol</v>
          </cell>
        </row>
        <row r="528">
          <cell r="A528">
            <v>524</v>
          </cell>
          <cell r="W528" t="str">
            <v>Sol</v>
          </cell>
        </row>
        <row r="529">
          <cell r="A529">
            <v>525</v>
          </cell>
          <cell r="W529" t="str">
            <v>Sol</v>
          </cell>
        </row>
        <row r="530">
          <cell r="A530">
            <v>526</v>
          </cell>
          <cell r="P530" t="str">
            <v>Grave sablo-limoneuse</v>
          </cell>
          <cell r="W530" t="str">
            <v>Sol</v>
          </cell>
        </row>
        <row r="531">
          <cell r="A531">
            <v>527</v>
          </cell>
          <cell r="P531" t="str">
            <v>Grave sablo-limoneuse</v>
          </cell>
          <cell r="W531" t="str">
            <v>Sol</v>
          </cell>
        </row>
        <row r="532">
          <cell r="A532">
            <v>528</v>
          </cell>
          <cell r="P532" t="str">
            <v>Grave sablo-limoneuse</v>
          </cell>
          <cell r="W532" t="str">
            <v>Sol</v>
          </cell>
        </row>
        <row r="533">
          <cell r="A533">
            <v>529</v>
          </cell>
          <cell r="W533" t="str">
            <v>Sol</v>
          </cell>
        </row>
        <row r="534">
          <cell r="A534">
            <v>530</v>
          </cell>
          <cell r="P534" t="str">
            <v>Limon sableux avec quelques graves arrondies ø0-80mm</v>
          </cell>
          <cell r="W534" t="str">
            <v>Sol</v>
          </cell>
        </row>
        <row r="535">
          <cell r="A535">
            <v>531</v>
          </cell>
          <cell r="W535" t="str">
            <v>Sol</v>
          </cell>
        </row>
        <row r="536">
          <cell r="A536">
            <v>532</v>
          </cell>
          <cell r="W536" t="str">
            <v>Sol</v>
          </cell>
        </row>
        <row r="537">
          <cell r="A537">
            <v>533</v>
          </cell>
          <cell r="W537" t="str">
            <v>Sol</v>
          </cell>
        </row>
        <row r="538">
          <cell r="A538">
            <v>534</v>
          </cell>
          <cell r="W538" t="str">
            <v>Sol</v>
          </cell>
        </row>
        <row r="539">
          <cell r="A539">
            <v>535</v>
          </cell>
          <cell r="W539" t="str">
            <v>Sol</v>
          </cell>
        </row>
        <row r="540">
          <cell r="A540">
            <v>536</v>
          </cell>
          <cell r="W540" t="str">
            <v>Sol</v>
          </cell>
        </row>
        <row r="541">
          <cell r="A541">
            <v>537</v>
          </cell>
          <cell r="W541" t="str">
            <v>Sol</v>
          </cell>
        </row>
        <row r="542">
          <cell r="A542">
            <v>538</v>
          </cell>
          <cell r="P542" t="str">
            <v>Grave sablo-limoneuse</v>
          </cell>
          <cell r="W542" t="str">
            <v>Sol</v>
          </cell>
        </row>
        <row r="543">
          <cell r="A543">
            <v>539</v>
          </cell>
          <cell r="P543" t="str">
            <v>Grave sablo-limoneuse</v>
          </cell>
          <cell r="W543" t="str">
            <v>Sol</v>
          </cell>
        </row>
        <row r="544">
          <cell r="A544">
            <v>540</v>
          </cell>
          <cell r="P544" t="str">
            <v>Grave sablo-limoneuse</v>
          </cell>
          <cell r="W544" t="str">
            <v>Sol</v>
          </cell>
        </row>
        <row r="545">
          <cell r="A545">
            <v>541</v>
          </cell>
          <cell r="P545" t="str">
            <v>Grave sablo-limoneuse</v>
          </cell>
          <cell r="W545" t="str">
            <v>Sol</v>
          </cell>
        </row>
        <row r="546">
          <cell r="A546">
            <v>542</v>
          </cell>
          <cell r="P546" t="str">
            <v>Grave ø0/80mm recyclée béton</v>
          </cell>
          <cell r="W546" t="str">
            <v>Sol</v>
          </cell>
        </row>
        <row r="547">
          <cell r="A547">
            <v>543</v>
          </cell>
          <cell r="P547" t="str">
            <v>Limon argileux</v>
          </cell>
          <cell r="W547" t="str">
            <v>Sol</v>
          </cell>
        </row>
        <row r="548">
          <cell r="A548">
            <v>544</v>
          </cell>
          <cell r="P548" t="str">
            <v>Limon sableux</v>
          </cell>
          <cell r="W548" t="str">
            <v>Sol</v>
          </cell>
        </row>
        <row r="549">
          <cell r="A549">
            <v>545</v>
          </cell>
          <cell r="P549" t="str">
            <v xml:space="preserve">Limon argileux </v>
          </cell>
          <cell r="W549" t="str">
            <v>Sol</v>
          </cell>
        </row>
        <row r="550">
          <cell r="A550">
            <v>546</v>
          </cell>
          <cell r="P550" t="str">
            <v>Grave sableuse à galet et gravier (remblais)</v>
          </cell>
          <cell r="W550" t="str">
            <v>Sol</v>
          </cell>
        </row>
        <row r="551">
          <cell r="A551">
            <v>547</v>
          </cell>
          <cell r="P551" t="str">
            <v>Limon plus ou moins sableux à graves</v>
          </cell>
          <cell r="W551" t="str">
            <v>Sol</v>
          </cell>
        </row>
        <row r="552">
          <cell r="A552">
            <v>548</v>
          </cell>
          <cell r="P552" t="str">
            <v>Grave sableuse à galet et gravier (remblais)</v>
          </cell>
          <cell r="W552" t="str">
            <v>Sol</v>
          </cell>
        </row>
        <row r="553">
          <cell r="A553">
            <v>549</v>
          </cell>
          <cell r="P553" t="str">
            <v>Limon plus ou moins sableux à graves</v>
          </cell>
          <cell r="W553" t="str">
            <v>Sol</v>
          </cell>
        </row>
        <row r="554">
          <cell r="A554">
            <v>550</v>
          </cell>
          <cell r="P554" t="str">
            <v xml:space="preserve">Marne indurée à graves </v>
          </cell>
          <cell r="W554" t="str">
            <v>Sol</v>
          </cell>
        </row>
        <row r="555">
          <cell r="A555">
            <v>551</v>
          </cell>
          <cell r="P555" t="str">
            <v xml:space="preserve">Marne indurée à graves </v>
          </cell>
          <cell r="W555" t="str">
            <v>Sol</v>
          </cell>
        </row>
        <row r="556">
          <cell r="A556">
            <v>552</v>
          </cell>
          <cell r="P556" t="str">
            <v>Grave sableuse ø0/80mm</v>
          </cell>
          <cell r="W556" t="str">
            <v>Sol</v>
          </cell>
        </row>
        <row r="557">
          <cell r="A557">
            <v>553</v>
          </cell>
          <cell r="P557" t="str">
            <v>Grave sableuse ø0/80mm</v>
          </cell>
          <cell r="W557" t="str">
            <v>Sol</v>
          </cell>
        </row>
        <row r="558">
          <cell r="A558">
            <v>554</v>
          </cell>
          <cell r="P558" t="str">
            <v>Argile à quelques cailloutis</v>
          </cell>
          <cell r="W558" t="str">
            <v>Sol</v>
          </cell>
        </row>
        <row r="559">
          <cell r="A559">
            <v>555</v>
          </cell>
          <cell r="P559" t="str">
            <v>Grave sablo limoneuse</v>
          </cell>
          <cell r="W559" t="str">
            <v>Sol</v>
          </cell>
        </row>
        <row r="560">
          <cell r="A560">
            <v>556</v>
          </cell>
          <cell r="P560" t="str">
            <v>Grave sablo limoneuse</v>
          </cell>
          <cell r="W560" t="str">
            <v>Sol</v>
          </cell>
        </row>
        <row r="561">
          <cell r="A561">
            <v>557</v>
          </cell>
          <cell r="P561" t="str">
            <v>Grave sableuse</v>
          </cell>
          <cell r="W561" t="str">
            <v>Sol</v>
          </cell>
        </row>
        <row r="562">
          <cell r="A562">
            <v>558</v>
          </cell>
          <cell r="P562" t="str">
            <v>Limon graveleux</v>
          </cell>
          <cell r="W562" t="str">
            <v>Sol</v>
          </cell>
        </row>
        <row r="563">
          <cell r="A563">
            <v>559</v>
          </cell>
          <cell r="P563" t="str">
            <v>Grave sablo-limoneuse à racines</v>
          </cell>
          <cell r="W563" t="str">
            <v>Sol</v>
          </cell>
        </row>
        <row r="564">
          <cell r="A564">
            <v>560</v>
          </cell>
          <cell r="P564" t="str">
            <v>Limon argilo-sableux à graves</v>
          </cell>
          <cell r="W564" t="str">
            <v>Sol</v>
          </cell>
        </row>
        <row r="565">
          <cell r="A565">
            <v>561</v>
          </cell>
          <cell r="P565" t="str">
            <v>Limon argilo-sableux à grave (moraine)</v>
          </cell>
          <cell r="W565" t="str">
            <v>Sol</v>
          </cell>
        </row>
        <row r="566">
          <cell r="A566">
            <v>562</v>
          </cell>
          <cell r="P566" t="str">
            <v>Grave recyclée sableuse ø0/80mm</v>
          </cell>
          <cell r="W566" t="str">
            <v>Sol</v>
          </cell>
        </row>
        <row r="567">
          <cell r="A567">
            <v>563</v>
          </cell>
          <cell r="P567" t="str">
            <v>Grave concassée sableuse ø0/31,5mm</v>
          </cell>
          <cell r="W567" t="str">
            <v>Sol</v>
          </cell>
        </row>
        <row r="568">
          <cell r="A568">
            <v>564</v>
          </cell>
          <cell r="P568" t="str">
            <v>Sable à cailloutis</v>
          </cell>
          <cell r="W568" t="str">
            <v>Sol</v>
          </cell>
        </row>
        <row r="569">
          <cell r="A569">
            <v>565</v>
          </cell>
          <cell r="W569" t="str">
            <v>Sol</v>
          </cell>
        </row>
        <row r="570">
          <cell r="A570">
            <v>566</v>
          </cell>
          <cell r="W570" t="str">
            <v>Sol</v>
          </cell>
        </row>
        <row r="571">
          <cell r="A571">
            <v>567</v>
          </cell>
          <cell r="W571" t="str">
            <v>Sol</v>
          </cell>
        </row>
        <row r="572">
          <cell r="A572">
            <v>568</v>
          </cell>
          <cell r="W572" t="str">
            <v>Sol</v>
          </cell>
        </row>
        <row r="573">
          <cell r="A573">
            <v>569</v>
          </cell>
          <cell r="W573" t="str">
            <v>Sol</v>
          </cell>
        </row>
        <row r="574">
          <cell r="A574">
            <v>570</v>
          </cell>
          <cell r="P574" t="str">
            <v>Grave recyclée sableuse</v>
          </cell>
          <cell r="W574" t="str">
            <v>Sol</v>
          </cell>
        </row>
        <row r="575">
          <cell r="A575">
            <v>571</v>
          </cell>
          <cell r="P575" t="str">
            <v>Grave recyclée sableuse</v>
          </cell>
          <cell r="W575" t="str">
            <v>Sol</v>
          </cell>
        </row>
        <row r="576">
          <cell r="A576">
            <v>572</v>
          </cell>
          <cell r="P576" t="str">
            <v>Grave recyclée sableuse</v>
          </cell>
          <cell r="W576" t="str">
            <v>Sol</v>
          </cell>
        </row>
        <row r="577">
          <cell r="A577">
            <v>573</v>
          </cell>
          <cell r="P577" t="str">
            <v>Grave recyclé sablo-limoneux</v>
          </cell>
          <cell r="W577" t="str">
            <v>Sol</v>
          </cell>
        </row>
        <row r="578">
          <cell r="A578">
            <v>574</v>
          </cell>
          <cell r="P578" t="str">
            <v>Grave recyclée sableuse</v>
          </cell>
          <cell r="W578" t="str">
            <v>Sol</v>
          </cell>
        </row>
        <row r="579">
          <cell r="A579">
            <v>575</v>
          </cell>
          <cell r="P579" t="str">
            <v>Grave recyclée sableuse</v>
          </cell>
          <cell r="W579" t="str">
            <v>Sol</v>
          </cell>
        </row>
        <row r="580">
          <cell r="A580">
            <v>576</v>
          </cell>
          <cell r="W580" t="str">
            <v>Sol</v>
          </cell>
        </row>
        <row r="581">
          <cell r="A581">
            <v>577</v>
          </cell>
          <cell r="W581" t="str">
            <v>Sol</v>
          </cell>
        </row>
        <row r="582">
          <cell r="A582">
            <v>578</v>
          </cell>
          <cell r="P582" t="str">
            <v>Argile limoneuse à racines</v>
          </cell>
          <cell r="W582" t="str">
            <v>Sol</v>
          </cell>
        </row>
        <row r="583">
          <cell r="A583">
            <v>579</v>
          </cell>
          <cell r="P583" t="str">
            <v xml:space="preserve">Sable limono-argileux </v>
          </cell>
          <cell r="W583" t="str">
            <v>Sol</v>
          </cell>
        </row>
        <row r="584">
          <cell r="A584">
            <v>580</v>
          </cell>
          <cell r="P584" t="str">
            <v>Grave sableuse</v>
          </cell>
          <cell r="W584" t="str">
            <v>Sol</v>
          </cell>
        </row>
        <row r="585">
          <cell r="A585">
            <v>581</v>
          </cell>
          <cell r="P585" t="str">
            <v>Grave sablo-limoneuse</v>
          </cell>
          <cell r="W585" t="str">
            <v>Sol</v>
          </cell>
        </row>
        <row r="586">
          <cell r="A586">
            <v>582</v>
          </cell>
          <cell r="P586" t="str">
            <v>Grave sablo-limoneuse</v>
          </cell>
          <cell r="W586" t="str">
            <v>Sol</v>
          </cell>
        </row>
        <row r="587">
          <cell r="A587">
            <v>583</v>
          </cell>
          <cell r="P587" t="str">
            <v xml:space="preserve">Grave sablo-limoneuse </v>
          </cell>
          <cell r="W587" t="str">
            <v>Sol</v>
          </cell>
        </row>
        <row r="588">
          <cell r="A588">
            <v>584</v>
          </cell>
          <cell r="P588" t="str">
            <v>Grave sableuse</v>
          </cell>
          <cell r="W588" t="str">
            <v>Sol</v>
          </cell>
        </row>
        <row r="589">
          <cell r="A589">
            <v>585</v>
          </cell>
          <cell r="P589" t="str">
            <v>Limon</v>
          </cell>
          <cell r="W589" t="str">
            <v>Sol</v>
          </cell>
        </row>
        <row r="590">
          <cell r="A590">
            <v>586</v>
          </cell>
          <cell r="P590" t="str">
            <v>Limon graveleux légérement induré</v>
          </cell>
          <cell r="W590" t="str">
            <v>Sol</v>
          </cell>
        </row>
        <row r="591">
          <cell r="A591">
            <v>587</v>
          </cell>
          <cell r="P591" t="str">
            <v>Grave concassé sableuse</v>
          </cell>
          <cell r="W591" t="str">
            <v>Sol</v>
          </cell>
        </row>
        <row r="592">
          <cell r="A592">
            <v>588</v>
          </cell>
          <cell r="W592" t="str">
            <v>Sol</v>
          </cell>
        </row>
        <row r="593">
          <cell r="A593">
            <v>589</v>
          </cell>
          <cell r="P593" t="str">
            <v>Grave sableuse à passage argileux</v>
          </cell>
          <cell r="W593" t="str">
            <v>Sol</v>
          </cell>
        </row>
        <row r="594">
          <cell r="A594">
            <v>590</v>
          </cell>
          <cell r="P594" t="str">
            <v>Grave sableuse à passage argileux</v>
          </cell>
          <cell r="W594" t="str">
            <v>Sol</v>
          </cell>
        </row>
        <row r="595">
          <cell r="A595">
            <v>591</v>
          </cell>
          <cell r="P595" t="str">
            <v>Grave soblo-limoneuse à passage induré</v>
          </cell>
          <cell r="W595" t="str">
            <v>Sol</v>
          </cell>
        </row>
        <row r="596">
          <cell r="A596">
            <v>592</v>
          </cell>
          <cell r="P596" t="str">
            <v>Argile à schiste alteré</v>
          </cell>
          <cell r="W596" t="str">
            <v>Sol</v>
          </cell>
        </row>
        <row r="597">
          <cell r="A597">
            <v>593</v>
          </cell>
          <cell r="P597" t="str">
            <v>Argile à schiste alteré</v>
          </cell>
          <cell r="W597" t="str">
            <v>Sol</v>
          </cell>
        </row>
        <row r="598">
          <cell r="A598">
            <v>594</v>
          </cell>
          <cell r="P598" t="str">
            <v>Argile sableuse à graves ( morraine traitée)</v>
          </cell>
          <cell r="W598" t="str">
            <v>Sol</v>
          </cell>
        </row>
        <row r="599">
          <cell r="A599">
            <v>595</v>
          </cell>
          <cell r="P599" t="str">
            <v>Grave sableuse</v>
          </cell>
          <cell r="W599" t="str">
            <v>Sol</v>
          </cell>
        </row>
        <row r="600">
          <cell r="A600">
            <v>596</v>
          </cell>
          <cell r="P600" t="str">
            <v>Grave sableuse</v>
          </cell>
          <cell r="W600" t="str">
            <v>Sol</v>
          </cell>
        </row>
        <row r="601">
          <cell r="A601">
            <v>597</v>
          </cell>
          <cell r="P601" t="str">
            <v>Grave sableuse</v>
          </cell>
          <cell r="W601" t="str">
            <v>Sol</v>
          </cell>
        </row>
        <row r="602">
          <cell r="A602">
            <v>598</v>
          </cell>
          <cell r="P602" t="str">
            <v>Sable graveleux</v>
          </cell>
          <cell r="W602" t="str">
            <v>Sol</v>
          </cell>
        </row>
        <row r="603">
          <cell r="A603">
            <v>599</v>
          </cell>
          <cell r="P603" t="str">
            <v>Grave sableuse</v>
          </cell>
          <cell r="W603" t="str">
            <v>Sol</v>
          </cell>
        </row>
        <row r="604">
          <cell r="A604">
            <v>600</v>
          </cell>
          <cell r="P604" t="str">
            <v>Sable graveleux</v>
          </cell>
          <cell r="W604" t="str">
            <v>Sol</v>
          </cell>
        </row>
        <row r="605">
          <cell r="A605">
            <v>601</v>
          </cell>
          <cell r="P605" t="str">
            <v xml:space="preserve">Sable à nodules argilo-limoneux </v>
          </cell>
          <cell r="W605" t="str">
            <v>Sol</v>
          </cell>
        </row>
        <row r="606">
          <cell r="A606">
            <v>602</v>
          </cell>
          <cell r="P606" t="str">
            <v>Limon sablo-argileux</v>
          </cell>
          <cell r="W606" t="str">
            <v>Sol</v>
          </cell>
        </row>
        <row r="607">
          <cell r="A607">
            <v>603</v>
          </cell>
          <cell r="P607" t="str">
            <v>Argile limoneuse à graves</v>
          </cell>
          <cell r="W607" t="str">
            <v>Sol</v>
          </cell>
        </row>
        <row r="608">
          <cell r="A608">
            <v>604</v>
          </cell>
          <cell r="P608" t="str">
            <v>Argile limoneuse à passage sableux</v>
          </cell>
          <cell r="W608" t="str">
            <v>Sol</v>
          </cell>
        </row>
        <row r="609">
          <cell r="A609">
            <v>605</v>
          </cell>
          <cell r="P609" t="str">
            <v>Grave sableuse</v>
          </cell>
          <cell r="W609" t="str">
            <v>Sol</v>
          </cell>
        </row>
        <row r="610">
          <cell r="A610">
            <v>606</v>
          </cell>
          <cell r="P610" t="str">
            <v>Grave sableuse</v>
          </cell>
          <cell r="W610" t="str">
            <v>Sol</v>
          </cell>
        </row>
        <row r="611">
          <cell r="A611">
            <v>607</v>
          </cell>
          <cell r="W611" t="str">
            <v>Sol</v>
          </cell>
        </row>
        <row r="612">
          <cell r="A612">
            <v>608</v>
          </cell>
          <cell r="P612" t="str">
            <v>Grave à matice argileuse</v>
          </cell>
          <cell r="W612" t="str">
            <v>Sol</v>
          </cell>
        </row>
        <row r="613">
          <cell r="A613">
            <v>609</v>
          </cell>
          <cell r="P613" t="str">
            <v>Grave à matice argileuse</v>
          </cell>
          <cell r="W613" t="str">
            <v>Sol</v>
          </cell>
        </row>
        <row r="614">
          <cell r="A614">
            <v>610</v>
          </cell>
          <cell r="W614" t="str">
            <v>Sol</v>
          </cell>
        </row>
        <row r="615">
          <cell r="A615">
            <v>611</v>
          </cell>
          <cell r="W615" t="str">
            <v>Sol</v>
          </cell>
        </row>
        <row r="616">
          <cell r="A616">
            <v>612</v>
          </cell>
          <cell r="P616" t="str">
            <v>Limon argileux à quelques graves</v>
          </cell>
          <cell r="W616" t="str">
            <v>Sol</v>
          </cell>
        </row>
        <row r="617">
          <cell r="A617">
            <v>613</v>
          </cell>
          <cell r="P617" t="str">
            <v>Limon argileux à quelques graves</v>
          </cell>
          <cell r="W617" t="str">
            <v>Sol</v>
          </cell>
        </row>
        <row r="618">
          <cell r="A618">
            <v>614</v>
          </cell>
          <cell r="P618" t="str">
            <v>Grave limoneuse</v>
          </cell>
          <cell r="W618" t="str">
            <v>Sol</v>
          </cell>
        </row>
        <row r="619">
          <cell r="A619">
            <v>615</v>
          </cell>
          <cell r="P619" t="str">
            <v>Recyclé béton, grave sableuse ø0/100mm</v>
          </cell>
          <cell r="W619" t="str">
            <v>Sol</v>
          </cell>
        </row>
        <row r="620">
          <cell r="A620">
            <v>616</v>
          </cell>
          <cell r="P620" t="str">
            <v>Grave alluvionnaire sableuse ø0/80mm</v>
          </cell>
          <cell r="W620" t="str">
            <v>Sol</v>
          </cell>
        </row>
        <row r="621">
          <cell r="A621">
            <v>617</v>
          </cell>
          <cell r="P621" t="str">
            <v>Sable "brut" ø0/4mm</v>
          </cell>
          <cell r="W621" t="str">
            <v>Sol</v>
          </cell>
        </row>
        <row r="622">
          <cell r="A622">
            <v>618</v>
          </cell>
          <cell r="P622" t="str">
            <v>Argile limoneuse à graves</v>
          </cell>
          <cell r="W622" t="str">
            <v>Sol</v>
          </cell>
        </row>
        <row r="623">
          <cell r="A623">
            <v>619</v>
          </cell>
          <cell r="P623" t="str">
            <v>Limon argileux à graves</v>
          </cell>
          <cell r="W623" t="str">
            <v>Sol</v>
          </cell>
        </row>
        <row r="624">
          <cell r="A624">
            <v>620</v>
          </cell>
          <cell r="W624" t="str">
            <v>Sol</v>
          </cell>
        </row>
        <row r="625">
          <cell r="A625">
            <v>621</v>
          </cell>
          <cell r="W625" t="str">
            <v>Sol</v>
          </cell>
        </row>
        <row r="626">
          <cell r="A626">
            <v>622</v>
          </cell>
          <cell r="W626" t="str">
            <v>Sol</v>
          </cell>
        </row>
        <row r="627">
          <cell r="A627">
            <v>623</v>
          </cell>
          <cell r="W627" t="str">
            <v>Sol</v>
          </cell>
        </row>
        <row r="628">
          <cell r="A628">
            <v>624</v>
          </cell>
          <cell r="P628" t="str">
            <v>Grave sableuse friable à nodule argileux ø0/80mm</v>
          </cell>
          <cell r="W628" t="str">
            <v>Sol</v>
          </cell>
        </row>
        <row r="629">
          <cell r="A629">
            <v>625</v>
          </cell>
          <cell r="P629" t="str">
            <v xml:space="preserve">Grave sableuse </v>
          </cell>
          <cell r="W629" t="str">
            <v>Sol</v>
          </cell>
        </row>
        <row r="630">
          <cell r="A630">
            <v>626</v>
          </cell>
          <cell r="P630" t="str">
            <v>Grave sablo-limoneuses à débris</v>
          </cell>
          <cell r="W630" t="str">
            <v>Sol</v>
          </cell>
        </row>
        <row r="631">
          <cell r="A631">
            <v>627</v>
          </cell>
          <cell r="W631" t="str">
            <v>Sol</v>
          </cell>
        </row>
        <row r="632">
          <cell r="A632">
            <v>628</v>
          </cell>
          <cell r="W632" t="str">
            <v>Sol</v>
          </cell>
        </row>
        <row r="633">
          <cell r="A633">
            <v>629</v>
          </cell>
          <cell r="W633" t="str">
            <v>Sol</v>
          </cell>
        </row>
        <row r="634">
          <cell r="A634">
            <v>630</v>
          </cell>
          <cell r="W634" t="str">
            <v>Sol</v>
          </cell>
        </row>
        <row r="635">
          <cell r="A635">
            <v>631</v>
          </cell>
          <cell r="W635" t="str">
            <v>Sol</v>
          </cell>
        </row>
        <row r="636">
          <cell r="A636">
            <v>632</v>
          </cell>
          <cell r="P636" t="str">
            <v>Limon argileu à graves et racines</v>
          </cell>
          <cell r="W636" t="str">
            <v>Sol</v>
          </cell>
        </row>
        <row r="637">
          <cell r="A637">
            <v>633</v>
          </cell>
          <cell r="P637" t="str">
            <v>Grave sablo-limoneuse concassée ø0/30mm (recyclé)</v>
          </cell>
          <cell r="W637" t="str">
            <v>Sol</v>
          </cell>
        </row>
        <row r="638">
          <cell r="A638">
            <v>634</v>
          </cell>
          <cell r="P638" t="str">
            <v>Grave sablo-limoneuse</v>
          </cell>
          <cell r="W638" t="str">
            <v>Sol</v>
          </cell>
        </row>
        <row r="639">
          <cell r="A639">
            <v>635</v>
          </cell>
          <cell r="P639" t="str">
            <v>Schiste plus ou moins alteré</v>
          </cell>
          <cell r="W639" t="str">
            <v>Sol</v>
          </cell>
        </row>
        <row r="640">
          <cell r="A640">
            <v>636</v>
          </cell>
          <cell r="P640" t="str">
            <v>Schiste</v>
          </cell>
          <cell r="W640" t="str">
            <v>Sol</v>
          </cell>
        </row>
        <row r="641">
          <cell r="A641">
            <v>637</v>
          </cell>
          <cell r="P641" t="str">
            <v>Grave calcaire peu sableuse ø0/50mm</v>
          </cell>
          <cell r="W641" t="str">
            <v>Sol</v>
          </cell>
        </row>
        <row r="642">
          <cell r="A642">
            <v>638</v>
          </cell>
          <cell r="P642" t="str">
            <v>Grave sableuse ø0/80mm</v>
          </cell>
          <cell r="W642" t="str">
            <v>Sol</v>
          </cell>
        </row>
        <row r="643">
          <cell r="A643">
            <v>639</v>
          </cell>
          <cell r="P643" t="str">
            <v>Limon sableux à grave</v>
          </cell>
          <cell r="W643" t="str">
            <v>Sol</v>
          </cell>
        </row>
        <row r="644">
          <cell r="A644">
            <v>640</v>
          </cell>
          <cell r="P644" t="str">
            <v>Limon argilo-sableux à graves schisteuse</v>
          </cell>
          <cell r="W644" t="str">
            <v>Sol</v>
          </cell>
        </row>
        <row r="645">
          <cell r="A645">
            <v>641</v>
          </cell>
          <cell r="P645" t="str">
            <v xml:space="preserve">Sable limoneux à grave </v>
          </cell>
          <cell r="W645" t="str">
            <v>Sol</v>
          </cell>
        </row>
        <row r="646">
          <cell r="A646">
            <v>642</v>
          </cell>
          <cell r="P646" t="str">
            <v xml:space="preserve">Sable limoneux à grave </v>
          </cell>
          <cell r="W646" t="str">
            <v>Sol</v>
          </cell>
        </row>
        <row r="647">
          <cell r="A647">
            <v>643</v>
          </cell>
          <cell r="P647" t="str">
            <v>Limon argileux à graves et racines</v>
          </cell>
          <cell r="W647" t="str">
            <v>Sol</v>
          </cell>
        </row>
        <row r="648">
          <cell r="A648">
            <v>644</v>
          </cell>
          <cell r="P648" t="str">
            <v>Argile marneuse</v>
          </cell>
          <cell r="W648" t="str">
            <v>Sol</v>
          </cell>
        </row>
        <row r="649">
          <cell r="A649">
            <v>645</v>
          </cell>
          <cell r="P649" t="str">
            <v>Argile</v>
          </cell>
          <cell r="W649" t="str">
            <v>Sol</v>
          </cell>
        </row>
        <row r="650">
          <cell r="A650">
            <v>646</v>
          </cell>
          <cell r="P650" t="str">
            <v>Argile à cailloutis</v>
          </cell>
          <cell r="W650" t="str">
            <v>Sol</v>
          </cell>
        </row>
        <row r="651">
          <cell r="A651">
            <v>647</v>
          </cell>
          <cell r="P651" t="str">
            <v>Argile feuilleté</v>
          </cell>
          <cell r="W651" t="str">
            <v>Sol</v>
          </cell>
        </row>
        <row r="652">
          <cell r="A652">
            <v>648</v>
          </cell>
          <cell r="P652" t="str">
            <v>Grave sableuse recyclée ø0/31,5mm</v>
          </cell>
          <cell r="W652" t="str">
            <v>Sol</v>
          </cell>
        </row>
        <row r="653">
          <cell r="A653">
            <v>649</v>
          </cell>
          <cell r="P653" t="str">
            <v>Grave sableuse recyclée ø0/80mm</v>
          </cell>
          <cell r="W653" t="str">
            <v>Sol</v>
          </cell>
        </row>
        <row r="654">
          <cell r="A654">
            <v>650</v>
          </cell>
          <cell r="P654" t="str">
            <v>Grave ø4/12mm</v>
          </cell>
          <cell r="W654" t="str">
            <v>Sol</v>
          </cell>
        </row>
        <row r="655">
          <cell r="A655">
            <v>651</v>
          </cell>
          <cell r="P655" t="str">
            <v>Grave ø12/20mm</v>
          </cell>
          <cell r="W655" t="str">
            <v>Sol</v>
          </cell>
        </row>
        <row r="656">
          <cell r="A656">
            <v>652</v>
          </cell>
          <cell r="P656" t="str">
            <v>Grave sableuse</v>
          </cell>
          <cell r="W656" t="str">
            <v>Sol</v>
          </cell>
        </row>
        <row r="657">
          <cell r="A657">
            <v>653</v>
          </cell>
          <cell r="P657" t="str">
            <v>Grave limono-sableuses, présence de beton</v>
          </cell>
          <cell r="W657" t="str">
            <v>Sol</v>
          </cell>
        </row>
        <row r="658">
          <cell r="A658">
            <v>654</v>
          </cell>
          <cell r="P658" t="str">
            <v>Argile à cailloutis et graves</v>
          </cell>
          <cell r="W658" t="str">
            <v>Sol</v>
          </cell>
        </row>
        <row r="659">
          <cell r="A659">
            <v>655</v>
          </cell>
          <cell r="P659" t="str">
            <v>Grave sableuse ( traces de bitume sur les graves)</v>
          </cell>
          <cell r="W659" t="str">
            <v>Sol</v>
          </cell>
        </row>
        <row r="660">
          <cell r="A660">
            <v>656</v>
          </cell>
          <cell r="P660" t="str">
            <v>Grave sablo-limoneuses</v>
          </cell>
          <cell r="W660" t="str">
            <v>Sol</v>
          </cell>
        </row>
        <row r="661">
          <cell r="A661">
            <v>657</v>
          </cell>
          <cell r="P661" t="str">
            <v>Grave sablo-limoneuses</v>
          </cell>
          <cell r="W661" t="str">
            <v>Sol</v>
          </cell>
        </row>
        <row r="662">
          <cell r="A662">
            <v>658</v>
          </cell>
          <cell r="P662" t="str">
            <v>Grave sablo-limoneuses</v>
          </cell>
          <cell r="W662" t="str">
            <v>Sol</v>
          </cell>
        </row>
        <row r="663">
          <cell r="A663">
            <v>659</v>
          </cell>
          <cell r="P663" t="str">
            <v>Grave sablo-limoneuses à boulettes d'argile</v>
          </cell>
          <cell r="W663" t="str">
            <v>Sol</v>
          </cell>
        </row>
        <row r="664">
          <cell r="A664">
            <v>660</v>
          </cell>
          <cell r="P664" t="str">
            <v>Grave sablo-limoneuses, présense de nodules argileux et d'odeur d'hydrocarbure</v>
          </cell>
          <cell r="W664" t="str">
            <v>Sol</v>
          </cell>
        </row>
        <row r="665">
          <cell r="A665">
            <v>661</v>
          </cell>
          <cell r="P665" t="str">
            <v>Grave sablo-limoneuses</v>
          </cell>
          <cell r="W665" t="str">
            <v>Sol</v>
          </cell>
        </row>
        <row r="666">
          <cell r="A666">
            <v>662</v>
          </cell>
          <cell r="P666" t="str">
            <v xml:space="preserve">Grave sableuse </v>
          </cell>
          <cell r="W666" t="str">
            <v>Sol</v>
          </cell>
        </row>
        <row r="667">
          <cell r="A667">
            <v>663</v>
          </cell>
          <cell r="P667" t="str">
            <v>Grave sableuse</v>
          </cell>
          <cell r="W667" t="str">
            <v>Sol</v>
          </cell>
        </row>
        <row r="668">
          <cell r="A668">
            <v>664</v>
          </cell>
          <cell r="P668" t="str">
            <v>Grave légerement sableuse</v>
          </cell>
          <cell r="W668" t="str">
            <v>Sol</v>
          </cell>
        </row>
        <row r="669">
          <cell r="A669">
            <v>665</v>
          </cell>
          <cell r="P669" t="str">
            <v>Grave schisteuses à limon argilo-sableux</v>
          </cell>
          <cell r="W669" t="str">
            <v>Sol</v>
          </cell>
        </row>
        <row r="670">
          <cell r="A670">
            <v>666</v>
          </cell>
          <cell r="P670" t="str">
            <v>Grave schisteuses à limon sableux</v>
          </cell>
          <cell r="W670" t="str">
            <v>Sol</v>
          </cell>
        </row>
        <row r="671">
          <cell r="A671">
            <v>667</v>
          </cell>
          <cell r="P671" t="str">
            <v>Sable graveleux</v>
          </cell>
          <cell r="W671" t="str">
            <v>Sol</v>
          </cell>
        </row>
        <row r="672">
          <cell r="A672">
            <v>668</v>
          </cell>
          <cell r="P672" t="str">
            <v>Grave sableuse finement limoneuses</v>
          </cell>
          <cell r="W672" t="str">
            <v>Sol</v>
          </cell>
        </row>
        <row r="673">
          <cell r="A673">
            <v>669</v>
          </cell>
          <cell r="P673" t="str">
            <v>Grave limoneuse (Remblais)</v>
          </cell>
          <cell r="W673" t="str">
            <v>Sol</v>
          </cell>
        </row>
        <row r="674">
          <cell r="A674">
            <v>670</v>
          </cell>
          <cell r="P674" t="str">
            <v>Grave sableuse</v>
          </cell>
          <cell r="W674" t="str">
            <v>Sol</v>
          </cell>
        </row>
        <row r="675">
          <cell r="A675">
            <v>671</v>
          </cell>
          <cell r="P675" t="str">
            <v>Remblais de grave sablo-limoneuses (enrobé, verre, brique, ferraille, plastique)</v>
          </cell>
          <cell r="W675" t="str">
            <v>Sol</v>
          </cell>
        </row>
        <row r="676">
          <cell r="A676">
            <v>672</v>
          </cell>
          <cell r="P676" t="str">
            <v>Remblais de grave sableuse à ferraille, plastique, brique  et enrobé. Odeur d'hydrocarbure.</v>
          </cell>
          <cell r="W676" t="str">
            <v>Sol</v>
          </cell>
        </row>
        <row r="677">
          <cell r="A677">
            <v>673</v>
          </cell>
          <cell r="P677" t="str">
            <v>Remblais de grave sablause à debris (bois, carrelage, …)</v>
          </cell>
          <cell r="W677" t="str">
            <v>Sol</v>
          </cell>
        </row>
        <row r="678">
          <cell r="A678">
            <v>674</v>
          </cell>
          <cell r="P678" t="str">
            <v>Remblais de grave sableuse (trace de fibrociment)</v>
          </cell>
          <cell r="W678" t="str">
            <v>Sol</v>
          </cell>
        </row>
        <row r="679">
          <cell r="A679">
            <v>675</v>
          </cell>
          <cell r="W679" t="str">
            <v>Sol</v>
          </cell>
        </row>
        <row r="680">
          <cell r="A680">
            <v>676</v>
          </cell>
          <cell r="W680" t="str">
            <v>Sol</v>
          </cell>
        </row>
        <row r="681">
          <cell r="A681">
            <v>677</v>
          </cell>
          <cell r="W681" t="str">
            <v>Sol</v>
          </cell>
        </row>
        <row r="682">
          <cell r="A682">
            <v>678</v>
          </cell>
          <cell r="W682" t="str">
            <v>Sol</v>
          </cell>
        </row>
        <row r="683">
          <cell r="A683">
            <v>679</v>
          </cell>
          <cell r="P683" t="str">
            <v xml:space="preserve">Limon sableux à boullettes d'argile et quelques graves </v>
          </cell>
          <cell r="W683" t="str">
            <v>Sol</v>
          </cell>
        </row>
        <row r="684">
          <cell r="A684">
            <v>680</v>
          </cell>
          <cell r="P684" t="str">
            <v>Sable graveleux</v>
          </cell>
          <cell r="W684" t="str">
            <v>Sol</v>
          </cell>
        </row>
        <row r="685">
          <cell r="A685">
            <v>681</v>
          </cell>
          <cell r="P685" t="str">
            <v>Grave sableuse</v>
          </cell>
          <cell r="W685" t="str">
            <v>Sol</v>
          </cell>
        </row>
        <row r="686">
          <cell r="A686">
            <v>682</v>
          </cell>
          <cell r="W686" t="str">
            <v>Sol</v>
          </cell>
        </row>
        <row r="687">
          <cell r="A687">
            <v>683</v>
          </cell>
          <cell r="P687" t="str">
            <v>Grave sableuse à fne partie limoneuse</v>
          </cell>
          <cell r="W687" t="str">
            <v>Sol</v>
          </cell>
        </row>
        <row r="688">
          <cell r="A688">
            <v>684</v>
          </cell>
          <cell r="P688" t="str">
            <v>Sable limoneux à nodule argileux et graves</v>
          </cell>
          <cell r="W688" t="str">
            <v>Sol</v>
          </cell>
        </row>
        <row r="689">
          <cell r="A689">
            <v>685</v>
          </cell>
          <cell r="P689" t="str">
            <v>Grave limono-sableuse</v>
          </cell>
          <cell r="W689" t="str">
            <v>Sol</v>
          </cell>
        </row>
        <row r="690">
          <cell r="A690">
            <v>686</v>
          </cell>
          <cell r="P690" t="str">
            <v>Grave schisteuse sablo-limoneuses à quelques racines</v>
          </cell>
          <cell r="W690" t="str">
            <v>Sol</v>
          </cell>
        </row>
        <row r="691">
          <cell r="A691">
            <v>687</v>
          </cell>
          <cell r="P691" t="str">
            <v>Sable graveleux légerement limoneux à quelques racines</v>
          </cell>
          <cell r="W691" t="str">
            <v>Sol</v>
          </cell>
        </row>
        <row r="692">
          <cell r="A692">
            <v>688</v>
          </cell>
          <cell r="P692" t="str">
            <v>Sable à graves schisteuses</v>
          </cell>
          <cell r="W692" t="str">
            <v>Sol</v>
          </cell>
        </row>
        <row r="693">
          <cell r="A693">
            <v>689</v>
          </cell>
          <cell r="P693" t="str">
            <v xml:space="preserve">Grave schisteuse à debris de verres, ferraille à matrice limoneuse </v>
          </cell>
          <cell r="W693" t="str">
            <v>Sol</v>
          </cell>
        </row>
        <row r="694">
          <cell r="A694">
            <v>690</v>
          </cell>
          <cell r="P694" t="str">
            <v>Grave schisteuse sablo-limoneuses</v>
          </cell>
          <cell r="W694" t="str">
            <v>Sol</v>
          </cell>
        </row>
        <row r="695">
          <cell r="A695">
            <v>691</v>
          </cell>
          <cell r="P695" t="str">
            <v>Grave schisteuse sablo-limoneuses</v>
          </cell>
          <cell r="W695" t="str">
            <v>Sol</v>
          </cell>
        </row>
        <row r="696">
          <cell r="A696">
            <v>692</v>
          </cell>
          <cell r="P696" t="str">
            <v>Grave schisteuse sablo-limoneuses</v>
          </cell>
          <cell r="W696" t="str">
            <v>Sol</v>
          </cell>
        </row>
        <row r="697">
          <cell r="A697">
            <v>693</v>
          </cell>
          <cell r="P697" t="str">
            <v>Sable à graves schisteuses</v>
          </cell>
          <cell r="W697" t="str">
            <v>Sol</v>
          </cell>
        </row>
        <row r="698">
          <cell r="A698">
            <v>694</v>
          </cell>
          <cell r="P698" t="str">
            <v>Sable à graves sachisteuses à nodules argilo-limoneux</v>
          </cell>
          <cell r="W698" t="str">
            <v>Sol</v>
          </cell>
        </row>
        <row r="699">
          <cell r="A699">
            <v>695</v>
          </cell>
          <cell r="W699" t="str">
            <v>Sol</v>
          </cell>
        </row>
        <row r="700">
          <cell r="A700">
            <v>696</v>
          </cell>
        </row>
        <row r="701">
          <cell r="A701">
            <v>697</v>
          </cell>
          <cell r="P701" t="str">
            <v>Limon argileux à graves, présence de matière organique</v>
          </cell>
        </row>
        <row r="702">
          <cell r="A702">
            <v>698</v>
          </cell>
          <cell r="P702" t="str">
            <v>Grave sableuse</v>
          </cell>
        </row>
        <row r="703">
          <cell r="A703">
            <v>699</v>
          </cell>
        </row>
        <row r="704">
          <cell r="A704">
            <v>700</v>
          </cell>
        </row>
        <row r="705">
          <cell r="A705">
            <v>701</v>
          </cell>
          <cell r="P705" t="str">
            <v>Argile limoneuse à racines et quelques cailloutis</v>
          </cell>
        </row>
        <row r="706">
          <cell r="A706">
            <v>702</v>
          </cell>
          <cell r="P706" t="str">
            <v>Argile limoneuse à racines et quelques graves</v>
          </cell>
        </row>
        <row r="707">
          <cell r="A707">
            <v>703</v>
          </cell>
          <cell r="P707" t="str">
            <v>Limon argileux à racines</v>
          </cell>
        </row>
        <row r="708">
          <cell r="A708">
            <v>704</v>
          </cell>
        </row>
        <row r="709">
          <cell r="A709">
            <v>705</v>
          </cell>
        </row>
        <row r="710">
          <cell r="A710">
            <v>706</v>
          </cell>
          <cell r="P710" t="str">
            <v>Grave sableuse ø0/80mm</v>
          </cell>
          <cell r="W710" t="str">
            <v>Sol</v>
          </cell>
        </row>
        <row r="711">
          <cell r="A711">
            <v>707</v>
          </cell>
          <cell r="P711" t="str">
            <v>Limon argileux à gravier et grave</v>
          </cell>
        </row>
        <row r="712">
          <cell r="A712">
            <v>708</v>
          </cell>
          <cell r="P712" t="str">
            <v>Sable limoneux à passage induré limite gréseu à nodule argileux</v>
          </cell>
        </row>
        <row r="713">
          <cell r="A713">
            <v>709</v>
          </cell>
          <cell r="P713" t="str">
            <v xml:space="preserve">Limon sablo-argileux </v>
          </cell>
        </row>
        <row r="714">
          <cell r="A714">
            <v>710</v>
          </cell>
        </row>
        <row r="715">
          <cell r="A715">
            <v>711</v>
          </cell>
        </row>
        <row r="716">
          <cell r="A716">
            <v>712</v>
          </cell>
          <cell r="P716" t="str">
            <v>Grave recyclé ø40/80mm</v>
          </cell>
        </row>
        <row r="717">
          <cell r="A717">
            <v>713</v>
          </cell>
          <cell r="P717" t="str">
            <v>limon argileux à graves</v>
          </cell>
        </row>
        <row r="718">
          <cell r="A718">
            <v>714</v>
          </cell>
          <cell r="P718" t="str">
            <v>Grave limoneuse</v>
          </cell>
        </row>
        <row r="719">
          <cell r="A719">
            <v>715</v>
          </cell>
          <cell r="P719" t="str">
            <v xml:space="preserve">Grave limono-argileuse à racines </v>
          </cell>
        </row>
        <row r="720">
          <cell r="A720">
            <v>716</v>
          </cell>
          <cell r="P720" t="str">
            <v>Grave et gravier à matrice limono-argileuse à racines</v>
          </cell>
        </row>
        <row r="721">
          <cell r="A721">
            <v>717</v>
          </cell>
          <cell r="P721" t="str">
            <v>Grave sableuse</v>
          </cell>
          <cell r="W721" t="str">
            <v>Sol</v>
          </cell>
        </row>
        <row r="722">
          <cell r="A722">
            <v>718</v>
          </cell>
          <cell r="P722" t="str">
            <v>Grave sableuse</v>
          </cell>
        </row>
        <row r="723">
          <cell r="A723">
            <v>719</v>
          </cell>
          <cell r="P723" t="str">
            <v>Sable chaulé ø0/4mm (1%)</v>
          </cell>
        </row>
        <row r="724">
          <cell r="A724">
            <v>720</v>
          </cell>
          <cell r="P724" t="str">
            <v>Argile à graves schisteuses</v>
          </cell>
        </row>
        <row r="725">
          <cell r="A725">
            <v>721</v>
          </cell>
          <cell r="P725" t="str">
            <v>Schiste altéré</v>
          </cell>
        </row>
        <row r="726">
          <cell r="A726">
            <v>722</v>
          </cell>
          <cell r="P726" t="str">
            <v>Argile à graves</v>
          </cell>
        </row>
        <row r="727">
          <cell r="A727">
            <v>723</v>
          </cell>
          <cell r="P727" t="str">
            <v>Remblais limono-sableux à graves et débris (tuilles, plastiques, verres, …)</v>
          </cell>
        </row>
        <row r="728">
          <cell r="A728">
            <v>724</v>
          </cell>
          <cell r="P728" t="str">
            <v>Remblais limono-sableux à graves et débris (tuilles, plastiques, verres, bois, …)</v>
          </cell>
        </row>
        <row r="729">
          <cell r="A729">
            <v>725</v>
          </cell>
          <cell r="P729" t="str">
            <v>Grave sablo-limoneuse</v>
          </cell>
        </row>
        <row r="730">
          <cell r="A730">
            <v>726</v>
          </cell>
          <cell r="P730" t="str">
            <v>Argile bariolé à graves</v>
          </cell>
        </row>
        <row r="731">
          <cell r="A731">
            <v>727</v>
          </cell>
          <cell r="P731" t="str">
            <v>Grave sableuse</v>
          </cell>
        </row>
        <row r="732">
          <cell r="A732">
            <v>728</v>
          </cell>
          <cell r="P732" t="str">
            <v>Grave limono-sableuse à racines et à béton</v>
          </cell>
        </row>
        <row r="733">
          <cell r="A733">
            <v>729</v>
          </cell>
          <cell r="P733" t="str">
            <v>Limon argileux à graves et morceaux d'enrobés</v>
          </cell>
        </row>
        <row r="734">
          <cell r="A734">
            <v>730</v>
          </cell>
          <cell r="P734" t="str">
            <v>Remblais limono-sableux à grave et debris (bois, brique, tuiles, béton, …)</v>
          </cell>
        </row>
        <row r="735">
          <cell r="A735">
            <v>731</v>
          </cell>
          <cell r="P735" t="str">
            <v>Grave sablo-limoneuse à tuilles et morceaux de bois</v>
          </cell>
        </row>
        <row r="736">
          <cell r="A736">
            <v>732</v>
          </cell>
        </row>
        <row r="737">
          <cell r="A737">
            <v>733</v>
          </cell>
          <cell r="P737" t="str">
            <v>Limon argileux à gravier et grave</v>
          </cell>
        </row>
        <row r="738">
          <cell r="A738">
            <v>734</v>
          </cell>
          <cell r="P738" t="str">
            <v>Sable limoneux à passage induré limite gréseu à nodule argileux</v>
          </cell>
        </row>
        <row r="739">
          <cell r="A739">
            <v>735</v>
          </cell>
          <cell r="P739" t="str">
            <v xml:space="preserve">Limon sablo-argileux </v>
          </cell>
        </row>
        <row r="740">
          <cell r="A740">
            <v>736</v>
          </cell>
          <cell r="P740" t="str">
            <v>Limon argileux à gravier et grave</v>
          </cell>
        </row>
        <row r="741">
          <cell r="A741">
            <v>737</v>
          </cell>
          <cell r="P741" t="str">
            <v>Sable limoneux à passage induré limite gréseu à nodule argileux</v>
          </cell>
        </row>
        <row r="742">
          <cell r="A742">
            <v>738</v>
          </cell>
          <cell r="P742" t="str">
            <v xml:space="preserve">Limon sablo-argileux </v>
          </cell>
        </row>
        <row r="743">
          <cell r="A743">
            <v>739</v>
          </cell>
        </row>
        <row r="744">
          <cell r="A744">
            <v>740</v>
          </cell>
          <cell r="P744" t="str">
            <v>Grave sablo-limoneuse à racines et bois</v>
          </cell>
        </row>
        <row r="745">
          <cell r="A745">
            <v>741</v>
          </cell>
          <cell r="P745" t="str">
            <v>Grave sablo-limoneuse à racines et bois</v>
          </cell>
        </row>
        <row r="746">
          <cell r="A746">
            <v>742</v>
          </cell>
          <cell r="P746" t="str">
            <v>Grave sablo-limoneuse à racines et bois</v>
          </cell>
        </row>
        <row r="747">
          <cell r="A747">
            <v>743</v>
          </cell>
          <cell r="P747" t="str">
            <v>Grave sablo-limoneuse</v>
          </cell>
        </row>
        <row r="748">
          <cell r="A748">
            <v>744</v>
          </cell>
          <cell r="P748" t="str">
            <v>Grave recyclé ø0-80mm</v>
          </cell>
        </row>
        <row r="749">
          <cell r="A749">
            <v>745</v>
          </cell>
          <cell r="P749" t="str">
            <v>Argile à cailloutis et graves</v>
          </cell>
        </row>
        <row r="750">
          <cell r="A750">
            <v>746</v>
          </cell>
          <cell r="P750" t="str">
            <v>Argile sableuse à graves et cailloutis</v>
          </cell>
        </row>
        <row r="751">
          <cell r="A751">
            <v>747</v>
          </cell>
          <cell r="P751" t="str">
            <v>Grave limoneuse</v>
          </cell>
        </row>
        <row r="752">
          <cell r="A752">
            <v>748</v>
          </cell>
          <cell r="P752" t="str">
            <v>Grave argilo sableuse</v>
          </cell>
        </row>
        <row r="753">
          <cell r="A753">
            <v>749</v>
          </cell>
          <cell r="P753" t="str">
            <v>Grave peu sableuse</v>
          </cell>
        </row>
        <row r="754">
          <cell r="A754">
            <v>750</v>
          </cell>
          <cell r="P754" t="str">
            <v xml:space="preserve">Argile à rares graves </v>
          </cell>
        </row>
        <row r="755">
          <cell r="A755">
            <v>751</v>
          </cell>
          <cell r="P755" t="str">
            <v>Grave sablo-limoneuse à nodules argileux</v>
          </cell>
        </row>
        <row r="756">
          <cell r="A756">
            <v>752</v>
          </cell>
          <cell r="P756" t="str">
            <v>Argile à passage sableux à rares graves</v>
          </cell>
        </row>
        <row r="757">
          <cell r="A757">
            <v>753</v>
          </cell>
          <cell r="P757" t="str">
            <v>Grave sableuse à nodules limono-argileux</v>
          </cell>
        </row>
        <row r="758">
          <cell r="A758">
            <v>754</v>
          </cell>
          <cell r="P758" t="str">
            <v>Argile limoneuse</v>
          </cell>
        </row>
        <row r="759">
          <cell r="A759">
            <v>755</v>
          </cell>
          <cell r="P759" t="str">
            <v>Argile limoneuse à cailloutis</v>
          </cell>
        </row>
        <row r="760">
          <cell r="A760">
            <v>756</v>
          </cell>
          <cell r="P760" t="str">
            <v>Argile limoneuse</v>
          </cell>
        </row>
        <row r="761">
          <cell r="A761">
            <v>757</v>
          </cell>
          <cell r="P761" t="str">
            <v>Limon argileux à graves</v>
          </cell>
        </row>
        <row r="762">
          <cell r="A762">
            <v>758</v>
          </cell>
          <cell r="P762" t="str">
            <v>Grave sablo-limoneuses</v>
          </cell>
        </row>
        <row r="763">
          <cell r="A763">
            <v>759</v>
          </cell>
          <cell r="P763" t="str">
            <v>Argile limoneuse à cailloutis</v>
          </cell>
        </row>
        <row r="764">
          <cell r="A764">
            <v>760</v>
          </cell>
        </row>
        <row r="765">
          <cell r="A765">
            <v>761</v>
          </cell>
          <cell r="P765" t="str">
            <v xml:space="preserve">Grave limono-sableuse </v>
          </cell>
        </row>
        <row r="766">
          <cell r="A766">
            <v>762</v>
          </cell>
          <cell r="P766" t="str">
            <v>Limon argileux</v>
          </cell>
        </row>
        <row r="767">
          <cell r="A767">
            <v>763</v>
          </cell>
          <cell r="P767" t="str">
            <v xml:space="preserve">Grave limono sableuse </v>
          </cell>
        </row>
        <row r="768">
          <cell r="A768">
            <v>764</v>
          </cell>
          <cell r="P768" t="str">
            <v xml:space="preserve">Grave limono sableuse </v>
          </cell>
        </row>
        <row r="769">
          <cell r="A769">
            <v>765</v>
          </cell>
          <cell r="P769" t="str">
            <v xml:space="preserve">Argile limoneuse </v>
          </cell>
        </row>
        <row r="770">
          <cell r="A770">
            <v>766</v>
          </cell>
          <cell r="P770" t="str">
            <v>Limon argileux à cailloutis et graves</v>
          </cell>
        </row>
        <row r="771">
          <cell r="A771">
            <v>767</v>
          </cell>
          <cell r="P771" t="str">
            <v>Argile limoneuse à graves</v>
          </cell>
        </row>
        <row r="772">
          <cell r="A772">
            <v>768</v>
          </cell>
          <cell r="P772" t="str">
            <v>Grave argilo-limoneuse à cailloutis</v>
          </cell>
        </row>
        <row r="773">
          <cell r="A773">
            <v>769</v>
          </cell>
          <cell r="P773" t="str">
            <v>Limon argileux</v>
          </cell>
        </row>
        <row r="774">
          <cell r="A774">
            <v>770</v>
          </cell>
          <cell r="P774" t="str">
            <v xml:space="preserve">Limon </v>
          </cell>
        </row>
        <row r="775">
          <cell r="A775">
            <v>771</v>
          </cell>
        </row>
        <row r="776">
          <cell r="A776">
            <v>772</v>
          </cell>
          <cell r="P776" t="str">
            <v>Argile à quelques cailloutis</v>
          </cell>
        </row>
        <row r="777">
          <cell r="A777">
            <v>773</v>
          </cell>
          <cell r="P777" t="str">
            <v>Argile à quelques cailloutis</v>
          </cell>
        </row>
        <row r="778">
          <cell r="A778">
            <v>774</v>
          </cell>
          <cell r="P778" t="str">
            <v xml:space="preserve">Grave sableuse </v>
          </cell>
        </row>
        <row r="779">
          <cell r="A779">
            <v>775</v>
          </cell>
          <cell r="P779" t="str">
            <v>Sable fin</v>
          </cell>
        </row>
        <row r="780">
          <cell r="A780">
            <v>776</v>
          </cell>
          <cell r="P780" t="str">
            <v>Grave sableuse à nodules argileux</v>
          </cell>
        </row>
        <row r="781">
          <cell r="A781">
            <v>777</v>
          </cell>
          <cell r="P781" t="str">
            <v xml:space="preserve">Grave sableuse </v>
          </cell>
        </row>
        <row r="782">
          <cell r="A782">
            <v>778</v>
          </cell>
          <cell r="P782" t="str">
            <v>Grave machefer</v>
          </cell>
        </row>
        <row r="783">
          <cell r="A783">
            <v>779</v>
          </cell>
          <cell r="P783" t="str">
            <v>Argile limoneuse à racines et cailloutis</v>
          </cell>
        </row>
        <row r="784">
          <cell r="A784">
            <v>780</v>
          </cell>
          <cell r="P784" t="str">
            <v>Argile (marneuse)</v>
          </cell>
        </row>
        <row r="785">
          <cell r="A785">
            <v>781</v>
          </cell>
          <cell r="P785" t="str">
            <v>Limon argileux à cailloutis et graves</v>
          </cell>
        </row>
        <row r="786">
          <cell r="A786">
            <v>782</v>
          </cell>
          <cell r="P786" t="str">
            <v>Limon argileux à graves</v>
          </cell>
        </row>
        <row r="787">
          <cell r="A787">
            <v>783</v>
          </cell>
          <cell r="P787" t="str">
            <v xml:space="preserve">Limon sableux </v>
          </cell>
        </row>
        <row r="788">
          <cell r="A788">
            <v>784</v>
          </cell>
          <cell r="P788" t="str">
            <v>Grave sablo-limoneuse</v>
          </cell>
        </row>
        <row r="789">
          <cell r="A789">
            <v>785</v>
          </cell>
          <cell r="P789" t="str">
            <v>Grave sableuse</v>
          </cell>
        </row>
        <row r="790">
          <cell r="A790">
            <v>786</v>
          </cell>
          <cell r="P790" t="str">
            <v xml:space="preserve">Grave limono-sableuse </v>
          </cell>
        </row>
        <row r="791">
          <cell r="A791">
            <v>787</v>
          </cell>
          <cell r="P791" t="str">
            <v>Grave limoneuse</v>
          </cell>
        </row>
        <row r="792">
          <cell r="A792">
            <v>788</v>
          </cell>
          <cell r="P792" t="str">
            <v>Graves et cailloutis à faible proportion sablo-limoneuse</v>
          </cell>
        </row>
        <row r="793">
          <cell r="A793">
            <v>789</v>
          </cell>
          <cell r="P793" t="str">
            <v>Graves et cailloutis à faible proportion limono-sableuse</v>
          </cell>
        </row>
        <row r="794">
          <cell r="A794">
            <v>790</v>
          </cell>
          <cell r="P794" t="str">
            <v>Argile limoneuse à cailloutis et racines</v>
          </cell>
        </row>
        <row r="795">
          <cell r="A795">
            <v>791</v>
          </cell>
          <cell r="P795" t="str">
            <v>Grave argilo limoneuse</v>
          </cell>
        </row>
        <row r="796">
          <cell r="A796">
            <v>792</v>
          </cell>
          <cell r="P796" t="str">
            <v>Argile limoneuse à quelques cailloutis</v>
          </cell>
        </row>
        <row r="797">
          <cell r="A797">
            <v>793</v>
          </cell>
          <cell r="P797" t="str">
            <v>Grave recyclée sablo-limoneuse (laitier)</v>
          </cell>
        </row>
        <row r="798">
          <cell r="A798">
            <v>794</v>
          </cell>
          <cell r="P798" t="str">
            <v>Remblais de sable graveleux (plastique, brique, verre, pile)</v>
          </cell>
        </row>
        <row r="799">
          <cell r="A799">
            <v>795</v>
          </cell>
          <cell r="P799" t="str">
            <v>Sable légerement limoneux à racines</v>
          </cell>
        </row>
        <row r="800">
          <cell r="A800">
            <v>796</v>
          </cell>
          <cell r="P800" t="str">
            <v>Limon à nodules argileux</v>
          </cell>
        </row>
        <row r="801">
          <cell r="A801">
            <v>797</v>
          </cell>
          <cell r="P801" t="str">
            <v>Argile limoneuse</v>
          </cell>
        </row>
        <row r="802">
          <cell r="A802">
            <v>798</v>
          </cell>
          <cell r="P802" t="str">
            <v>Limon sableux gris sombre à passage argio-limoneux brun</v>
          </cell>
        </row>
        <row r="803">
          <cell r="A803">
            <v>799</v>
          </cell>
          <cell r="P803" t="str">
            <v>Limon sableux à grave</v>
          </cell>
        </row>
        <row r="804">
          <cell r="A804">
            <v>800</v>
          </cell>
          <cell r="P804" t="str">
            <v>Grave sableuse arrondie</v>
          </cell>
        </row>
        <row r="805">
          <cell r="A805">
            <v>801</v>
          </cell>
          <cell r="P805" t="str">
            <v>Grave  argilo-sableuse</v>
          </cell>
        </row>
        <row r="806">
          <cell r="A806">
            <v>802</v>
          </cell>
          <cell r="P806" t="str">
            <v xml:space="preserve">Grave sablo-limoneuse </v>
          </cell>
        </row>
        <row r="807">
          <cell r="A807">
            <v>803</v>
          </cell>
          <cell r="P807" t="str">
            <v>Grave  argilo-sableuse</v>
          </cell>
        </row>
        <row r="808">
          <cell r="A808">
            <v>804</v>
          </cell>
          <cell r="P808" t="str">
            <v>Grave  argilo-sableuse</v>
          </cell>
        </row>
        <row r="809">
          <cell r="A809">
            <v>805</v>
          </cell>
          <cell r="P809" t="str">
            <v>Grave  argilo-sableuse</v>
          </cell>
        </row>
        <row r="810">
          <cell r="A810">
            <v>806</v>
          </cell>
          <cell r="P810" t="str">
            <v>Argile limoneuse à graves et racines</v>
          </cell>
        </row>
        <row r="811">
          <cell r="A811">
            <v>807</v>
          </cell>
          <cell r="P811" t="str">
            <v>Limon argileux à graves et racines</v>
          </cell>
        </row>
        <row r="812">
          <cell r="A812">
            <v>808</v>
          </cell>
          <cell r="P812" t="str">
            <v>Limon argileux à graves et racines</v>
          </cell>
        </row>
        <row r="813">
          <cell r="A813">
            <v>809</v>
          </cell>
          <cell r="P813" t="str">
            <v>Grave sablo-limoneux à racines</v>
          </cell>
        </row>
        <row r="814">
          <cell r="A814">
            <v>810</v>
          </cell>
          <cell r="P814" t="str">
            <v>Limon argileux à quelques cailloutis et racines</v>
          </cell>
        </row>
        <row r="815">
          <cell r="A815">
            <v>811</v>
          </cell>
          <cell r="P815" t="str">
            <v>Grave sablo-limoneuses</v>
          </cell>
        </row>
        <row r="816">
          <cell r="A816">
            <v>812</v>
          </cell>
          <cell r="P816" t="str">
            <v>Limon sablo-graveleux</v>
          </cell>
        </row>
        <row r="817">
          <cell r="A817">
            <v>813</v>
          </cell>
          <cell r="P817" t="str">
            <v>Grave sableuse arrondie</v>
          </cell>
        </row>
        <row r="818">
          <cell r="A818">
            <v>814</v>
          </cell>
          <cell r="P818" t="str">
            <v>Argile limoneuse</v>
          </cell>
        </row>
        <row r="819">
          <cell r="A819">
            <v>815</v>
          </cell>
          <cell r="P819" t="str">
            <v>Argile légerement limoneuse</v>
          </cell>
        </row>
        <row r="820">
          <cell r="A820">
            <v>816</v>
          </cell>
          <cell r="P820" t="str">
            <v>Limon argileux à graves</v>
          </cell>
        </row>
        <row r="821">
          <cell r="A821">
            <v>817</v>
          </cell>
          <cell r="P821" t="str">
            <v>Limon argileux à graves</v>
          </cell>
        </row>
        <row r="822">
          <cell r="A822">
            <v>818</v>
          </cell>
          <cell r="P822" t="str">
            <v>Limon légerement argileux à graves et graviers</v>
          </cell>
        </row>
        <row r="823">
          <cell r="A823">
            <v>819</v>
          </cell>
          <cell r="P823" t="str">
            <v>Limon argileux à cailloutis et graves</v>
          </cell>
        </row>
        <row r="824">
          <cell r="A824">
            <v>820</v>
          </cell>
          <cell r="P824" t="str">
            <v>Sable limoneux</v>
          </cell>
        </row>
        <row r="825">
          <cell r="A825">
            <v>821</v>
          </cell>
          <cell r="P825" t="str">
            <v>Grave sablo-limoneuse</v>
          </cell>
        </row>
        <row r="826">
          <cell r="A826">
            <v>822</v>
          </cell>
          <cell r="P826" t="str">
            <v>Sable limoneux à gravier et à passage limoneux</v>
          </cell>
        </row>
        <row r="827">
          <cell r="A827">
            <v>823</v>
          </cell>
          <cell r="P827" t="str">
            <v>Limon argileux à graves</v>
          </cell>
        </row>
        <row r="828">
          <cell r="A828">
            <v>824</v>
          </cell>
          <cell r="P828" t="str">
            <v>Limon atgileux à graviers</v>
          </cell>
        </row>
        <row r="829">
          <cell r="A829">
            <v>825</v>
          </cell>
          <cell r="P829" t="str">
            <v>Limon argileux à gravier</v>
          </cell>
        </row>
        <row r="830">
          <cell r="A830">
            <v>826</v>
          </cell>
          <cell r="P830" t="str">
            <v>Limon argileux à gravier</v>
          </cell>
        </row>
        <row r="831">
          <cell r="A831">
            <v>827</v>
          </cell>
          <cell r="P831" t="str">
            <v>Grave limoneuse</v>
          </cell>
        </row>
        <row r="832">
          <cell r="A832">
            <v>828</v>
          </cell>
          <cell r="P832" t="str">
            <v>Grave limoneuse</v>
          </cell>
        </row>
        <row r="833">
          <cell r="A833">
            <v>829</v>
          </cell>
          <cell r="P833" t="str">
            <v>Sable limoneux à passage limono argileux</v>
          </cell>
          <cell r="W833" t="str">
            <v>GTR</v>
          </cell>
        </row>
        <row r="834">
          <cell r="A834">
            <v>829.01</v>
          </cell>
          <cell r="P834" t="str">
            <v>Sable limoneux à passage limono argileux</v>
          </cell>
          <cell r="W834" t="str">
            <v xml:space="preserve">proctor 0/5 </v>
          </cell>
        </row>
        <row r="835">
          <cell r="A835">
            <v>829.02</v>
          </cell>
          <cell r="P835" t="str">
            <v>Sable limoneux à passage limono argileux</v>
          </cell>
          <cell r="W835" t="str">
            <v>CBR im 0/20</v>
          </cell>
        </row>
        <row r="836">
          <cell r="A836">
            <v>829.03</v>
          </cell>
          <cell r="P836" t="str">
            <v>Sable limoneux à passage limono argileux</v>
          </cell>
          <cell r="W836" t="str">
            <v>836-3 1% chaux eteinte</v>
          </cell>
        </row>
        <row r="837">
          <cell r="A837">
            <v>829.04</v>
          </cell>
          <cell r="P837" t="str">
            <v>Sable limoneux à passage limono argileux</v>
          </cell>
          <cell r="W837" t="str">
            <v>836-4 2% chaux eteinte</v>
          </cell>
        </row>
        <row r="838">
          <cell r="A838">
            <v>829.05</v>
          </cell>
          <cell r="P838" t="str">
            <v>Sable limoneux à passage limono argileux</v>
          </cell>
          <cell r="W838" t="str">
            <v>836-5 4% chaux eteinte</v>
          </cell>
        </row>
        <row r="839">
          <cell r="A839">
            <v>829.06</v>
          </cell>
          <cell r="P839" t="str">
            <v>Sable limoneux à passage limono argileux</v>
          </cell>
          <cell r="W839" t="str">
            <v>836-6 1%Cv</v>
          </cell>
        </row>
        <row r="840">
          <cell r="A840">
            <v>829.07</v>
          </cell>
          <cell r="P840" t="str">
            <v>Sable limoneux à passage limono argileux</v>
          </cell>
          <cell r="W840" t="str">
            <v>836-7 2%Cv</v>
          </cell>
        </row>
        <row r="841">
          <cell r="A841">
            <v>829.08</v>
          </cell>
          <cell r="P841" t="str">
            <v>Sable limoneux à passage limono argileux</v>
          </cell>
          <cell r="W841" t="str">
            <v>836-8 4%Cv</v>
          </cell>
        </row>
        <row r="842">
          <cell r="A842">
            <v>829.09</v>
          </cell>
          <cell r="P842" t="str">
            <v>Sable limoneux à passage limono argileux</v>
          </cell>
          <cell r="W842" t="str">
            <v>836-9 1,5%Cv + 7 %Pi</v>
          </cell>
        </row>
        <row r="843">
          <cell r="A843">
            <v>829.1</v>
          </cell>
          <cell r="P843" t="str">
            <v>Sable limoneux à passage limono argileux</v>
          </cell>
          <cell r="W843" t="str">
            <v>836-10  2%Cv + 5 %Pi</v>
          </cell>
        </row>
        <row r="844">
          <cell r="A844">
            <v>829.11</v>
          </cell>
          <cell r="P844" t="str">
            <v>Sable limoneux à passage limono argileux</v>
          </cell>
          <cell r="W844" t="str">
            <v>836-11 4%cv +4%Pi</v>
          </cell>
        </row>
        <row r="845">
          <cell r="A845">
            <v>829.12</v>
          </cell>
          <cell r="P845" t="str">
            <v>Sable limoneux à passage limono argileux</v>
          </cell>
          <cell r="W845" t="str">
            <v>836-12 1,5%Cv + 7 %Opti</v>
          </cell>
        </row>
        <row r="846">
          <cell r="A846">
            <v>829.13</v>
          </cell>
          <cell r="P846" t="str">
            <v>Sable limoneux à passage limono argileux</v>
          </cell>
          <cell r="W846" t="str">
            <v>836-13 2%cv + 5% Opti</v>
          </cell>
        </row>
        <row r="847">
          <cell r="A847">
            <v>829.14</v>
          </cell>
          <cell r="P847" t="str">
            <v>Sable limoneux à passage limono argileux</v>
          </cell>
          <cell r="W847" t="str">
            <v>836-14 4%cv +4% Optimum</v>
          </cell>
        </row>
        <row r="848">
          <cell r="A848">
            <v>830</v>
          </cell>
          <cell r="P848" t="str">
            <v>Limon sableux à passage argileux</v>
          </cell>
          <cell r="W848" t="str">
            <v>GTR</v>
          </cell>
        </row>
        <row r="849">
          <cell r="A849">
            <v>830.01</v>
          </cell>
          <cell r="P849" t="str">
            <v>Limon sableux à passage argileux</v>
          </cell>
          <cell r="W849" t="str">
            <v xml:space="preserve">proctor 0/5 </v>
          </cell>
        </row>
        <row r="850">
          <cell r="A850">
            <v>830.02</v>
          </cell>
          <cell r="P850" t="str">
            <v>Limon sableux à passage argileux</v>
          </cell>
          <cell r="W850" t="str">
            <v>CBR im 0/20</v>
          </cell>
        </row>
        <row r="851">
          <cell r="A851">
            <v>830.03</v>
          </cell>
          <cell r="P851" t="str">
            <v>Limon sableux à passage argileux</v>
          </cell>
          <cell r="W851" t="str">
            <v>836-3 1% chaux eteinte</v>
          </cell>
        </row>
        <row r="852">
          <cell r="A852">
            <v>830.04</v>
          </cell>
          <cell r="P852" t="str">
            <v>Limon sableux à passage argileux</v>
          </cell>
          <cell r="W852" t="str">
            <v>836-4 2% chaux eteinte</v>
          </cell>
        </row>
        <row r="853">
          <cell r="A853">
            <v>830.05</v>
          </cell>
          <cell r="P853" t="str">
            <v>Limon sableux à passage argileux</v>
          </cell>
          <cell r="W853" t="str">
            <v>836-5 4% chaux eteinte</v>
          </cell>
        </row>
        <row r="854">
          <cell r="A854">
            <v>830.06</v>
          </cell>
          <cell r="P854" t="str">
            <v>Limon sableux à passage argileux</v>
          </cell>
          <cell r="W854" t="str">
            <v>836-6 1%Cv</v>
          </cell>
        </row>
        <row r="855">
          <cell r="A855">
            <v>830.07</v>
          </cell>
          <cell r="P855" t="str">
            <v>Limon sableux à passage argileux</v>
          </cell>
          <cell r="W855" t="str">
            <v>836-7 2%Cv</v>
          </cell>
        </row>
        <row r="856">
          <cell r="A856">
            <v>830.08</v>
          </cell>
          <cell r="P856" t="str">
            <v>Limon sableux à passage argileux</v>
          </cell>
          <cell r="W856" t="str">
            <v>836-8 4%Cv</v>
          </cell>
        </row>
        <row r="857">
          <cell r="A857">
            <v>830.09</v>
          </cell>
          <cell r="P857" t="str">
            <v>Limon sableux à passage argileux</v>
          </cell>
          <cell r="W857" t="str">
            <v>836-9 1,5%Cv + 7 %Pi</v>
          </cell>
        </row>
        <row r="858">
          <cell r="A858">
            <v>830.1</v>
          </cell>
          <cell r="P858" t="str">
            <v>Limon sableux à passage argileux</v>
          </cell>
          <cell r="W858" t="str">
            <v>836-10  2%Cv + 5 %Pi</v>
          </cell>
        </row>
        <row r="859">
          <cell r="A859">
            <v>830.11</v>
          </cell>
          <cell r="P859" t="str">
            <v>Limon sableux à passage argileux</v>
          </cell>
          <cell r="W859" t="str">
            <v>836-11 4%cv +4%Pi</v>
          </cell>
        </row>
        <row r="860">
          <cell r="A860">
            <v>830.12</v>
          </cell>
          <cell r="P860" t="str">
            <v>Limon sableux à passage argileux</v>
          </cell>
          <cell r="W860" t="str">
            <v>836-12 1,5%Cv + 7 %Opti</v>
          </cell>
        </row>
        <row r="861">
          <cell r="A861">
            <v>830.13</v>
          </cell>
          <cell r="P861" t="str">
            <v>Limon sableux à passage argileux</v>
          </cell>
          <cell r="W861" t="str">
            <v>836-13 2%cv + 5% Opti</v>
          </cell>
        </row>
        <row r="862">
          <cell r="A862">
            <v>830.14</v>
          </cell>
          <cell r="P862" t="str">
            <v>Limon sableux à passage argileux</v>
          </cell>
          <cell r="W862" t="str">
            <v>836-14 4%cv +4% Optimum</v>
          </cell>
        </row>
        <row r="863">
          <cell r="A863">
            <v>831</v>
          </cell>
          <cell r="P863" t="str">
            <v>Grave argilo-sableuse</v>
          </cell>
          <cell r="W863" t="str">
            <v>GTR</v>
          </cell>
        </row>
        <row r="864">
          <cell r="A864">
            <v>831.01</v>
          </cell>
          <cell r="P864" t="str">
            <v>Grave argilo-sableuse</v>
          </cell>
          <cell r="W864" t="str">
            <v xml:space="preserve">proctor 0/5 </v>
          </cell>
        </row>
        <row r="865">
          <cell r="A865">
            <v>831.02</v>
          </cell>
          <cell r="P865" t="str">
            <v>Grave argilo-sableuse</v>
          </cell>
          <cell r="W865" t="str">
            <v>CBR im 0/20</v>
          </cell>
        </row>
        <row r="866">
          <cell r="A866">
            <v>831.03</v>
          </cell>
          <cell r="P866" t="str">
            <v>Grave argilo-sableuse</v>
          </cell>
          <cell r="W866" t="str">
            <v>836-3 1% chaux eteinte</v>
          </cell>
        </row>
        <row r="867">
          <cell r="A867">
            <v>831.04</v>
          </cell>
          <cell r="P867" t="str">
            <v>Grave argilo-sableuse</v>
          </cell>
          <cell r="W867" t="str">
            <v>836-4 2% chaux eteinte</v>
          </cell>
        </row>
        <row r="868">
          <cell r="A868">
            <v>831.05</v>
          </cell>
          <cell r="P868" t="str">
            <v>Grave argilo-sableuse</v>
          </cell>
          <cell r="W868" t="str">
            <v>836-5 4% chaux eteinte</v>
          </cell>
        </row>
        <row r="869">
          <cell r="A869">
            <v>831.06</v>
          </cell>
          <cell r="P869" t="str">
            <v>Grave argilo-sableuse</v>
          </cell>
          <cell r="W869" t="str">
            <v>836-6 1%Cv</v>
          </cell>
        </row>
        <row r="870">
          <cell r="A870">
            <v>831.07</v>
          </cell>
          <cell r="P870" t="str">
            <v>Grave argilo-sableuse</v>
          </cell>
          <cell r="W870" t="str">
            <v>836-7 2%Cv</v>
          </cell>
        </row>
        <row r="871">
          <cell r="A871">
            <v>831.08</v>
          </cell>
          <cell r="P871" t="str">
            <v>Grave argilo-sableuse</v>
          </cell>
          <cell r="W871" t="str">
            <v>836-8 4%Cv</v>
          </cell>
        </row>
        <row r="872">
          <cell r="A872">
            <v>831.09</v>
          </cell>
          <cell r="P872" t="str">
            <v>Grave argilo-sableuse</v>
          </cell>
          <cell r="W872" t="str">
            <v>836-9 1,5%Cv + 7 %Pi</v>
          </cell>
        </row>
        <row r="873">
          <cell r="A873">
            <v>831.1</v>
          </cell>
          <cell r="P873" t="str">
            <v>Grave argilo-sableuse</v>
          </cell>
          <cell r="W873" t="str">
            <v>836-10  2%Cv + 5 %Pi</v>
          </cell>
        </row>
        <row r="874">
          <cell r="A874">
            <v>831.11</v>
          </cell>
          <cell r="P874" t="str">
            <v>Grave argilo-sableuse</v>
          </cell>
          <cell r="W874" t="str">
            <v>836-11 4%cv +4%Pi</v>
          </cell>
        </row>
        <row r="875">
          <cell r="A875">
            <v>831.12</v>
          </cell>
          <cell r="P875" t="str">
            <v>Grave argilo-sableuse</v>
          </cell>
          <cell r="W875" t="str">
            <v>836-12 1,5%Cv + 7 %Opti</v>
          </cell>
        </row>
        <row r="876">
          <cell r="A876">
            <v>831.13</v>
          </cell>
          <cell r="P876" t="str">
            <v>Grave argilo-sableuse</v>
          </cell>
          <cell r="W876" t="str">
            <v>836-13 2%cv + 5% Opti</v>
          </cell>
        </row>
        <row r="877">
          <cell r="A877">
            <v>831.14</v>
          </cell>
          <cell r="P877" t="str">
            <v>Grave argilo-sableuse</v>
          </cell>
          <cell r="W877" t="str">
            <v>836-14 4%cv +4% Optimum</v>
          </cell>
        </row>
        <row r="878">
          <cell r="A878">
            <v>832</v>
          </cell>
          <cell r="P878" t="str">
            <v>Limon argileux</v>
          </cell>
          <cell r="W878" t="str">
            <v>GTR</v>
          </cell>
        </row>
        <row r="879">
          <cell r="A879">
            <v>832.01</v>
          </cell>
          <cell r="P879" t="str">
            <v>Limon argileux</v>
          </cell>
          <cell r="W879" t="str">
            <v xml:space="preserve">proctor 0/5 </v>
          </cell>
        </row>
        <row r="880">
          <cell r="A880">
            <v>832.02</v>
          </cell>
          <cell r="P880" t="str">
            <v>Limon argileux</v>
          </cell>
          <cell r="W880" t="str">
            <v>CBR im 0/20</v>
          </cell>
        </row>
        <row r="881">
          <cell r="A881">
            <v>832.03</v>
          </cell>
          <cell r="P881" t="str">
            <v>Limon argileux</v>
          </cell>
          <cell r="W881" t="str">
            <v>836-3 1% chaux eteinte</v>
          </cell>
        </row>
        <row r="882">
          <cell r="A882">
            <v>832.04</v>
          </cell>
          <cell r="P882" t="str">
            <v>Limon argileux</v>
          </cell>
          <cell r="W882" t="str">
            <v>836-4 2% chaux eteinte</v>
          </cell>
        </row>
        <row r="883">
          <cell r="A883">
            <v>832.05</v>
          </cell>
          <cell r="P883" t="str">
            <v>Limon argileux</v>
          </cell>
          <cell r="W883" t="str">
            <v>836-5 4% chaux eteinte</v>
          </cell>
        </row>
        <row r="884">
          <cell r="A884">
            <v>832.06</v>
          </cell>
          <cell r="P884" t="str">
            <v>Limon argileux</v>
          </cell>
          <cell r="W884" t="str">
            <v>836-6 1%Cv</v>
          </cell>
        </row>
        <row r="885">
          <cell r="A885">
            <v>832.06999999999994</v>
          </cell>
          <cell r="P885" t="str">
            <v>Limon argileux</v>
          </cell>
          <cell r="W885" t="str">
            <v>836-7 2%Cv</v>
          </cell>
        </row>
        <row r="886">
          <cell r="A886">
            <v>832.07999999999993</v>
          </cell>
          <cell r="P886" t="str">
            <v>Limon argileux</v>
          </cell>
          <cell r="W886" t="str">
            <v>836-8 4%Cv</v>
          </cell>
        </row>
        <row r="887">
          <cell r="A887">
            <v>832.08999999999992</v>
          </cell>
          <cell r="P887" t="str">
            <v>Limon argileux</v>
          </cell>
          <cell r="W887" t="str">
            <v>836-9 1,5%Cv + 7 %Pi</v>
          </cell>
        </row>
        <row r="888">
          <cell r="A888">
            <v>832.09999999999991</v>
          </cell>
          <cell r="P888" t="str">
            <v>Limon argileux</v>
          </cell>
          <cell r="W888" t="str">
            <v>836-10  2%Cv + 5 %Pi</v>
          </cell>
        </row>
        <row r="889">
          <cell r="A889">
            <v>832.1099999999999</v>
          </cell>
          <cell r="P889" t="str">
            <v>Limon argileux</v>
          </cell>
          <cell r="W889" t="str">
            <v>836-11 4%cv +4%Pi</v>
          </cell>
        </row>
        <row r="890">
          <cell r="A890">
            <v>832.11999999999989</v>
          </cell>
          <cell r="P890" t="str">
            <v>Limon argileux</v>
          </cell>
          <cell r="W890" t="str">
            <v>836-12 1,5%Cv + 7 %Opti</v>
          </cell>
        </row>
        <row r="891">
          <cell r="A891">
            <v>832.12999999999988</v>
          </cell>
          <cell r="P891" t="str">
            <v>Limon argileux</v>
          </cell>
          <cell r="W891" t="str">
            <v>836-13 2%cv + 5% Opti</v>
          </cell>
        </row>
        <row r="892">
          <cell r="A892">
            <v>832.13999999999987</v>
          </cell>
          <cell r="P892" t="str">
            <v>Limon argileux</v>
          </cell>
          <cell r="W892" t="str">
            <v>836-14 4%cv +4% Optimum</v>
          </cell>
        </row>
        <row r="893">
          <cell r="A893">
            <v>833</v>
          </cell>
          <cell r="P893" t="str">
            <v>Sable limoneux à passages indurés</v>
          </cell>
          <cell r="W893" t="str">
            <v>GTR</v>
          </cell>
        </row>
        <row r="894">
          <cell r="A894">
            <v>833.01</v>
          </cell>
          <cell r="P894" t="str">
            <v>Sable limoneux à passages indurés</v>
          </cell>
          <cell r="W894" t="str">
            <v xml:space="preserve">proctor 0/5 </v>
          </cell>
        </row>
        <row r="895">
          <cell r="A895">
            <v>833.02</v>
          </cell>
          <cell r="P895" t="str">
            <v>Sable limoneux à passages indurés</v>
          </cell>
          <cell r="W895" t="str">
            <v>CBR im 0/20</v>
          </cell>
        </row>
        <row r="896">
          <cell r="A896">
            <v>833.03</v>
          </cell>
          <cell r="P896" t="str">
            <v>Sable limoneux à passages indurés</v>
          </cell>
          <cell r="W896" t="str">
            <v>836-3 1% chaux eteinte</v>
          </cell>
        </row>
        <row r="897">
          <cell r="A897">
            <v>833.04</v>
          </cell>
          <cell r="P897" t="str">
            <v>Sable limoneux à passages indurés</v>
          </cell>
          <cell r="W897" t="str">
            <v>836-4 2% chaux eteinte</v>
          </cell>
        </row>
        <row r="898">
          <cell r="A898">
            <v>833.05</v>
          </cell>
          <cell r="P898" t="str">
            <v>Sable limoneux à passages indurés</v>
          </cell>
          <cell r="W898" t="str">
            <v>836-5 4% chaux eteinte</v>
          </cell>
        </row>
        <row r="899">
          <cell r="A899">
            <v>833.06</v>
          </cell>
          <cell r="P899" t="str">
            <v>Sable limoneux à passages indurés</v>
          </cell>
          <cell r="W899" t="str">
            <v>836-6 1%Cv</v>
          </cell>
        </row>
        <row r="900">
          <cell r="A900">
            <v>833.06999999999994</v>
          </cell>
          <cell r="P900" t="str">
            <v>Sable limoneux à passages indurés</v>
          </cell>
          <cell r="W900" t="str">
            <v>836-7 2%Cv</v>
          </cell>
        </row>
        <row r="901">
          <cell r="A901">
            <v>833.07999999999993</v>
          </cell>
          <cell r="P901" t="str">
            <v>Sable limoneux à passages indurés</v>
          </cell>
          <cell r="W901" t="str">
            <v>836-8 4%Cv</v>
          </cell>
        </row>
        <row r="902">
          <cell r="A902">
            <v>833.08999999999992</v>
          </cell>
          <cell r="P902" t="str">
            <v>Sable limoneux à passages indurés</v>
          </cell>
          <cell r="W902" t="str">
            <v>836-9 1,5%Cv + 7 %Pi</v>
          </cell>
        </row>
        <row r="903">
          <cell r="A903">
            <v>833.09999999999991</v>
          </cell>
          <cell r="P903" t="str">
            <v>Sable limoneux à passages indurés</v>
          </cell>
          <cell r="W903" t="str">
            <v>836-10  2%Cv + 5 %Pi</v>
          </cell>
        </row>
        <row r="904">
          <cell r="A904">
            <v>833.1099999999999</v>
          </cell>
          <cell r="P904" t="str">
            <v>Sable limoneux à passages indurés</v>
          </cell>
          <cell r="W904" t="str">
            <v>836-11 4%cv +4%Pi</v>
          </cell>
        </row>
        <row r="905">
          <cell r="A905">
            <v>833.11999999999989</v>
          </cell>
          <cell r="P905" t="str">
            <v>Sable limoneux à passages indurés</v>
          </cell>
          <cell r="W905" t="str">
            <v>836-12 1,5%Cv + 7 %Opti</v>
          </cell>
        </row>
        <row r="906">
          <cell r="A906">
            <v>833.12999999999988</v>
          </cell>
          <cell r="P906" t="str">
            <v>Sable limoneux à passages indurés</v>
          </cell>
          <cell r="W906" t="str">
            <v>836-13 2%cv + 5% Opti</v>
          </cell>
        </row>
        <row r="907">
          <cell r="A907">
            <v>833.13999999999987</v>
          </cell>
          <cell r="P907" t="str">
            <v>Sable limoneux à passages indurés</v>
          </cell>
          <cell r="W907" t="str">
            <v>836-14 4%cv +4% Optimum</v>
          </cell>
        </row>
        <row r="908">
          <cell r="A908">
            <v>834</v>
          </cell>
          <cell r="P908" t="str">
            <v>Grave limoneuse</v>
          </cell>
          <cell r="W908" t="str">
            <v>GTR</v>
          </cell>
        </row>
        <row r="909">
          <cell r="A909">
            <v>834.01</v>
          </cell>
          <cell r="P909" t="str">
            <v>Grave limoneuse</v>
          </cell>
          <cell r="W909" t="str">
            <v xml:space="preserve">proctor 0/5 </v>
          </cell>
        </row>
        <row r="910">
          <cell r="A910">
            <v>834.02</v>
          </cell>
          <cell r="P910" t="str">
            <v>Grave limoneuse</v>
          </cell>
          <cell r="W910" t="str">
            <v>CBR im 0/20</v>
          </cell>
        </row>
        <row r="911">
          <cell r="A911">
            <v>834.03</v>
          </cell>
          <cell r="P911" t="str">
            <v>Grave limoneuse</v>
          </cell>
          <cell r="W911" t="str">
            <v>836-3 1% chaux eteinte</v>
          </cell>
        </row>
        <row r="912">
          <cell r="A912">
            <v>834.04</v>
          </cell>
          <cell r="P912" t="str">
            <v>Grave limoneuse</v>
          </cell>
          <cell r="W912" t="str">
            <v>836-4 2% chaux eteinte</v>
          </cell>
        </row>
        <row r="913">
          <cell r="A913">
            <v>834.05</v>
          </cell>
          <cell r="P913" t="str">
            <v>Grave limoneuse</v>
          </cell>
          <cell r="W913" t="str">
            <v>836-5 4% chaux eteinte</v>
          </cell>
        </row>
        <row r="914">
          <cell r="A914">
            <v>834.06</v>
          </cell>
          <cell r="P914" t="str">
            <v>Grave limoneuse</v>
          </cell>
          <cell r="W914" t="str">
            <v>836-6 1%Cv</v>
          </cell>
        </row>
        <row r="915">
          <cell r="A915">
            <v>834.06999999999994</v>
          </cell>
          <cell r="P915" t="str">
            <v>Grave limoneuse</v>
          </cell>
          <cell r="W915" t="str">
            <v>836-7 2%Cv</v>
          </cell>
        </row>
        <row r="916">
          <cell r="A916">
            <v>834.07999999999993</v>
          </cell>
          <cell r="P916" t="str">
            <v>Grave limoneuse</v>
          </cell>
          <cell r="W916" t="str">
            <v>836-8 4%Cv</v>
          </cell>
        </row>
        <row r="917">
          <cell r="A917">
            <v>834.08999999999992</v>
          </cell>
          <cell r="P917" t="str">
            <v>Grave limoneuse</v>
          </cell>
          <cell r="W917" t="str">
            <v>836-9 1,5%Cv + 7 %Pi</v>
          </cell>
        </row>
        <row r="918">
          <cell r="A918">
            <v>834.09999999999991</v>
          </cell>
          <cell r="P918" t="str">
            <v>Grave limoneuse</v>
          </cell>
          <cell r="W918" t="str">
            <v>836-10  2%Cv + 5 %Pi</v>
          </cell>
        </row>
        <row r="919">
          <cell r="A919">
            <v>834.1099999999999</v>
          </cell>
          <cell r="P919" t="str">
            <v>Grave limoneuse</v>
          </cell>
          <cell r="W919" t="str">
            <v>836-11 4%cv +4%Pi</v>
          </cell>
        </row>
        <row r="920">
          <cell r="A920">
            <v>834.11999999999989</v>
          </cell>
          <cell r="P920" t="str">
            <v>Grave limoneuse</v>
          </cell>
          <cell r="W920" t="str">
            <v>836-12 1,5%Cv + 7 %Opti</v>
          </cell>
        </row>
        <row r="921">
          <cell r="A921">
            <v>834.12999999999988</v>
          </cell>
          <cell r="P921" t="str">
            <v>Grave limoneuse</v>
          </cell>
          <cell r="W921" t="str">
            <v>836-13 2%cv + 5% Opti</v>
          </cell>
        </row>
        <row r="922">
          <cell r="A922">
            <v>834.13999999999987</v>
          </cell>
          <cell r="P922" t="str">
            <v>Grave limoneuse</v>
          </cell>
          <cell r="W922" t="str">
            <v>836-14 4%cv +4% Optimum</v>
          </cell>
        </row>
        <row r="923">
          <cell r="A923">
            <v>835</v>
          </cell>
          <cell r="P923" t="str">
            <v>Limon argilo-sableux</v>
          </cell>
          <cell r="W923" t="str">
            <v>GTR</v>
          </cell>
        </row>
        <row r="924">
          <cell r="A924">
            <v>835.01</v>
          </cell>
          <cell r="P924" t="str">
            <v>Limon argilo-sableux</v>
          </cell>
          <cell r="W924" t="str">
            <v xml:space="preserve">proctor 0/5 </v>
          </cell>
        </row>
        <row r="925">
          <cell r="A925">
            <v>835.02</v>
          </cell>
          <cell r="P925" t="str">
            <v>Limon argilo-sableux</v>
          </cell>
          <cell r="W925" t="str">
            <v>CBR im 0/20</v>
          </cell>
        </row>
        <row r="926">
          <cell r="A926">
            <v>835.03</v>
          </cell>
          <cell r="P926" t="str">
            <v>Limon argilo-sableux</v>
          </cell>
          <cell r="W926" t="str">
            <v>836-3 1% chaux eteinte</v>
          </cell>
        </row>
        <row r="927">
          <cell r="A927">
            <v>835.04</v>
          </cell>
          <cell r="P927" t="str">
            <v>Limon argilo-sableux</v>
          </cell>
          <cell r="W927" t="str">
            <v>836-4 2% chaux eteinte</v>
          </cell>
        </row>
        <row r="928">
          <cell r="A928">
            <v>835.05</v>
          </cell>
          <cell r="P928" t="str">
            <v>Limon argilo-sableux</v>
          </cell>
          <cell r="W928" t="str">
            <v>836-5 4% chaux eteinte</v>
          </cell>
        </row>
        <row r="929">
          <cell r="A929">
            <v>835.06</v>
          </cell>
          <cell r="P929" t="str">
            <v>Limon argilo-sableux</v>
          </cell>
          <cell r="W929" t="str">
            <v>836-6 1%Cv</v>
          </cell>
        </row>
        <row r="930">
          <cell r="A930">
            <v>835.07</v>
          </cell>
          <cell r="P930" t="str">
            <v>Limon argilo-sableux</v>
          </cell>
          <cell r="W930" t="str">
            <v>836-7 2%Cv</v>
          </cell>
        </row>
        <row r="931">
          <cell r="A931">
            <v>835.08</v>
          </cell>
          <cell r="P931" t="str">
            <v>Limon argilo-sableux</v>
          </cell>
          <cell r="W931" t="str">
            <v>836-8 4%Cv</v>
          </cell>
        </row>
        <row r="932">
          <cell r="A932">
            <v>835.09</v>
          </cell>
          <cell r="P932" t="str">
            <v>Limon argilo-sableux</v>
          </cell>
          <cell r="W932" t="str">
            <v>836-9 1,5%Cv + 7 %Pi</v>
          </cell>
        </row>
        <row r="933">
          <cell r="A933">
            <v>835.1</v>
          </cell>
          <cell r="P933" t="str">
            <v>Limon argilo-sableux</v>
          </cell>
          <cell r="W933" t="str">
            <v>836-10  2%Cv + 5 %Pi</v>
          </cell>
        </row>
        <row r="934">
          <cell r="A934">
            <v>835.11</v>
          </cell>
          <cell r="P934" t="str">
            <v>Limon argilo-sableux</v>
          </cell>
          <cell r="W934" t="str">
            <v>836-11 4%cv +4%Pi</v>
          </cell>
        </row>
        <row r="935">
          <cell r="A935">
            <v>835.12</v>
          </cell>
          <cell r="P935" t="str">
            <v>Limon argilo-sableux</v>
          </cell>
          <cell r="W935" t="str">
            <v>836-12 1,5%Cv + 7 %Opti</v>
          </cell>
        </row>
        <row r="936">
          <cell r="A936">
            <v>835.13</v>
          </cell>
          <cell r="P936" t="str">
            <v>Limon argilo-sableux</v>
          </cell>
          <cell r="W936" t="str">
            <v>836-13 2%cv + 5% Opti</v>
          </cell>
        </row>
        <row r="937">
          <cell r="A937">
            <v>835.14</v>
          </cell>
          <cell r="P937" t="str">
            <v>Limon argilo-sableux</v>
          </cell>
          <cell r="W937" t="str">
            <v>836-14 4%cv +4% Optimum</v>
          </cell>
        </row>
        <row r="938">
          <cell r="A938">
            <v>836</v>
          </cell>
          <cell r="P938" t="str">
            <v>Sable limoneux à passages indurés</v>
          </cell>
          <cell r="W938" t="str">
            <v>GTR</v>
          </cell>
        </row>
        <row r="939">
          <cell r="A939">
            <v>836.01</v>
          </cell>
          <cell r="P939" t="str">
            <v>Sable limoneux à passages indurés</v>
          </cell>
          <cell r="W939" t="str">
            <v xml:space="preserve">proctor 0/5 </v>
          </cell>
        </row>
        <row r="940">
          <cell r="A940">
            <v>836.02</v>
          </cell>
          <cell r="P940" t="str">
            <v>Sable limoneux à passages indurés</v>
          </cell>
          <cell r="W940" t="str">
            <v>CBR im 0/20</v>
          </cell>
        </row>
        <row r="941">
          <cell r="A941">
            <v>836.03</v>
          </cell>
          <cell r="P941" t="str">
            <v>Sable limoneux à passages indurés</v>
          </cell>
          <cell r="W941" t="str">
            <v>836-3 1% chaux eteinte</v>
          </cell>
        </row>
        <row r="942">
          <cell r="A942">
            <v>836.04</v>
          </cell>
          <cell r="P942" t="str">
            <v>Sable limoneux à passages indurés</v>
          </cell>
          <cell r="W942" t="str">
            <v>836-4 2% chaux eteinte</v>
          </cell>
        </row>
        <row r="943">
          <cell r="A943">
            <v>836.05</v>
          </cell>
          <cell r="P943" t="str">
            <v>Sable limoneux à passages indurés</v>
          </cell>
          <cell r="W943" t="str">
            <v>836-5 4% chaux eteinte</v>
          </cell>
        </row>
        <row r="944">
          <cell r="A944">
            <v>836.06</v>
          </cell>
          <cell r="P944" t="str">
            <v>Sable limoneux à passages indurés</v>
          </cell>
          <cell r="W944" t="str">
            <v>836-6 1%Cv</v>
          </cell>
        </row>
        <row r="945">
          <cell r="A945">
            <v>836.07</v>
          </cell>
          <cell r="P945" t="str">
            <v>Sable limoneux à passages indurés</v>
          </cell>
          <cell r="W945" t="str">
            <v>836-7 2%Cv</v>
          </cell>
        </row>
        <row r="946">
          <cell r="A946">
            <v>836.08</v>
          </cell>
          <cell r="P946" t="str">
            <v>Sable limoneux à passages indurés</v>
          </cell>
          <cell r="W946" t="str">
            <v>836-8 4%Cv</v>
          </cell>
        </row>
        <row r="947">
          <cell r="A947">
            <v>836.09</v>
          </cell>
          <cell r="P947" t="str">
            <v>Sable limoneux à passages indurés</v>
          </cell>
          <cell r="W947" t="str">
            <v>836-9 1,5%Cv + 7 %Pi</v>
          </cell>
        </row>
        <row r="948">
          <cell r="A948">
            <v>836.1</v>
          </cell>
          <cell r="P948" t="str">
            <v>Sable limoneux à passages indurés</v>
          </cell>
          <cell r="W948" t="str">
            <v>836-10  2%Cv + 5 %Pi</v>
          </cell>
        </row>
        <row r="949">
          <cell r="A949">
            <v>836.11</v>
          </cell>
          <cell r="P949" t="str">
            <v>Sable limoneux à passages indurés</v>
          </cell>
          <cell r="W949" t="str">
            <v>836-11 4%cv +4%Pi</v>
          </cell>
        </row>
        <row r="950">
          <cell r="A950">
            <v>836.12</v>
          </cell>
          <cell r="P950" t="str">
            <v>Sable limoneux à passages indurés</v>
          </cell>
          <cell r="W950" t="str">
            <v>836-12 1,5%Cv + 7 %Opti</v>
          </cell>
        </row>
        <row r="951">
          <cell r="A951">
            <v>836.13</v>
          </cell>
          <cell r="P951" t="str">
            <v>Sable limoneux à passages indurés</v>
          </cell>
          <cell r="W951" t="str">
            <v>836-13 2%cv + 5% Opti</v>
          </cell>
        </row>
        <row r="952">
          <cell r="A952">
            <v>836.14</v>
          </cell>
          <cell r="P952" t="str">
            <v>Sable limoneux à passages indurés</v>
          </cell>
          <cell r="W952" t="str">
            <v>836-14 4%cv +4% Optimum</v>
          </cell>
        </row>
        <row r="953">
          <cell r="A953">
            <v>837</v>
          </cell>
          <cell r="P953" t="str">
            <v>Sable limoneux à passages indurés</v>
          </cell>
          <cell r="W953" t="str">
            <v>GTR</v>
          </cell>
        </row>
        <row r="954">
          <cell r="A954">
            <v>837.01</v>
          </cell>
          <cell r="P954" t="str">
            <v>Sable limoneux à passages indurés</v>
          </cell>
          <cell r="W954" t="str">
            <v xml:space="preserve">proctor 0/5 </v>
          </cell>
        </row>
        <row r="955">
          <cell r="A955">
            <v>837.02</v>
          </cell>
          <cell r="P955" t="str">
            <v>Sable limoneux à passages indurés</v>
          </cell>
          <cell r="W955" t="str">
            <v>CBR im 0/20</v>
          </cell>
        </row>
        <row r="956">
          <cell r="A956">
            <v>837.03</v>
          </cell>
          <cell r="P956" t="str">
            <v>Sable limoneux à passages indurés</v>
          </cell>
          <cell r="W956" t="str">
            <v>836-3 1% chaux eteinte</v>
          </cell>
        </row>
        <row r="957">
          <cell r="A957">
            <v>837.04</v>
          </cell>
          <cell r="P957" t="str">
            <v>Sable limoneux à passages indurés</v>
          </cell>
          <cell r="W957" t="str">
            <v>836-4 2% chaux eteinte</v>
          </cell>
        </row>
        <row r="958">
          <cell r="A958">
            <v>837.05</v>
          </cell>
          <cell r="P958" t="str">
            <v>Sable limoneux à passages indurés</v>
          </cell>
          <cell r="W958" t="str">
            <v>836-5 4% chaux eteinte</v>
          </cell>
        </row>
        <row r="959">
          <cell r="A959">
            <v>837.06</v>
          </cell>
          <cell r="P959" t="str">
            <v>Sable limoneux à passages indurés</v>
          </cell>
          <cell r="W959" t="str">
            <v>836-6 1%Cv</v>
          </cell>
        </row>
        <row r="960">
          <cell r="A960">
            <v>837.06999999999994</v>
          </cell>
          <cell r="P960" t="str">
            <v>Sable limoneux à passages indurés</v>
          </cell>
          <cell r="W960" t="str">
            <v>836-7 2%Cv</v>
          </cell>
        </row>
        <row r="961">
          <cell r="A961">
            <v>837.07999999999993</v>
          </cell>
          <cell r="P961" t="str">
            <v>Sable limoneux à passages indurés</v>
          </cell>
          <cell r="W961" t="str">
            <v>836-8 4%Cv</v>
          </cell>
        </row>
        <row r="962">
          <cell r="A962">
            <v>837.08999999999992</v>
          </cell>
          <cell r="P962" t="str">
            <v>Sable limoneux à passages indurés</v>
          </cell>
          <cell r="W962" t="str">
            <v>836-9 1,5%Cv + 7 %Pi</v>
          </cell>
        </row>
        <row r="963">
          <cell r="A963">
            <v>837.09999999999991</v>
          </cell>
          <cell r="P963" t="str">
            <v>Sable limoneux à passages indurés</v>
          </cell>
          <cell r="W963" t="str">
            <v>836-10  2%Cv + 5 %Pi</v>
          </cell>
        </row>
        <row r="964">
          <cell r="A964">
            <v>837.1099999999999</v>
          </cell>
          <cell r="P964" t="str">
            <v>Sable limoneux à passages indurés</v>
          </cell>
          <cell r="W964" t="str">
            <v>836-11 4%cv +4%Pi</v>
          </cell>
        </row>
        <row r="965">
          <cell r="A965">
            <v>837.11999999999989</v>
          </cell>
          <cell r="P965" t="str">
            <v>Sable limoneux à passages indurés</v>
          </cell>
          <cell r="W965" t="str">
            <v>836-12 1,5%Cv + 7 %Opti</v>
          </cell>
        </row>
        <row r="966">
          <cell r="A966">
            <v>837.12999999999988</v>
          </cell>
          <cell r="P966" t="str">
            <v>Sable limoneux à passages indurés</v>
          </cell>
          <cell r="W966" t="str">
            <v>836-13 2%cv + 5% Opti</v>
          </cell>
        </row>
        <row r="967">
          <cell r="A967">
            <v>837.13999999999987</v>
          </cell>
          <cell r="P967" t="str">
            <v>Sable limoneux à passages indurés</v>
          </cell>
          <cell r="W967" t="str">
            <v>836-14 4%cv +4% Optimum</v>
          </cell>
        </row>
        <row r="968">
          <cell r="A968">
            <v>838</v>
          </cell>
          <cell r="P968" t="str">
            <v>Limon argileux en plaquette</v>
          </cell>
          <cell r="W968" t="str">
            <v>GTR</v>
          </cell>
        </row>
        <row r="969">
          <cell r="A969">
            <v>838.01</v>
          </cell>
          <cell r="P969" t="str">
            <v>Limon argileux en plaquette</v>
          </cell>
          <cell r="W969" t="str">
            <v xml:space="preserve">proctor 0/5 </v>
          </cell>
        </row>
        <row r="970">
          <cell r="A970">
            <v>838.02</v>
          </cell>
          <cell r="P970" t="str">
            <v>Limon argileux en plaquette</v>
          </cell>
          <cell r="W970" t="str">
            <v>CBR im 0/20</v>
          </cell>
        </row>
        <row r="971">
          <cell r="A971">
            <v>838.03</v>
          </cell>
          <cell r="P971" t="str">
            <v>Limon argileux en plaquette</v>
          </cell>
          <cell r="W971" t="str">
            <v>836-3 1% chaux eteinte</v>
          </cell>
        </row>
        <row r="972">
          <cell r="A972">
            <v>838.04</v>
          </cell>
          <cell r="P972" t="str">
            <v>Limon argileux en plaquette</v>
          </cell>
          <cell r="W972" t="str">
            <v>836-4 2% chaux eteinte</v>
          </cell>
        </row>
        <row r="973">
          <cell r="A973">
            <v>838.05</v>
          </cell>
          <cell r="P973" t="str">
            <v>Limon argileux en plaquette</v>
          </cell>
          <cell r="W973" t="str">
            <v>836-5 4% chaux eteinte</v>
          </cell>
        </row>
        <row r="974">
          <cell r="A974">
            <v>838.06</v>
          </cell>
          <cell r="P974" t="str">
            <v>Limon argileux en plaquette</v>
          </cell>
          <cell r="W974" t="str">
            <v>836-6 1%Cv</v>
          </cell>
        </row>
        <row r="975">
          <cell r="A975">
            <v>838.06999999999994</v>
          </cell>
          <cell r="P975" t="str">
            <v>Limon argileux en plaquette</v>
          </cell>
          <cell r="W975" t="str">
            <v>836-7 2%Cv</v>
          </cell>
        </row>
        <row r="976">
          <cell r="A976">
            <v>838.07999999999993</v>
          </cell>
          <cell r="P976" t="str">
            <v>Limon argileux en plaquette</v>
          </cell>
          <cell r="W976" t="str">
            <v>836-8 4%Cv</v>
          </cell>
        </row>
        <row r="977">
          <cell r="A977">
            <v>838.08999999999992</v>
          </cell>
          <cell r="P977" t="str">
            <v>Limon argileux en plaquette</v>
          </cell>
          <cell r="W977" t="str">
            <v>836-9 1,5%Cv + 7 %Pi</v>
          </cell>
        </row>
        <row r="978">
          <cell r="A978">
            <v>838.09999999999991</v>
          </cell>
          <cell r="P978" t="str">
            <v>Limon argileux en plaquette</v>
          </cell>
          <cell r="W978" t="str">
            <v>836-10  2%Cv + 5 %Pi</v>
          </cell>
        </row>
        <row r="979">
          <cell r="A979">
            <v>838.1099999999999</v>
          </cell>
          <cell r="P979" t="str">
            <v>Limon argileux en plaquette</v>
          </cell>
          <cell r="W979" t="str">
            <v>836-11 4%cv +4%Pi</v>
          </cell>
        </row>
        <row r="980">
          <cell r="A980">
            <v>838.11999999999989</v>
          </cell>
          <cell r="P980" t="str">
            <v>Limon argileux en plaquette</v>
          </cell>
          <cell r="W980" t="str">
            <v>836-12 1,5%Cv + 7 %Opti</v>
          </cell>
        </row>
        <row r="981">
          <cell r="A981">
            <v>838.12999999999988</v>
          </cell>
          <cell r="P981" t="str">
            <v>Limon argileux en plaquette</v>
          </cell>
          <cell r="W981" t="str">
            <v>836-13 2%cv + 5% Opti</v>
          </cell>
        </row>
        <row r="982">
          <cell r="A982">
            <v>838.13999999999987</v>
          </cell>
          <cell r="P982" t="str">
            <v>Limon argileux en plaquette</v>
          </cell>
          <cell r="W982" t="str">
            <v>836-14 4%cv +4% Optimum</v>
          </cell>
        </row>
        <row r="983">
          <cell r="A983">
            <v>839</v>
          </cell>
          <cell r="P983" t="str">
            <v>Grave sableuse</v>
          </cell>
        </row>
        <row r="984">
          <cell r="A984">
            <v>840</v>
          </cell>
          <cell r="P984" t="str">
            <v>Grave sableuse</v>
          </cell>
        </row>
        <row r="985">
          <cell r="A985">
            <v>841</v>
          </cell>
          <cell r="P985" t="str">
            <v>Grave sableuse</v>
          </cell>
        </row>
        <row r="986">
          <cell r="A986">
            <v>842</v>
          </cell>
          <cell r="P986" t="str">
            <v>Limon argileux à graves schisteuse</v>
          </cell>
        </row>
        <row r="987">
          <cell r="A987">
            <v>843</v>
          </cell>
          <cell r="P987" t="str">
            <v>Sable graveleux</v>
          </cell>
        </row>
        <row r="988">
          <cell r="A988">
            <v>844</v>
          </cell>
          <cell r="P988" t="str">
            <v>Sable graveleux</v>
          </cell>
        </row>
        <row r="989">
          <cell r="A989">
            <v>845</v>
          </cell>
          <cell r="P989" t="str">
            <v>Grave sablo-limoneuse</v>
          </cell>
        </row>
        <row r="990">
          <cell r="A990">
            <v>846</v>
          </cell>
          <cell r="P990" t="str">
            <v>Argile limoneuse à graves</v>
          </cell>
        </row>
        <row r="991">
          <cell r="A991">
            <v>847</v>
          </cell>
          <cell r="P991" t="str">
            <v>Sable à graves</v>
          </cell>
        </row>
        <row r="992">
          <cell r="A992">
            <v>848</v>
          </cell>
          <cell r="P992" t="str">
            <v>Grave sableuse</v>
          </cell>
        </row>
        <row r="993">
          <cell r="A993">
            <v>849</v>
          </cell>
          <cell r="P993" t="str">
            <v>sable fin à graves (beton)</v>
          </cell>
        </row>
        <row r="994">
          <cell r="A994">
            <v>850</v>
          </cell>
          <cell r="P994" t="str">
            <v xml:space="preserve">Grave sableuse à nodules limoneux </v>
          </cell>
        </row>
        <row r="995">
          <cell r="A995">
            <v>851</v>
          </cell>
          <cell r="P995" t="str">
            <v>Grave sableuse</v>
          </cell>
        </row>
        <row r="996">
          <cell r="A996">
            <v>852</v>
          </cell>
          <cell r="P996" t="str">
            <v>sable graveleux (enrobé, béton, mâchefer)</v>
          </cell>
        </row>
        <row r="997">
          <cell r="A997">
            <v>853</v>
          </cell>
        </row>
        <row r="998">
          <cell r="A998">
            <v>854</v>
          </cell>
          <cell r="P998" t="str">
            <v>Sable à grave (beton mâchefer)</v>
          </cell>
        </row>
        <row r="999">
          <cell r="A999">
            <v>855</v>
          </cell>
          <cell r="P999" t="str">
            <v>Sable graveleux</v>
          </cell>
        </row>
        <row r="1000">
          <cell r="A1000">
            <v>856</v>
          </cell>
          <cell r="P1000" t="str">
            <v>Sable à machefer et graves</v>
          </cell>
        </row>
        <row r="1001">
          <cell r="A1001">
            <v>857</v>
          </cell>
          <cell r="P1001" t="str">
            <v>Grave sableuses</v>
          </cell>
        </row>
        <row r="1002">
          <cell r="A1002">
            <v>858</v>
          </cell>
          <cell r="P1002" t="str">
            <v>Sable graveleux</v>
          </cell>
        </row>
        <row r="1003">
          <cell r="A1003">
            <v>859</v>
          </cell>
          <cell r="P1003" t="str">
            <v>Sable graveleux</v>
          </cell>
        </row>
        <row r="1004">
          <cell r="A1004">
            <v>860</v>
          </cell>
          <cell r="P1004" t="str">
            <v>Sable à machefer et graves</v>
          </cell>
        </row>
        <row r="1005">
          <cell r="A1005">
            <v>861</v>
          </cell>
          <cell r="P1005" t="str">
            <v>Grave sableuse à mâchefer</v>
          </cell>
        </row>
        <row r="1006">
          <cell r="A1006">
            <v>862</v>
          </cell>
          <cell r="P1006" t="str">
            <v>Grave sableuse à debris de tuiles</v>
          </cell>
        </row>
        <row r="1007">
          <cell r="A1007">
            <v>863</v>
          </cell>
          <cell r="P1007" t="str">
            <v>sable graveleuse à mâchefer</v>
          </cell>
        </row>
        <row r="1008">
          <cell r="A1008">
            <v>864</v>
          </cell>
          <cell r="P1008" t="str">
            <v xml:space="preserve">Sable graveleux à mâchefer </v>
          </cell>
        </row>
        <row r="1009">
          <cell r="A1009">
            <v>865</v>
          </cell>
          <cell r="P1009" t="str">
            <v xml:space="preserve">Sable graveleux à mâchefer </v>
          </cell>
        </row>
        <row r="1010">
          <cell r="A1010">
            <v>866</v>
          </cell>
          <cell r="P1010" t="str">
            <v>Grave sableuse</v>
          </cell>
        </row>
        <row r="1011">
          <cell r="A1011">
            <v>867</v>
          </cell>
          <cell r="P1011" t="str">
            <v>Grave sableuse à deébris de verre</v>
          </cell>
        </row>
        <row r="1012">
          <cell r="A1012">
            <v>868</v>
          </cell>
          <cell r="P1012" t="str">
            <v>Argile à cailloutis</v>
          </cell>
        </row>
        <row r="1013">
          <cell r="A1013">
            <v>869</v>
          </cell>
          <cell r="P1013" t="str">
            <v>Grave sableuse</v>
          </cell>
        </row>
        <row r="1014">
          <cell r="A1014">
            <v>870</v>
          </cell>
          <cell r="P1014" t="str">
            <v>Grave recyclée sableuse</v>
          </cell>
        </row>
        <row r="1015">
          <cell r="A1015">
            <v>871</v>
          </cell>
          <cell r="P1015" t="str">
            <v>Tourbe</v>
          </cell>
        </row>
        <row r="1016">
          <cell r="A1016">
            <v>872</v>
          </cell>
          <cell r="P1016" t="str">
            <v xml:space="preserve">Tourbe </v>
          </cell>
        </row>
        <row r="1017">
          <cell r="A1017">
            <v>873</v>
          </cell>
          <cell r="P1017" t="str">
            <v>Tourbe</v>
          </cell>
        </row>
        <row r="1018">
          <cell r="A1018">
            <v>874</v>
          </cell>
          <cell r="P1018" t="str">
            <v>Grave sableuse</v>
          </cell>
        </row>
        <row r="1019">
          <cell r="A1019">
            <v>875</v>
          </cell>
          <cell r="P1019" t="str">
            <v>Grave sableuse</v>
          </cell>
        </row>
        <row r="1020">
          <cell r="A1020">
            <v>876</v>
          </cell>
          <cell r="P1020" t="str">
            <v>Grave limono argileuse</v>
          </cell>
        </row>
        <row r="1021">
          <cell r="A1021">
            <v>877</v>
          </cell>
          <cell r="P1021" t="str">
            <v>Limon graveleux</v>
          </cell>
        </row>
        <row r="1022">
          <cell r="A1022">
            <v>878</v>
          </cell>
          <cell r="P1022" t="str">
            <v>Grave recyclée limono-sableuse (brique, beton, carrelage, porcelaine,..)</v>
          </cell>
        </row>
        <row r="1023">
          <cell r="A1023">
            <v>879</v>
          </cell>
          <cell r="P1023" t="str">
            <v>Gravellette sableuse</v>
          </cell>
        </row>
        <row r="1024">
          <cell r="A1024">
            <v>880</v>
          </cell>
        </row>
        <row r="1025">
          <cell r="A1025">
            <v>881</v>
          </cell>
        </row>
        <row r="1026">
          <cell r="A1026">
            <v>882</v>
          </cell>
        </row>
        <row r="1027">
          <cell r="A1027">
            <v>883</v>
          </cell>
        </row>
        <row r="1028">
          <cell r="A1028">
            <v>884</v>
          </cell>
        </row>
        <row r="1029">
          <cell r="A1029">
            <v>885</v>
          </cell>
        </row>
        <row r="1030">
          <cell r="A1030">
            <v>886</v>
          </cell>
        </row>
        <row r="1031">
          <cell r="A1031">
            <v>887</v>
          </cell>
        </row>
        <row r="1032">
          <cell r="A1032">
            <v>888</v>
          </cell>
        </row>
        <row r="1033">
          <cell r="A1033">
            <v>889</v>
          </cell>
        </row>
        <row r="1034">
          <cell r="A1034">
            <v>890</v>
          </cell>
        </row>
        <row r="1035">
          <cell r="A1035">
            <v>891</v>
          </cell>
        </row>
        <row r="1036">
          <cell r="A1036">
            <v>892</v>
          </cell>
        </row>
        <row r="1037">
          <cell r="A1037">
            <v>893</v>
          </cell>
        </row>
        <row r="1038">
          <cell r="A1038">
            <v>894</v>
          </cell>
        </row>
        <row r="1039">
          <cell r="A1039">
            <v>895</v>
          </cell>
        </row>
      </sheetData>
      <sheetData sheetId="6"/>
      <sheetData sheetId="7"/>
      <sheetData sheetId="8">
        <row r="5">
          <cell r="AY5" t="str">
            <v>Mh</v>
          </cell>
        </row>
        <row r="6">
          <cell r="B6" t="str">
            <v>Amostra</v>
          </cell>
        </row>
        <row r="7">
          <cell r="B7">
            <v>1</v>
          </cell>
        </row>
        <row r="8">
          <cell r="B8">
            <v>2</v>
          </cell>
        </row>
        <row r="9">
          <cell r="B9">
            <v>3</v>
          </cell>
        </row>
        <row r="10">
          <cell r="B10">
            <v>4</v>
          </cell>
        </row>
        <row r="11">
          <cell r="B11">
            <v>5</v>
          </cell>
        </row>
        <row r="12">
          <cell r="B12">
            <v>6</v>
          </cell>
        </row>
        <row r="13">
          <cell r="B13">
            <v>7</v>
          </cell>
        </row>
        <row r="14">
          <cell r="B14">
            <v>8</v>
          </cell>
        </row>
        <row r="15">
          <cell r="B15">
            <v>9</v>
          </cell>
        </row>
        <row r="16">
          <cell r="B16">
            <v>10</v>
          </cell>
        </row>
        <row r="17">
          <cell r="B17">
            <v>11</v>
          </cell>
        </row>
        <row r="18">
          <cell r="B18">
            <v>12</v>
          </cell>
        </row>
        <row r="19">
          <cell r="B19">
            <v>13</v>
          </cell>
        </row>
        <row r="20">
          <cell r="B20">
            <v>14</v>
          </cell>
        </row>
        <row r="21">
          <cell r="B21">
            <v>15</v>
          </cell>
        </row>
        <row r="22">
          <cell r="B22">
            <v>16</v>
          </cell>
        </row>
        <row r="23">
          <cell r="B23">
            <v>17</v>
          </cell>
        </row>
        <row r="24">
          <cell r="B24">
            <v>18</v>
          </cell>
        </row>
        <row r="25">
          <cell r="B25">
            <v>19</v>
          </cell>
        </row>
        <row r="26">
          <cell r="B26">
            <v>20</v>
          </cell>
        </row>
        <row r="27">
          <cell r="B27">
            <v>21</v>
          </cell>
        </row>
        <row r="28">
          <cell r="B28">
            <v>22</v>
          </cell>
        </row>
        <row r="29">
          <cell r="B29">
            <v>23</v>
          </cell>
        </row>
        <row r="30">
          <cell r="B30">
            <v>24</v>
          </cell>
        </row>
        <row r="31">
          <cell r="B31">
            <v>25</v>
          </cell>
        </row>
        <row r="32">
          <cell r="B32">
            <v>26</v>
          </cell>
        </row>
        <row r="33">
          <cell r="B33">
            <v>27</v>
          </cell>
        </row>
        <row r="34">
          <cell r="B34">
            <v>28</v>
          </cell>
        </row>
        <row r="35">
          <cell r="B35">
            <v>29</v>
          </cell>
        </row>
        <row r="36">
          <cell r="B36">
            <v>30</v>
          </cell>
        </row>
        <row r="37">
          <cell r="B37">
            <v>31</v>
          </cell>
        </row>
        <row r="38">
          <cell r="B38">
            <v>32</v>
          </cell>
        </row>
        <row r="39">
          <cell r="B39">
            <v>33</v>
          </cell>
        </row>
        <row r="40">
          <cell r="B40">
            <v>34</v>
          </cell>
        </row>
        <row r="41">
          <cell r="B41">
            <v>35</v>
          </cell>
        </row>
        <row r="42">
          <cell r="B42">
            <v>36</v>
          </cell>
        </row>
        <row r="43">
          <cell r="B43">
            <v>37</v>
          </cell>
        </row>
        <row r="44">
          <cell r="B44">
            <v>38</v>
          </cell>
        </row>
        <row r="45">
          <cell r="B45">
            <v>39</v>
          </cell>
        </row>
        <row r="46">
          <cell r="B46">
            <v>40</v>
          </cell>
        </row>
        <row r="47">
          <cell r="B47">
            <v>41</v>
          </cell>
        </row>
        <row r="48">
          <cell r="B48">
            <v>42</v>
          </cell>
        </row>
        <row r="49">
          <cell r="B49">
            <v>43</v>
          </cell>
        </row>
        <row r="50">
          <cell r="B50">
            <v>44</v>
          </cell>
          <cell r="AY50">
            <v>903.1</v>
          </cell>
        </row>
        <row r="51">
          <cell r="B51">
            <v>45</v>
          </cell>
          <cell r="AY51">
            <v>473.1</v>
          </cell>
        </row>
        <row r="52">
          <cell r="B52">
            <v>46</v>
          </cell>
        </row>
        <row r="53">
          <cell r="B53">
            <v>47</v>
          </cell>
          <cell r="AY53">
            <v>650.79999999999995</v>
          </cell>
        </row>
        <row r="54">
          <cell r="B54">
            <v>48</v>
          </cell>
        </row>
        <row r="55">
          <cell r="B55">
            <v>49</v>
          </cell>
          <cell r="AY55">
            <v>1377.2</v>
          </cell>
        </row>
        <row r="56">
          <cell r="B56">
            <v>50</v>
          </cell>
          <cell r="AY56">
            <v>1377.2</v>
          </cell>
        </row>
        <row r="57">
          <cell r="B57">
            <v>51</v>
          </cell>
          <cell r="AY57">
            <v>13798</v>
          </cell>
        </row>
        <row r="58">
          <cell r="B58">
            <v>52</v>
          </cell>
          <cell r="AY58">
            <v>2615.5</v>
          </cell>
        </row>
        <row r="59">
          <cell r="B59">
            <v>53</v>
          </cell>
          <cell r="AY59">
            <v>4183.5</v>
          </cell>
        </row>
        <row r="60">
          <cell r="B60">
            <v>54</v>
          </cell>
        </row>
        <row r="61">
          <cell r="B61">
            <v>55</v>
          </cell>
          <cell r="AY61">
            <v>1081.3</v>
          </cell>
        </row>
        <row r="62">
          <cell r="B62">
            <v>56</v>
          </cell>
          <cell r="AY62">
            <v>3257</v>
          </cell>
        </row>
        <row r="63">
          <cell r="B63">
            <v>57</v>
          </cell>
        </row>
        <row r="64">
          <cell r="B64">
            <v>58</v>
          </cell>
        </row>
        <row r="65">
          <cell r="B65">
            <v>59</v>
          </cell>
        </row>
        <row r="66">
          <cell r="B66">
            <v>60</v>
          </cell>
          <cell r="AY66">
            <v>1941.1</v>
          </cell>
        </row>
        <row r="67">
          <cell r="B67">
            <v>61</v>
          </cell>
          <cell r="AY67">
            <v>461.7</v>
          </cell>
        </row>
        <row r="68">
          <cell r="B68">
            <v>62</v>
          </cell>
        </row>
        <row r="69">
          <cell r="B69">
            <v>63</v>
          </cell>
        </row>
        <row r="70">
          <cell r="B70">
            <v>64</v>
          </cell>
        </row>
        <row r="71">
          <cell r="B71">
            <v>65</v>
          </cell>
        </row>
        <row r="72">
          <cell r="B72">
            <v>66</v>
          </cell>
          <cell r="AY72">
            <v>1727.9</v>
          </cell>
        </row>
        <row r="73">
          <cell r="B73">
            <v>67</v>
          </cell>
          <cell r="AY73">
            <v>1674.5</v>
          </cell>
        </row>
        <row r="74">
          <cell r="B74">
            <v>68</v>
          </cell>
          <cell r="AY74">
            <v>945.8</v>
          </cell>
        </row>
        <row r="75">
          <cell r="B75">
            <v>69</v>
          </cell>
          <cell r="AY75">
            <v>11953.5</v>
          </cell>
        </row>
        <row r="76">
          <cell r="B76">
            <v>70</v>
          </cell>
          <cell r="AY76">
            <v>18593</v>
          </cell>
        </row>
        <row r="77">
          <cell r="B77">
            <v>71</v>
          </cell>
          <cell r="AY77">
            <v>16546</v>
          </cell>
        </row>
        <row r="78">
          <cell r="B78">
            <v>72</v>
          </cell>
          <cell r="AY78">
            <v>21215</v>
          </cell>
        </row>
        <row r="79">
          <cell r="B79">
            <v>73</v>
          </cell>
          <cell r="AY79">
            <v>1676.4</v>
          </cell>
        </row>
        <row r="80">
          <cell r="B80">
            <v>74</v>
          </cell>
        </row>
        <row r="81">
          <cell r="B81">
            <v>75</v>
          </cell>
          <cell r="AY81">
            <v>3480.1</v>
          </cell>
        </row>
        <row r="82">
          <cell r="B82">
            <v>76</v>
          </cell>
          <cell r="AY82">
            <v>3237</v>
          </cell>
        </row>
        <row r="83">
          <cell r="B83">
            <v>77</v>
          </cell>
        </row>
        <row r="84">
          <cell r="B84">
            <v>78</v>
          </cell>
        </row>
        <row r="85">
          <cell r="B85">
            <v>79</v>
          </cell>
          <cell r="AY85">
            <v>3427.5</v>
          </cell>
        </row>
        <row r="86">
          <cell r="B86">
            <v>80</v>
          </cell>
          <cell r="AY86">
            <v>2706</v>
          </cell>
        </row>
        <row r="87">
          <cell r="B87">
            <v>81</v>
          </cell>
          <cell r="AY87">
            <v>3456.3</v>
          </cell>
        </row>
        <row r="88">
          <cell r="B88">
            <v>82</v>
          </cell>
          <cell r="AY88">
            <v>3088.2</v>
          </cell>
        </row>
        <row r="89">
          <cell r="B89">
            <v>83</v>
          </cell>
          <cell r="AY89">
            <v>2610.5</v>
          </cell>
        </row>
        <row r="90">
          <cell r="B90">
            <v>84</v>
          </cell>
          <cell r="AY90">
            <v>3238.9</v>
          </cell>
        </row>
        <row r="91">
          <cell r="B91">
            <v>85</v>
          </cell>
          <cell r="AY91">
            <v>3461.1</v>
          </cell>
        </row>
        <row r="92">
          <cell r="B92">
            <v>86</v>
          </cell>
          <cell r="AY92">
            <v>1948</v>
          </cell>
        </row>
        <row r="93">
          <cell r="B93">
            <v>87</v>
          </cell>
          <cell r="AY93">
            <v>1829.8</v>
          </cell>
        </row>
        <row r="94">
          <cell r="B94">
            <v>88</v>
          </cell>
          <cell r="AY94">
            <v>1626.8</v>
          </cell>
        </row>
        <row r="95">
          <cell r="B95">
            <v>89</v>
          </cell>
          <cell r="AY95">
            <v>3289.6</v>
          </cell>
        </row>
        <row r="96">
          <cell r="B96">
            <v>90</v>
          </cell>
          <cell r="AY96">
            <v>3304.2</v>
          </cell>
        </row>
        <row r="97">
          <cell r="B97">
            <v>91</v>
          </cell>
          <cell r="AY97">
            <v>1309.9000000000001</v>
          </cell>
        </row>
        <row r="98">
          <cell r="B98">
            <v>92</v>
          </cell>
          <cell r="AY98">
            <v>1341.4</v>
          </cell>
        </row>
        <row r="99">
          <cell r="B99">
            <v>93</v>
          </cell>
          <cell r="AY99">
            <v>3012.3</v>
          </cell>
        </row>
        <row r="100">
          <cell r="B100">
            <v>94</v>
          </cell>
          <cell r="AY100">
            <v>3227.6</v>
          </cell>
        </row>
        <row r="101">
          <cell r="B101">
            <v>95</v>
          </cell>
        </row>
        <row r="102">
          <cell r="B102">
            <v>96</v>
          </cell>
        </row>
        <row r="103">
          <cell r="B103">
            <v>97</v>
          </cell>
        </row>
        <row r="104">
          <cell r="B104">
            <v>98</v>
          </cell>
        </row>
        <row r="105">
          <cell r="B105">
            <v>99</v>
          </cell>
          <cell r="AY105">
            <v>2121.1</v>
          </cell>
        </row>
        <row r="106">
          <cell r="B106">
            <v>100</v>
          </cell>
          <cell r="AY106">
            <v>3649.1</v>
          </cell>
        </row>
        <row r="107">
          <cell r="B107">
            <v>101</v>
          </cell>
          <cell r="AY107">
            <v>3053.8</v>
          </cell>
        </row>
        <row r="108">
          <cell r="B108">
            <v>102</v>
          </cell>
          <cell r="AY108">
            <v>875.9</v>
          </cell>
        </row>
        <row r="109">
          <cell r="B109">
            <v>103</v>
          </cell>
          <cell r="AY109">
            <v>3654.4</v>
          </cell>
        </row>
        <row r="110">
          <cell r="B110">
            <v>104</v>
          </cell>
          <cell r="AY110">
            <v>2102.9</v>
          </cell>
        </row>
        <row r="111">
          <cell r="B111">
            <v>105</v>
          </cell>
          <cell r="AY111">
            <v>4736.3</v>
          </cell>
        </row>
        <row r="112">
          <cell r="B112">
            <v>106</v>
          </cell>
          <cell r="AY112">
            <v>1432.6</v>
          </cell>
        </row>
        <row r="113">
          <cell r="B113">
            <v>107</v>
          </cell>
          <cell r="AY113">
            <v>3346.7</v>
          </cell>
        </row>
        <row r="114">
          <cell r="B114">
            <v>108</v>
          </cell>
          <cell r="AY114">
            <v>3944.7</v>
          </cell>
        </row>
        <row r="115">
          <cell r="B115">
            <v>109</v>
          </cell>
          <cell r="AY115">
            <v>1082.2</v>
          </cell>
        </row>
        <row r="116">
          <cell r="B116">
            <v>110</v>
          </cell>
          <cell r="AY116">
            <v>1562.1</v>
          </cell>
        </row>
        <row r="117">
          <cell r="B117">
            <v>111</v>
          </cell>
          <cell r="AY117">
            <v>1430.3</v>
          </cell>
        </row>
        <row r="118">
          <cell r="B118">
            <v>112</v>
          </cell>
          <cell r="AY118">
            <v>3484.6</v>
          </cell>
        </row>
        <row r="119">
          <cell r="B119">
            <v>113</v>
          </cell>
          <cell r="AY119">
            <v>1266.5999999999999</v>
          </cell>
        </row>
        <row r="120">
          <cell r="B120">
            <v>114</v>
          </cell>
          <cell r="AY120">
            <v>1281.2</v>
          </cell>
        </row>
        <row r="121">
          <cell r="B121">
            <v>115</v>
          </cell>
          <cell r="AY121">
            <v>1334</v>
          </cell>
        </row>
        <row r="122">
          <cell r="B122">
            <v>116</v>
          </cell>
          <cell r="AY122">
            <v>1299.9000000000001</v>
          </cell>
        </row>
        <row r="123">
          <cell r="B123">
            <v>117</v>
          </cell>
          <cell r="AY123">
            <v>1469</v>
          </cell>
        </row>
        <row r="124">
          <cell r="B124">
            <v>118</v>
          </cell>
          <cell r="AY124">
            <v>1949</v>
          </cell>
        </row>
        <row r="125">
          <cell r="B125">
            <v>119</v>
          </cell>
          <cell r="AY125">
            <v>1555.6</v>
          </cell>
        </row>
        <row r="126">
          <cell r="B126">
            <v>120</v>
          </cell>
          <cell r="AY126">
            <v>2071.5</v>
          </cell>
        </row>
        <row r="127">
          <cell r="B127">
            <v>121</v>
          </cell>
          <cell r="AY127">
            <v>1378.1</v>
          </cell>
        </row>
        <row r="128">
          <cell r="B128">
            <v>122</v>
          </cell>
          <cell r="AY128">
            <v>1659.1</v>
          </cell>
        </row>
        <row r="129">
          <cell r="B129">
            <v>123</v>
          </cell>
          <cell r="AY129">
            <v>1535.2</v>
          </cell>
        </row>
        <row r="130">
          <cell r="B130">
            <v>124</v>
          </cell>
          <cell r="AY130">
            <v>1788</v>
          </cell>
        </row>
        <row r="131">
          <cell r="B131">
            <v>125</v>
          </cell>
          <cell r="AY131">
            <v>3335.9</v>
          </cell>
        </row>
        <row r="132">
          <cell r="B132">
            <v>126</v>
          </cell>
          <cell r="AY132">
            <v>626.79999999999995</v>
          </cell>
        </row>
        <row r="133">
          <cell r="B133">
            <v>127</v>
          </cell>
          <cell r="AY133">
            <v>1732.9</v>
          </cell>
        </row>
        <row r="134">
          <cell r="B134">
            <v>128</v>
          </cell>
          <cell r="AY134">
            <v>1388.6</v>
          </cell>
        </row>
        <row r="135">
          <cell r="B135">
            <v>129</v>
          </cell>
          <cell r="AY135">
            <v>3223</v>
          </cell>
        </row>
        <row r="136">
          <cell r="B136">
            <v>130</v>
          </cell>
          <cell r="AY136">
            <v>1755.8</v>
          </cell>
        </row>
        <row r="137">
          <cell r="B137">
            <v>131</v>
          </cell>
          <cell r="AY137">
            <v>1206.4000000000001</v>
          </cell>
        </row>
        <row r="138">
          <cell r="B138">
            <v>132</v>
          </cell>
          <cell r="AY138">
            <v>1934.2</v>
          </cell>
        </row>
        <row r="139">
          <cell r="B139">
            <v>133</v>
          </cell>
          <cell r="AY139">
            <v>1340.2</v>
          </cell>
        </row>
        <row r="140">
          <cell r="B140">
            <v>134</v>
          </cell>
          <cell r="AY140">
            <v>1742.1</v>
          </cell>
        </row>
        <row r="141">
          <cell r="B141">
            <v>135</v>
          </cell>
          <cell r="AY141">
            <v>1179.5999999999999</v>
          </cell>
        </row>
        <row r="142">
          <cell r="B142">
            <v>136</v>
          </cell>
          <cell r="AY142">
            <v>2139.8000000000002</v>
          </cell>
        </row>
        <row r="143">
          <cell r="B143">
            <v>137</v>
          </cell>
          <cell r="AY143">
            <v>2804.5</v>
          </cell>
        </row>
        <row r="144">
          <cell r="B144">
            <v>138</v>
          </cell>
          <cell r="AY144">
            <v>1621.1</v>
          </cell>
        </row>
        <row r="145">
          <cell r="B145">
            <v>139</v>
          </cell>
          <cell r="AY145">
            <v>3127.1</v>
          </cell>
        </row>
        <row r="146">
          <cell r="B146">
            <v>140</v>
          </cell>
        </row>
        <row r="147">
          <cell r="B147">
            <v>141</v>
          </cell>
          <cell r="AY147">
            <v>2</v>
          </cell>
        </row>
        <row r="148">
          <cell r="B148">
            <v>142</v>
          </cell>
          <cell r="AY148">
            <v>2267.3000000000002</v>
          </cell>
        </row>
        <row r="149">
          <cell r="B149">
            <v>143</v>
          </cell>
          <cell r="AY149">
            <v>1788.7</v>
          </cell>
        </row>
        <row r="150">
          <cell r="B150">
            <v>144</v>
          </cell>
        </row>
        <row r="151">
          <cell r="B151">
            <v>145</v>
          </cell>
        </row>
        <row r="152">
          <cell r="B152">
            <v>146</v>
          </cell>
        </row>
        <row r="153">
          <cell r="B153">
            <v>147</v>
          </cell>
        </row>
        <row r="154">
          <cell r="B154">
            <v>148</v>
          </cell>
        </row>
        <row r="155">
          <cell r="B155">
            <v>149</v>
          </cell>
        </row>
        <row r="156">
          <cell r="B156">
            <v>150</v>
          </cell>
        </row>
        <row r="157">
          <cell r="B157">
            <v>151</v>
          </cell>
        </row>
        <row r="158">
          <cell r="B158">
            <v>152</v>
          </cell>
        </row>
        <row r="159">
          <cell r="B159">
            <v>153</v>
          </cell>
        </row>
        <row r="160">
          <cell r="B160">
            <v>154</v>
          </cell>
        </row>
        <row r="161">
          <cell r="B161">
            <v>155</v>
          </cell>
        </row>
        <row r="162">
          <cell r="B162">
            <v>156</v>
          </cell>
        </row>
        <row r="163">
          <cell r="B163">
            <v>157</v>
          </cell>
        </row>
        <row r="164">
          <cell r="B164">
            <v>158</v>
          </cell>
        </row>
        <row r="165">
          <cell r="B165">
            <v>159</v>
          </cell>
          <cell r="AY165">
            <v>1595.7</v>
          </cell>
        </row>
        <row r="166">
          <cell r="B166">
            <v>160</v>
          </cell>
          <cell r="AY166">
            <v>1302.8</v>
          </cell>
        </row>
        <row r="167">
          <cell r="B167">
            <v>161</v>
          </cell>
          <cell r="AY167">
            <v>1183.7</v>
          </cell>
        </row>
        <row r="168">
          <cell r="B168">
            <v>162</v>
          </cell>
          <cell r="AY168">
            <v>1526.4</v>
          </cell>
        </row>
        <row r="169">
          <cell r="B169">
            <v>163</v>
          </cell>
          <cell r="AY169">
            <v>1452.5</v>
          </cell>
        </row>
        <row r="170">
          <cell r="B170">
            <v>164</v>
          </cell>
          <cell r="AY170">
            <v>1152.3</v>
          </cell>
        </row>
        <row r="171">
          <cell r="B171">
            <v>165</v>
          </cell>
          <cell r="AY171">
            <v>1367.2</v>
          </cell>
        </row>
        <row r="172">
          <cell r="B172">
            <v>166</v>
          </cell>
          <cell r="AY172">
            <v>2</v>
          </cell>
        </row>
        <row r="173">
          <cell r="B173">
            <v>167</v>
          </cell>
        </row>
        <row r="174">
          <cell r="B174">
            <v>168</v>
          </cell>
          <cell r="AY174">
            <v>1288.2</v>
          </cell>
        </row>
        <row r="175">
          <cell r="B175">
            <v>169</v>
          </cell>
          <cell r="AY175">
            <v>1704</v>
          </cell>
        </row>
        <row r="176">
          <cell r="B176">
            <v>170</v>
          </cell>
          <cell r="AY176">
            <v>2108</v>
          </cell>
        </row>
        <row r="177">
          <cell r="B177">
            <v>171</v>
          </cell>
          <cell r="AY177">
            <v>1843.5</v>
          </cell>
        </row>
        <row r="178">
          <cell r="B178">
            <v>172</v>
          </cell>
          <cell r="AY178">
            <v>2354.1999999999998</v>
          </cell>
        </row>
        <row r="179">
          <cell r="B179">
            <v>173</v>
          </cell>
          <cell r="AY179">
            <v>2611.9</v>
          </cell>
        </row>
        <row r="180">
          <cell r="B180">
            <v>174</v>
          </cell>
          <cell r="AY180">
            <v>2302.3000000000002</v>
          </cell>
        </row>
        <row r="181">
          <cell r="B181">
            <v>175</v>
          </cell>
          <cell r="AY181">
            <v>1256.4000000000001</v>
          </cell>
        </row>
        <row r="182">
          <cell r="B182">
            <v>176</v>
          </cell>
          <cell r="AY182">
            <v>1964.4</v>
          </cell>
        </row>
        <row r="183">
          <cell r="B183">
            <v>177</v>
          </cell>
          <cell r="AY183">
            <v>3072.7</v>
          </cell>
        </row>
        <row r="184">
          <cell r="B184">
            <v>178</v>
          </cell>
          <cell r="AY184">
            <v>2493.6</v>
          </cell>
        </row>
        <row r="185">
          <cell r="B185">
            <v>179</v>
          </cell>
          <cell r="AY185">
            <v>388.3</v>
          </cell>
        </row>
        <row r="186">
          <cell r="B186">
            <v>180</v>
          </cell>
          <cell r="AY186">
            <v>1118.2</v>
          </cell>
        </row>
        <row r="187">
          <cell r="B187">
            <v>181</v>
          </cell>
          <cell r="AY187">
            <v>999</v>
          </cell>
        </row>
        <row r="188">
          <cell r="B188">
            <v>182</v>
          </cell>
          <cell r="AY188">
            <v>1204.4000000000001</v>
          </cell>
        </row>
        <row r="189">
          <cell r="B189">
            <v>183</v>
          </cell>
          <cell r="AY189">
            <v>1223.5</v>
          </cell>
        </row>
        <row r="190">
          <cell r="B190">
            <v>184</v>
          </cell>
          <cell r="AY190">
            <v>2403</v>
          </cell>
        </row>
        <row r="191">
          <cell r="B191">
            <v>185</v>
          </cell>
          <cell r="AY191">
            <v>1507.2</v>
          </cell>
        </row>
        <row r="192">
          <cell r="B192">
            <v>186</v>
          </cell>
        </row>
        <row r="193">
          <cell r="B193">
            <v>187</v>
          </cell>
          <cell r="AY193">
            <v>3247.2</v>
          </cell>
        </row>
        <row r="194">
          <cell r="B194">
            <v>188</v>
          </cell>
          <cell r="AY194">
            <v>1360.9</v>
          </cell>
        </row>
        <row r="195">
          <cell r="B195">
            <v>189</v>
          </cell>
          <cell r="AY195">
            <v>1815.8</v>
          </cell>
        </row>
        <row r="196">
          <cell r="B196">
            <v>190</v>
          </cell>
          <cell r="AY196">
            <v>1745.1</v>
          </cell>
        </row>
        <row r="197">
          <cell r="B197">
            <v>191</v>
          </cell>
        </row>
        <row r="198">
          <cell r="B198">
            <v>192</v>
          </cell>
        </row>
        <row r="199">
          <cell r="B199">
            <v>193</v>
          </cell>
          <cell r="AY199">
            <v>2074.5</v>
          </cell>
        </row>
        <row r="200">
          <cell r="B200">
            <v>194</v>
          </cell>
        </row>
        <row r="201">
          <cell r="B201">
            <v>195</v>
          </cell>
          <cell r="AY201">
            <v>2865.6</v>
          </cell>
        </row>
        <row r="202">
          <cell r="B202">
            <v>196</v>
          </cell>
          <cell r="AY202">
            <v>3246.9</v>
          </cell>
        </row>
        <row r="203">
          <cell r="B203">
            <v>197</v>
          </cell>
          <cell r="AY203">
            <v>1815.9</v>
          </cell>
        </row>
        <row r="204">
          <cell r="B204">
            <v>198</v>
          </cell>
          <cell r="AY204">
            <v>1091.2</v>
          </cell>
        </row>
        <row r="205">
          <cell r="B205">
            <v>199</v>
          </cell>
          <cell r="AY205">
            <v>3426.1</v>
          </cell>
        </row>
        <row r="206">
          <cell r="B206">
            <v>200</v>
          </cell>
          <cell r="AY206">
            <v>3247</v>
          </cell>
        </row>
        <row r="207">
          <cell r="B207">
            <v>201</v>
          </cell>
          <cell r="AY207">
            <v>3267.8</v>
          </cell>
        </row>
        <row r="208">
          <cell r="B208">
            <v>202</v>
          </cell>
          <cell r="AY208">
            <v>1414.2</v>
          </cell>
        </row>
        <row r="209">
          <cell r="B209">
            <v>203</v>
          </cell>
          <cell r="AY209">
            <v>1391</v>
          </cell>
        </row>
        <row r="210">
          <cell r="B210">
            <v>204</v>
          </cell>
          <cell r="AY210">
            <v>1676.2</v>
          </cell>
        </row>
        <row r="211">
          <cell r="B211">
            <v>205</v>
          </cell>
          <cell r="AY211">
            <v>1585</v>
          </cell>
        </row>
        <row r="212">
          <cell r="B212">
            <v>206</v>
          </cell>
          <cell r="AY212">
            <v>1507.3</v>
          </cell>
        </row>
        <row r="213">
          <cell r="B213">
            <v>207</v>
          </cell>
          <cell r="AY213">
            <v>1419.6</v>
          </cell>
        </row>
        <row r="214">
          <cell r="B214">
            <v>208</v>
          </cell>
          <cell r="AY214">
            <v>1300.2</v>
          </cell>
        </row>
        <row r="215">
          <cell r="B215">
            <v>209</v>
          </cell>
          <cell r="AY215">
            <v>1385.5</v>
          </cell>
        </row>
        <row r="216">
          <cell r="B216">
            <v>210</v>
          </cell>
          <cell r="AY216">
            <v>1378.7</v>
          </cell>
        </row>
        <row r="217">
          <cell r="B217">
            <v>211</v>
          </cell>
          <cell r="AY217">
            <v>1905.5</v>
          </cell>
        </row>
        <row r="218">
          <cell r="B218">
            <v>212</v>
          </cell>
          <cell r="AY218">
            <v>1987.3</v>
          </cell>
        </row>
        <row r="219">
          <cell r="B219">
            <v>213</v>
          </cell>
          <cell r="AY219">
            <v>1737</v>
          </cell>
        </row>
        <row r="220">
          <cell r="B220">
            <v>214</v>
          </cell>
          <cell r="AY220">
            <v>1859.9</v>
          </cell>
        </row>
        <row r="221">
          <cell r="B221">
            <v>215</v>
          </cell>
          <cell r="AY221">
            <v>1347.4</v>
          </cell>
        </row>
        <row r="222">
          <cell r="B222">
            <v>216</v>
          </cell>
          <cell r="AY222">
            <v>2107.6999999999998</v>
          </cell>
        </row>
        <row r="223">
          <cell r="B223">
            <v>217</v>
          </cell>
          <cell r="AY223">
            <v>1396</v>
          </cell>
        </row>
        <row r="224">
          <cell r="B224">
            <v>218</v>
          </cell>
          <cell r="AY224">
            <v>1159.2</v>
          </cell>
        </row>
        <row r="225">
          <cell r="B225">
            <v>219</v>
          </cell>
          <cell r="AY225">
            <v>601.70000000000005</v>
          </cell>
        </row>
        <row r="226">
          <cell r="B226">
            <v>220</v>
          </cell>
          <cell r="AY226">
            <v>3511</v>
          </cell>
        </row>
        <row r="227">
          <cell r="B227">
            <v>221</v>
          </cell>
          <cell r="AY227">
            <v>3364.1</v>
          </cell>
        </row>
        <row r="228">
          <cell r="B228">
            <v>222</v>
          </cell>
          <cell r="AY228">
            <v>1755.8</v>
          </cell>
        </row>
        <row r="229">
          <cell r="B229">
            <v>223</v>
          </cell>
          <cell r="AY229">
            <v>2492.6999999999998</v>
          </cell>
        </row>
        <row r="230">
          <cell r="B230">
            <v>224</v>
          </cell>
          <cell r="AY230">
            <v>3394.4</v>
          </cell>
        </row>
        <row r="231">
          <cell r="B231">
            <v>225</v>
          </cell>
          <cell r="AY231">
            <v>3296.4</v>
          </cell>
        </row>
        <row r="232">
          <cell r="B232">
            <v>226</v>
          </cell>
        </row>
        <row r="233">
          <cell r="B233">
            <v>227</v>
          </cell>
        </row>
        <row r="234">
          <cell r="B234">
            <v>228</v>
          </cell>
          <cell r="AY234">
            <v>1675.2</v>
          </cell>
        </row>
        <row r="235">
          <cell r="B235">
            <v>229</v>
          </cell>
          <cell r="AY235">
            <v>1970</v>
          </cell>
        </row>
        <row r="236">
          <cell r="B236">
            <v>230</v>
          </cell>
          <cell r="AY236">
            <v>1786.7</v>
          </cell>
        </row>
        <row r="237">
          <cell r="B237">
            <v>231</v>
          </cell>
          <cell r="AY237">
            <v>2328.3000000000002</v>
          </cell>
        </row>
        <row r="238">
          <cell r="B238">
            <v>232</v>
          </cell>
          <cell r="AY238">
            <v>3261.5</v>
          </cell>
        </row>
        <row r="239">
          <cell r="B239">
            <v>233</v>
          </cell>
          <cell r="AY239">
            <v>1746</v>
          </cell>
        </row>
        <row r="240">
          <cell r="B240">
            <v>234</v>
          </cell>
          <cell r="AY240">
            <v>1659.3</v>
          </cell>
        </row>
        <row r="241">
          <cell r="B241">
            <v>235</v>
          </cell>
          <cell r="AY241">
            <v>3145.7</v>
          </cell>
        </row>
        <row r="242">
          <cell r="B242">
            <v>236</v>
          </cell>
          <cell r="AY242">
            <v>2341.9</v>
          </cell>
        </row>
        <row r="243">
          <cell r="B243">
            <v>237</v>
          </cell>
          <cell r="AY243">
            <v>2045</v>
          </cell>
        </row>
        <row r="244">
          <cell r="B244">
            <v>238</v>
          </cell>
          <cell r="AY244">
            <v>1758.9</v>
          </cell>
        </row>
        <row r="245">
          <cell r="B245">
            <v>239</v>
          </cell>
          <cell r="AY245">
            <v>1801.2</v>
          </cell>
        </row>
        <row r="246">
          <cell r="B246">
            <v>240</v>
          </cell>
          <cell r="AY246">
            <v>1129.9000000000001</v>
          </cell>
        </row>
        <row r="247">
          <cell r="B247">
            <v>241</v>
          </cell>
        </row>
        <row r="248">
          <cell r="B248">
            <v>242</v>
          </cell>
        </row>
        <row r="249">
          <cell r="B249">
            <v>243</v>
          </cell>
        </row>
        <row r="250">
          <cell r="B250">
            <v>244</v>
          </cell>
          <cell r="AY250">
            <v>1772.9</v>
          </cell>
        </row>
        <row r="251">
          <cell r="B251">
            <v>245</v>
          </cell>
        </row>
        <row r="252">
          <cell r="B252">
            <v>246</v>
          </cell>
        </row>
        <row r="253">
          <cell r="B253">
            <v>247</v>
          </cell>
        </row>
        <row r="254">
          <cell r="B254">
            <v>248</v>
          </cell>
        </row>
        <row r="255">
          <cell r="B255">
            <v>249</v>
          </cell>
        </row>
        <row r="256">
          <cell r="B256">
            <v>250</v>
          </cell>
          <cell r="AY256">
            <v>2777.3</v>
          </cell>
        </row>
        <row r="257">
          <cell r="B257">
            <v>251</v>
          </cell>
          <cell r="AY257">
            <v>1669.2</v>
          </cell>
        </row>
        <row r="258">
          <cell r="B258">
            <v>252</v>
          </cell>
          <cell r="AY258">
            <v>1970.6</v>
          </cell>
        </row>
        <row r="259">
          <cell r="B259">
            <v>253</v>
          </cell>
          <cell r="AY259">
            <v>1832.9</v>
          </cell>
        </row>
        <row r="260">
          <cell r="B260">
            <v>254</v>
          </cell>
          <cell r="AY260">
            <v>1864.9</v>
          </cell>
        </row>
        <row r="261">
          <cell r="B261">
            <v>255</v>
          </cell>
          <cell r="AY261">
            <v>3238.5</v>
          </cell>
        </row>
        <row r="262">
          <cell r="B262">
            <v>256</v>
          </cell>
          <cell r="AY262">
            <v>1676</v>
          </cell>
        </row>
        <row r="263">
          <cell r="B263">
            <v>257</v>
          </cell>
          <cell r="AY263">
            <v>4907.7</v>
          </cell>
        </row>
        <row r="264">
          <cell r="B264">
            <v>258</v>
          </cell>
        </row>
        <row r="265">
          <cell r="B265">
            <v>259</v>
          </cell>
        </row>
        <row r="266">
          <cell r="B266">
            <v>260</v>
          </cell>
        </row>
        <row r="267">
          <cell r="B267">
            <v>261</v>
          </cell>
        </row>
        <row r="268">
          <cell r="B268">
            <v>262</v>
          </cell>
        </row>
        <row r="269">
          <cell r="B269">
            <v>263</v>
          </cell>
        </row>
        <row r="270">
          <cell r="B270">
            <v>264</v>
          </cell>
        </row>
        <row r="271">
          <cell r="B271">
            <v>265</v>
          </cell>
        </row>
        <row r="272">
          <cell r="B272">
            <v>266</v>
          </cell>
        </row>
        <row r="273">
          <cell r="B273">
            <v>267</v>
          </cell>
        </row>
        <row r="274">
          <cell r="B274">
            <v>268</v>
          </cell>
        </row>
        <row r="275">
          <cell r="B275">
            <v>269</v>
          </cell>
          <cell r="AY275">
            <v>2511.5</v>
          </cell>
        </row>
        <row r="276">
          <cell r="B276">
            <v>270</v>
          </cell>
          <cell r="AY276">
            <v>2510</v>
          </cell>
        </row>
        <row r="277">
          <cell r="B277">
            <v>271</v>
          </cell>
          <cell r="AY277">
            <v>2326</v>
          </cell>
        </row>
        <row r="278">
          <cell r="B278">
            <v>272</v>
          </cell>
          <cell r="AY278">
            <v>1692.6</v>
          </cell>
        </row>
        <row r="279">
          <cell r="B279">
            <v>273</v>
          </cell>
        </row>
        <row r="280">
          <cell r="B280">
            <v>274</v>
          </cell>
        </row>
        <row r="281">
          <cell r="B281">
            <v>275</v>
          </cell>
        </row>
        <row r="282">
          <cell r="B282">
            <v>276</v>
          </cell>
        </row>
        <row r="283">
          <cell r="B283">
            <v>277</v>
          </cell>
        </row>
        <row r="284">
          <cell r="B284">
            <v>278</v>
          </cell>
        </row>
        <row r="285">
          <cell r="B285">
            <v>279</v>
          </cell>
        </row>
        <row r="286">
          <cell r="B286">
            <v>280</v>
          </cell>
        </row>
        <row r="287">
          <cell r="B287">
            <v>281</v>
          </cell>
        </row>
        <row r="288">
          <cell r="B288">
            <v>282</v>
          </cell>
        </row>
        <row r="289">
          <cell r="B289">
            <v>283</v>
          </cell>
        </row>
        <row r="290">
          <cell r="B290">
            <v>284</v>
          </cell>
        </row>
        <row r="291">
          <cell r="B291">
            <v>285</v>
          </cell>
        </row>
        <row r="292">
          <cell r="B292">
            <v>286</v>
          </cell>
        </row>
        <row r="293">
          <cell r="B293">
            <v>287</v>
          </cell>
        </row>
        <row r="294">
          <cell r="B294">
            <v>288</v>
          </cell>
        </row>
        <row r="295">
          <cell r="B295">
            <v>289</v>
          </cell>
        </row>
        <row r="296">
          <cell r="B296">
            <v>290</v>
          </cell>
        </row>
        <row r="297">
          <cell r="B297">
            <v>291</v>
          </cell>
        </row>
        <row r="298">
          <cell r="B298">
            <v>292</v>
          </cell>
        </row>
        <row r="299">
          <cell r="B299">
            <v>293</v>
          </cell>
        </row>
        <row r="300">
          <cell r="B300">
            <v>294</v>
          </cell>
        </row>
        <row r="301">
          <cell r="B301">
            <v>295</v>
          </cell>
        </row>
        <row r="302">
          <cell r="B302">
            <v>296</v>
          </cell>
        </row>
        <row r="303">
          <cell r="B303">
            <v>297</v>
          </cell>
        </row>
        <row r="304">
          <cell r="B304">
            <v>298</v>
          </cell>
        </row>
        <row r="305">
          <cell r="B305">
            <v>299</v>
          </cell>
        </row>
        <row r="306">
          <cell r="B306">
            <v>300</v>
          </cell>
        </row>
        <row r="307">
          <cell r="B307">
            <v>301</v>
          </cell>
          <cell r="AY307">
            <v>1745.6</v>
          </cell>
        </row>
        <row r="308">
          <cell r="B308">
            <v>302</v>
          </cell>
          <cell r="AY308">
            <v>2149.8000000000002</v>
          </cell>
        </row>
        <row r="309">
          <cell r="B309">
            <v>303</v>
          </cell>
          <cell r="AY309">
            <v>2880.6</v>
          </cell>
        </row>
        <row r="310">
          <cell r="B310">
            <v>304</v>
          </cell>
          <cell r="AY310">
            <v>2413.4</v>
          </cell>
        </row>
        <row r="311">
          <cell r="B311">
            <v>305</v>
          </cell>
          <cell r="AY311">
            <v>3436.8</v>
          </cell>
        </row>
        <row r="312">
          <cell r="B312">
            <v>306</v>
          </cell>
          <cell r="AY312">
            <v>3263.8</v>
          </cell>
        </row>
        <row r="313">
          <cell r="B313">
            <v>307</v>
          </cell>
          <cell r="AY313">
            <v>3896.3</v>
          </cell>
        </row>
        <row r="314">
          <cell r="B314">
            <v>308</v>
          </cell>
          <cell r="AY314">
            <v>4848.1000000000004</v>
          </cell>
        </row>
        <row r="315">
          <cell r="B315">
            <v>309</v>
          </cell>
          <cell r="AY315">
            <v>3638.6</v>
          </cell>
        </row>
        <row r="316">
          <cell r="B316">
            <v>310</v>
          </cell>
          <cell r="AY316">
            <v>1394.7</v>
          </cell>
        </row>
        <row r="317">
          <cell r="B317">
            <v>311</v>
          </cell>
          <cell r="AY317">
            <v>1445.7</v>
          </cell>
        </row>
        <row r="318">
          <cell r="B318">
            <v>312</v>
          </cell>
        </row>
        <row r="319">
          <cell r="B319">
            <v>313</v>
          </cell>
        </row>
        <row r="320">
          <cell r="B320">
            <v>314</v>
          </cell>
        </row>
        <row r="321">
          <cell r="B321">
            <v>315</v>
          </cell>
          <cell r="AY321">
            <v>3387.8</v>
          </cell>
        </row>
        <row r="322">
          <cell r="B322">
            <v>316</v>
          </cell>
          <cell r="AY322">
            <v>3295.2</v>
          </cell>
        </row>
        <row r="323">
          <cell r="B323">
            <v>317</v>
          </cell>
          <cell r="AY323">
            <v>3453.5</v>
          </cell>
        </row>
        <row r="324">
          <cell r="B324">
            <v>318</v>
          </cell>
          <cell r="AY324">
            <v>1983</v>
          </cell>
        </row>
        <row r="325">
          <cell r="B325">
            <v>319</v>
          </cell>
          <cell r="AY325">
            <v>1839.8</v>
          </cell>
        </row>
        <row r="326">
          <cell r="B326">
            <v>320</v>
          </cell>
          <cell r="AY326">
            <v>3266.7</v>
          </cell>
        </row>
        <row r="327">
          <cell r="B327">
            <v>321</v>
          </cell>
          <cell r="AY327">
            <v>3882</v>
          </cell>
        </row>
        <row r="328">
          <cell r="B328">
            <v>322</v>
          </cell>
          <cell r="AY328">
            <v>2090.9</v>
          </cell>
        </row>
        <row r="329">
          <cell r="B329">
            <v>323</v>
          </cell>
          <cell r="AY329">
            <v>1639.7</v>
          </cell>
        </row>
        <row r="330">
          <cell r="B330">
            <v>324</v>
          </cell>
          <cell r="AY330">
            <v>1889.5</v>
          </cell>
        </row>
        <row r="331">
          <cell r="B331">
            <v>325</v>
          </cell>
          <cell r="AY331">
            <v>1597.4</v>
          </cell>
        </row>
        <row r="332">
          <cell r="B332">
            <v>326</v>
          </cell>
          <cell r="AY332">
            <v>4386.8</v>
          </cell>
        </row>
        <row r="333">
          <cell r="B333">
            <v>327</v>
          </cell>
          <cell r="AY333">
            <v>1946.7</v>
          </cell>
        </row>
        <row r="334">
          <cell r="B334">
            <v>328</v>
          </cell>
          <cell r="AY334">
            <v>1489.4</v>
          </cell>
        </row>
        <row r="335">
          <cell r="B335">
            <v>329</v>
          </cell>
          <cell r="AY335">
            <v>2277.6999999999998</v>
          </cell>
        </row>
        <row r="336">
          <cell r="B336">
            <v>330</v>
          </cell>
          <cell r="AY336">
            <v>3354.2</v>
          </cell>
        </row>
        <row r="337">
          <cell r="B337">
            <v>331</v>
          </cell>
          <cell r="AY337">
            <v>2041</v>
          </cell>
        </row>
        <row r="338">
          <cell r="B338">
            <v>332</v>
          </cell>
          <cell r="AY338">
            <v>3315.5</v>
          </cell>
        </row>
        <row r="339">
          <cell r="B339">
            <v>333</v>
          </cell>
          <cell r="AY339">
            <v>2041</v>
          </cell>
        </row>
        <row r="340">
          <cell r="B340">
            <v>334</v>
          </cell>
          <cell r="AY340">
            <v>2449.1999999999998</v>
          </cell>
        </row>
        <row r="341">
          <cell r="B341">
            <v>335</v>
          </cell>
          <cell r="AY341">
            <v>3641.9</v>
          </cell>
        </row>
        <row r="342">
          <cell r="B342">
            <v>336</v>
          </cell>
          <cell r="AY342">
            <v>3375.5</v>
          </cell>
        </row>
        <row r="343">
          <cell r="B343">
            <v>337</v>
          </cell>
          <cell r="AY343">
            <v>1664.5</v>
          </cell>
        </row>
        <row r="344">
          <cell r="B344">
            <v>338</v>
          </cell>
          <cell r="AY344">
            <v>1334.2</v>
          </cell>
        </row>
        <row r="345">
          <cell r="B345">
            <v>339</v>
          </cell>
        </row>
        <row r="346">
          <cell r="B346">
            <v>340</v>
          </cell>
        </row>
        <row r="347">
          <cell r="B347">
            <v>341</v>
          </cell>
        </row>
        <row r="348">
          <cell r="B348">
            <v>342</v>
          </cell>
        </row>
        <row r="349">
          <cell r="B349">
            <v>343</v>
          </cell>
        </row>
        <row r="350">
          <cell r="B350">
            <v>344</v>
          </cell>
        </row>
        <row r="351">
          <cell r="B351">
            <v>345</v>
          </cell>
        </row>
        <row r="352">
          <cell r="B352">
            <v>346</v>
          </cell>
        </row>
        <row r="353">
          <cell r="B353">
            <v>347</v>
          </cell>
          <cell r="AY353">
            <v>2105.6</v>
          </cell>
        </row>
        <row r="354">
          <cell r="B354">
            <v>348</v>
          </cell>
          <cell r="AY354">
            <v>1642.9</v>
          </cell>
        </row>
        <row r="355">
          <cell r="B355">
            <v>349</v>
          </cell>
          <cell r="AY355">
            <v>1813.3</v>
          </cell>
        </row>
        <row r="356">
          <cell r="B356">
            <v>350</v>
          </cell>
          <cell r="AY356">
            <v>3533.1</v>
          </cell>
        </row>
        <row r="357">
          <cell r="B357">
            <v>351</v>
          </cell>
          <cell r="AY357">
            <v>1956.8</v>
          </cell>
        </row>
        <row r="358">
          <cell r="B358">
            <v>352</v>
          </cell>
          <cell r="AY358">
            <v>1516.3</v>
          </cell>
        </row>
        <row r="359">
          <cell r="B359">
            <v>353</v>
          </cell>
          <cell r="AY359">
            <v>3236.7</v>
          </cell>
        </row>
        <row r="360">
          <cell r="B360">
            <v>354</v>
          </cell>
          <cell r="AY360">
            <v>3476</v>
          </cell>
        </row>
        <row r="361">
          <cell r="B361">
            <v>355</v>
          </cell>
          <cell r="AY361">
            <v>2601.1</v>
          </cell>
        </row>
        <row r="362">
          <cell r="B362">
            <v>356</v>
          </cell>
          <cell r="AY362">
            <v>2086.6999999999998</v>
          </cell>
        </row>
        <row r="363">
          <cell r="B363">
            <v>357</v>
          </cell>
          <cell r="AY363">
            <v>1959.4</v>
          </cell>
        </row>
        <row r="364">
          <cell r="B364">
            <v>358</v>
          </cell>
          <cell r="AY364">
            <v>2239.8000000000002</v>
          </cell>
        </row>
        <row r="365">
          <cell r="B365">
            <v>359</v>
          </cell>
        </row>
        <row r="366">
          <cell r="B366">
            <v>360</v>
          </cell>
        </row>
        <row r="367">
          <cell r="B367">
            <v>361</v>
          </cell>
        </row>
        <row r="368">
          <cell r="B368">
            <v>362</v>
          </cell>
        </row>
        <row r="369">
          <cell r="B369">
            <v>363</v>
          </cell>
          <cell r="AY369">
            <v>1710.9</v>
          </cell>
        </row>
        <row r="370">
          <cell r="B370">
            <v>364</v>
          </cell>
          <cell r="AY370">
            <v>2419.5</v>
          </cell>
        </row>
        <row r="371">
          <cell r="B371">
            <v>365</v>
          </cell>
          <cell r="AY371">
            <v>2496.6999999999998</v>
          </cell>
        </row>
        <row r="372">
          <cell r="B372">
            <v>366</v>
          </cell>
        </row>
        <row r="373">
          <cell r="B373">
            <v>367</v>
          </cell>
        </row>
        <row r="374">
          <cell r="B374">
            <v>368</v>
          </cell>
        </row>
        <row r="375">
          <cell r="B375">
            <v>369</v>
          </cell>
        </row>
        <row r="376">
          <cell r="B376">
            <v>370</v>
          </cell>
        </row>
        <row r="377">
          <cell r="B377">
            <v>371</v>
          </cell>
          <cell r="AY377">
            <v>3441.1</v>
          </cell>
        </row>
        <row r="378">
          <cell r="B378">
            <v>372</v>
          </cell>
          <cell r="AY378">
            <v>1178.4000000000001</v>
          </cell>
        </row>
        <row r="379">
          <cell r="B379">
            <v>373</v>
          </cell>
          <cell r="AY379">
            <v>944.9</v>
          </cell>
        </row>
        <row r="380">
          <cell r="B380">
            <v>374</v>
          </cell>
          <cell r="AY380">
            <v>542.20000000000005</v>
          </cell>
        </row>
        <row r="381">
          <cell r="B381">
            <v>375</v>
          </cell>
          <cell r="AY381">
            <v>2045.6</v>
          </cell>
        </row>
        <row r="382">
          <cell r="B382">
            <v>376</v>
          </cell>
          <cell r="AY382">
            <v>1479.8</v>
          </cell>
        </row>
        <row r="383">
          <cell r="B383">
            <v>377</v>
          </cell>
          <cell r="AY383">
            <v>2281.6</v>
          </cell>
        </row>
        <row r="384">
          <cell r="B384">
            <v>378</v>
          </cell>
          <cell r="AY384">
            <v>1590</v>
          </cell>
        </row>
        <row r="385">
          <cell r="B385">
            <v>379</v>
          </cell>
          <cell r="AY385">
            <v>1801.3</v>
          </cell>
        </row>
        <row r="386">
          <cell r="B386">
            <v>380</v>
          </cell>
          <cell r="AY386">
            <v>3390.1</v>
          </cell>
        </row>
        <row r="387">
          <cell r="B387">
            <v>381</v>
          </cell>
          <cell r="AY387">
            <v>3456</v>
          </cell>
        </row>
        <row r="388">
          <cell r="B388">
            <v>382</v>
          </cell>
          <cell r="AY388">
            <v>1586.4</v>
          </cell>
        </row>
        <row r="389">
          <cell r="B389">
            <v>383</v>
          </cell>
          <cell r="AY389">
            <v>3349.5</v>
          </cell>
        </row>
        <row r="390">
          <cell r="B390">
            <v>384</v>
          </cell>
          <cell r="AY390">
            <v>1659.5</v>
          </cell>
        </row>
        <row r="391">
          <cell r="B391">
            <v>385</v>
          </cell>
          <cell r="AY391">
            <v>2216.6999999999998</v>
          </cell>
        </row>
        <row r="392">
          <cell r="B392">
            <v>386</v>
          </cell>
          <cell r="AY392">
            <v>2075.3000000000002</v>
          </cell>
        </row>
        <row r="393">
          <cell r="B393">
            <v>387</v>
          </cell>
          <cell r="AY393">
            <v>3344.7</v>
          </cell>
        </row>
        <row r="394">
          <cell r="B394">
            <v>388</v>
          </cell>
          <cell r="AY394">
            <v>3481.4</v>
          </cell>
        </row>
        <row r="395">
          <cell r="B395">
            <v>389</v>
          </cell>
          <cell r="AY395">
            <v>2225.1</v>
          </cell>
        </row>
        <row r="396">
          <cell r="B396">
            <v>390</v>
          </cell>
          <cell r="AY396">
            <v>2681.1</v>
          </cell>
        </row>
        <row r="397">
          <cell r="B397">
            <v>391</v>
          </cell>
          <cell r="AY397">
            <v>2567.6999999999998</v>
          </cell>
        </row>
        <row r="398">
          <cell r="B398">
            <v>392</v>
          </cell>
          <cell r="AY398">
            <v>3747</v>
          </cell>
        </row>
        <row r="399">
          <cell r="B399">
            <v>393</v>
          </cell>
          <cell r="AY399">
            <v>1408.7</v>
          </cell>
        </row>
        <row r="400">
          <cell r="B400">
            <v>394</v>
          </cell>
          <cell r="AY400">
            <v>2930.4</v>
          </cell>
        </row>
        <row r="401">
          <cell r="B401">
            <v>395</v>
          </cell>
          <cell r="AY401">
            <v>2062.1999999999998</v>
          </cell>
        </row>
        <row r="402">
          <cell r="B402">
            <v>396</v>
          </cell>
          <cell r="AY402">
            <v>530.20000000000005</v>
          </cell>
        </row>
        <row r="403">
          <cell r="B403">
            <v>397</v>
          </cell>
          <cell r="AY403">
            <v>801.1</v>
          </cell>
        </row>
        <row r="404">
          <cell r="B404">
            <v>398</v>
          </cell>
          <cell r="AY404">
            <v>1791.5</v>
          </cell>
        </row>
        <row r="405">
          <cell r="B405">
            <v>399</v>
          </cell>
          <cell r="AY405">
            <v>4346.8</v>
          </cell>
        </row>
        <row r="406">
          <cell r="B406">
            <v>400</v>
          </cell>
        </row>
        <row r="407">
          <cell r="B407">
            <v>401</v>
          </cell>
        </row>
        <row r="408">
          <cell r="B408">
            <v>402</v>
          </cell>
        </row>
        <row r="409">
          <cell r="B409">
            <v>403</v>
          </cell>
          <cell r="AY409">
            <v>1632.5</v>
          </cell>
        </row>
        <row r="410">
          <cell r="B410">
            <v>404</v>
          </cell>
          <cell r="AY410">
            <v>1830.6</v>
          </cell>
        </row>
        <row r="411">
          <cell r="B411">
            <v>405</v>
          </cell>
          <cell r="AY411">
            <v>1768.1</v>
          </cell>
        </row>
        <row r="412">
          <cell r="B412">
            <v>406</v>
          </cell>
          <cell r="AY412">
            <v>2246.1</v>
          </cell>
        </row>
        <row r="413">
          <cell r="B413">
            <v>407</v>
          </cell>
          <cell r="AY413">
            <v>1977.8</v>
          </cell>
        </row>
        <row r="414">
          <cell r="B414">
            <v>408</v>
          </cell>
          <cell r="AY414">
            <v>3279.9</v>
          </cell>
        </row>
        <row r="415">
          <cell r="B415">
            <v>409</v>
          </cell>
          <cell r="AY415">
            <v>1364.1</v>
          </cell>
        </row>
        <row r="416">
          <cell r="B416">
            <v>410</v>
          </cell>
          <cell r="AY416">
            <v>1347.5</v>
          </cell>
        </row>
        <row r="417">
          <cell r="B417">
            <v>411</v>
          </cell>
          <cell r="AY417">
            <v>3304.9</v>
          </cell>
        </row>
        <row r="418">
          <cell r="B418">
            <v>412</v>
          </cell>
          <cell r="AY418">
            <v>3219.7</v>
          </cell>
        </row>
        <row r="419">
          <cell r="B419">
            <v>413</v>
          </cell>
          <cell r="AY419">
            <v>3263.7</v>
          </cell>
        </row>
        <row r="420">
          <cell r="B420">
            <v>414</v>
          </cell>
          <cell r="AY420">
            <v>3279.3</v>
          </cell>
        </row>
        <row r="421">
          <cell r="B421">
            <v>415</v>
          </cell>
          <cell r="AY421">
            <v>2531.4</v>
          </cell>
        </row>
        <row r="422">
          <cell r="B422">
            <v>416</v>
          </cell>
          <cell r="AY422">
            <v>1718.4</v>
          </cell>
        </row>
        <row r="423">
          <cell r="B423">
            <v>417</v>
          </cell>
          <cell r="AY423">
            <v>3836.1</v>
          </cell>
        </row>
        <row r="424">
          <cell r="B424">
            <v>418</v>
          </cell>
        </row>
        <row r="425">
          <cell r="B425">
            <v>419</v>
          </cell>
        </row>
        <row r="426">
          <cell r="B426">
            <v>420</v>
          </cell>
          <cell r="AY426">
            <v>3320.5</v>
          </cell>
        </row>
        <row r="427">
          <cell r="B427">
            <v>421</v>
          </cell>
        </row>
        <row r="428">
          <cell r="B428">
            <v>422</v>
          </cell>
          <cell r="AY428">
            <v>4571.7</v>
          </cell>
        </row>
        <row r="429">
          <cell r="B429">
            <v>423</v>
          </cell>
          <cell r="AY429">
            <v>2138.6</v>
          </cell>
        </row>
        <row r="430">
          <cell r="B430">
            <v>424</v>
          </cell>
          <cell r="AY430">
            <v>2</v>
          </cell>
        </row>
        <row r="431">
          <cell r="B431">
            <v>425</v>
          </cell>
          <cell r="AY431">
            <v>3925.3</v>
          </cell>
        </row>
        <row r="432">
          <cell r="B432">
            <v>426</v>
          </cell>
          <cell r="AY432">
            <v>2440.8000000000002</v>
          </cell>
        </row>
        <row r="433">
          <cell r="B433">
            <v>427</v>
          </cell>
          <cell r="AY433">
            <v>1988.1</v>
          </cell>
        </row>
        <row r="434">
          <cell r="B434">
            <v>428</v>
          </cell>
          <cell r="AY434">
            <v>1599.4</v>
          </cell>
        </row>
        <row r="435">
          <cell r="B435">
            <v>429</v>
          </cell>
          <cell r="AY435">
            <v>3434.3</v>
          </cell>
        </row>
        <row r="436">
          <cell r="B436">
            <v>430</v>
          </cell>
          <cell r="AY436">
            <v>1355.1</v>
          </cell>
        </row>
        <row r="437">
          <cell r="B437">
            <v>431</v>
          </cell>
          <cell r="AY437">
            <v>1993.2</v>
          </cell>
        </row>
        <row r="438">
          <cell r="B438">
            <v>432</v>
          </cell>
          <cell r="AY438">
            <v>2445.6999999999998</v>
          </cell>
        </row>
        <row r="439">
          <cell r="B439">
            <v>433</v>
          </cell>
          <cell r="AY439">
            <v>1330.7</v>
          </cell>
        </row>
        <row r="440">
          <cell r="B440">
            <v>434</v>
          </cell>
          <cell r="AY440">
            <v>2</v>
          </cell>
        </row>
        <row r="441">
          <cell r="B441">
            <v>435</v>
          </cell>
          <cell r="AY441">
            <v>2378.9</v>
          </cell>
        </row>
        <row r="442">
          <cell r="B442">
            <v>436</v>
          </cell>
          <cell r="AY442">
            <v>1533.3</v>
          </cell>
        </row>
        <row r="443">
          <cell r="B443">
            <v>437</v>
          </cell>
        </row>
        <row r="444">
          <cell r="B444">
            <v>438</v>
          </cell>
        </row>
        <row r="445">
          <cell r="B445">
            <v>439</v>
          </cell>
          <cell r="AY445">
            <v>1582.7</v>
          </cell>
        </row>
        <row r="446">
          <cell r="B446">
            <v>440</v>
          </cell>
          <cell r="AY446">
            <v>1567</v>
          </cell>
        </row>
        <row r="447">
          <cell r="B447">
            <v>441</v>
          </cell>
        </row>
        <row r="448">
          <cell r="B448">
            <v>442</v>
          </cell>
        </row>
        <row r="449">
          <cell r="B449">
            <v>443</v>
          </cell>
          <cell r="AY449">
            <v>1954.5</v>
          </cell>
        </row>
        <row r="450">
          <cell r="B450">
            <v>444</v>
          </cell>
          <cell r="AY450">
            <v>2940.7</v>
          </cell>
        </row>
        <row r="451">
          <cell r="B451">
            <v>445</v>
          </cell>
          <cell r="AY451">
            <v>810.7</v>
          </cell>
        </row>
        <row r="452">
          <cell r="B452">
            <v>446</v>
          </cell>
          <cell r="AY452">
            <v>1316.1</v>
          </cell>
        </row>
        <row r="453">
          <cell r="B453">
            <v>447</v>
          </cell>
        </row>
        <row r="454">
          <cell r="B454">
            <v>448</v>
          </cell>
          <cell r="AY454">
            <v>879.4</v>
          </cell>
        </row>
        <row r="455">
          <cell r="B455">
            <v>449</v>
          </cell>
          <cell r="AY455">
            <v>529.5</v>
          </cell>
        </row>
        <row r="456">
          <cell r="B456">
            <v>450</v>
          </cell>
        </row>
        <row r="457">
          <cell r="B457">
            <v>451</v>
          </cell>
        </row>
        <row r="458">
          <cell r="B458">
            <v>452</v>
          </cell>
          <cell r="AY458">
            <v>2255.4</v>
          </cell>
        </row>
        <row r="459">
          <cell r="B459">
            <v>453</v>
          </cell>
        </row>
        <row r="460">
          <cell r="B460">
            <v>454</v>
          </cell>
        </row>
        <row r="461">
          <cell r="B461">
            <v>455</v>
          </cell>
        </row>
        <row r="462">
          <cell r="B462">
            <v>456</v>
          </cell>
        </row>
        <row r="463">
          <cell r="B463">
            <v>457</v>
          </cell>
        </row>
        <row r="464">
          <cell r="B464">
            <v>458</v>
          </cell>
        </row>
        <row r="465">
          <cell r="B465">
            <v>459</v>
          </cell>
        </row>
        <row r="466">
          <cell r="B466">
            <v>460</v>
          </cell>
        </row>
        <row r="467">
          <cell r="B467">
            <v>461</v>
          </cell>
          <cell r="AY467">
            <v>289.8</v>
          </cell>
        </row>
        <row r="468">
          <cell r="B468">
            <v>462</v>
          </cell>
          <cell r="AY468">
            <v>174.5</v>
          </cell>
        </row>
        <row r="469">
          <cell r="B469">
            <v>463</v>
          </cell>
          <cell r="AY469">
            <v>259.10000000000002</v>
          </cell>
        </row>
        <row r="470">
          <cell r="B470">
            <v>464</v>
          </cell>
          <cell r="AY470">
            <v>198.9</v>
          </cell>
        </row>
        <row r="471">
          <cell r="B471">
            <v>465</v>
          </cell>
          <cell r="AY471">
            <v>840.3</v>
          </cell>
        </row>
        <row r="472">
          <cell r="B472">
            <v>466</v>
          </cell>
          <cell r="AY472">
            <v>867</v>
          </cell>
        </row>
        <row r="473">
          <cell r="B473">
            <v>467</v>
          </cell>
        </row>
        <row r="474">
          <cell r="B474">
            <v>468</v>
          </cell>
        </row>
        <row r="475">
          <cell r="B475">
            <v>469</v>
          </cell>
        </row>
        <row r="476">
          <cell r="B476">
            <v>470</v>
          </cell>
        </row>
        <row r="477">
          <cell r="B477">
            <v>471</v>
          </cell>
        </row>
        <row r="478">
          <cell r="B478">
            <v>472</v>
          </cell>
        </row>
        <row r="479">
          <cell r="B479">
            <v>473</v>
          </cell>
        </row>
        <row r="480">
          <cell r="B480">
            <v>474</v>
          </cell>
        </row>
        <row r="481">
          <cell r="B481">
            <v>475</v>
          </cell>
        </row>
        <row r="482">
          <cell r="B482">
            <v>476</v>
          </cell>
        </row>
        <row r="483">
          <cell r="B483">
            <v>477</v>
          </cell>
        </row>
        <row r="484">
          <cell r="B484">
            <v>478</v>
          </cell>
          <cell r="AY484">
            <v>2462</v>
          </cell>
        </row>
        <row r="485">
          <cell r="B485">
            <v>479</v>
          </cell>
          <cell r="AY485">
            <v>1780.6</v>
          </cell>
        </row>
        <row r="486">
          <cell r="B486">
            <v>480</v>
          </cell>
        </row>
        <row r="487">
          <cell r="B487">
            <v>481</v>
          </cell>
        </row>
        <row r="488">
          <cell r="B488">
            <v>482</v>
          </cell>
        </row>
        <row r="489">
          <cell r="B489">
            <v>483</v>
          </cell>
        </row>
        <row r="490">
          <cell r="B490">
            <v>484</v>
          </cell>
        </row>
        <row r="491">
          <cell r="B491">
            <v>485</v>
          </cell>
        </row>
        <row r="492">
          <cell r="B492">
            <v>486</v>
          </cell>
          <cell r="AY492">
            <v>2</v>
          </cell>
        </row>
        <row r="493">
          <cell r="B493">
            <v>487</v>
          </cell>
          <cell r="AY493">
            <v>2</v>
          </cell>
        </row>
        <row r="494">
          <cell r="B494">
            <v>488</v>
          </cell>
          <cell r="AY494">
            <v>2</v>
          </cell>
        </row>
        <row r="495">
          <cell r="B495">
            <v>489</v>
          </cell>
          <cell r="AY495">
            <v>2</v>
          </cell>
        </row>
        <row r="496">
          <cell r="B496">
            <v>490</v>
          </cell>
          <cell r="AY496">
            <v>2</v>
          </cell>
        </row>
        <row r="497">
          <cell r="B497">
            <v>491</v>
          </cell>
          <cell r="AY497">
            <v>2</v>
          </cell>
        </row>
        <row r="498">
          <cell r="B498">
            <v>492</v>
          </cell>
          <cell r="AY498">
            <v>2</v>
          </cell>
        </row>
        <row r="499">
          <cell r="B499">
            <v>493</v>
          </cell>
          <cell r="AY499">
            <v>2</v>
          </cell>
        </row>
        <row r="500">
          <cell r="B500">
            <v>494</v>
          </cell>
          <cell r="AY500">
            <v>2</v>
          </cell>
        </row>
        <row r="501">
          <cell r="B501">
            <v>495</v>
          </cell>
          <cell r="AY501">
            <v>2</v>
          </cell>
        </row>
        <row r="502">
          <cell r="B502">
            <v>496</v>
          </cell>
          <cell r="AY502">
            <v>2</v>
          </cell>
        </row>
        <row r="503">
          <cell r="B503">
            <v>497</v>
          </cell>
          <cell r="AY503">
            <v>2</v>
          </cell>
        </row>
        <row r="504">
          <cell r="B504">
            <v>498</v>
          </cell>
          <cell r="AY504">
            <v>1747.1</v>
          </cell>
        </row>
        <row r="505">
          <cell r="B505">
            <v>499</v>
          </cell>
          <cell r="AY505">
            <v>2</v>
          </cell>
        </row>
        <row r="506">
          <cell r="B506">
            <v>500</v>
          </cell>
          <cell r="AY506">
            <v>5759.2</v>
          </cell>
        </row>
        <row r="507">
          <cell r="B507">
            <v>501</v>
          </cell>
          <cell r="AY507">
            <v>1540.9</v>
          </cell>
        </row>
        <row r="508">
          <cell r="B508">
            <v>502</v>
          </cell>
          <cell r="AY508">
            <v>1139.9000000000001</v>
          </cell>
        </row>
        <row r="509">
          <cell r="B509">
            <v>503</v>
          </cell>
          <cell r="AY509">
            <v>1334.5</v>
          </cell>
        </row>
        <row r="510">
          <cell r="B510">
            <v>504</v>
          </cell>
          <cell r="AY510">
            <v>816</v>
          </cell>
        </row>
        <row r="511">
          <cell r="B511">
            <v>505</v>
          </cell>
          <cell r="AY511">
            <v>5696.5</v>
          </cell>
        </row>
        <row r="512">
          <cell r="B512">
            <v>506</v>
          </cell>
          <cell r="AY512">
            <v>9767</v>
          </cell>
        </row>
        <row r="513">
          <cell r="B513">
            <v>507</v>
          </cell>
          <cell r="AY513">
            <v>5863.5</v>
          </cell>
        </row>
        <row r="514">
          <cell r="B514">
            <v>508</v>
          </cell>
          <cell r="AY514">
            <v>5316.5</v>
          </cell>
        </row>
        <row r="515">
          <cell r="B515">
            <v>509</v>
          </cell>
          <cell r="AY515">
            <v>25518.9</v>
          </cell>
        </row>
        <row r="516">
          <cell r="B516">
            <v>510</v>
          </cell>
          <cell r="AY516">
            <v>5946.9</v>
          </cell>
        </row>
        <row r="517">
          <cell r="B517">
            <v>511</v>
          </cell>
          <cell r="AY517">
            <v>3300.9</v>
          </cell>
        </row>
        <row r="518">
          <cell r="B518">
            <v>512</v>
          </cell>
          <cell r="AY518">
            <v>1608.3</v>
          </cell>
        </row>
        <row r="519">
          <cell r="B519">
            <v>513</v>
          </cell>
        </row>
        <row r="520">
          <cell r="B520">
            <v>514</v>
          </cell>
        </row>
        <row r="521">
          <cell r="B521">
            <v>515</v>
          </cell>
        </row>
        <row r="522">
          <cell r="B522">
            <v>516</v>
          </cell>
        </row>
        <row r="523">
          <cell r="B523">
            <v>517</v>
          </cell>
        </row>
        <row r="524">
          <cell r="B524">
            <v>518</v>
          </cell>
        </row>
        <row r="525">
          <cell r="B525">
            <v>519</v>
          </cell>
        </row>
        <row r="526">
          <cell r="B526">
            <v>520</v>
          </cell>
        </row>
        <row r="527">
          <cell r="B527">
            <v>521</v>
          </cell>
        </row>
        <row r="528">
          <cell r="B528">
            <v>522</v>
          </cell>
        </row>
        <row r="529">
          <cell r="B529">
            <v>523</v>
          </cell>
        </row>
        <row r="530">
          <cell r="B530">
            <v>524</v>
          </cell>
        </row>
        <row r="531">
          <cell r="B531">
            <v>525</v>
          </cell>
        </row>
        <row r="532">
          <cell r="B532">
            <v>526</v>
          </cell>
        </row>
        <row r="533">
          <cell r="B533">
            <v>527</v>
          </cell>
        </row>
        <row r="534">
          <cell r="B534">
            <v>528</v>
          </cell>
        </row>
        <row r="535">
          <cell r="B535">
            <v>529</v>
          </cell>
        </row>
        <row r="536">
          <cell r="B536">
            <v>530</v>
          </cell>
          <cell r="AY536">
            <v>1235.5999999999999</v>
          </cell>
        </row>
        <row r="537">
          <cell r="B537">
            <v>531</v>
          </cell>
        </row>
        <row r="538">
          <cell r="B538">
            <v>532</v>
          </cell>
        </row>
        <row r="539">
          <cell r="B539">
            <v>533</v>
          </cell>
        </row>
        <row r="540">
          <cell r="B540">
            <v>534</v>
          </cell>
        </row>
        <row r="541">
          <cell r="B541">
            <v>535</v>
          </cell>
        </row>
        <row r="542">
          <cell r="B542">
            <v>536</v>
          </cell>
        </row>
        <row r="543">
          <cell r="B543">
            <v>537</v>
          </cell>
        </row>
        <row r="544">
          <cell r="B544">
            <v>538</v>
          </cell>
          <cell r="AY544">
            <v>4329.5</v>
          </cell>
        </row>
        <row r="545">
          <cell r="B545">
            <v>539</v>
          </cell>
          <cell r="AY545">
            <v>4220.7</v>
          </cell>
        </row>
        <row r="546">
          <cell r="B546">
            <v>540</v>
          </cell>
          <cell r="AY546">
            <v>4692</v>
          </cell>
        </row>
        <row r="547">
          <cell r="B547">
            <v>541</v>
          </cell>
          <cell r="AY547">
            <v>2682.9</v>
          </cell>
        </row>
        <row r="548">
          <cell r="B548">
            <v>542</v>
          </cell>
          <cell r="AY548">
            <v>3329.8</v>
          </cell>
        </row>
        <row r="549">
          <cell r="B549">
            <v>543</v>
          </cell>
          <cell r="AY549">
            <v>330.4</v>
          </cell>
        </row>
        <row r="550">
          <cell r="B550">
            <v>544</v>
          </cell>
          <cell r="AY550">
            <v>343.3</v>
          </cell>
        </row>
        <row r="551">
          <cell r="B551">
            <v>545</v>
          </cell>
          <cell r="AY551">
            <v>324.8</v>
          </cell>
        </row>
        <row r="552">
          <cell r="B552">
            <v>546</v>
          </cell>
          <cell r="AY552">
            <v>2584.6999999999998</v>
          </cell>
        </row>
        <row r="553">
          <cell r="B553">
            <v>547</v>
          </cell>
          <cell r="AY553">
            <v>1752.2</v>
          </cell>
        </row>
        <row r="554">
          <cell r="B554">
            <v>548</v>
          </cell>
          <cell r="AY554">
            <v>1717.7</v>
          </cell>
        </row>
        <row r="555">
          <cell r="B555">
            <v>549</v>
          </cell>
          <cell r="AY555">
            <v>1382.9</v>
          </cell>
        </row>
        <row r="556">
          <cell r="B556">
            <v>550</v>
          </cell>
          <cell r="AY556">
            <v>1479.6</v>
          </cell>
        </row>
        <row r="557">
          <cell r="B557">
            <v>551</v>
          </cell>
          <cell r="AY557">
            <v>2140.6</v>
          </cell>
        </row>
        <row r="558">
          <cell r="B558">
            <v>552</v>
          </cell>
          <cell r="AY558">
            <v>1380.2</v>
          </cell>
        </row>
        <row r="559">
          <cell r="B559">
            <v>553</v>
          </cell>
          <cell r="AY559">
            <v>2387.8000000000002</v>
          </cell>
        </row>
        <row r="560">
          <cell r="B560">
            <v>554</v>
          </cell>
          <cell r="AY560">
            <v>687.5</v>
          </cell>
        </row>
        <row r="561">
          <cell r="B561">
            <v>555</v>
          </cell>
          <cell r="AY561">
            <v>1817.6</v>
          </cell>
        </row>
        <row r="562">
          <cell r="B562">
            <v>556</v>
          </cell>
          <cell r="AY562">
            <v>1442.7</v>
          </cell>
        </row>
        <row r="563">
          <cell r="B563">
            <v>557</v>
          </cell>
          <cell r="AY563">
            <v>3307.8</v>
          </cell>
        </row>
        <row r="564">
          <cell r="B564">
            <v>558</v>
          </cell>
          <cell r="AY564">
            <v>3268</v>
          </cell>
        </row>
        <row r="565">
          <cell r="B565">
            <v>559</v>
          </cell>
          <cell r="AY565">
            <v>1921.8</v>
          </cell>
        </row>
        <row r="566">
          <cell r="B566">
            <v>560</v>
          </cell>
          <cell r="AY566">
            <v>785</v>
          </cell>
        </row>
        <row r="567">
          <cell r="B567">
            <v>561</v>
          </cell>
          <cell r="AY567">
            <v>1684.4</v>
          </cell>
        </row>
        <row r="568">
          <cell r="B568">
            <v>562</v>
          </cell>
          <cell r="AY568">
            <v>2111.6999999999998</v>
          </cell>
        </row>
        <row r="569">
          <cell r="B569">
            <v>563</v>
          </cell>
          <cell r="AY569">
            <v>2310.3000000000002</v>
          </cell>
        </row>
        <row r="570">
          <cell r="B570">
            <v>564</v>
          </cell>
          <cell r="AY570">
            <v>1413.8</v>
          </cell>
        </row>
        <row r="571">
          <cell r="B571">
            <v>565</v>
          </cell>
        </row>
        <row r="572">
          <cell r="B572">
            <v>566</v>
          </cell>
        </row>
        <row r="573">
          <cell r="B573">
            <v>567</v>
          </cell>
        </row>
        <row r="574">
          <cell r="B574">
            <v>568</v>
          </cell>
        </row>
        <row r="575">
          <cell r="B575">
            <v>569</v>
          </cell>
        </row>
        <row r="576">
          <cell r="B576">
            <v>570</v>
          </cell>
          <cell r="AY576">
            <v>938.1</v>
          </cell>
        </row>
        <row r="577">
          <cell r="B577">
            <v>571</v>
          </cell>
          <cell r="AY577">
            <v>1208.8</v>
          </cell>
        </row>
        <row r="578">
          <cell r="B578">
            <v>572</v>
          </cell>
          <cell r="AY578">
            <v>1147.3</v>
          </cell>
        </row>
        <row r="579">
          <cell r="B579">
            <v>573</v>
          </cell>
          <cell r="AY579">
            <v>1460.7</v>
          </cell>
        </row>
        <row r="580">
          <cell r="B580">
            <v>574</v>
          </cell>
          <cell r="AY580">
            <v>1158.4000000000001</v>
          </cell>
        </row>
        <row r="581">
          <cell r="B581">
            <v>575</v>
          </cell>
          <cell r="AY581">
            <v>1147.4000000000001</v>
          </cell>
        </row>
        <row r="582">
          <cell r="B582">
            <v>576</v>
          </cell>
        </row>
        <row r="583">
          <cell r="B583">
            <v>577</v>
          </cell>
        </row>
        <row r="584">
          <cell r="B584">
            <v>578</v>
          </cell>
          <cell r="AY584">
            <v>1053.5999999999999</v>
          </cell>
        </row>
        <row r="585">
          <cell r="B585">
            <v>579</v>
          </cell>
          <cell r="AY585">
            <v>2219.8000000000002</v>
          </cell>
        </row>
        <row r="586">
          <cell r="B586">
            <v>580</v>
          </cell>
          <cell r="AY586">
            <v>1661.2</v>
          </cell>
        </row>
        <row r="587">
          <cell r="B587">
            <v>581</v>
          </cell>
          <cell r="AY587">
            <v>619.5</v>
          </cell>
        </row>
        <row r="588">
          <cell r="B588">
            <v>582</v>
          </cell>
          <cell r="AY588">
            <v>1716.5</v>
          </cell>
        </row>
        <row r="589">
          <cell r="B589">
            <v>583</v>
          </cell>
          <cell r="AY589">
            <v>1249</v>
          </cell>
        </row>
        <row r="590">
          <cell r="B590">
            <v>584</v>
          </cell>
          <cell r="AY590">
            <v>1747.9</v>
          </cell>
        </row>
        <row r="591">
          <cell r="B591">
            <v>585</v>
          </cell>
          <cell r="AY591">
            <v>1270.2</v>
          </cell>
        </row>
        <row r="592">
          <cell r="B592">
            <v>586</v>
          </cell>
          <cell r="AY592">
            <v>2475</v>
          </cell>
        </row>
        <row r="593">
          <cell r="B593">
            <v>587</v>
          </cell>
          <cell r="AY593">
            <v>1710.7</v>
          </cell>
        </row>
        <row r="594">
          <cell r="B594">
            <v>588</v>
          </cell>
        </row>
        <row r="595">
          <cell r="B595">
            <v>589</v>
          </cell>
          <cell r="AY595">
            <v>1932.1</v>
          </cell>
        </row>
        <row r="596">
          <cell r="B596">
            <v>590</v>
          </cell>
          <cell r="AY596">
            <v>1857.3</v>
          </cell>
        </row>
        <row r="597">
          <cell r="B597">
            <v>591</v>
          </cell>
          <cell r="AY597">
            <v>2057</v>
          </cell>
        </row>
        <row r="598">
          <cell r="B598">
            <v>592</v>
          </cell>
          <cell r="AY598">
            <v>659.9</v>
          </cell>
        </row>
        <row r="599">
          <cell r="B599">
            <v>593</v>
          </cell>
          <cell r="AY599">
            <v>645.29999999999995</v>
          </cell>
        </row>
        <row r="600">
          <cell r="B600">
            <v>594</v>
          </cell>
          <cell r="AY600">
            <v>4117.6000000000004</v>
          </cell>
        </row>
        <row r="601">
          <cell r="B601">
            <v>595</v>
          </cell>
          <cell r="AY601">
            <v>1326.6</v>
          </cell>
        </row>
        <row r="602">
          <cell r="B602">
            <v>596</v>
          </cell>
          <cell r="AY602">
            <v>2136</v>
          </cell>
        </row>
        <row r="603">
          <cell r="B603">
            <v>597</v>
          </cell>
          <cell r="AY603">
            <v>2380.5</v>
          </cell>
        </row>
        <row r="604">
          <cell r="B604">
            <v>598</v>
          </cell>
          <cell r="AY604">
            <v>1451.3</v>
          </cell>
        </row>
        <row r="605">
          <cell r="B605">
            <v>599</v>
          </cell>
          <cell r="AY605">
            <v>2183</v>
          </cell>
        </row>
        <row r="606">
          <cell r="B606">
            <v>600</v>
          </cell>
          <cell r="AY606">
            <v>2027.4</v>
          </cell>
        </row>
        <row r="607">
          <cell r="B607">
            <v>601</v>
          </cell>
          <cell r="AY607">
            <v>1649.3</v>
          </cell>
        </row>
        <row r="608">
          <cell r="B608">
            <v>602</v>
          </cell>
          <cell r="AY608">
            <v>1043.5</v>
          </cell>
        </row>
        <row r="609">
          <cell r="B609">
            <v>603</v>
          </cell>
          <cell r="AY609">
            <v>1307.2</v>
          </cell>
        </row>
        <row r="610">
          <cell r="B610">
            <v>604</v>
          </cell>
          <cell r="AY610">
            <v>1534</v>
          </cell>
        </row>
        <row r="611">
          <cell r="B611">
            <v>605</v>
          </cell>
          <cell r="AY611">
            <v>2348.6</v>
          </cell>
        </row>
        <row r="612">
          <cell r="B612">
            <v>606</v>
          </cell>
          <cell r="AY612">
            <v>1756.1</v>
          </cell>
        </row>
        <row r="613">
          <cell r="B613">
            <v>607</v>
          </cell>
        </row>
        <row r="614">
          <cell r="B614">
            <v>608</v>
          </cell>
          <cell r="AY614">
            <v>1676.8</v>
          </cell>
        </row>
        <row r="615">
          <cell r="B615">
            <v>609</v>
          </cell>
          <cell r="AY615">
            <v>1641</v>
          </cell>
        </row>
        <row r="616">
          <cell r="B616">
            <v>610</v>
          </cell>
        </row>
        <row r="617">
          <cell r="B617">
            <v>611</v>
          </cell>
        </row>
        <row r="618">
          <cell r="B618">
            <v>612</v>
          </cell>
          <cell r="AY618">
            <v>1975.9</v>
          </cell>
        </row>
        <row r="619">
          <cell r="B619">
            <v>613</v>
          </cell>
          <cell r="AY619">
            <v>1387.3</v>
          </cell>
        </row>
        <row r="620">
          <cell r="B620">
            <v>614</v>
          </cell>
          <cell r="AY620">
            <v>1560.9</v>
          </cell>
        </row>
        <row r="621">
          <cell r="B621">
            <v>615</v>
          </cell>
          <cell r="AY621">
            <v>1995.9</v>
          </cell>
        </row>
        <row r="622">
          <cell r="B622">
            <v>616</v>
          </cell>
          <cell r="AY622">
            <v>1829</v>
          </cell>
        </row>
        <row r="623">
          <cell r="B623">
            <v>617</v>
          </cell>
          <cell r="AY623">
            <v>1982.4</v>
          </cell>
        </row>
        <row r="624">
          <cell r="B624">
            <v>618</v>
          </cell>
          <cell r="AY624">
            <v>2141.6</v>
          </cell>
        </row>
        <row r="625">
          <cell r="B625">
            <v>619</v>
          </cell>
          <cell r="AY625">
            <v>1774.3</v>
          </cell>
        </row>
        <row r="626">
          <cell r="B626">
            <v>620</v>
          </cell>
        </row>
        <row r="627">
          <cell r="B627">
            <v>621</v>
          </cell>
        </row>
        <row r="628">
          <cell r="B628">
            <v>622</v>
          </cell>
        </row>
        <row r="629">
          <cell r="B629">
            <v>623</v>
          </cell>
        </row>
        <row r="630">
          <cell r="B630">
            <v>624</v>
          </cell>
          <cell r="AY630">
            <v>1230.5999999999999</v>
          </cell>
        </row>
        <row r="631">
          <cell r="B631">
            <v>625</v>
          </cell>
          <cell r="AY631">
            <v>2758.6</v>
          </cell>
        </row>
        <row r="632">
          <cell r="B632">
            <v>626</v>
          </cell>
          <cell r="AY632">
            <v>1827.7</v>
          </cell>
        </row>
        <row r="633">
          <cell r="B633">
            <v>627</v>
          </cell>
        </row>
        <row r="634">
          <cell r="B634">
            <v>628</v>
          </cell>
        </row>
        <row r="635">
          <cell r="B635">
            <v>629</v>
          </cell>
        </row>
        <row r="636">
          <cell r="B636">
            <v>630</v>
          </cell>
        </row>
        <row r="637">
          <cell r="B637">
            <v>631</v>
          </cell>
        </row>
        <row r="638">
          <cell r="B638">
            <v>632</v>
          </cell>
          <cell r="AY638">
            <v>1663.3</v>
          </cell>
        </row>
        <row r="639">
          <cell r="B639">
            <v>633</v>
          </cell>
          <cell r="AY639">
            <v>1550.9</v>
          </cell>
        </row>
        <row r="640">
          <cell r="B640">
            <v>634</v>
          </cell>
          <cell r="AY640">
            <v>2227.8000000000002</v>
          </cell>
        </row>
        <row r="641">
          <cell r="B641">
            <v>635</v>
          </cell>
        </row>
        <row r="642">
          <cell r="B642">
            <v>636</v>
          </cell>
        </row>
        <row r="643">
          <cell r="B643">
            <v>637</v>
          </cell>
          <cell r="AY643">
            <v>2269.5</v>
          </cell>
        </row>
        <row r="644">
          <cell r="B644">
            <v>638</v>
          </cell>
          <cell r="AY644">
            <v>2092.5</v>
          </cell>
        </row>
        <row r="645">
          <cell r="B645">
            <v>639</v>
          </cell>
          <cell r="AY645">
            <v>1521.9</v>
          </cell>
        </row>
        <row r="646">
          <cell r="B646">
            <v>640</v>
          </cell>
          <cell r="AY646">
            <v>1618.8</v>
          </cell>
        </row>
        <row r="647">
          <cell r="B647">
            <v>641</v>
          </cell>
          <cell r="AY647">
            <v>1649.9</v>
          </cell>
        </row>
        <row r="648">
          <cell r="B648">
            <v>642</v>
          </cell>
          <cell r="AY648">
            <v>1478.3</v>
          </cell>
        </row>
        <row r="649">
          <cell r="B649">
            <v>643</v>
          </cell>
          <cell r="AY649">
            <v>1422</v>
          </cell>
        </row>
        <row r="650">
          <cell r="B650">
            <v>644</v>
          </cell>
          <cell r="AY650">
            <v>512.20000000000005</v>
          </cell>
        </row>
        <row r="651">
          <cell r="B651">
            <v>645</v>
          </cell>
          <cell r="AY651">
            <v>735</v>
          </cell>
        </row>
        <row r="652">
          <cell r="B652">
            <v>646</v>
          </cell>
          <cell r="AY652">
            <v>522.20000000000005</v>
          </cell>
        </row>
        <row r="653">
          <cell r="B653">
            <v>647</v>
          </cell>
          <cell r="AY653">
            <v>588.6</v>
          </cell>
        </row>
        <row r="654">
          <cell r="B654">
            <v>648</v>
          </cell>
          <cell r="AY654">
            <v>1283.0999999999999</v>
          </cell>
        </row>
        <row r="655">
          <cell r="B655">
            <v>649</v>
          </cell>
          <cell r="AY655">
            <v>3294.8</v>
          </cell>
        </row>
        <row r="656">
          <cell r="B656">
            <v>650</v>
          </cell>
          <cell r="AY656">
            <v>2</v>
          </cell>
        </row>
        <row r="657">
          <cell r="B657">
            <v>651</v>
          </cell>
          <cell r="AY657">
            <v>2</v>
          </cell>
        </row>
        <row r="658">
          <cell r="B658">
            <v>652</v>
          </cell>
          <cell r="AY658">
            <v>1442.3</v>
          </cell>
        </row>
        <row r="659">
          <cell r="B659">
            <v>653</v>
          </cell>
          <cell r="AY659">
            <v>1843.3</v>
          </cell>
        </row>
        <row r="660">
          <cell r="B660">
            <v>654</v>
          </cell>
          <cell r="AY660">
            <v>624.70000000000005</v>
          </cell>
        </row>
        <row r="661">
          <cell r="B661">
            <v>655</v>
          </cell>
          <cell r="AY661">
            <v>3254.6</v>
          </cell>
        </row>
        <row r="662">
          <cell r="B662">
            <v>656</v>
          </cell>
          <cell r="AY662">
            <v>3322.6</v>
          </cell>
        </row>
        <row r="663">
          <cell r="B663">
            <v>657</v>
          </cell>
          <cell r="AY663">
            <v>3569</v>
          </cell>
        </row>
        <row r="664">
          <cell r="B664">
            <v>658</v>
          </cell>
          <cell r="AY664">
            <v>3483.4</v>
          </cell>
        </row>
        <row r="665">
          <cell r="B665">
            <v>659</v>
          </cell>
          <cell r="AY665">
            <v>3501.5</v>
          </cell>
        </row>
        <row r="666">
          <cell r="B666">
            <v>660</v>
          </cell>
          <cell r="AY666">
            <v>1894.9</v>
          </cell>
        </row>
        <row r="667">
          <cell r="B667">
            <v>661</v>
          </cell>
          <cell r="AY667">
            <v>2753.8</v>
          </cell>
        </row>
        <row r="668">
          <cell r="B668">
            <v>662</v>
          </cell>
          <cell r="AY668">
            <v>2789.2</v>
          </cell>
        </row>
        <row r="669">
          <cell r="B669">
            <v>663</v>
          </cell>
          <cell r="AY669">
            <v>2703.5</v>
          </cell>
        </row>
        <row r="670">
          <cell r="B670">
            <v>664</v>
          </cell>
          <cell r="AY670">
            <v>2656.7</v>
          </cell>
        </row>
        <row r="671">
          <cell r="B671">
            <v>665</v>
          </cell>
          <cell r="AY671">
            <v>2089.9</v>
          </cell>
        </row>
        <row r="672">
          <cell r="B672">
            <v>666</v>
          </cell>
          <cell r="AY672">
            <v>1817.4</v>
          </cell>
        </row>
        <row r="673">
          <cell r="B673">
            <v>667</v>
          </cell>
          <cell r="AY673">
            <v>6004.3</v>
          </cell>
        </row>
        <row r="674">
          <cell r="B674">
            <v>668</v>
          </cell>
          <cell r="AY674">
            <v>1700.2</v>
          </cell>
        </row>
        <row r="675">
          <cell r="B675">
            <v>669</v>
          </cell>
          <cell r="AY675">
            <v>2261.5</v>
          </cell>
        </row>
        <row r="676">
          <cell r="B676">
            <v>670</v>
          </cell>
          <cell r="AY676">
            <v>1682</v>
          </cell>
        </row>
        <row r="677">
          <cell r="B677">
            <v>671</v>
          </cell>
          <cell r="AY677">
            <v>2088.3000000000002</v>
          </cell>
        </row>
        <row r="678">
          <cell r="B678">
            <v>672</v>
          </cell>
          <cell r="AY678">
            <v>3347.1</v>
          </cell>
        </row>
        <row r="679">
          <cell r="B679">
            <v>673</v>
          </cell>
          <cell r="AY679">
            <v>2769</v>
          </cell>
        </row>
        <row r="680">
          <cell r="B680">
            <v>674</v>
          </cell>
          <cell r="AY680">
            <v>3494.5</v>
          </cell>
        </row>
        <row r="681">
          <cell r="B681">
            <v>675</v>
          </cell>
        </row>
        <row r="682">
          <cell r="B682">
            <v>676</v>
          </cell>
        </row>
        <row r="683">
          <cell r="B683">
            <v>677</v>
          </cell>
        </row>
        <row r="684">
          <cell r="B684">
            <v>678</v>
          </cell>
        </row>
        <row r="685">
          <cell r="B685">
            <v>679</v>
          </cell>
          <cell r="AY685">
            <v>1721.1</v>
          </cell>
        </row>
        <row r="686">
          <cell r="B686">
            <v>680</v>
          </cell>
          <cell r="AY686">
            <v>2268</v>
          </cell>
        </row>
        <row r="687">
          <cell r="B687">
            <v>681</v>
          </cell>
          <cell r="AY687">
            <v>2897.4</v>
          </cell>
        </row>
        <row r="688">
          <cell r="B688">
            <v>682</v>
          </cell>
        </row>
        <row r="689">
          <cell r="B689">
            <v>683</v>
          </cell>
          <cell r="AY689">
            <v>2622.6</v>
          </cell>
        </row>
        <row r="690">
          <cell r="B690">
            <v>684</v>
          </cell>
          <cell r="AY690">
            <v>2014.9</v>
          </cell>
        </row>
        <row r="691">
          <cell r="B691">
            <v>685</v>
          </cell>
          <cell r="AY691">
            <v>2136</v>
          </cell>
        </row>
        <row r="692">
          <cell r="B692">
            <v>686</v>
          </cell>
          <cell r="AY692">
            <v>1880.1</v>
          </cell>
        </row>
        <row r="693">
          <cell r="B693">
            <v>687</v>
          </cell>
          <cell r="AY693">
            <v>2047.5</v>
          </cell>
        </row>
        <row r="694">
          <cell r="B694">
            <v>688</v>
          </cell>
          <cell r="AY694">
            <v>2245.1</v>
          </cell>
        </row>
        <row r="695">
          <cell r="B695">
            <v>689</v>
          </cell>
          <cell r="AY695">
            <v>1200.7</v>
          </cell>
        </row>
        <row r="696">
          <cell r="B696">
            <v>690</v>
          </cell>
          <cell r="AY696">
            <v>2277.1999999999998</v>
          </cell>
        </row>
        <row r="697">
          <cell r="B697">
            <v>691</v>
          </cell>
          <cell r="AY697">
            <v>2170.6999999999998</v>
          </cell>
        </row>
        <row r="698">
          <cell r="B698">
            <v>692</v>
          </cell>
          <cell r="AY698">
            <v>2135</v>
          </cell>
        </row>
        <row r="699">
          <cell r="B699">
            <v>693</v>
          </cell>
          <cell r="AY699">
            <v>2043.4</v>
          </cell>
        </row>
        <row r="700">
          <cell r="B700">
            <v>694</v>
          </cell>
          <cell r="AY700">
            <v>1492.7</v>
          </cell>
        </row>
        <row r="701">
          <cell r="B701">
            <v>695</v>
          </cell>
        </row>
        <row r="702">
          <cell r="B702">
            <v>696</v>
          </cell>
        </row>
        <row r="703">
          <cell r="B703">
            <v>697</v>
          </cell>
          <cell r="AY703">
            <v>1456.4</v>
          </cell>
        </row>
        <row r="704">
          <cell r="B704">
            <v>698</v>
          </cell>
          <cell r="AY704">
            <v>3149.3</v>
          </cell>
        </row>
        <row r="705">
          <cell r="B705">
            <v>699</v>
          </cell>
        </row>
        <row r="706">
          <cell r="B706">
            <v>700</v>
          </cell>
        </row>
        <row r="707">
          <cell r="B707">
            <v>701</v>
          </cell>
          <cell r="AY707">
            <v>1895.2</v>
          </cell>
        </row>
        <row r="708">
          <cell r="B708">
            <v>702</v>
          </cell>
          <cell r="AY708">
            <v>1210.5</v>
          </cell>
        </row>
        <row r="709">
          <cell r="B709">
            <v>703</v>
          </cell>
          <cell r="AY709">
            <v>1993.9</v>
          </cell>
        </row>
        <row r="710">
          <cell r="B710">
            <v>704</v>
          </cell>
        </row>
        <row r="711">
          <cell r="B711">
            <v>705</v>
          </cell>
        </row>
        <row r="712">
          <cell r="B712">
            <v>706</v>
          </cell>
          <cell r="AY712">
            <v>1380.2</v>
          </cell>
        </row>
        <row r="713">
          <cell r="B713">
            <v>707</v>
          </cell>
          <cell r="AY713">
            <v>1891</v>
          </cell>
        </row>
        <row r="714">
          <cell r="B714">
            <v>708</v>
          </cell>
          <cell r="AY714">
            <v>2252.5</v>
          </cell>
        </row>
        <row r="715">
          <cell r="B715">
            <v>709</v>
          </cell>
          <cell r="AY715">
            <v>1806</v>
          </cell>
        </row>
        <row r="716">
          <cell r="B716">
            <v>710</v>
          </cell>
        </row>
        <row r="717">
          <cell r="B717">
            <v>711</v>
          </cell>
        </row>
        <row r="718">
          <cell r="B718">
            <v>712</v>
          </cell>
          <cell r="AY718">
            <v>2</v>
          </cell>
        </row>
        <row r="719">
          <cell r="B719">
            <v>713</v>
          </cell>
          <cell r="AY719">
            <v>2284.9</v>
          </cell>
        </row>
        <row r="720">
          <cell r="B720">
            <v>714</v>
          </cell>
          <cell r="AY720">
            <v>2310.6999999999998</v>
          </cell>
        </row>
        <row r="721">
          <cell r="B721">
            <v>715</v>
          </cell>
          <cell r="AY721">
            <v>1512.5</v>
          </cell>
        </row>
        <row r="722">
          <cell r="B722">
            <v>716</v>
          </cell>
          <cell r="AY722">
            <v>1431.3</v>
          </cell>
        </row>
        <row r="723">
          <cell r="B723">
            <v>717</v>
          </cell>
          <cell r="AY723">
            <v>2167.4</v>
          </cell>
        </row>
        <row r="724">
          <cell r="B724">
            <v>718</v>
          </cell>
          <cell r="AY724">
            <v>2570.9</v>
          </cell>
        </row>
        <row r="725">
          <cell r="B725">
            <v>719</v>
          </cell>
          <cell r="AY725">
            <v>1540.9</v>
          </cell>
        </row>
        <row r="726">
          <cell r="B726">
            <v>720</v>
          </cell>
          <cell r="AY726">
            <v>1343.9</v>
          </cell>
        </row>
        <row r="727">
          <cell r="B727">
            <v>721</v>
          </cell>
          <cell r="AY727">
            <v>2046.7</v>
          </cell>
        </row>
        <row r="728">
          <cell r="B728">
            <v>722</v>
          </cell>
          <cell r="AY728">
            <v>2419.1</v>
          </cell>
        </row>
        <row r="729">
          <cell r="B729">
            <v>723</v>
          </cell>
          <cell r="AY729">
            <v>1435.9</v>
          </cell>
        </row>
        <row r="730">
          <cell r="B730">
            <v>724</v>
          </cell>
          <cell r="AY730">
            <v>2349.5</v>
          </cell>
        </row>
        <row r="731">
          <cell r="B731">
            <v>725</v>
          </cell>
          <cell r="AY731">
            <v>1841.7</v>
          </cell>
        </row>
        <row r="732">
          <cell r="B732">
            <v>726</v>
          </cell>
          <cell r="AY732">
            <v>1718.1</v>
          </cell>
        </row>
        <row r="733">
          <cell r="B733">
            <v>727</v>
          </cell>
          <cell r="AY733">
            <v>2082.8000000000002</v>
          </cell>
        </row>
        <row r="734">
          <cell r="B734">
            <v>728</v>
          </cell>
          <cell r="AY734">
            <v>1623.8</v>
          </cell>
        </row>
        <row r="735">
          <cell r="B735">
            <v>729</v>
          </cell>
          <cell r="AY735">
            <v>1607.2</v>
          </cell>
        </row>
        <row r="736">
          <cell r="B736">
            <v>730</v>
          </cell>
          <cell r="AY736">
            <v>1732.8</v>
          </cell>
        </row>
        <row r="737">
          <cell r="B737">
            <v>731</v>
          </cell>
          <cell r="AY737">
            <v>1811.2</v>
          </cell>
        </row>
        <row r="738">
          <cell r="B738">
            <v>732</v>
          </cell>
        </row>
        <row r="739">
          <cell r="B739">
            <v>733</v>
          </cell>
          <cell r="AY739">
            <v>1891</v>
          </cell>
        </row>
        <row r="740">
          <cell r="B740">
            <v>734</v>
          </cell>
          <cell r="AY740">
            <v>2252.5</v>
          </cell>
        </row>
        <row r="741">
          <cell r="B741">
            <v>735</v>
          </cell>
          <cell r="AY741">
            <v>1806</v>
          </cell>
        </row>
        <row r="742">
          <cell r="B742">
            <v>736</v>
          </cell>
          <cell r="AY742">
            <v>1891</v>
          </cell>
        </row>
        <row r="743">
          <cell r="B743">
            <v>737</v>
          </cell>
          <cell r="AY743">
            <v>2252.5</v>
          </cell>
        </row>
        <row r="744">
          <cell r="B744">
            <v>738</v>
          </cell>
          <cell r="AY744">
            <v>1806</v>
          </cell>
        </row>
        <row r="745">
          <cell r="B745">
            <v>739</v>
          </cell>
        </row>
        <row r="746">
          <cell r="B746">
            <v>740</v>
          </cell>
          <cell r="AY746">
            <v>2264.1</v>
          </cell>
        </row>
        <row r="747">
          <cell r="B747">
            <v>741</v>
          </cell>
          <cell r="AY747">
            <v>1874.2</v>
          </cell>
        </row>
        <row r="748">
          <cell r="B748">
            <v>742</v>
          </cell>
          <cell r="AY748">
            <v>1974.3</v>
          </cell>
        </row>
        <row r="749">
          <cell r="B749">
            <v>743</v>
          </cell>
          <cell r="AY749">
            <v>4459</v>
          </cell>
        </row>
        <row r="750">
          <cell r="B750">
            <v>744</v>
          </cell>
          <cell r="AY750">
            <v>1877.5</v>
          </cell>
        </row>
        <row r="751">
          <cell r="B751">
            <v>745</v>
          </cell>
          <cell r="AY751">
            <v>1577.9</v>
          </cell>
        </row>
        <row r="752">
          <cell r="B752">
            <v>746</v>
          </cell>
          <cell r="AY752">
            <v>1088</v>
          </cell>
        </row>
        <row r="753">
          <cell r="B753">
            <v>747</v>
          </cell>
          <cell r="AY753">
            <v>1957.5</v>
          </cell>
        </row>
        <row r="754">
          <cell r="B754">
            <v>748</v>
          </cell>
          <cell r="AY754">
            <v>1826.6</v>
          </cell>
        </row>
        <row r="755">
          <cell r="B755">
            <v>749</v>
          </cell>
          <cell r="AY755">
            <v>1872</v>
          </cell>
        </row>
        <row r="756">
          <cell r="B756">
            <v>750</v>
          </cell>
          <cell r="AY756">
            <v>1193.5999999999999</v>
          </cell>
        </row>
        <row r="757">
          <cell r="B757">
            <v>751</v>
          </cell>
          <cell r="AY757">
            <v>2683</v>
          </cell>
        </row>
        <row r="758">
          <cell r="B758">
            <v>752</v>
          </cell>
          <cell r="AY758">
            <v>1479.3</v>
          </cell>
        </row>
        <row r="759">
          <cell r="B759">
            <v>753</v>
          </cell>
          <cell r="AY759">
            <v>2256.9</v>
          </cell>
        </row>
        <row r="760">
          <cell r="B760">
            <v>754</v>
          </cell>
          <cell r="AY760">
            <v>1316.6</v>
          </cell>
        </row>
        <row r="761">
          <cell r="B761">
            <v>755</v>
          </cell>
          <cell r="AY761">
            <v>1032.8</v>
          </cell>
        </row>
        <row r="762">
          <cell r="B762">
            <v>756</v>
          </cell>
          <cell r="AY762">
            <v>1653.2</v>
          </cell>
        </row>
        <row r="763">
          <cell r="B763">
            <v>757</v>
          </cell>
          <cell r="AY763">
            <v>1533.4</v>
          </cell>
        </row>
        <row r="764">
          <cell r="B764">
            <v>758</v>
          </cell>
          <cell r="AY764">
            <v>1574.8</v>
          </cell>
        </row>
        <row r="765">
          <cell r="B765">
            <v>759</v>
          </cell>
          <cell r="AY765">
            <v>1314.8</v>
          </cell>
        </row>
        <row r="766">
          <cell r="B766">
            <v>760</v>
          </cell>
        </row>
        <row r="767">
          <cell r="B767">
            <v>761</v>
          </cell>
          <cell r="AY767">
            <v>2102.1</v>
          </cell>
        </row>
        <row r="768">
          <cell r="B768">
            <v>762</v>
          </cell>
          <cell r="AY768">
            <v>960.7</v>
          </cell>
        </row>
        <row r="769">
          <cell r="B769">
            <v>763</v>
          </cell>
          <cell r="AY769">
            <v>1320.2</v>
          </cell>
        </row>
        <row r="770">
          <cell r="B770">
            <v>764</v>
          </cell>
          <cell r="AY770">
            <v>1410.8</v>
          </cell>
        </row>
        <row r="771">
          <cell r="B771">
            <v>765</v>
          </cell>
          <cell r="AY771">
            <v>811.2</v>
          </cell>
        </row>
        <row r="772">
          <cell r="B772">
            <v>766</v>
          </cell>
          <cell r="AY772">
            <v>1972.4</v>
          </cell>
        </row>
        <row r="773">
          <cell r="B773">
            <v>767</v>
          </cell>
          <cell r="AY773">
            <v>1677.5</v>
          </cell>
        </row>
        <row r="774">
          <cell r="B774">
            <v>768</v>
          </cell>
          <cell r="AY774">
            <v>1495.7</v>
          </cell>
        </row>
        <row r="775">
          <cell r="B775">
            <v>769</v>
          </cell>
          <cell r="AY775">
            <v>710.4</v>
          </cell>
        </row>
        <row r="776">
          <cell r="B776">
            <v>770</v>
          </cell>
          <cell r="AY776">
            <v>1256.2</v>
          </cell>
        </row>
        <row r="777">
          <cell r="B777">
            <v>771</v>
          </cell>
        </row>
        <row r="778">
          <cell r="B778">
            <v>772</v>
          </cell>
          <cell r="AY778">
            <v>1275.8</v>
          </cell>
        </row>
        <row r="779">
          <cell r="B779">
            <v>773</v>
          </cell>
          <cell r="AY779">
            <v>1162.0999999999999</v>
          </cell>
        </row>
        <row r="780">
          <cell r="B780">
            <v>774</v>
          </cell>
          <cell r="AY780">
            <v>2</v>
          </cell>
        </row>
        <row r="781">
          <cell r="B781">
            <v>775</v>
          </cell>
          <cell r="AY781">
            <v>1195.0999999999999</v>
          </cell>
        </row>
        <row r="782">
          <cell r="B782">
            <v>776</v>
          </cell>
          <cell r="AY782">
            <v>1290.9000000000001</v>
          </cell>
        </row>
        <row r="783">
          <cell r="B783">
            <v>777</v>
          </cell>
          <cell r="AY783">
            <v>2</v>
          </cell>
        </row>
        <row r="784">
          <cell r="B784">
            <v>778</v>
          </cell>
          <cell r="AY784">
            <v>3466.6</v>
          </cell>
        </row>
        <row r="785">
          <cell r="B785">
            <v>779</v>
          </cell>
        </row>
        <row r="786">
          <cell r="B786">
            <v>780</v>
          </cell>
        </row>
        <row r="787">
          <cell r="B787">
            <v>781</v>
          </cell>
        </row>
        <row r="788">
          <cell r="B788">
            <v>782</v>
          </cell>
        </row>
        <row r="789">
          <cell r="B789">
            <v>783</v>
          </cell>
        </row>
        <row r="790">
          <cell r="B790">
            <v>784</v>
          </cell>
          <cell r="AY790">
            <v>1111</v>
          </cell>
        </row>
        <row r="791">
          <cell r="B791">
            <v>785</v>
          </cell>
          <cell r="AY791">
            <v>2074.4</v>
          </cell>
        </row>
        <row r="792">
          <cell r="B792">
            <v>786</v>
          </cell>
          <cell r="AY792">
            <v>1640</v>
          </cell>
        </row>
        <row r="793">
          <cell r="B793">
            <v>787</v>
          </cell>
          <cell r="AY793">
            <v>3437.9</v>
          </cell>
        </row>
        <row r="794">
          <cell r="B794">
            <v>788</v>
          </cell>
          <cell r="AY794">
            <v>4809.5</v>
          </cell>
        </row>
        <row r="795">
          <cell r="B795">
            <v>789</v>
          </cell>
          <cell r="AY795">
            <v>1929.7</v>
          </cell>
        </row>
        <row r="796">
          <cell r="B796">
            <v>790</v>
          </cell>
          <cell r="AY796">
            <v>570.79999999999995</v>
          </cell>
        </row>
        <row r="797">
          <cell r="B797">
            <v>791</v>
          </cell>
          <cell r="AY797">
            <v>1229.0999999999999</v>
          </cell>
        </row>
        <row r="798">
          <cell r="B798">
            <v>792</v>
          </cell>
        </row>
        <row r="799">
          <cell r="B799">
            <v>793</v>
          </cell>
          <cell r="AY799">
            <v>1152.7</v>
          </cell>
        </row>
        <row r="800">
          <cell r="B800">
            <v>794</v>
          </cell>
          <cell r="AY800">
            <v>1921.9</v>
          </cell>
        </row>
        <row r="801">
          <cell r="B801">
            <v>795</v>
          </cell>
          <cell r="AY801">
            <v>1809.1</v>
          </cell>
        </row>
        <row r="802">
          <cell r="B802">
            <v>796</v>
          </cell>
          <cell r="AY802">
            <v>1126.8</v>
          </cell>
        </row>
        <row r="803">
          <cell r="B803">
            <v>797</v>
          </cell>
          <cell r="AY803">
            <v>1502</v>
          </cell>
        </row>
        <row r="804">
          <cell r="B804">
            <v>798</v>
          </cell>
          <cell r="AY804">
            <v>1501.5</v>
          </cell>
        </row>
        <row r="805">
          <cell r="B805">
            <v>799</v>
          </cell>
          <cell r="AY805">
            <v>1198.0999999999999</v>
          </cell>
        </row>
        <row r="806">
          <cell r="B806">
            <v>800</v>
          </cell>
          <cell r="AY806">
            <v>1450.6</v>
          </cell>
        </row>
        <row r="807">
          <cell r="B807">
            <v>801</v>
          </cell>
          <cell r="AY807">
            <v>1425.3</v>
          </cell>
        </row>
        <row r="808">
          <cell r="B808">
            <v>802</v>
          </cell>
          <cell r="AY808">
            <v>1318.7</v>
          </cell>
        </row>
        <row r="809">
          <cell r="B809">
            <v>803</v>
          </cell>
          <cell r="AY809">
            <v>1512.5</v>
          </cell>
        </row>
        <row r="810">
          <cell r="B810">
            <v>804</v>
          </cell>
          <cell r="AY810">
            <v>1215.5999999999999</v>
          </cell>
        </row>
        <row r="811">
          <cell r="B811">
            <v>805</v>
          </cell>
          <cell r="AY811">
            <v>1326</v>
          </cell>
        </row>
        <row r="812">
          <cell r="B812">
            <v>806</v>
          </cell>
          <cell r="AY812">
            <v>1529.7</v>
          </cell>
        </row>
        <row r="813">
          <cell r="B813">
            <v>807</v>
          </cell>
          <cell r="AY813">
            <v>1089.7</v>
          </cell>
        </row>
        <row r="814">
          <cell r="B814">
            <v>808</v>
          </cell>
          <cell r="AY814">
            <v>1157.4000000000001</v>
          </cell>
        </row>
        <row r="815">
          <cell r="B815">
            <v>809</v>
          </cell>
          <cell r="AY815">
            <v>1641.2</v>
          </cell>
        </row>
        <row r="816">
          <cell r="B816">
            <v>810</v>
          </cell>
          <cell r="AY816">
            <v>1293.8</v>
          </cell>
        </row>
        <row r="817">
          <cell r="B817">
            <v>811</v>
          </cell>
          <cell r="AY817">
            <v>1713.4</v>
          </cell>
        </row>
        <row r="818">
          <cell r="B818">
            <v>812</v>
          </cell>
          <cell r="AY818">
            <v>2432</v>
          </cell>
        </row>
        <row r="819">
          <cell r="B819">
            <v>813</v>
          </cell>
          <cell r="AY819">
            <v>1783.1</v>
          </cell>
        </row>
        <row r="820">
          <cell r="B820">
            <v>814</v>
          </cell>
          <cell r="AY820">
            <v>545.79999999999995</v>
          </cell>
        </row>
        <row r="821">
          <cell r="B821">
            <v>815</v>
          </cell>
        </row>
        <row r="822">
          <cell r="B822">
            <v>816</v>
          </cell>
          <cell r="AY822">
            <v>1701.5</v>
          </cell>
        </row>
        <row r="823">
          <cell r="B823">
            <v>817</v>
          </cell>
          <cell r="AY823">
            <v>1547.9</v>
          </cell>
        </row>
        <row r="824">
          <cell r="B824">
            <v>818</v>
          </cell>
          <cell r="AY824">
            <v>1236.0999999999999</v>
          </cell>
        </row>
        <row r="825">
          <cell r="B825">
            <v>819</v>
          </cell>
          <cell r="AY825">
            <v>1540.3</v>
          </cell>
        </row>
        <row r="826">
          <cell r="B826">
            <v>820</v>
          </cell>
          <cell r="AY826">
            <v>1256</v>
          </cell>
        </row>
        <row r="827">
          <cell r="B827">
            <v>821</v>
          </cell>
          <cell r="AY827">
            <v>1409.1</v>
          </cell>
        </row>
        <row r="828">
          <cell r="B828">
            <v>822</v>
          </cell>
          <cell r="AY828">
            <v>1745.2</v>
          </cell>
        </row>
        <row r="829">
          <cell r="B829">
            <v>823</v>
          </cell>
          <cell r="AY829">
            <v>1729</v>
          </cell>
        </row>
        <row r="830">
          <cell r="B830">
            <v>824</v>
          </cell>
          <cell r="AY830">
            <v>1114.4000000000001</v>
          </cell>
        </row>
        <row r="831">
          <cell r="B831">
            <v>825</v>
          </cell>
          <cell r="AY831">
            <v>691.9</v>
          </cell>
        </row>
        <row r="832">
          <cell r="B832">
            <v>826</v>
          </cell>
          <cell r="AY832">
            <v>1484.7</v>
          </cell>
        </row>
        <row r="833">
          <cell r="B833">
            <v>827</v>
          </cell>
          <cell r="AY833">
            <v>1013.9</v>
          </cell>
        </row>
        <row r="834">
          <cell r="B834">
            <v>828</v>
          </cell>
          <cell r="AY834">
            <v>1742.9</v>
          </cell>
        </row>
        <row r="835">
          <cell r="B835">
            <v>829</v>
          </cell>
          <cell r="AY835">
            <v>1719.5</v>
          </cell>
        </row>
        <row r="836">
          <cell r="B836">
            <v>830</v>
          </cell>
          <cell r="AY836">
            <v>1605.3</v>
          </cell>
        </row>
        <row r="837">
          <cell r="B837">
            <v>831</v>
          </cell>
          <cell r="AY837">
            <v>1584.3</v>
          </cell>
        </row>
        <row r="838">
          <cell r="B838">
            <v>832</v>
          </cell>
          <cell r="AY838">
            <v>1447.2</v>
          </cell>
        </row>
        <row r="839">
          <cell r="B839">
            <v>833</v>
          </cell>
          <cell r="AY839">
            <v>1797.6</v>
          </cell>
        </row>
        <row r="840">
          <cell r="B840">
            <v>834</v>
          </cell>
          <cell r="AY840">
            <v>1710.8</v>
          </cell>
        </row>
        <row r="841">
          <cell r="B841">
            <v>835</v>
          </cell>
          <cell r="AY841">
            <v>1871.2</v>
          </cell>
        </row>
        <row r="842">
          <cell r="B842">
            <v>836</v>
          </cell>
          <cell r="AY842">
            <v>1455.2</v>
          </cell>
        </row>
        <row r="843">
          <cell r="B843">
            <v>837</v>
          </cell>
          <cell r="AY843">
            <v>1903.9</v>
          </cell>
        </row>
        <row r="844">
          <cell r="B844">
            <v>838</v>
          </cell>
          <cell r="AY844">
            <v>1195.5</v>
          </cell>
        </row>
        <row r="845">
          <cell r="B845">
            <v>839</v>
          </cell>
          <cell r="AY845">
            <v>2251</v>
          </cell>
        </row>
        <row r="846">
          <cell r="B846">
            <v>840</v>
          </cell>
          <cell r="AY846">
            <v>1740.3</v>
          </cell>
        </row>
        <row r="847">
          <cell r="B847">
            <v>841</v>
          </cell>
          <cell r="AY847">
            <v>2250.3000000000002</v>
          </cell>
        </row>
        <row r="848">
          <cell r="B848">
            <v>842</v>
          </cell>
          <cell r="AY848">
            <v>1039.3</v>
          </cell>
        </row>
        <row r="849">
          <cell r="B849">
            <v>843</v>
          </cell>
          <cell r="AY849">
            <v>2552.6999999999998</v>
          </cell>
        </row>
        <row r="850">
          <cell r="B850">
            <v>844</v>
          </cell>
          <cell r="AY850">
            <v>2254.9</v>
          </cell>
        </row>
        <row r="851">
          <cell r="B851">
            <v>845</v>
          </cell>
          <cell r="AY851">
            <v>1170.7</v>
          </cell>
        </row>
        <row r="852">
          <cell r="B852">
            <v>846</v>
          </cell>
          <cell r="AY852">
            <v>1367.3</v>
          </cell>
        </row>
        <row r="853">
          <cell r="B853">
            <v>847</v>
          </cell>
          <cell r="AY853">
            <v>1966.2</v>
          </cell>
        </row>
        <row r="854">
          <cell r="B854">
            <v>848</v>
          </cell>
          <cell r="AY854">
            <v>1593.4</v>
          </cell>
        </row>
        <row r="855">
          <cell r="B855">
            <v>849</v>
          </cell>
          <cell r="AY855">
            <v>1305.2</v>
          </cell>
        </row>
        <row r="856">
          <cell r="B856">
            <v>850</v>
          </cell>
          <cell r="AY856">
            <v>1804.5</v>
          </cell>
        </row>
        <row r="857">
          <cell r="B857">
            <v>851</v>
          </cell>
          <cell r="AY857">
            <v>1538.7</v>
          </cell>
        </row>
        <row r="858">
          <cell r="B858">
            <v>852</v>
          </cell>
          <cell r="AY858">
            <v>1653.6</v>
          </cell>
        </row>
        <row r="859">
          <cell r="B859">
            <v>853</v>
          </cell>
          <cell r="AY859">
            <v>1259.3</v>
          </cell>
        </row>
        <row r="860">
          <cell r="B860">
            <v>854</v>
          </cell>
          <cell r="AY860">
            <v>834.9</v>
          </cell>
        </row>
        <row r="861">
          <cell r="B861">
            <v>855</v>
          </cell>
          <cell r="AY861">
            <v>1387.6</v>
          </cell>
        </row>
        <row r="862">
          <cell r="B862">
            <v>856</v>
          </cell>
          <cell r="AY862">
            <v>1066</v>
          </cell>
        </row>
        <row r="863">
          <cell r="B863">
            <v>857</v>
          </cell>
          <cell r="AY863">
            <v>1871</v>
          </cell>
        </row>
        <row r="864">
          <cell r="B864">
            <v>858</v>
          </cell>
          <cell r="AY864">
            <v>1686.9</v>
          </cell>
        </row>
        <row r="865">
          <cell r="B865">
            <v>859</v>
          </cell>
          <cell r="AY865">
            <v>1818.5</v>
          </cell>
        </row>
        <row r="866">
          <cell r="B866">
            <v>860</v>
          </cell>
          <cell r="AY866">
            <v>2315.6</v>
          </cell>
        </row>
        <row r="867">
          <cell r="B867">
            <v>861</v>
          </cell>
          <cell r="AY867">
            <v>1333.3</v>
          </cell>
        </row>
        <row r="868">
          <cell r="B868">
            <v>862</v>
          </cell>
          <cell r="AY868">
            <v>1032.4000000000001</v>
          </cell>
        </row>
        <row r="869">
          <cell r="B869">
            <v>863</v>
          </cell>
          <cell r="AY869">
            <v>1166.0999999999999</v>
          </cell>
        </row>
        <row r="870">
          <cell r="B870">
            <v>864</v>
          </cell>
          <cell r="AY870">
            <v>1601.9</v>
          </cell>
        </row>
        <row r="871">
          <cell r="B871">
            <v>865</v>
          </cell>
          <cell r="AY871">
            <v>1195</v>
          </cell>
        </row>
        <row r="872">
          <cell r="B872">
            <v>866</v>
          </cell>
          <cell r="AY872">
            <v>1184.5999999999999</v>
          </cell>
        </row>
        <row r="873">
          <cell r="B873">
            <v>867</v>
          </cell>
          <cell r="AY873">
            <v>3205.5</v>
          </cell>
        </row>
        <row r="874">
          <cell r="B874">
            <v>868</v>
          </cell>
        </row>
        <row r="875">
          <cell r="B875">
            <v>869</v>
          </cell>
          <cell r="AY875">
            <v>1841.8</v>
          </cell>
        </row>
        <row r="876">
          <cell r="B876">
            <v>870</v>
          </cell>
          <cell r="AY876">
            <v>1436.1</v>
          </cell>
        </row>
        <row r="877">
          <cell r="B877">
            <v>871</v>
          </cell>
        </row>
        <row r="878">
          <cell r="B878">
            <v>872</v>
          </cell>
        </row>
        <row r="879">
          <cell r="B879">
            <v>873</v>
          </cell>
        </row>
        <row r="880">
          <cell r="B880">
            <v>874</v>
          </cell>
          <cell r="AY880">
            <v>1982.2</v>
          </cell>
        </row>
        <row r="881">
          <cell r="B881">
            <v>875</v>
          </cell>
          <cell r="AY881">
            <v>2330.3000000000002</v>
          </cell>
        </row>
        <row r="882">
          <cell r="B882">
            <v>876</v>
          </cell>
          <cell r="AY882">
            <v>2133.1</v>
          </cell>
        </row>
        <row r="883">
          <cell r="B883">
            <v>877</v>
          </cell>
          <cell r="AY883">
            <v>1577.7</v>
          </cell>
        </row>
        <row r="884">
          <cell r="B884">
            <v>878</v>
          </cell>
          <cell r="AY884">
            <v>1053.3</v>
          </cell>
        </row>
        <row r="885">
          <cell r="B885">
            <v>879</v>
          </cell>
          <cell r="AY885">
            <v>1721.6</v>
          </cell>
        </row>
        <row r="886">
          <cell r="B886">
            <v>880</v>
          </cell>
        </row>
        <row r="887">
          <cell r="B887">
            <v>881</v>
          </cell>
        </row>
        <row r="888">
          <cell r="B888">
            <v>882</v>
          </cell>
        </row>
        <row r="889">
          <cell r="B889">
            <v>883</v>
          </cell>
        </row>
        <row r="890">
          <cell r="B890">
            <v>884</v>
          </cell>
        </row>
        <row r="891">
          <cell r="B891">
            <v>885</v>
          </cell>
        </row>
        <row r="892">
          <cell r="B892">
            <v>886</v>
          </cell>
        </row>
        <row r="893">
          <cell r="B893">
            <v>887</v>
          </cell>
        </row>
        <row r="894">
          <cell r="B894">
            <v>888</v>
          </cell>
        </row>
        <row r="895">
          <cell r="B895">
            <v>889</v>
          </cell>
        </row>
        <row r="896">
          <cell r="B896">
            <v>890</v>
          </cell>
        </row>
        <row r="897">
          <cell r="B897">
            <v>891</v>
          </cell>
        </row>
        <row r="898">
          <cell r="B898">
            <v>892</v>
          </cell>
        </row>
        <row r="899">
          <cell r="B899">
            <v>893</v>
          </cell>
        </row>
        <row r="900">
          <cell r="B900">
            <v>894</v>
          </cell>
        </row>
        <row r="901">
          <cell r="B901">
            <v>895</v>
          </cell>
        </row>
        <row r="902">
          <cell r="B902">
            <v>896</v>
          </cell>
        </row>
        <row r="903">
          <cell r="B903">
            <v>897</v>
          </cell>
        </row>
        <row r="904">
          <cell r="B904">
            <v>898</v>
          </cell>
        </row>
        <row r="905">
          <cell r="B905">
            <v>899</v>
          </cell>
        </row>
        <row r="906">
          <cell r="B906">
            <v>900</v>
          </cell>
        </row>
        <row r="907">
          <cell r="B907">
            <v>901</v>
          </cell>
        </row>
        <row r="908">
          <cell r="B908">
            <v>902</v>
          </cell>
        </row>
        <row r="909">
          <cell r="B909">
            <v>903</v>
          </cell>
        </row>
        <row r="910">
          <cell r="B910">
            <v>904</v>
          </cell>
        </row>
        <row r="911">
          <cell r="B911">
            <v>905</v>
          </cell>
        </row>
        <row r="912">
          <cell r="B912">
            <v>906</v>
          </cell>
        </row>
        <row r="913">
          <cell r="B913">
            <v>907</v>
          </cell>
        </row>
        <row r="914">
          <cell r="B914">
            <v>908</v>
          </cell>
        </row>
        <row r="915">
          <cell r="B915">
            <v>909</v>
          </cell>
        </row>
        <row r="916">
          <cell r="B916">
            <v>910</v>
          </cell>
        </row>
        <row r="917">
          <cell r="B917">
            <v>911</v>
          </cell>
        </row>
        <row r="918">
          <cell r="B918">
            <v>912</v>
          </cell>
        </row>
        <row r="919">
          <cell r="B919">
            <v>913</v>
          </cell>
        </row>
        <row r="920">
          <cell r="B920">
            <v>914</v>
          </cell>
        </row>
        <row r="921">
          <cell r="B921">
            <v>915</v>
          </cell>
        </row>
        <row r="922">
          <cell r="B922">
            <v>916</v>
          </cell>
        </row>
        <row r="923">
          <cell r="B923">
            <v>917</v>
          </cell>
        </row>
        <row r="924">
          <cell r="B924">
            <v>918</v>
          </cell>
        </row>
        <row r="925">
          <cell r="B925">
            <v>919</v>
          </cell>
        </row>
        <row r="926">
          <cell r="B926">
            <v>920</v>
          </cell>
        </row>
        <row r="927">
          <cell r="B927">
            <v>921</v>
          </cell>
        </row>
        <row r="928">
          <cell r="B928">
            <v>922</v>
          </cell>
        </row>
        <row r="929">
          <cell r="B929">
            <v>923</v>
          </cell>
        </row>
        <row r="930">
          <cell r="B930">
            <v>924</v>
          </cell>
        </row>
        <row r="931">
          <cell r="B931">
            <v>925</v>
          </cell>
        </row>
        <row r="932">
          <cell r="B932">
            <v>926</v>
          </cell>
        </row>
        <row r="933">
          <cell r="B933">
            <v>927</v>
          </cell>
        </row>
        <row r="934">
          <cell r="B934">
            <v>928</v>
          </cell>
        </row>
        <row r="935">
          <cell r="B935">
            <v>929</v>
          </cell>
        </row>
        <row r="936">
          <cell r="B936">
            <v>930</v>
          </cell>
        </row>
        <row r="937">
          <cell r="B937">
            <v>931</v>
          </cell>
        </row>
        <row r="938">
          <cell r="B938">
            <v>932</v>
          </cell>
        </row>
        <row r="939">
          <cell r="B939">
            <v>933</v>
          </cell>
        </row>
        <row r="940">
          <cell r="B940">
            <v>934</v>
          </cell>
        </row>
        <row r="941">
          <cell r="B941">
            <v>935</v>
          </cell>
        </row>
        <row r="942">
          <cell r="B942">
            <v>936</v>
          </cell>
        </row>
        <row r="943">
          <cell r="B943">
            <v>937</v>
          </cell>
        </row>
        <row r="944">
          <cell r="B944">
            <v>938</v>
          </cell>
        </row>
        <row r="945">
          <cell r="B945">
            <v>939</v>
          </cell>
        </row>
        <row r="946">
          <cell r="B946">
            <v>940</v>
          </cell>
        </row>
        <row r="947">
          <cell r="B947">
            <v>941</v>
          </cell>
        </row>
        <row r="948">
          <cell r="B948">
            <v>942</v>
          </cell>
        </row>
        <row r="949">
          <cell r="B949">
            <v>943</v>
          </cell>
        </row>
        <row r="950">
          <cell r="B950">
            <v>944</v>
          </cell>
        </row>
        <row r="951">
          <cell r="B951">
            <v>945</v>
          </cell>
        </row>
        <row r="952">
          <cell r="B952">
            <v>946</v>
          </cell>
        </row>
        <row r="953">
          <cell r="B953">
            <v>947</v>
          </cell>
        </row>
        <row r="954">
          <cell r="B954">
            <v>948</v>
          </cell>
        </row>
        <row r="955">
          <cell r="B955">
            <v>949</v>
          </cell>
        </row>
        <row r="956">
          <cell r="B956">
            <v>950</v>
          </cell>
        </row>
        <row r="957">
          <cell r="B957">
            <v>951</v>
          </cell>
        </row>
        <row r="958">
          <cell r="B958">
            <v>952</v>
          </cell>
        </row>
        <row r="959">
          <cell r="B959">
            <v>953</v>
          </cell>
        </row>
        <row r="960">
          <cell r="B960">
            <v>954</v>
          </cell>
        </row>
        <row r="961">
          <cell r="B961">
            <v>955</v>
          </cell>
        </row>
        <row r="962">
          <cell r="B962">
            <v>956</v>
          </cell>
        </row>
        <row r="963">
          <cell r="B963">
            <v>957</v>
          </cell>
        </row>
        <row r="964">
          <cell r="B964">
            <v>958</v>
          </cell>
        </row>
        <row r="965">
          <cell r="B965">
            <v>959</v>
          </cell>
        </row>
        <row r="966">
          <cell r="B966">
            <v>960</v>
          </cell>
        </row>
        <row r="967">
          <cell r="B967">
            <v>961</v>
          </cell>
        </row>
        <row r="968">
          <cell r="B968">
            <v>962</v>
          </cell>
        </row>
        <row r="969">
          <cell r="B969">
            <v>963</v>
          </cell>
        </row>
        <row r="970">
          <cell r="B970">
            <v>964</v>
          </cell>
        </row>
        <row r="971">
          <cell r="B971">
            <v>965</v>
          </cell>
        </row>
        <row r="972">
          <cell r="B972">
            <v>966</v>
          </cell>
        </row>
        <row r="973">
          <cell r="B973">
            <v>967</v>
          </cell>
        </row>
        <row r="974">
          <cell r="B974">
            <v>968</v>
          </cell>
        </row>
        <row r="975">
          <cell r="B975">
            <v>969</v>
          </cell>
        </row>
        <row r="976">
          <cell r="B976">
            <v>970</v>
          </cell>
        </row>
        <row r="977">
          <cell r="B977">
            <v>971</v>
          </cell>
        </row>
        <row r="978">
          <cell r="B978">
            <v>972</v>
          </cell>
        </row>
        <row r="979">
          <cell r="B979">
            <v>973</v>
          </cell>
        </row>
        <row r="980">
          <cell r="B980">
            <v>974</v>
          </cell>
        </row>
        <row r="981">
          <cell r="B981">
            <v>975</v>
          </cell>
        </row>
        <row r="982">
          <cell r="B982">
            <v>976</v>
          </cell>
        </row>
        <row r="983">
          <cell r="B983">
            <v>977</v>
          </cell>
        </row>
        <row r="984">
          <cell r="B984">
            <v>978</v>
          </cell>
        </row>
        <row r="985">
          <cell r="B985">
            <v>979</v>
          </cell>
        </row>
        <row r="986">
          <cell r="B986">
            <v>980</v>
          </cell>
        </row>
        <row r="987">
          <cell r="B987">
            <v>981</v>
          </cell>
        </row>
        <row r="988">
          <cell r="B988">
            <v>982</v>
          </cell>
        </row>
        <row r="989">
          <cell r="B989">
            <v>983</v>
          </cell>
        </row>
        <row r="990">
          <cell r="B990">
            <v>984</v>
          </cell>
        </row>
        <row r="991">
          <cell r="B991">
            <v>985</v>
          </cell>
        </row>
        <row r="992">
          <cell r="B992">
            <v>986</v>
          </cell>
        </row>
        <row r="993">
          <cell r="B993">
            <v>987</v>
          </cell>
        </row>
        <row r="994">
          <cell r="B994">
            <v>988</v>
          </cell>
        </row>
        <row r="995">
          <cell r="B995">
            <v>989</v>
          </cell>
        </row>
        <row r="996">
          <cell r="B996">
            <v>990</v>
          </cell>
        </row>
        <row r="997">
          <cell r="B997">
            <v>991</v>
          </cell>
        </row>
        <row r="998">
          <cell r="B998">
            <v>992</v>
          </cell>
        </row>
        <row r="999">
          <cell r="B999">
            <v>993</v>
          </cell>
        </row>
        <row r="1000">
          <cell r="B1000">
            <v>994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EK2554"/>
  <sheetViews>
    <sheetView tabSelected="1" zoomScaleNormal="100" zoomScaleSheetLayoutView="100" workbookViewId="0">
      <pane ySplit="3" topLeftCell="A316" activePane="bottomLeft" state="frozen"/>
      <selection pane="bottomLeft" activeCell="G325" sqref="G325"/>
    </sheetView>
  </sheetViews>
  <sheetFormatPr baseColWidth="10" defaultColWidth="11.44140625" defaultRowHeight="13.2" x14ac:dyDescent="0.25"/>
  <cols>
    <col min="1" max="1" width="4.6640625" customWidth="1"/>
    <col min="2" max="2" width="5.109375" customWidth="1"/>
    <col min="3" max="3" width="10" customWidth="1"/>
    <col min="4" max="4" width="9.5546875" customWidth="1"/>
    <col min="5" max="5" width="7" style="2" bestFit="1" customWidth="1"/>
    <col min="6" max="6" width="6.109375" style="2" customWidth="1"/>
    <col min="7" max="8" width="11.44140625" customWidth="1"/>
    <col min="9" max="9" width="11.88671875" customWidth="1"/>
    <col min="10" max="10" width="4.6640625" customWidth="1"/>
    <col min="11" max="11" width="7.6640625" customWidth="1"/>
    <col min="12" max="12" width="7.88671875" customWidth="1"/>
    <col min="13" max="13" width="11.6640625" customWidth="1"/>
    <col min="14" max="14" width="16.77734375" customWidth="1"/>
    <col min="15" max="19" width="9" customWidth="1"/>
    <col min="20" max="21" width="11.44140625" customWidth="1"/>
    <col min="22" max="22" width="8.6640625" customWidth="1"/>
    <col min="23" max="23" width="7" bestFit="1" customWidth="1"/>
    <col min="24" max="24" width="3.109375" customWidth="1"/>
    <col min="25" max="25" width="4.109375" customWidth="1"/>
    <col min="26" max="26" width="7.44140625" customWidth="1"/>
    <col min="27" max="29" width="11.44140625" customWidth="1"/>
    <col min="30" max="30" width="9.109375" customWidth="1"/>
    <col min="31" max="31" width="1.88671875" customWidth="1"/>
    <col min="32" max="34" width="11.44140625" customWidth="1"/>
    <col min="35" max="36" width="9.6640625" customWidth="1"/>
    <col min="37" max="38" width="5.6640625" customWidth="1"/>
    <col min="39" max="39" width="4.88671875" style="372" customWidth="1"/>
    <col min="40" max="40" width="11.44140625" style="372" customWidth="1"/>
    <col min="41" max="43" width="5.6640625" customWidth="1"/>
    <col min="44" max="44" width="7" bestFit="1" customWidth="1"/>
    <col min="45" max="45" width="5.6640625" customWidth="1"/>
    <col min="46" max="46" width="2.88671875" customWidth="1"/>
    <col min="47" max="47" width="9.33203125" customWidth="1"/>
    <col min="48" max="48" width="9.109375" customWidth="1"/>
    <col min="49" max="49" width="6.6640625" customWidth="1"/>
    <col min="50" max="50" width="9.109375" customWidth="1"/>
    <col min="51" max="70" width="8.5546875" customWidth="1"/>
    <col min="71" max="71" width="11.44140625" customWidth="1"/>
    <col min="72" max="72" width="2.88671875" customWidth="1"/>
    <col min="73" max="73" width="6.5546875" customWidth="1"/>
    <col min="74" max="74" width="4.109375" customWidth="1"/>
    <col min="75" max="75" width="11.33203125" customWidth="1"/>
    <col min="76" max="90" width="5.5546875" customWidth="1"/>
    <col min="91" max="91" width="2.88671875" customWidth="1"/>
    <col min="92" max="92" width="6.5546875" customWidth="1"/>
    <col min="93" max="93" width="4.109375" customWidth="1"/>
    <col min="94" max="94" width="11.33203125" customWidth="1"/>
    <col min="95" max="122" width="5.5546875" customWidth="1"/>
    <col min="123" max="123" width="3.44140625" customWidth="1"/>
    <col min="124" max="139" width="11.44140625" customWidth="1"/>
    <col min="140" max="140" width="7.6640625" customWidth="1"/>
  </cols>
  <sheetData>
    <row r="1" spans="1:141" ht="13.8" thickBot="1" x14ac:dyDescent="0.3">
      <c r="C1" s="1"/>
      <c r="BU1" s="3"/>
      <c r="BV1" s="4"/>
      <c r="BW1" s="4"/>
      <c r="BX1" s="4"/>
      <c r="BY1" s="4"/>
      <c r="BZ1" s="4"/>
      <c r="CA1" s="4"/>
      <c r="CB1" s="4"/>
      <c r="CC1" s="3"/>
      <c r="CD1" s="3"/>
      <c r="CE1" s="3"/>
      <c r="CF1" s="3"/>
      <c r="CG1" s="3"/>
      <c r="CN1" s="3"/>
      <c r="CO1" s="4"/>
      <c r="CP1" s="4"/>
      <c r="DE1" s="4"/>
      <c r="DF1" s="4"/>
      <c r="DG1" s="4"/>
      <c r="DH1" s="4"/>
      <c r="DI1" s="4"/>
      <c r="DJ1" s="3"/>
      <c r="DK1" s="3"/>
      <c r="DL1" s="3"/>
      <c r="DM1" s="3"/>
      <c r="DN1" s="3"/>
    </row>
    <row r="2" spans="1:141" ht="14.4" thickTop="1" thickBot="1" x14ac:dyDescent="0.3">
      <c r="B2" s="5"/>
      <c r="C2" s="6" t="s">
        <v>347</v>
      </c>
      <c r="D2" s="7">
        <f>[1]Menu!$J$7</f>
        <v>0</v>
      </c>
      <c r="F2" s="234" t="s">
        <v>0</v>
      </c>
      <c r="G2" s="9"/>
      <c r="H2" s="9"/>
      <c r="I2" s="10"/>
      <c r="N2" s="385" t="s">
        <v>373</v>
      </c>
      <c r="O2" s="386"/>
      <c r="P2" s="386"/>
      <c r="Q2" s="386"/>
      <c r="R2" s="386"/>
      <c r="S2" s="386"/>
      <c r="T2" s="386"/>
      <c r="U2" s="386"/>
      <c r="V2" s="387"/>
      <c r="X2" s="8" t="s">
        <v>1</v>
      </c>
      <c r="Y2" s="10"/>
      <c r="BU2" s="3"/>
      <c r="BV2" s="3"/>
      <c r="BW2" s="3"/>
      <c r="BX2" s="3"/>
      <c r="BY2" s="3"/>
      <c r="BZ2" s="3"/>
      <c r="CA2" s="3"/>
      <c r="CB2" s="3"/>
      <c r="CC2" s="11"/>
      <c r="CD2" s="12"/>
      <c r="CE2" s="12"/>
      <c r="CF2" s="11"/>
      <c r="CG2" s="11"/>
      <c r="CN2" s="3"/>
      <c r="CO2" s="3"/>
      <c r="CP2" s="3"/>
      <c r="DE2" s="3"/>
      <c r="DF2" s="3"/>
      <c r="DG2" s="3"/>
      <c r="DH2" s="3"/>
      <c r="DI2" s="3"/>
      <c r="DJ2" s="11"/>
      <c r="DK2" s="12"/>
      <c r="DL2" s="12"/>
      <c r="DM2" s="11"/>
      <c r="DN2" s="11"/>
    </row>
    <row r="3" spans="1:141" ht="131.4" thickTop="1" thickBot="1" x14ac:dyDescent="0.3">
      <c r="B3" s="13" t="s">
        <v>363</v>
      </c>
      <c r="C3" s="13" t="s">
        <v>2</v>
      </c>
      <c r="D3" s="13" t="s">
        <v>364</v>
      </c>
      <c r="E3" s="14"/>
      <c r="F3" s="13" t="s">
        <v>3</v>
      </c>
      <c r="G3" s="13"/>
      <c r="H3" s="13"/>
      <c r="I3" s="13" t="s">
        <v>4</v>
      </c>
      <c r="K3" s="13" t="s">
        <v>5</v>
      </c>
      <c r="L3" s="13" t="s">
        <v>6</v>
      </c>
      <c r="N3" s="388" t="s">
        <v>374</v>
      </c>
      <c r="O3" s="389" t="s">
        <v>380</v>
      </c>
      <c r="P3" s="389" t="s">
        <v>375</v>
      </c>
      <c r="Q3" s="389" t="s">
        <v>378</v>
      </c>
      <c r="R3" s="389" t="s">
        <v>377</v>
      </c>
      <c r="S3" s="389" t="s">
        <v>376</v>
      </c>
      <c r="T3" s="389" t="s">
        <v>379</v>
      </c>
      <c r="U3" s="389" t="s">
        <v>439</v>
      </c>
      <c r="V3" s="390" t="s">
        <v>7</v>
      </c>
      <c r="X3" s="13" t="s">
        <v>9</v>
      </c>
      <c r="Y3" s="15" t="s">
        <v>10</v>
      </c>
      <c r="Z3" s="14"/>
      <c r="AA3" s="16" t="s">
        <v>11</v>
      </c>
      <c r="AB3" s="17" t="s">
        <v>12</v>
      </c>
      <c r="AC3" s="15" t="s">
        <v>13</v>
      </c>
      <c r="AD3" s="14"/>
      <c r="AF3" s="245"/>
      <c r="AG3" s="243"/>
      <c r="AH3" s="244"/>
      <c r="AL3" s="246"/>
      <c r="AM3" s="374" t="s">
        <v>366</v>
      </c>
      <c r="AN3" s="373" t="s">
        <v>367</v>
      </c>
      <c r="AU3" s="235" t="s">
        <v>14</v>
      </c>
      <c r="AV3" s="249"/>
      <c r="AW3" s="249"/>
      <c r="AX3" s="18"/>
      <c r="AY3" s="18"/>
      <c r="AZ3" s="18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10"/>
      <c r="BU3" s="241" t="s">
        <v>15</v>
      </c>
      <c r="BV3" s="239"/>
      <c r="BW3" s="239"/>
      <c r="BX3" s="239"/>
      <c r="BY3" s="239"/>
      <c r="BZ3" s="239"/>
      <c r="CA3" s="239"/>
      <c r="CB3" s="239"/>
      <c r="CC3" s="239"/>
      <c r="CD3" s="239"/>
      <c r="CE3" s="239"/>
      <c r="CF3" s="239"/>
      <c r="CG3" s="239"/>
      <c r="CH3" s="239"/>
      <c r="CI3" s="239"/>
      <c r="CJ3" s="239"/>
      <c r="CK3" s="240"/>
      <c r="CN3" s="233" t="s">
        <v>16</v>
      </c>
      <c r="CO3" s="236"/>
      <c r="CP3" s="236"/>
      <c r="CQ3" s="236"/>
      <c r="CR3" s="236"/>
      <c r="CS3" s="236"/>
      <c r="CT3" s="236"/>
      <c r="CU3" s="236"/>
      <c r="CV3" s="236"/>
      <c r="CW3" s="236"/>
      <c r="CX3" s="236"/>
      <c r="CY3" s="236"/>
      <c r="CZ3" s="9"/>
      <c r="DA3" s="9"/>
      <c r="DB3" s="9"/>
      <c r="DC3" s="9"/>
      <c r="DD3" s="9"/>
      <c r="DE3" s="9"/>
      <c r="DF3" s="19"/>
      <c r="DG3" s="19"/>
      <c r="DH3" s="19"/>
      <c r="DI3" s="19"/>
      <c r="DJ3" s="19"/>
      <c r="DK3" s="19"/>
      <c r="DL3" s="19"/>
      <c r="DM3" s="19"/>
      <c r="DN3" s="19"/>
      <c r="DO3" s="9"/>
      <c r="DP3" s="9"/>
      <c r="DQ3" s="9"/>
      <c r="DR3" s="10"/>
      <c r="EA3" s="233" t="s">
        <v>17</v>
      </c>
      <c r="EB3" s="237"/>
      <c r="EC3" s="237"/>
      <c r="ED3" s="237"/>
      <c r="EE3" s="238"/>
    </row>
    <row r="4" spans="1:141" ht="14.4" thickTop="1" thickBot="1" x14ac:dyDescent="0.3">
      <c r="A4" s="20"/>
      <c r="B4" s="267">
        <v>1</v>
      </c>
      <c r="C4">
        <v>58.7</v>
      </c>
      <c r="D4" s="22">
        <f>C4</f>
        <v>58.7</v>
      </c>
      <c r="E4" s="318"/>
      <c r="F4" s="23">
        <v>0</v>
      </c>
      <c r="G4" s="370">
        <v>0.99986790000000003</v>
      </c>
      <c r="H4" s="24">
        <v>0.99823229999999996</v>
      </c>
      <c r="I4" s="25">
        <f>G4/H4</f>
        <v>1.0016384963700333</v>
      </c>
      <c r="K4" s="26">
        <v>20</v>
      </c>
      <c r="L4" s="27">
        <v>1</v>
      </c>
      <c r="N4" s="397">
        <v>1</v>
      </c>
      <c r="O4" s="397" t="s">
        <v>381</v>
      </c>
      <c r="P4" s="400">
        <v>6214.5</v>
      </c>
      <c r="Q4" s="400">
        <v>11.6</v>
      </c>
      <c r="R4" s="400">
        <v>15.2</v>
      </c>
      <c r="S4" s="400">
        <v>11.6</v>
      </c>
      <c r="T4" s="400">
        <v>2104.9173433876185</v>
      </c>
      <c r="U4" s="401">
        <f>IF(SUM(P4:T4)=0,"",IF(S4="",(PI()*(R4*R4)/4),(PI()*(R4*R4)/4)))</f>
        <v>181.45839167134645</v>
      </c>
      <c r="V4" s="401">
        <f>IF(SUM(P4:T4)=0,"",IF(S4="",PI()*(R4*R4/4)*T4,PI()*(R4*R4/4)*S4))</f>
        <v>2104.9173433876185</v>
      </c>
      <c r="W4" s="426"/>
      <c r="X4" s="267">
        <v>1</v>
      </c>
      <c r="Y4" s="29">
        <v>7</v>
      </c>
      <c r="Z4" s="30"/>
      <c r="AA4" s="31" t="s">
        <v>11</v>
      </c>
      <c r="AB4" s="32"/>
      <c r="AC4" s="33"/>
      <c r="AD4" s="30"/>
      <c r="AF4" s="31"/>
      <c r="AG4" s="32"/>
      <c r="AH4" s="33"/>
      <c r="AL4" s="246"/>
      <c r="AM4" s="375">
        <v>0</v>
      </c>
      <c r="AN4" s="379">
        <v>0.99984099999999998</v>
      </c>
      <c r="AO4" s="246"/>
      <c r="AP4" s="246"/>
      <c r="AU4" s="34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6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N4" s="37"/>
      <c r="CO4" s="37"/>
      <c r="CP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EA4" s="38"/>
      <c r="EB4" s="39" t="s">
        <v>19</v>
      </c>
      <c r="EC4" s="40"/>
      <c r="ED4" s="41">
        <v>1.03</v>
      </c>
      <c r="EE4" s="323" t="s">
        <v>284</v>
      </c>
      <c r="EH4" s="313">
        <v>1</v>
      </c>
      <c r="EI4" s="314">
        <v>1.1900000000000001E-2</v>
      </c>
      <c r="EJ4" s="247">
        <f>IF(EI4="","",1)</f>
        <v>1</v>
      </c>
      <c r="EK4">
        <f>IF(EI4="","",EI4/9.8)</f>
        <v>1.2142857142857142E-3</v>
      </c>
    </row>
    <row r="5" spans="1:141" ht="14.4" thickTop="1" thickBot="1" x14ac:dyDescent="0.3">
      <c r="A5" s="42"/>
      <c r="B5" s="266">
        <v>2</v>
      </c>
      <c r="C5">
        <v>59.1</v>
      </c>
      <c r="D5" s="45">
        <f t="shared" ref="D5:D68" si="0">C5</f>
        <v>59.1</v>
      </c>
      <c r="E5" s="251"/>
      <c r="F5" s="46">
        <v>1</v>
      </c>
      <c r="G5" s="369">
        <v>0.99992669999999995</v>
      </c>
      <c r="H5" s="47">
        <v>0.99823229999999996</v>
      </c>
      <c r="I5" s="48">
        <f t="shared" ref="I5:I44" si="1">G5/H5</f>
        <v>1.0016974004948547</v>
      </c>
      <c r="K5" s="44">
        <v>20.5</v>
      </c>
      <c r="L5" s="49">
        <v>0.999</v>
      </c>
      <c r="N5" s="397">
        <v>2</v>
      </c>
      <c r="O5" s="397" t="s">
        <v>381</v>
      </c>
      <c r="P5" s="400">
        <v>6230</v>
      </c>
      <c r="Q5" s="400">
        <v>11.6</v>
      </c>
      <c r="R5" s="400">
        <v>15.2</v>
      </c>
      <c r="S5" s="400">
        <v>11.6</v>
      </c>
      <c r="T5" s="400">
        <v>2104.9173433876185</v>
      </c>
      <c r="U5" s="401">
        <f t="shared" ref="U5:U13" si="2">IF(SUM(P5:T5)=0,"",IF(S5="",PI()*(R5*R5/4),PI()*(R5*R5/4)))</f>
        <v>181.45839167134645</v>
      </c>
      <c r="V5" s="401">
        <f t="shared" ref="V5:V68" si="3">IF(SUM(P5:T5)=0,"",IF(S5="",PI()*(R5*R5/4)*T5,PI()*(R5*R5/4)*S5))</f>
        <v>2104.9173433876185</v>
      </c>
      <c r="W5" s="427"/>
      <c r="X5" s="266">
        <v>2</v>
      </c>
      <c r="Y5" s="50">
        <v>6</v>
      </c>
      <c r="Z5" s="30"/>
      <c r="AA5" s="51" t="s">
        <v>21</v>
      </c>
      <c r="AB5" s="52" t="s">
        <v>22</v>
      </c>
      <c r="AC5" s="6" t="s">
        <v>23</v>
      </c>
      <c r="AD5" s="30"/>
      <c r="AF5" s="51" t="s">
        <v>24</v>
      </c>
      <c r="AG5" s="52" t="s">
        <v>22</v>
      </c>
      <c r="AH5" s="6" t="s">
        <v>23</v>
      </c>
      <c r="AL5" s="246"/>
      <c r="AM5" s="376">
        <v>1</v>
      </c>
      <c r="AN5" s="380">
        <v>0.99990000000000001</v>
      </c>
      <c r="AO5" s="247"/>
      <c r="AP5" s="246"/>
      <c r="AR5" s="251" t="s">
        <v>246</v>
      </c>
      <c r="AU5" s="53"/>
      <c r="AX5" s="54" t="s">
        <v>25</v>
      </c>
      <c r="AY5" s="430">
        <f>'[1]Masse volumique &lt; 31.5 &gt;4'!$N$26</f>
        <v>0</v>
      </c>
      <c r="AZ5" s="430">
        <f>'[1]Masse volumique &lt; 31.5 &gt;4'!$P$26</f>
        <v>0</v>
      </c>
      <c r="BA5" s="430">
        <f>'[1]Masse volumique &lt; 31.5 &gt;4'!$R$26</f>
        <v>0</v>
      </c>
      <c r="BB5" s="430">
        <f>'[1]Masse volumique &lt; 31.5 &gt;4'!$T$26</f>
        <v>0</v>
      </c>
      <c r="BC5" s="54"/>
      <c r="BD5" s="54" t="s">
        <v>25</v>
      </c>
      <c r="BE5" s="430">
        <f>'[1]Masse volumique &lt; 4'!$N$26</f>
        <v>0</v>
      </c>
      <c r="BF5" s="430">
        <f>'[1]Masse volumique &lt; 4'!$P$26</f>
        <v>0</v>
      </c>
      <c r="BG5" s="430">
        <f>'[1]Masse volumique &lt; 4'!$R$26</f>
        <v>0</v>
      </c>
      <c r="BH5" s="430">
        <f>'[1]Masse volumique &lt; 4'!$T$26</f>
        <v>0</v>
      </c>
      <c r="BJ5" s="54"/>
      <c r="BN5" s="54"/>
      <c r="BO5" s="30"/>
      <c r="BQ5" s="55"/>
      <c r="BU5" s="37"/>
      <c r="BV5" s="37"/>
      <c r="BW5" s="37"/>
      <c r="BX5" s="4"/>
      <c r="BY5" s="4"/>
      <c r="BZ5" s="4"/>
      <c r="CA5" s="4"/>
      <c r="CB5" s="4"/>
      <c r="CC5" s="4"/>
      <c r="CD5" s="4"/>
      <c r="CE5" s="37"/>
      <c r="CF5" s="37"/>
      <c r="CG5" s="37"/>
      <c r="CN5" s="37"/>
      <c r="CO5" s="37"/>
      <c r="CP5" s="37"/>
      <c r="DE5" s="4"/>
      <c r="DF5" s="4"/>
      <c r="DG5" s="4"/>
      <c r="DH5" s="4"/>
      <c r="DI5" s="4"/>
      <c r="DJ5" s="4"/>
      <c r="DK5" s="4"/>
      <c r="DL5" s="37"/>
      <c r="DM5" s="37"/>
      <c r="DN5" s="37"/>
      <c r="EA5" s="56">
        <v>1</v>
      </c>
      <c r="EB5" s="322" t="s">
        <v>285</v>
      </c>
      <c r="EC5" s="324" t="s">
        <v>286</v>
      </c>
      <c r="ED5" s="59">
        <v>4.3</v>
      </c>
      <c r="EE5" s="60">
        <v>2.6240000000000001</v>
      </c>
      <c r="EH5" s="313">
        <v>2</v>
      </c>
      <c r="EI5" s="314"/>
      <c r="EJ5" s="247" t="str">
        <f t="shared" ref="EJ5:EJ68" si="4">IF(EI5="","",1)</f>
        <v/>
      </c>
      <c r="EK5" t="str">
        <f t="shared" ref="EK5:EK68" si="5">IF(EI5="","",EI5/9.8)</f>
        <v/>
      </c>
    </row>
    <row r="6" spans="1:141" ht="14.25" customHeight="1" thickTop="1" thickBot="1" x14ac:dyDescent="0.3">
      <c r="A6" s="42"/>
      <c r="B6" s="266">
        <v>3</v>
      </c>
      <c r="C6">
        <v>55.4</v>
      </c>
      <c r="D6" s="45">
        <f t="shared" si="0"/>
        <v>55.4</v>
      </c>
      <c r="E6" s="262"/>
      <c r="F6" s="46">
        <v>2</v>
      </c>
      <c r="G6" s="369">
        <v>0.99996790000000002</v>
      </c>
      <c r="H6" s="47">
        <v>0.99823229999999996</v>
      </c>
      <c r="I6" s="48">
        <f t="shared" si="1"/>
        <v>1.0017386734530631</v>
      </c>
      <c r="K6" s="44">
        <v>21</v>
      </c>
      <c r="L6" s="49">
        <v>0.99809999999999999</v>
      </c>
      <c r="N6" s="397">
        <v>3</v>
      </c>
      <c r="O6" s="397" t="s">
        <v>381</v>
      </c>
      <c r="P6" s="400">
        <v>1704.9</v>
      </c>
      <c r="Q6" s="400">
        <v>10.199999999999999</v>
      </c>
      <c r="R6" s="400">
        <v>10.15</v>
      </c>
      <c r="S6" s="400">
        <v>10.199999999999999</v>
      </c>
      <c r="T6" s="400">
        <v>825.31955934385894</v>
      </c>
      <c r="U6" s="401">
        <f t="shared" ref="U6" si="6">IF(SUM(P6:T6)=0,"",IF(S6="",PI()*(R6*R6/4),PI()*(R6*R6/4)))</f>
        <v>80.913682288613629</v>
      </c>
      <c r="V6" s="401">
        <f t="shared" ref="V6" si="7">IF(SUM(P6:T6)=0,"",IF(S6="",PI()*(R6*R6/4)*T6,PI()*(R6*R6/4)*S6))</f>
        <v>825.31955934385894</v>
      </c>
      <c r="W6" s="428"/>
      <c r="X6" s="266">
        <v>3</v>
      </c>
      <c r="Y6" s="50">
        <v>5</v>
      </c>
      <c r="Z6" s="30"/>
      <c r="AA6" s="61">
        <v>0</v>
      </c>
      <c r="AB6" s="62">
        <v>0</v>
      </c>
      <c r="AC6" s="63">
        <v>0</v>
      </c>
      <c r="AD6" s="30"/>
      <c r="AF6" s="61">
        <v>1</v>
      </c>
      <c r="AG6" s="62">
        <v>5000</v>
      </c>
      <c r="AH6" s="63">
        <v>1</v>
      </c>
      <c r="AL6" s="246"/>
      <c r="AM6" s="377">
        <v>2</v>
      </c>
      <c r="AN6" s="381">
        <v>0.99994099999999997</v>
      </c>
      <c r="AO6" s="248"/>
      <c r="AP6" s="246"/>
      <c r="AR6" s="262" t="s">
        <v>247</v>
      </c>
      <c r="AU6" s="53"/>
      <c r="AX6" s="54" t="s">
        <v>27</v>
      </c>
      <c r="AY6" s="430">
        <f>'[1]Masse volumique &lt; 31.5 &gt;4'!$N$30</f>
        <v>0</v>
      </c>
      <c r="AZ6" s="430">
        <f>'[1]Masse volumique &lt; 31.5 &gt;4'!$P$30</f>
        <v>0</v>
      </c>
      <c r="BA6" s="430">
        <f>'[1]Masse volumique &lt; 31.5 &gt;4'!$R$30</f>
        <v>0</v>
      </c>
      <c r="BB6" s="430">
        <f>'[1]Masse volumique &lt; 31.5 &gt;4'!$T$30</f>
        <v>0</v>
      </c>
      <c r="BC6" s="54"/>
      <c r="BD6" s="54" t="s">
        <v>27</v>
      </c>
      <c r="BE6" s="430">
        <f>'[1]Masse volumique &lt; 4'!$N$30</f>
        <v>0</v>
      </c>
      <c r="BF6" s="430">
        <f>'[1]Masse volumique &lt; 4'!$P$30</f>
        <v>0</v>
      </c>
      <c r="BG6" s="430">
        <f>'[1]Masse volumique &lt; 4'!$R$30</f>
        <v>0</v>
      </c>
      <c r="BH6" s="430">
        <f>'[1]Masse volumique &lt; 4'!$T$30</f>
        <v>0</v>
      </c>
      <c r="BJ6" s="54"/>
      <c r="BN6" s="54"/>
      <c r="BO6" s="30"/>
      <c r="BQ6" s="55"/>
      <c r="BW6" s="64"/>
      <c r="BX6" s="65" t="s">
        <v>28</v>
      </c>
      <c r="BY6" s="65" t="s">
        <v>29</v>
      </c>
      <c r="BZ6" s="65" t="s">
        <v>30</v>
      </c>
      <c r="CA6" s="65" t="s">
        <v>31</v>
      </c>
      <c r="CB6" s="65" t="s">
        <v>32</v>
      </c>
      <c r="CC6" s="65" t="s">
        <v>33</v>
      </c>
      <c r="CD6" s="65" t="s">
        <v>34</v>
      </c>
      <c r="CE6" s="65" t="s">
        <v>35</v>
      </c>
      <c r="CF6" s="65" t="s">
        <v>36</v>
      </c>
      <c r="CG6" s="65">
        <v>4</v>
      </c>
      <c r="CH6" s="65">
        <v>10</v>
      </c>
      <c r="CI6" s="65">
        <v>40</v>
      </c>
      <c r="CJ6" s="65">
        <v>80</v>
      </c>
      <c r="CK6" s="65">
        <v>200</v>
      </c>
      <c r="CP6" s="64"/>
      <c r="CQ6" s="65">
        <v>800</v>
      </c>
      <c r="CR6" s="65">
        <v>750</v>
      </c>
      <c r="CS6" s="65">
        <v>700</v>
      </c>
      <c r="CT6" s="65">
        <v>650</v>
      </c>
      <c r="CU6" s="65">
        <v>600</v>
      </c>
      <c r="CV6" s="65">
        <v>550</v>
      </c>
      <c r="CW6" s="65">
        <v>500</v>
      </c>
      <c r="CX6" s="65">
        <v>400</v>
      </c>
      <c r="CY6" s="65">
        <v>350</v>
      </c>
      <c r="CZ6" s="65">
        <v>300</v>
      </c>
      <c r="DA6" s="65">
        <v>250</v>
      </c>
      <c r="DB6" s="65">
        <v>200</v>
      </c>
      <c r="DC6" s="65">
        <v>150</v>
      </c>
      <c r="DD6" s="65">
        <v>4</v>
      </c>
      <c r="DE6" s="65">
        <v>3</v>
      </c>
      <c r="DF6" s="65">
        <v>2</v>
      </c>
      <c r="DG6" s="65">
        <v>1</v>
      </c>
      <c r="DH6" s="66" t="s">
        <v>37</v>
      </c>
      <c r="DI6" s="66" t="s">
        <v>38</v>
      </c>
      <c r="DJ6" s="65">
        <v>4</v>
      </c>
      <c r="DK6" s="65">
        <v>8</v>
      </c>
      <c r="DL6" s="65">
        <v>10</v>
      </c>
      <c r="DM6" s="65">
        <v>16</v>
      </c>
      <c r="DN6" s="65">
        <v>20</v>
      </c>
      <c r="DO6" s="65">
        <v>40</v>
      </c>
      <c r="DP6" s="65">
        <v>60</v>
      </c>
      <c r="DQ6" s="65">
        <v>140</v>
      </c>
      <c r="DR6" s="65">
        <v>200</v>
      </c>
      <c r="EA6" s="56">
        <v>2</v>
      </c>
      <c r="EB6" s="322" t="s">
        <v>287</v>
      </c>
      <c r="EC6" s="324" t="s">
        <v>286</v>
      </c>
      <c r="ED6" s="59">
        <v>4.5999999999999996</v>
      </c>
      <c r="EE6" s="60">
        <v>2.6240000000000001</v>
      </c>
      <c r="EH6" s="313">
        <v>3</v>
      </c>
      <c r="EI6" s="314"/>
      <c r="EJ6" s="247" t="str">
        <f t="shared" si="4"/>
        <v/>
      </c>
      <c r="EK6" t="str">
        <f t="shared" si="5"/>
        <v/>
      </c>
    </row>
    <row r="7" spans="1:141" ht="13.8" thickBot="1" x14ac:dyDescent="0.3">
      <c r="A7" s="42"/>
      <c r="B7" s="266">
        <v>4</v>
      </c>
      <c r="C7" s="44"/>
      <c r="D7" s="45">
        <f t="shared" si="0"/>
        <v>0</v>
      </c>
      <c r="E7" s="265"/>
      <c r="F7" s="46">
        <v>3</v>
      </c>
      <c r="G7" s="369">
        <v>0.9999922</v>
      </c>
      <c r="H7" s="47">
        <v>0.99823229999999996</v>
      </c>
      <c r="I7" s="48">
        <f t="shared" si="1"/>
        <v>1.0017630164842393</v>
      </c>
      <c r="K7" s="44">
        <v>21.5</v>
      </c>
      <c r="L7" s="49">
        <v>0.99709999999999999</v>
      </c>
      <c r="N7" s="397">
        <v>4</v>
      </c>
      <c r="O7" s="397" t="s">
        <v>382</v>
      </c>
      <c r="P7" s="400">
        <v>1704.9</v>
      </c>
      <c r="Q7" s="400">
        <v>11.65</v>
      </c>
      <c r="R7" s="400">
        <v>10.15</v>
      </c>
      <c r="S7" s="400">
        <v>11.65</v>
      </c>
      <c r="T7" s="400">
        <v>942.64439866234875</v>
      </c>
      <c r="U7" s="401">
        <f t="shared" si="2"/>
        <v>80.913682288613629</v>
      </c>
      <c r="V7" s="401">
        <f t="shared" si="3"/>
        <v>942.64439866234875</v>
      </c>
      <c r="W7" s="429"/>
      <c r="X7" s="270">
        <v>4</v>
      </c>
      <c r="Y7" s="50">
        <v>59</v>
      </c>
      <c r="Z7" s="30"/>
      <c r="AA7" s="61">
        <v>140</v>
      </c>
      <c r="AB7" s="62">
        <v>500</v>
      </c>
      <c r="AC7" s="63">
        <f>IF(AA7=0,0,AB7/AA7)</f>
        <v>3.5714285714285716</v>
      </c>
      <c r="AD7" s="30"/>
      <c r="AF7" s="69">
        <v>2</v>
      </c>
      <c r="AG7" s="70">
        <v>10000</v>
      </c>
      <c r="AH7" s="71">
        <v>2.36</v>
      </c>
      <c r="AL7" s="246"/>
      <c r="AM7" s="376">
        <v>3</v>
      </c>
      <c r="AN7" s="380">
        <v>0.99996499999999999</v>
      </c>
      <c r="AO7" s="248"/>
      <c r="AP7" s="246"/>
      <c r="AR7" s="265" t="s">
        <v>258</v>
      </c>
      <c r="AU7" s="53"/>
      <c r="AY7" s="72" t="str">
        <f>IF(OR(AY6=0,AY6=""),"",VLOOKUP(AY5,$AU$9:$BQ$25,(RANK(AY6,$AW$9:$BQ$9,1)+2),1))</f>
        <v/>
      </c>
      <c r="AZ7" s="72" t="str">
        <f>IF(OR(AZ6=0,AZ6=""),"",VLOOKUP(AZ5,$AU$9:$BQ$25,(RANK(AZ6,$AW$9:$BQ$9,1)+2),1))</f>
        <v/>
      </c>
      <c r="BA7" s="72" t="str">
        <f t="shared" ref="BA7:BB7" si="8">IF(OR(BA6=0,BA6=""),"",VLOOKUP(BA5,$AU$9:$BQ$25,(RANK(BA6,$AW$9:$BQ$9,1)+2),1))</f>
        <v/>
      </c>
      <c r="BB7" s="72" t="str">
        <f t="shared" si="8"/>
        <v/>
      </c>
      <c r="BC7" s="73"/>
      <c r="BE7" s="72" t="str">
        <f>IF(OR(BE6=0,BE6=""),"",VLOOKUP(BE5,$AU$9:$BQ$25,(RANK(BE6,$AW$9:$BQ$9,1)+2),1))</f>
        <v/>
      </c>
      <c r="BF7" s="72" t="str">
        <f>IF(OR(BF6=0,BF6=""),"",VLOOKUP(BF5,$AU$9:$BQ$25,(RANK(BF6,$AW$9:$BQ$9,1)+2),1))</f>
        <v/>
      </c>
      <c r="BG7" s="72" t="str">
        <f t="shared" ref="BG7" si="9">IF(OR(BG6=0,BG6=""),"",VLOOKUP(BG5,$AU$9:$BQ$25,(RANK(BG6,$AW$9:$BQ$9,1)+2),1))</f>
        <v/>
      </c>
      <c r="BH7" s="72" t="str">
        <f t="shared" ref="BH7" si="10">IF(OR(BH6=0,BH6=""),"",VLOOKUP(BH5,$AU$9:$BQ$25,(RANK(BH6,$AW$9:$BQ$9,1)+2),1))</f>
        <v/>
      </c>
      <c r="BJ7" s="73"/>
      <c r="BO7" s="3"/>
      <c r="BQ7" s="55"/>
      <c r="BU7" s="74"/>
      <c r="BV7" s="75"/>
      <c r="BW7" s="76"/>
      <c r="BX7" s="77">
        <v>101.6</v>
      </c>
      <c r="BY7" s="77">
        <v>76.2</v>
      </c>
      <c r="BZ7" s="77">
        <v>63.6</v>
      </c>
      <c r="CA7" s="77">
        <v>50.8</v>
      </c>
      <c r="CB7" s="77">
        <v>38.1</v>
      </c>
      <c r="CC7" s="77">
        <v>25.4</v>
      </c>
      <c r="CD7" s="77">
        <v>19.100000000000001</v>
      </c>
      <c r="CE7" s="77">
        <v>12.7</v>
      </c>
      <c r="CF7" s="78">
        <v>9.51</v>
      </c>
      <c r="CG7" s="78">
        <v>4.76</v>
      </c>
      <c r="CH7" s="78">
        <v>2</v>
      </c>
      <c r="CI7" s="78">
        <v>0.42499999999999999</v>
      </c>
      <c r="CJ7" s="78">
        <v>0.17699999999999999</v>
      </c>
      <c r="CK7" s="78">
        <v>7.4999999999999997E-2</v>
      </c>
      <c r="CN7" s="74"/>
      <c r="CO7" s="75"/>
      <c r="CP7" s="76"/>
      <c r="CQ7" s="77">
        <v>800</v>
      </c>
      <c r="CR7" s="77">
        <v>750</v>
      </c>
      <c r="CS7" s="77">
        <v>700</v>
      </c>
      <c r="CT7" s="77">
        <v>650</v>
      </c>
      <c r="CU7" s="77">
        <v>600</v>
      </c>
      <c r="CV7" s="77">
        <v>550</v>
      </c>
      <c r="CW7" s="77">
        <v>500</v>
      </c>
      <c r="CX7" s="77">
        <v>400</v>
      </c>
      <c r="CY7" s="77">
        <v>350</v>
      </c>
      <c r="CZ7" s="77">
        <v>300</v>
      </c>
      <c r="DA7" s="77">
        <v>250</v>
      </c>
      <c r="DB7" s="77">
        <v>200</v>
      </c>
      <c r="DC7" s="77">
        <v>150</v>
      </c>
      <c r="DD7" s="77">
        <v>101.6</v>
      </c>
      <c r="DE7" s="77">
        <v>76.2</v>
      </c>
      <c r="DF7" s="77">
        <v>50.8</v>
      </c>
      <c r="DG7" s="77">
        <v>25.4</v>
      </c>
      <c r="DH7" s="77">
        <v>19.100000000000001</v>
      </c>
      <c r="DI7" s="77">
        <v>9.52</v>
      </c>
      <c r="DJ7" s="77">
        <v>4.76</v>
      </c>
      <c r="DK7" s="78">
        <v>2.38</v>
      </c>
      <c r="DL7" s="78">
        <v>2</v>
      </c>
      <c r="DM7" s="78">
        <v>1.19</v>
      </c>
      <c r="DN7" s="78">
        <v>0.84099999999999997</v>
      </c>
      <c r="DO7" s="78">
        <v>0.42499999999999999</v>
      </c>
      <c r="DP7" s="78">
        <v>0.25</v>
      </c>
      <c r="DQ7" s="78">
        <v>0.106</v>
      </c>
      <c r="DR7" s="78">
        <v>7.4999999999999997E-2</v>
      </c>
      <c r="EA7" s="56">
        <v>3</v>
      </c>
      <c r="EB7" s="79" t="s">
        <v>282</v>
      </c>
      <c r="EC7" s="58"/>
      <c r="ED7" s="59">
        <v>5</v>
      </c>
      <c r="EE7" s="60">
        <v>2.7</v>
      </c>
      <c r="EH7" s="313">
        <v>4</v>
      </c>
      <c r="EI7" s="314"/>
      <c r="EJ7" s="247" t="str">
        <f t="shared" si="4"/>
        <v/>
      </c>
      <c r="EK7" t="str">
        <f t="shared" si="5"/>
        <v/>
      </c>
    </row>
    <row r="8" spans="1:141" ht="14.4" thickTop="1" thickBot="1" x14ac:dyDescent="0.3">
      <c r="A8" s="42"/>
      <c r="B8" s="266">
        <v>5</v>
      </c>
      <c r="C8" s="44"/>
      <c r="D8" s="45">
        <f t="shared" si="0"/>
        <v>0</v>
      </c>
      <c r="E8" s="269"/>
      <c r="F8" s="46">
        <v>4</v>
      </c>
      <c r="G8" s="369">
        <v>1</v>
      </c>
      <c r="H8" s="47">
        <v>0.99823229999999996</v>
      </c>
      <c r="I8" s="48">
        <f t="shared" si="1"/>
        <v>1.0017708302967157</v>
      </c>
      <c r="K8" s="44">
        <v>22</v>
      </c>
      <c r="L8" s="49">
        <v>0.99609999999999999</v>
      </c>
      <c r="N8" s="397">
        <v>5</v>
      </c>
      <c r="O8" s="397" t="s">
        <v>382</v>
      </c>
      <c r="P8" s="400">
        <v>1786</v>
      </c>
      <c r="Q8" s="400">
        <v>9.8000000000000007</v>
      </c>
      <c r="R8" s="400">
        <v>10.1</v>
      </c>
      <c r="S8" s="400">
        <v>9.8000000000000007</v>
      </c>
      <c r="T8" s="400">
        <v>785.16097315210231</v>
      </c>
      <c r="U8" s="401">
        <f t="shared" si="2"/>
        <v>80.118466648173694</v>
      </c>
      <c r="V8" s="401">
        <f t="shared" si="3"/>
        <v>785.16097315210231</v>
      </c>
      <c r="W8" s="428"/>
      <c r="X8" s="28">
        <v>5</v>
      </c>
      <c r="Y8" s="29">
        <v>59</v>
      </c>
      <c r="Z8" s="30"/>
      <c r="AA8" s="61">
        <v>283</v>
      </c>
      <c r="AB8" s="62">
        <v>1000</v>
      </c>
      <c r="AC8" s="63">
        <f t="shared" ref="AC8:AC16" si="11">IF(AA8=0,0,AB8/AA8)</f>
        <v>3.5335689045936394</v>
      </c>
      <c r="AD8" s="30"/>
      <c r="AF8" s="69">
        <v>3</v>
      </c>
      <c r="AG8" s="70">
        <v>3000</v>
      </c>
      <c r="AH8" s="71">
        <v>1.32548</v>
      </c>
      <c r="AL8" s="246"/>
      <c r="AM8" s="377">
        <v>4</v>
      </c>
      <c r="AN8" s="381">
        <v>0.999973</v>
      </c>
      <c r="AO8" s="248"/>
      <c r="AP8" s="246"/>
      <c r="AR8" s="269" t="s">
        <v>259</v>
      </c>
      <c r="AU8" s="80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2"/>
      <c r="BT8" s="83">
        <v>1</v>
      </c>
      <c r="BU8" s="84" t="s">
        <v>39</v>
      </c>
      <c r="BV8" s="85">
        <v>1</v>
      </c>
      <c r="BW8" s="86" t="s">
        <v>40</v>
      </c>
      <c r="BX8" s="87">
        <v>100</v>
      </c>
      <c r="BY8" s="88">
        <v>100</v>
      </c>
      <c r="BZ8" s="88">
        <v>100</v>
      </c>
      <c r="CA8" s="88">
        <v>100</v>
      </c>
      <c r="CB8" s="88">
        <v>95</v>
      </c>
      <c r="CC8" s="88">
        <v>89</v>
      </c>
      <c r="CD8" s="88">
        <v>85</v>
      </c>
      <c r="CE8" s="88">
        <v>73</v>
      </c>
      <c r="CF8" s="88">
        <v>64</v>
      </c>
      <c r="CG8" s="88">
        <v>45</v>
      </c>
      <c r="CH8" s="88">
        <v>36</v>
      </c>
      <c r="CI8" s="88">
        <v>22</v>
      </c>
      <c r="CJ8" s="88">
        <v>15.5</v>
      </c>
      <c r="CK8" s="89">
        <v>9</v>
      </c>
      <c r="CL8" s="76"/>
      <c r="CM8" s="83">
        <v>1</v>
      </c>
      <c r="CN8" s="84" t="s">
        <v>39</v>
      </c>
      <c r="CO8" s="85">
        <v>1</v>
      </c>
      <c r="CP8" s="86" t="s">
        <v>40</v>
      </c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9"/>
      <c r="EA8" s="56">
        <v>4</v>
      </c>
      <c r="EB8" s="57" t="s">
        <v>41</v>
      </c>
      <c r="EC8" s="58"/>
      <c r="ED8" s="59">
        <v>5</v>
      </c>
      <c r="EE8" s="60">
        <v>2.68</v>
      </c>
      <c r="EH8" s="313">
        <v>5</v>
      </c>
      <c r="EI8" s="314"/>
      <c r="EJ8" s="247" t="str">
        <f t="shared" si="4"/>
        <v/>
      </c>
      <c r="EK8" t="str">
        <f t="shared" si="5"/>
        <v/>
      </c>
    </row>
    <row r="9" spans="1:141" ht="14.4" thickTop="1" thickBot="1" x14ac:dyDescent="0.3">
      <c r="A9" s="42"/>
      <c r="B9" s="266">
        <v>6</v>
      </c>
      <c r="C9" s="44"/>
      <c r="D9" s="45">
        <f t="shared" si="0"/>
        <v>0</v>
      </c>
      <c r="F9" s="46">
        <v>5</v>
      </c>
      <c r="G9" s="369">
        <v>0.99999190000000004</v>
      </c>
      <c r="H9" s="47">
        <v>0.99823229999999996</v>
      </c>
      <c r="I9" s="48">
        <f t="shared" si="1"/>
        <v>1.0017627159529903</v>
      </c>
      <c r="K9" s="44">
        <v>22.5</v>
      </c>
      <c r="L9" s="49">
        <v>0.99519999999999997</v>
      </c>
      <c r="N9" s="397">
        <v>6</v>
      </c>
      <c r="O9" s="400"/>
      <c r="P9" s="400"/>
      <c r="Q9" s="400"/>
      <c r="R9" s="400"/>
      <c r="S9" s="400"/>
      <c r="T9" s="400"/>
      <c r="U9" s="401" t="str">
        <f t="shared" si="2"/>
        <v/>
      </c>
      <c r="V9" s="401" t="str">
        <f t="shared" si="3"/>
        <v/>
      </c>
      <c r="X9" s="43">
        <v>6</v>
      </c>
      <c r="Y9" s="50">
        <v>59</v>
      </c>
      <c r="Z9" s="30"/>
      <c r="AA9" s="61">
        <v>427</v>
      </c>
      <c r="AB9" s="62">
        <v>1500</v>
      </c>
      <c r="AC9" s="63">
        <f t="shared" si="11"/>
        <v>3.5128805620608898</v>
      </c>
      <c r="AD9" s="30"/>
      <c r="AF9" s="69">
        <v>9</v>
      </c>
      <c r="AG9" s="70">
        <v>3000</v>
      </c>
      <c r="AH9" s="71">
        <v>2.3380000000000001</v>
      </c>
      <c r="AL9" s="246"/>
      <c r="AM9" s="376">
        <v>5</v>
      </c>
      <c r="AN9" s="380">
        <v>0.99996499999999999</v>
      </c>
      <c r="AO9" s="248"/>
      <c r="AP9" s="246"/>
      <c r="AU9" s="90" t="s">
        <v>42</v>
      </c>
      <c r="AV9" s="91" t="s">
        <v>350</v>
      </c>
      <c r="AW9" s="91">
        <v>10</v>
      </c>
      <c r="AX9" s="91">
        <v>11</v>
      </c>
      <c r="AY9" s="91">
        <v>12</v>
      </c>
      <c r="AZ9" s="91">
        <v>13</v>
      </c>
      <c r="BA9" s="91">
        <v>14</v>
      </c>
      <c r="BB9" s="91">
        <v>15</v>
      </c>
      <c r="BC9" s="91">
        <v>16</v>
      </c>
      <c r="BD9" s="91">
        <v>17</v>
      </c>
      <c r="BE9" s="91">
        <v>18</v>
      </c>
      <c r="BF9" s="91">
        <v>19</v>
      </c>
      <c r="BG9" s="91">
        <v>20</v>
      </c>
      <c r="BH9" s="91">
        <v>21</v>
      </c>
      <c r="BI9" s="91">
        <v>22</v>
      </c>
      <c r="BJ9" s="91">
        <v>23</v>
      </c>
      <c r="BK9" s="91">
        <v>24</v>
      </c>
      <c r="BL9" s="91">
        <v>25</v>
      </c>
      <c r="BM9" s="91">
        <v>26</v>
      </c>
      <c r="BN9" s="91">
        <v>27</v>
      </c>
      <c r="BO9" s="91">
        <v>28</v>
      </c>
      <c r="BP9" s="91">
        <v>29</v>
      </c>
      <c r="BQ9" s="92">
        <v>30</v>
      </c>
      <c r="BT9" s="83">
        <v>2</v>
      </c>
      <c r="BU9" s="93">
        <v>1</v>
      </c>
      <c r="BV9" s="94">
        <v>2</v>
      </c>
      <c r="BW9" s="95" t="s">
        <v>43</v>
      </c>
      <c r="BX9" s="96">
        <v>100</v>
      </c>
      <c r="BY9" s="97">
        <v>100</v>
      </c>
      <c r="BZ9" s="97">
        <v>100</v>
      </c>
      <c r="CA9" s="97">
        <v>100</v>
      </c>
      <c r="CB9" s="97">
        <v>85</v>
      </c>
      <c r="CC9" s="97">
        <v>64</v>
      </c>
      <c r="CD9" s="97">
        <v>50</v>
      </c>
      <c r="CE9" s="97">
        <v>43.8</v>
      </c>
      <c r="CF9" s="97">
        <v>39</v>
      </c>
      <c r="CG9" s="97">
        <v>30</v>
      </c>
      <c r="CH9" s="97">
        <v>22.3</v>
      </c>
      <c r="CI9" s="97">
        <v>8</v>
      </c>
      <c r="CJ9" s="97">
        <v>5</v>
      </c>
      <c r="CK9" s="98">
        <v>2</v>
      </c>
      <c r="CL9" s="76"/>
      <c r="CM9" s="83">
        <v>2</v>
      </c>
      <c r="CN9" s="93">
        <v>1</v>
      </c>
      <c r="CO9" s="94">
        <v>2</v>
      </c>
      <c r="CP9" s="95" t="s">
        <v>43</v>
      </c>
      <c r="CQ9" s="97"/>
      <c r="CR9" s="97"/>
      <c r="CS9" s="97"/>
      <c r="CT9" s="97"/>
      <c r="CU9" s="97"/>
      <c r="CV9" s="97"/>
      <c r="CW9" s="97"/>
      <c r="CX9" s="97"/>
      <c r="CY9" s="97"/>
      <c r="CZ9" s="97"/>
      <c r="DA9" s="97"/>
      <c r="DB9" s="97"/>
      <c r="DC9" s="97"/>
      <c r="DD9" s="97"/>
      <c r="DE9" s="97"/>
      <c r="DF9" s="97"/>
      <c r="DG9" s="97"/>
      <c r="DH9" s="97"/>
      <c r="DI9" s="97"/>
      <c r="DJ9" s="97"/>
      <c r="DK9" s="99"/>
      <c r="DL9" s="99"/>
      <c r="DM9" s="99"/>
      <c r="DN9" s="99"/>
      <c r="DO9" s="99"/>
      <c r="DP9" s="99"/>
      <c r="DQ9" s="99"/>
      <c r="DR9" s="100"/>
      <c r="EA9" s="101">
        <v>5</v>
      </c>
      <c r="EB9" s="102" t="s">
        <v>44</v>
      </c>
      <c r="EC9" s="103"/>
      <c r="ED9" s="104">
        <v>5</v>
      </c>
      <c r="EE9" s="105">
        <v>2.69</v>
      </c>
      <c r="EH9" s="313">
        <v>6</v>
      </c>
      <c r="EI9" s="314"/>
      <c r="EJ9" s="247" t="str">
        <f t="shared" si="4"/>
        <v/>
      </c>
      <c r="EK9" t="str">
        <f t="shared" si="5"/>
        <v/>
      </c>
    </row>
    <row r="10" spans="1:141" ht="14.4" thickTop="1" thickBot="1" x14ac:dyDescent="0.3">
      <c r="A10" s="42"/>
      <c r="B10" s="266">
        <v>7</v>
      </c>
      <c r="C10" s="44"/>
      <c r="D10" s="45">
        <f t="shared" si="0"/>
        <v>0</v>
      </c>
      <c r="F10" s="46">
        <v>6</v>
      </c>
      <c r="G10" s="369">
        <v>0.99996810000000003</v>
      </c>
      <c r="H10" s="47">
        <v>0.99823229999999996</v>
      </c>
      <c r="I10" s="48">
        <f t="shared" si="1"/>
        <v>1.001738873807229</v>
      </c>
      <c r="K10" s="44">
        <v>23</v>
      </c>
      <c r="L10" s="49">
        <v>0.99419999999999997</v>
      </c>
      <c r="N10" s="397">
        <v>7</v>
      </c>
      <c r="O10" s="400"/>
      <c r="P10" s="400"/>
      <c r="Q10" s="400"/>
      <c r="R10" s="400"/>
      <c r="S10" s="400"/>
      <c r="T10" s="400"/>
      <c r="U10" s="401" t="str">
        <f t="shared" si="2"/>
        <v/>
      </c>
      <c r="V10" s="401" t="str">
        <f t="shared" si="3"/>
        <v/>
      </c>
      <c r="X10" s="43">
        <v>7</v>
      </c>
      <c r="Y10" s="50"/>
      <c r="Z10" s="30"/>
      <c r="AA10" s="61">
        <v>571</v>
      </c>
      <c r="AB10" s="62">
        <v>2000</v>
      </c>
      <c r="AC10" s="63">
        <f t="shared" si="11"/>
        <v>3.5026269702276709</v>
      </c>
      <c r="AD10" s="30"/>
      <c r="AF10" s="69">
        <v>10</v>
      </c>
      <c r="AG10" s="70">
        <v>5000</v>
      </c>
      <c r="AH10" s="71">
        <v>3.5108999999999999</v>
      </c>
      <c r="AI10" s="246"/>
      <c r="AL10" s="246"/>
      <c r="AM10" s="377">
        <v>6</v>
      </c>
      <c r="AN10" s="381">
        <v>0.99994099999999997</v>
      </c>
      <c r="AO10" s="246"/>
      <c r="AP10" s="246"/>
      <c r="AU10" s="271">
        <v>1</v>
      </c>
      <c r="AV10" s="257">
        <v>553.5</v>
      </c>
      <c r="AW10" s="120">
        <v>1830.5418061912656</v>
      </c>
      <c r="AX10" s="120">
        <v>1830.3587703142341</v>
      </c>
      <c r="AY10" s="120">
        <v>1830.1757527389602</v>
      </c>
      <c r="AZ10" s="120">
        <v>1829.9561580000002</v>
      </c>
      <c r="BA10" s="121">
        <v>1829.7</v>
      </c>
      <c r="BB10" s="121">
        <v>1829.4072480000002</v>
      </c>
      <c r="BC10" s="121">
        <v>1829.0962487678403</v>
      </c>
      <c r="BD10" s="121">
        <v>1828.7670114430618</v>
      </c>
      <c r="BE10" s="121">
        <v>1828.4195457108879</v>
      </c>
      <c r="BF10" s="121">
        <v>1828.0538618017456</v>
      </c>
      <c r="BG10" s="121">
        <v>1827.6699704907674</v>
      </c>
      <c r="BH10" s="121">
        <v>1827.2678830972593</v>
      </c>
      <c r="BI10" s="121">
        <v>1826.8476114841469</v>
      </c>
      <c r="BJ10" s="121">
        <v>1826.4091680573908</v>
      </c>
      <c r="BK10" s="121">
        <v>1825.9525657653764</v>
      </c>
      <c r="BL10" s="121">
        <v>1825.4595585726197</v>
      </c>
      <c r="BM10" s="121">
        <v>1824.9666844918052</v>
      </c>
      <c r="BN10" s="121">
        <v>1824.4556938201476</v>
      </c>
      <c r="BO10" s="121">
        <v>1823.9448462258779</v>
      </c>
      <c r="BP10" s="121">
        <v>1823.3976627720101</v>
      </c>
      <c r="BQ10" s="122">
        <v>1823.3976627720101</v>
      </c>
      <c r="BR10" s="110"/>
      <c r="BT10" s="83">
        <v>3</v>
      </c>
      <c r="BU10" s="84" t="s">
        <v>39</v>
      </c>
      <c r="BV10" s="85">
        <v>3</v>
      </c>
      <c r="BW10" s="86" t="s">
        <v>40</v>
      </c>
      <c r="BX10" s="87">
        <v>100</v>
      </c>
      <c r="BY10" s="88">
        <v>100</v>
      </c>
      <c r="BZ10" s="88">
        <v>100</v>
      </c>
      <c r="CA10" s="88">
        <v>100</v>
      </c>
      <c r="CB10" s="88">
        <v>100</v>
      </c>
      <c r="CC10" s="88">
        <v>95</v>
      </c>
      <c r="CD10" s="88">
        <v>85</v>
      </c>
      <c r="CE10" s="88">
        <v>72</v>
      </c>
      <c r="CF10" s="88">
        <v>63</v>
      </c>
      <c r="CG10" s="88">
        <v>45</v>
      </c>
      <c r="CH10" s="88">
        <v>34</v>
      </c>
      <c r="CI10" s="88">
        <v>18</v>
      </c>
      <c r="CJ10" s="88">
        <v>13</v>
      </c>
      <c r="CK10" s="89">
        <v>9</v>
      </c>
      <c r="CL10" s="111"/>
      <c r="CM10" s="83">
        <v>3</v>
      </c>
      <c r="CN10" s="84" t="s">
        <v>39</v>
      </c>
      <c r="CO10" s="85">
        <v>3</v>
      </c>
      <c r="CP10" s="86" t="s">
        <v>40</v>
      </c>
      <c r="CQ10" s="88"/>
      <c r="CR10" s="88"/>
      <c r="CS10" s="88"/>
      <c r="CT10" s="88"/>
      <c r="CU10" s="88"/>
      <c r="CV10" s="88"/>
      <c r="CW10" s="88"/>
      <c r="CX10" s="88"/>
      <c r="CY10" s="88"/>
      <c r="CZ10" s="88"/>
      <c r="DA10" s="88"/>
      <c r="DB10" s="88"/>
      <c r="DC10" s="88"/>
      <c r="DD10" s="88"/>
      <c r="DE10" s="88"/>
      <c r="DF10" s="88"/>
      <c r="DG10" s="88"/>
      <c r="DH10" s="88"/>
      <c r="DI10" s="88"/>
      <c r="DJ10" s="88"/>
      <c r="DK10" s="88"/>
      <c r="DL10" s="88"/>
      <c r="DM10" s="88"/>
      <c r="DN10" s="88"/>
      <c r="DO10" s="88"/>
      <c r="DP10" s="88"/>
      <c r="DQ10" s="88"/>
      <c r="DR10" s="89"/>
      <c r="EA10" s="101">
        <v>6</v>
      </c>
      <c r="EB10" s="322" t="s">
        <v>283</v>
      </c>
      <c r="EC10" s="103"/>
      <c r="ED10" s="104">
        <v>5</v>
      </c>
      <c r="EE10" s="105">
        <v>2.69</v>
      </c>
      <c r="EH10" s="313">
        <v>7</v>
      </c>
      <c r="EI10" s="314"/>
      <c r="EJ10" s="247" t="str">
        <f t="shared" si="4"/>
        <v/>
      </c>
      <c r="EK10" t="str">
        <f t="shared" si="5"/>
        <v/>
      </c>
    </row>
    <row r="11" spans="1:141" ht="14.4" thickTop="1" thickBot="1" x14ac:dyDescent="0.3">
      <c r="A11" s="42"/>
      <c r="B11" s="266">
        <v>8</v>
      </c>
      <c r="C11" s="44"/>
      <c r="D11" s="45">
        <f t="shared" si="0"/>
        <v>0</v>
      </c>
      <c r="F11" s="46">
        <v>7</v>
      </c>
      <c r="G11" s="369">
        <v>0.99992950000000003</v>
      </c>
      <c r="H11" s="47">
        <v>0.99823229999999996</v>
      </c>
      <c r="I11" s="48">
        <f t="shared" si="1"/>
        <v>1.0017002054531796</v>
      </c>
      <c r="K11" s="44">
        <v>23.5</v>
      </c>
      <c r="L11" s="49">
        <v>0.99329999999999996</v>
      </c>
      <c r="N11" s="397">
        <v>8</v>
      </c>
      <c r="O11" s="400"/>
      <c r="P11" s="400"/>
      <c r="Q11" s="400"/>
      <c r="R11" s="400"/>
      <c r="S11" s="400"/>
      <c r="T11" s="400"/>
      <c r="U11" s="401" t="str">
        <f t="shared" si="2"/>
        <v/>
      </c>
      <c r="V11" s="401" t="str">
        <f t="shared" si="3"/>
        <v/>
      </c>
      <c r="X11" s="67">
        <v>8</v>
      </c>
      <c r="Y11" s="68"/>
      <c r="Z11" s="30"/>
      <c r="AA11" s="61">
        <v>712</v>
      </c>
      <c r="AB11" s="62">
        <v>2500</v>
      </c>
      <c r="AC11" s="63">
        <f t="shared" si="11"/>
        <v>3.5112359550561796</v>
      </c>
      <c r="AD11" s="30"/>
      <c r="AF11" s="69">
        <v>11</v>
      </c>
      <c r="AG11" s="70">
        <v>5000</v>
      </c>
      <c r="AH11" s="71">
        <v>1.5412999999999999</v>
      </c>
      <c r="AL11" s="246"/>
      <c r="AM11" s="376">
        <v>7</v>
      </c>
      <c r="AN11" s="380">
        <v>0.99990199999999996</v>
      </c>
      <c r="AO11" s="246"/>
      <c r="AP11" s="246"/>
      <c r="AU11" s="254">
        <v>5</v>
      </c>
      <c r="AV11" s="106">
        <v>290.62</v>
      </c>
      <c r="AW11" s="107">
        <v>898.69</v>
      </c>
      <c r="AX11" s="107">
        <v>898.6</v>
      </c>
      <c r="AY11" s="107">
        <v>898.40707321000855</v>
      </c>
      <c r="AZ11" s="107">
        <v>898.29927729673295</v>
      </c>
      <c r="BA11" s="107">
        <v>898.17353300211266</v>
      </c>
      <c r="BB11" s="107">
        <v>898.04780630922937</v>
      </c>
      <c r="BC11" s="107">
        <v>897.90414164656602</v>
      </c>
      <c r="BD11" s="107">
        <v>897.75152388750519</v>
      </c>
      <c r="BE11" s="107">
        <v>897.58995769512001</v>
      </c>
      <c r="BF11" s="107">
        <v>897.4194480000001</v>
      </c>
      <c r="BG11" s="108">
        <v>897.24</v>
      </c>
      <c r="BH11" s="108">
        <v>897.04260720000002</v>
      </c>
      <c r="BI11" s="108">
        <v>896.83628740034396</v>
      </c>
      <c r="BJ11" s="108">
        <v>896.62104669136795</v>
      </c>
      <c r="BK11" s="108">
        <v>896.39689142969507</v>
      </c>
      <c r="BL11" s="108">
        <v>896.15486426900907</v>
      </c>
      <c r="BM11" s="108">
        <v>895.91290245565642</v>
      </c>
      <c r="BN11" s="108">
        <v>895.66204684296883</v>
      </c>
      <c r="BO11" s="108">
        <v>895.41126146985278</v>
      </c>
      <c r="BP11" s="108">
        <v>895.14263809141187</v>
      </c>
      <c r="BQ11" s="109">
        <v>895.14263809141187</v>
      </c>
      <c r="BR11" s="115"/>
      <c r="BT11" s="83">
        <v>4</v>
      </c>
      <c r="BU11" s="93">
        <v>2</v>
      </c>
      <c r="BV11" s="94">
        <v>4</v>
      </c>
      <c r="BW11" s="95" t="s">
        <v>43</v>
      </c>
      <c r="BX11" s="96">
        <v>100</v>
      </c>
      <c r="BY11" s="97">
        <v>100</v>
      </c>
      <c r="BZ11" s="97">
        <v>100</v>
      </c>
      <c r="CA11" s="97">
        <v>100</v>
      </c>
      <c r="CB11" s="97">
        <v>100</v>
      </c>
      <c r="CC11" s="97">
        <v>70</v>
      </c>
      <c r="CD11" s="97">
        <v>55</v>
      </c>
      <c r="CE11" s="97">
        <v>43</v>
      </c>
      <c r="CF11" s="97">
        <v>36</v>
      </c>
      <c r="CG11" s="97">
        <v>22</v>
      </c>
      <c r="CH11" s="97">
        <v>15</v>
      </c>
      <c r="CI11" s="97">
        <v>5</v>
      </c>
      <c r="CJ11" s="97">
        <v>3</v>
      </c>
      <c r="CK11" s="98">
        <v>2</v>
      </c>
      <c r="CL11" s="111"/>
      <c r="CM11" s="83">
        <v>4</v>
      </c>
      <c r="CN11" s="93">
        <v>2</v>
      </c>
      <c r="CO11" s="94">
        <v>4</v>
      </c>
      <c r="CP11" s="95" t="s">
        <v>43</v>
      </c>
      <c r="CQ11" s="97"/>
      <c r="CR11" s="97"/>
      <c r="CS11" s="97"/>
      <c r="CT11" s="97"/>
      <c r="CU11" s="97"/>
      <c r="CV11" s="97"/>
      <c r="CW11" s="97"/>
      <c r="CX11" s="97"/>
      <c r="CY11" s="97"/>
      <c r="CZ11" s="97"/>
      <c r="DA11" s="97"/>
      <c r="DB11" s="97"/>
      <c r="DC11" s="97"/>
      <c r="DD11" s="97"/>
      <c r="DE11" s="97"/>
      <c r="DF11" s="97"/>
      <c r="DG11" s="97"/>
      <c r="DH11" s="97"/>
      <c r="DI11" s="97"/>
      <c r="DJ11" s="97"/>
      <c r="DK11" s="97"/>
      <c r="DL11" s="97"/>
      <c r="DM11" s="97"/>
      <c r="DN11" s="97"/>
      <c r="DO11" s="97"/>
      <c r="DP11" s="97"/>
      <c r="DQ11" s="97"/>
      <c r="DR11" s="98"/>
      <c r="EH11" s="313">
        <v>8</v>
      </c>
      <c r="EI11" s="314"/>
      <c r="EJ11" s="247" t="str">
        <f t="shared" si="4"/>
        <v/>
      </c>
      <c r="EK11" t="str">
        <f t="shared" si="5"/>
        <v/>
      </c>
    </row>
    <row r="12" spans="1:141" ht="14.4" thickTop="1" thickBot="1" x14ac:dyDescent="0.3">
      <c r="A12" s="42"/>
      <c r="B12" s="266">
        <v>9</v>
      </c>
      <c r="C12" s="44"/>
      <c r="D12" s="45">
        <f t="shared" si="0"/>
        <v>0</v>
      </c>
      <c r="F12" s="46">
        <v>8</v>
      </c>
      <c r="G12" s="369">
        <v>0.99987619999999999</v>
      </c>
      <c r="H12" s="47">
        <v>0.99823229999999996</v>
      </c>
      <c r="I12" s="48">
        <f t="shared" si="1"/>
        <v>1.0016468110679249</v>
      </c>
      <c r="K12" s="44">
        <v>24</v>
      </c>
      <c r="L12" s="49">
        <v>0.99229999999999996</v>
      </c>
      <c r="N12" s="397">
        <v>9</v>
      </c>
      <c r="O12" s="400"/>
      <c r="P12" s="400"/>
      <c r="Q12" s="400"/>
      <c r="R12" s="400"/>
      <c r="S12" s="400"/>
      <c r="T12" s="400"/>
      <c r="U12" s="401" t="str">
        <f t="shared" si="2"/>
        <v/>
      </c>
      <c r="V12" s="401" t="str">
        <f t="shared" si="3"/>
        <v/>
      </c>
      <c r="X12" s="252">
        <v>9</v>
      </c>
      <c r="Y12" s="29">
        <v>49</v>
      </c>
      <c r="Z12" s="30"/>
      <c r="AA12" s="61">
        <v>855</v>
      </c>
      <c r="AB12" s="62">
        <v>3000</v>
      </c>
      <c r="AC12" s="63">
        <f t="shared" si="11"/>
        <v>3.5087719298245612</v>
      </c>
      <c r="AD12" s="30"/>
      <c r="AF12" s="69">
        <v>12</v>
      </c>
      <c r="AG12" s="70">
        <v>50</v>
      </c>
      <c r="AH12" s="71">
        <v>0.18752496000000002</v>
      </c>
      <c r="AM12" s="377">
        <v>8</v>
      </c>
      <c r="AN12" s="381">
        <v>0.99984899999999999</v>
      </c>
      <c r="AR12" t="s">
        <v>268</v>
      </c>
      <c r="AU12" s="255">
        <v>45</v>
      </c>
      <c r="AV12" s="112">
        <v>355.54</v>
      </c>
      <c r="AW12" s="113">
        <v>1533.05</v>
      </c>
      <c r="AX12" s="113">
        <v>1532.9</v>
      </c>
      <c r="AY12" s="113">
        <v>1532.5808949495201</v>
      </c>
      <c r="AZ12" s="113">
        <v>1532.3970073086432</v>
      </c>
      <c r="BA12" s="113">
        <v>1532.1825017583969</v>
      </c>
      <c r="BB12" s="113">
        <v>1531.968026234724</v>
      </c>
      <c r="BC12" s="113">
        <v>1531.722950562634</v>
      </c>
      <c r="BD12" s="113">
        <v>1531.4626019203074</v>
      </c>
      <c r="BE12" s="113">
        <v>1531.1869882624201</v>
      </c>
      <c r="BF12" s="113">
        <v>1530.8961180000001</v>
      </c>
      <c r="BG12" s="113">
        <v>1530.59</v>
      </c>
      <c r="BH12" s="113">
        <v>1530.2532701999999</v>
      </c>
      <c r="BI12" s="113">
        <v>1529.9013119478539</v>
      </c>
      <c r="BJ12" s="113">
        <v>1529.5341356329866</v>
      </c>
      <c r="BK12" s="113">
        <v>1529.1517520990783</v>
      </c>
      <c r="BL12" s="113">
        <v>1528.7388811260116</v>
      </c>
      <c r="BM12" s="113">
        <v>1528.3261216281076</v>
      </c>
      <c r="BN12" s="113">
        <v>1527.8981903140518</v>
      </c>
      <c r="BO12" s="113">
        <v>1527.4703788207637</v>
      </c>
      <c r="BP12" s="113">
        <v>1527.0121377071175</v>
      </c>
      <c r="BQ12" s="114">
        <v>1527.0121377071175</v>
      </c>
      <c r="BR12" s="115"/>
      <c r="BT12" s="83">
        <v>5</v>
      </c>
      <c r="BU12" s="84" t="s">
        <v>39</v>
      </c>
      <c r="BV12" s="85">
        <v>5</v>
      </c>
      <c r="BW12" s="86" t="s">
        <v>40</v>
      </c>
      <c r="BX12" s="87">
        <v>100</v>
      </c>
      <c r="BY12" s="88">
        <v>100</v>
      </c>
      <c r="BZ12" s="88">
        <v>100</v>
      </c>
      <c r="CA12" s="88">
        <v>100</v>
      </c>
      <c r="CB12" s="88">
        <v>100</v>
      </c>
      <c r="CC12" s="88">
        <v>91</v>
      </c>
      <c r="CD12" s="88">
        <v>85</v>
      </c>
      <c r="CE12" s="88">
        <v>74</v>
      </c>
      <c r="CF12" s="88">
        <v>66</v>
      </c>
      <c r="CG12" s="88">
        <v>50</v>
      </c>
      <c r="CH12" s="88">
        <v>40</v>
      </c>
      <c r="CI12" s="88">
        <v>22</v>
      </c>
      <c r="CJ12" s="88">
        <v>15</v>
      </c>
      <c r="CK12" s="89">
        <v>8</v>
      </c>
      <c r="CL12" s="111"/>
      <c r="CM12" s="83">
        <v>5</v>
      </c>
      <c r="CN12" s="84" t="s">
        <v>39</v>
      </c>
      <c r="CO12" s="85">
        <v>5</v>
      </c>
      <c r="CP12" s="86" t="s">
        <v>40</v>
      </c>
      <c r="CQ12" s="88"/>
      <c r="CR12" s="88"/>
      <c r="CS12" s="88"/>
      <c r="CT12" s="88"/>
      <c r="CU12" s="88"/>
      <c r="CV12" s="88"/>
      <c r="CW12" s="88"/>
      <c r="CX12" s="88"/>
      <c r="CY12" s="88"/>
      <c r="CZ12" s="88"/>
      <c r="DA12" s="88"/>
      <c r="DB12" s="88"/>
      <c r="DC12" s="88"/>
      <c r="DD12" s="88"/>
      <c r="DE12" s="88"/>
      <c r="DF12" s="88"/>
      <c r="DG12" s="88"/>
      <c r="DH12" s="88"/>
      <c r="DI12" s="88"/>
      <c r="DJ12" s="88"/>
      <c r="DK12" s="88"/>
      <c r="DL12" s="88"/>
      <c r="DM12" s="88"/>
      <c r="DN12" s="88"/>
      <c r="DO12" s="88"/>
      <c r="DP12" s="88"/>
      <c r="DQ12" s="88"/>
      <c r="DR12" s="89"/>
      <c r="EH12" s="313">
        <v>9</v>
      </c>
      <c r="EI12" s="314"/>
      <c r="EJ12" s="247" t="str">
        <f t="shared" si="4"/>
        <v/>
      </c>
      <c r="EK12" t="str">
        <f t="shared" si="5"/>
        <v/>
      </c>
    </row>
    <row r="13" spans="1:141" ht="13.8" thickBot="1" x14ac:dyDescent="0.3">
      <c r="A13" s="42"/>
      <c r="B13" s="266">
        <v>10</v>
      </c>
      <c r="C13" s="44"/>
      <c r="D13" s="45">
        <f t="shared" si="0"/>
        <v>0</v>
      </c>
      <c r="F13" s="46">
        <v>9</v>
      </c>
      <c r="G13" s="369">
        <v>0.99980880000000005</v>
      </c>
      <c r="H13" s="47">
        <v>0.99823229999999996</v>
      </c>
      <c r="I13" s="48">
        <f t="shared" si="1"/>
        <v>1.0015792917139628</v>
      </c>
      <c r="K13" s="44">
        <v>24.5</v>
      </c>
      <c r="L13" s="49">
        <v>0.99129999999999996</v>
      </c>
      <c r="N13" s="397">
        <v>10</v>
      </c>
      <c r="O13" s="400"/>
      <c r="P13" s="400"/>
      <c r="Q13" s="400"/>
      <c r="R13" s="400"/>
      <c r="S13" s="400"/>
      <c r="T13" s="400"/>
      <c r="U13" s="401" t="str">
        <f t="shared" si="2"/>
        <v/>
      </c>
      <c r="V13" s="401" t="str">
        <f t="shared" si="3"/>
        <v/>
      </c>
      <c r="X13" s="250">
        <v>10</v>
      </c>
      <c r="Y13" s="50">
        <v>59</v>
      </c>
      <c r="Z13" s="30"/>
      <c r="AA13" s="61">
        <v>998</v>
      </c>
      <c r="AB13" s="62">
        <v>3500</v>
      </c>
      <c r="AC13" s="63">
        <f t="shared" si="11"/>
        <v>3.5070140280561124</v>
      </c>
      <c r="AD13" s="30"/>
      <c r="AF13" s="69" t="s">
        <v>368</v>
      </c>
      <c r="AG13" s="70">
        <v>50</v>
      </c>
      <c r="AH13" s="71">
        <v>0.18752496000000002</v>
      </c>
      <c r="AM13" s="376">
        <v>9</v>
      </c>
      <c r="AN13" s="380">
        <v>0.99978199999999995</v>
      </c>
      <c r="AO13" s="295"/>
      <c r="AP13" s="295"/>
      <c r="AQ13" s="295"/>
      <c r="AR13" s="295">
        <f>AS13*(LOOKUP(AW9,F:F,I:I))+AV13</f>
        <v>1558.3266871788924</v>
      </c>
      <c r="AS13" s="295">
        <f>BA13-AV13</f>
        <v>1174.0878471107344</v>
      </c>
      <c r="AU13" s="255">
        <v>50</v>
      </c>
      <c r="AV13" s="112">
        <v>382.48</v>
      </c>
      <c r="AW13" s="113">
        <v>1557.46</v>
      </c>
      <c r="AX13" s="113">
        <v>1557.3</v>
      </c>
      <c r="AY13" s="113">
        <v>1556.9725809013232</v>
      </c>
      <c r="AZ13" s="113">
        <v>1556.78576660933</v>
      </c>
      <c r="BA13" s="116">
        <v>1556.5678471107344</v>
      </c>
      <c r="BB13" s="116">
        <v>1556.3499581165981</v>
      </c>
      <c r="BC13" s="116">
        <v>1556.1009819594847</v>
      </c>
      <c r="BD13" s="116">
        <v>1555.836489756226</v>
      </c>
      <c r="BE13" s="116">
        <v>1555.5564895881</v>
      </c>
      <c r="BF13" s="116">
        <v>1555.2609900000002</v>
      </c>
      <c r="BG13" s="116">
        <v>1554.95</v>
      </c>
      <c r="BH13" s="116">
        <v>1554.6079110000001</v>
      </c>
      <c r="BI13" s="116">
        <v>1554.25035118047</v>
      </c>
      <c r="BJ13" s="116">
        <v>1553.8773310961869</v>
      </c>
      <c r="BK13" s="116">
        <v>1553.4888617634128</v>
      </c>
      <c r="BL13" s="116">
        <v>1553.0694197707367</v>
      </c>
      <c r="BM13" s="116">
        <v>1552.6500910273985</v>
      </c>
      <c r="BN13" s="116">
        <v>1552.2153490019109</v>
      </c>
      <c r="BO13" s="116">
        <v>1551.7807287041903</v>
      </c>
      <c r="BP13" s="116">
        <v>1551.315194485579</v>
      </c>
      <c r="BQ13" s="114">
        <v>1551.315194485579</v>
      </c>
      <c r="BR13" s="115"/>
      <c r="BT13" s="83">
        <v>6</v>
      </c>
      <c r="BU13" s="93">
        <v>3</v>
      </c>
      <c r="BV13" s="94">
        <v>6</v>
      </c>
      <c r="BW13" s="95" t="s">
        <v>43</v>
      </c>
      <c r="BX13" s="96">
        <v>100</v>
      </c>
      <c r="BY13" s="97">
        <v>100</v>
      </c>
      <c r="BZ13" s="97">
        <v>100</v>
      </c>
      <c r="CA13" s="97">
        <v>100</v>
      </c>
      <c r="CB13" s="97">
        <v>90</v>
      </c>
      <c r="CC13" s="97">
        <v>75</v>
      </c>
      <c r="CD13" s="97">
        <v>65</v>
      </c>
      <c r="CE13" s="97">
        <v>54</v>
      </c>
      <c r="CF13" s="97">
        <v>46</v>
      </c>
      <c r="CG13" s="97">
        <v>30</v>
      </c>
      <c r="CH13" s="97">
        <v>22</v>
      </c>
      <c r="CI13" s="97">
        <v>8</v>
      </c>
      <c r="CJ13" s="97">
        <v>5</v>
      </c>
      <c r="CK13" s="98">
        <v>2</v>
      </c>
      <c r="CL13" s="111"/>
      <c r="CM13" s="83">
        <v>6</v>
      </c>
      <c r="CN13" s="93">
        <v>3</v>
      </c>
      <c r="CO13" s="94">
        <v>6</v>
      </c>
      <c r="CP13" s="95" t="s">
        <v>43</v>
      </c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97"/>
      <c r="DM13" s="97"/>
      <c r="DN13" s="97"/>
      <c r="DO13" s="97"/>
      <c r="DP13" s="97"/>
      <c r="DQ13" s="97"/>
      <c r="DR13" s="98"/>
      <c r="EH13" s="313">
        <v>10</v>
      </c>
      <c r="EI13" s="314">
        <v>0.1196</v>
      </c>
      <c r="EJ13" s="247">
        <f t="shared" si="4"/>
        <v>1</v>
      </c>
      <c r="EK13">
        <f t="shared" si="5"/>
        <v>1.220408163265306E-2</v>
      </c>
    </row>
    <row r="14" spans="1:141" ht="13.8" thickBot="1" x14ac:dyDescent="0.3">
      <c r="A14" s="42"/>
      <c r="B14" s="266">
        <v>11</v>
      </c>
      <c r="C14" s="44"/>
      <c r="D14" s="45">
        <f t="shared" si="0"/>
        <v>0</v>
      </c>
      <c r="F14" s="46">
        <v>10</v>
      </c>
      <c r="G14" s="369">
        <v>0.9997277</v>
      </c>
      <c r="H14" s="47">
        <v>0.99823229999999996</v>
      </c>
      <c r="I14" s="48">
        <f t="shared" si="1"/>
        <v>1.0014980480996258</v>
      </c>
      <c r="K14" s="44">
        <v>25</v>
      </c>
      <c r="L14" s="49">
        <v>0.99029999999999996</v>
      </c>
      <c r="N14" s="397">
        <v>11</v>
      </c>
      <c r="O14" s="397" t="s">
        <v>381</v>
      </c>
      <c r="P14" s="400">
        <v>3915</v>
      </c>
      <c r="Q14" s="400">
        <v>11.64</v>
      </c>
      <c r="R14" s="400">
        <v>15.73</v>
      </c>
      <c r="S14" s="400">
        <v>11.64</v>
      </c>
      <c r="T14" s="400">
        <v>2262.0401384085767</v>
      </c>
      <c r="U14" s="401">
        <f t="shared" ref="U14:U18" si="12">IF(SUM(O14:S14)=0,"",IF(R14="",PI()*(Q14*Q14/4)*S14,PI()*(Q14*Q14/4)*R14))</f>
        <v>1673.880941581426</v>
      </c>
      <c r="V14" s="401">
        <f t="shared" si="3"/>
        <v>2262.0401384085767</v>
      </c>
      <c r="X14" s="250">
        <v>11</v>
      </c>
      <c r="Y14" s="50">
        <v>49</v>
      </c>
      <c r="Z14" s="30"/>
      <c r="AA14" s="61">
        <v>1144</v>
      </c>
      <c r="AB14" s="62">
        <v>4000</v>
      </c>
      <c r="AC14" s="63">
        <f t="shared" si="11"/>
        <v>3.4965034965034967</v>
      </c>
      <c r="AD14" s="30"/>
      <c r="AF14" s="69"/>
      <c r="AG14" s="70"/>
      <c r="AH14" s="71"/>
      <c r="AM14" s="377">
        <v>10</v>
      </c>
      <c r="AN14" s="381">
        <v>0.99970099999999995</v>
      </c>
      <c r="AU14" s="292">
        <v>62</v>
      </c>
      <c r="AV14" s="294">
        <v>218.51</v>
      </c>
      <c r="AW14" s="113">
        <v>898.08979999999997</v>
      </c>
      <c r="AX14" s="113">
        <v>898.08979999999997</v>
      </c>
      <c r="AY14" s="113">
        <v>898.08979999999997</v>
      </c>
      <c r="AZ14" s="113">
        <v>898.08979999999997</v>
      </c>
      <c r="BA14" s="293">
        <v>897.65</v>
      </c>
      <c r="BB14" s="116">
        <v>898.08979999999997</v>
      </c>
      <c r="BC14" s="116">
        <v>898.08979999999997</v>
      </c>
      <c r="BD14" s="116">
        <v>898.08979999999997</v>
      </c>
      <c r="BE14" s="116">
        <v>898.08979999999997</v>
      </c>
      <c r="BF14" s="116">
        <v>898.08979999999997</v>
      </c>
      <c r="BG14" s="116">
        <v>982</v>
      </c>
      <c r="BH14" s="116">
        <v>894.54895547642616</v>
      </c>
      <c r="BI14" s="116">
        <v>894.54895547642616</v>
      </c>
      <c r="BJ14" s="116">
        <v>894.54895547642616</v>
      </c>
      <c r="BK14" s="116">
        <v>894.54895547642616</v>
      </c>
      <c r="BL14" s="116">
        <v>894.54895547642616</v>
      </c>
      <c r="BM14" s="116">
        <v>894.54895547642616</v>
      </c>
      <c r="BN14" s="116">
        <v>894.54895547642616</v>
      </c>
      <c r="BO14" s="116">
        <v>894.54895547642616</v>
      </c>
      <c r="BP14" s="116">
        <v>894.54895547642616</v>
      </c>
      <c r="BQ14" s="114">
        <v>894.54895547642616</v>
      </c>
      <c r="BR14" s="117"/>
      <c r="BT14" s="83">
        <v>7</v>
      </c>
      <c r="BU14" s="84" t="s">
        <v>39</v>
      </c>
      <c r="BV14" s="85">
        <v>7</v>
      </c>
      <c r="BW14" s="86" t="s">
        <v>40</v>
      </c>
      <c r="BX14" s="87">
        <v>100</v>
      </c>
      <c r="BY14" s="88">
        <v>100</v>
      </c>
      <c r="BZ14" s="88">
        <v>100</v>
      </c>
      <c r="CA14" s="88">
        <v>100</v>
      </c>
      <c r="CB14" s="88">
        <v>100</v>
      </c>
      <c r="CC14" s="88">
        <v>95</v>
      </c>
      <c r="CD14" s="88">
        <v>85</v>
      </c>
      <c r="CE14" s="88">
        <v>72</v>
      </c>
      <c r="CF14" s="88">
        <v>62</v>
      </c>
      <c r="CG14" s="88">
        <v>45</v>
      </c>
      <c r="CH14" s="88">
        <v>35</v>
      </c>
      <c r="CI14" s="88">
        <v>18</v>
      </c>
      <c r="CJ14" s="88">
        <v>14</v>
      </c>
      <c r="CK14" s="89">
        <v>9</v>
      </c>
      <c r="CL14" s="111"/>
      <c r="CM14" s="83">
        <v>7</v>
      </c>
      <c r="CN14" s="84" t="s">
        <v>39</v>
      </c>
      <c r="CO14" s="85">
        <v>7</v>
      </c>
      <c r="CP14" s="86" t="s">
        <v>40</v>
      </c>
      <c r="CQ14" s="88"/>
      <c r="CR14" s="88"/>
      <c r="CS14" s="88"/>
      <c r="CT14" s="88"/>
      <c r="CU14" s="88"/>
      <c r="CV14" s="88"/>
      <c r="CW14" s="88"/>
      <c r="CX14" s="88"/>
      <c r="CY14" s="88"/>
      <c r="CZ14" s="88"/>
      <c r="DA14" s="88"/>
      <c r="DB14" s="88"/>
      <c r="DC14" s="88"/>
      <c r="DD14" s="88"/>
      <c r="DE14" s="88"/>
      <c r="DF14" s="88"/>
      <c r="DG14" s="88"/>
      <c r="DH14" s="88"/>
      <c r="DI14" s="88"/>
      <c r="DJ14" s="88"/>
      <c r="DK14" s="88"/>
      <c r="DL14" s="88"/>
      <c r="DM14" s="88"/>
      <c r="DN14" s="88"/>
      <c r="DO14" s="88"/>
      <c r="DP14" s="88"/>
      <c r="DQ14" s="88"/>
      <c r="DR14" s="118"/>
      <c r="EH14" s="313">
        <v>11</v>
      </c>
      <c r="EI14" s="314"/>
      <c r="EJ14" s="247" t="str">
        <f t="shared" si="4"/>
        <v/>
      </c>
      <c r="EK14" t="str">
        <f t="shared" si="5"/>
        <v/>
      </c>
    </row>
    <row r="15" spans="1:141" ht="13.8" thickBot="1" x14ac:dyDescent="0.3">
      <c r="A15" s="119"/>
      <c r="B15" s="266">
        <v>12</v>
      </c>
      <c r="C15" s="44"/>
      <c r="D15" s="45">
        <f t="shared" si="0"/>
        <v>0</v>
      </c>
      <c r="F15" s="46">
        <v>11</v>
      </c>
      <c r="G15" s="369">
        <v>0.99963279999999999</v>
      </c>
      <c r="H15" s="47">
        <v>0.99823229999999996</v>
      </c>
      <c r="I15" s="48">
        <f t="shared" si="1"/>
        <v>1.0014029800478306</v>
      </c>
      <c r="K15" s="44">
        <v>25.5</v>
      </c>
      <c r="L15" s="49">
        <v>0.98929999999999996</v>
      </c>
      <c r="N15" s="397">
        <v>12</v>
      </c>
      <c r="O15" s="397" t="s">
        <v>381</v>
      </c>
      <c r="P15" s="400">
        <v>3932</v>
      </c>
      <c r="Q15" s="400">
        <v>11.64</v>
      </c>
      <c r="R15" s="400">
        <v>15.73</v>
      </c>
      <c r="S15" s="400">
        <v>11.64</v>
      </c>
      <c r="T15" s="400">
        <v>2262.0401384085767</v>
      </c>
      <c r="U15" s="401">
        <f t="shared" si="12"/>
        <v>1673.880941581426</v>
      </c>
      <c r="V15" s="401">
        <f t="shared" si="3"/>
        <v>2262.0401384085767</v>
      </c>
      <c r="X15" s="253">
        <v>12</v>
      </c>
      <c r="Y15" s="68">
        <v>49</v>
      </c>
      <c r="AA15" s="61">
        <v>1291</v>
      </c>
      <c r="AB15" s="62">
        <v>4500</v>
      </c>
      <c r="AC15" s="63">
        <f t="shared" si="11"/>
        <v>3.4856700232378</v>
      </c>
      <c r="AF15" s="69"/>
      <c r="AG15" s="70"/>
      <c r="AH15" s="71"/>
      <c r="AM15" s="376">
        <v>11</v>
      </c>
      <c r="AN15" s="380">
        <v>0.99960599999999999</v>
      </c>
      <c r="AU15" s="255">
        <v>66</v>
      </c>
      <c r="AV15" s="112">
        <v>369.75</v>
      </c>
      <c r="AW15" s="113">
        <v>1579.46</v>
      </c>
      <c r="AX15" s="113">
        <v>1579.3</v>
      </c>
      <c r="AY15" s="113">
        <v>1578.9711580918452</v>
      </c>
      <c r="AZ15" s="113">
        <v>1578.7817042873307</v>
      </c>
      <c r="BA15" s="116">
        <v>1578.5607057885204</v>
      </c>
      <c r="BB15" s="116">
        <v>1578.3397382251687</v>
      </c>
      <c r="BC15" s="116">
        <v>1578.0872442660861</v>
      </c>
      <c r="BD15" s="116">
        <v>1577.8190150335304</v>
      </c>
      <c r="BE15" s="116">
        <v>1577.5350587229602</v>
      </c>
      <c r="BF15" s="116">
        <v>1577.2353840000003</v>
      </c>
      <c r="BG15" s="116">
        <v>1576.92</v>
      </c>
      <c r="BH15" s="116">
        <v>1576.5730776</v>
      </c>
      <c r="BI15" s="116">
        <v>1576.210465792152</v>
      </c>
      <c r="BJ15" s="116">
        <v>1575.832175280362</v>
      </c>
      <c r="BK15" s="116">
        <v>1575.4382172365417</v>
      </c>
      <c r="BL15" s="116">
        <v>1575.0128489178878</v>
      </c>
      <c r="BM15" s="116">
        <v>1574.5875954486801</v>
      </c>
      <c r="BN15" s="116">
        <v>1574.1467109219545</v>
      </c>
      <c r="BO15" s="116">
        <v>1573.7059498428962</v>
      </c>
      <c r="BP15" s="116">
        <v>1573.2338380579433</v>
      </c>
      <c r="BQ15" s="114">
        <v>1573.2338380579433</v>
      </c>
      <c r="BR15" s="117"/>
      <c r="BT15" s="83">
        <v>8</v>
      </c>
      <c r="BU15" s="93">
        <v>4</v>
      </c>
      <c r="BV15" s="94">
        <v>8</v>
      </c>
      <c r="BW15" s="95" t="s">
        <v>43</v>
      </c>
      <c r="BX15" s="96">
        <v>100</v>
      </c>
      <c r="BY15" s="97">
        <v>100</v>
      </c>
      <c r="BZ15" s="97">
        <v>100</v>
      </c>
      <c r="CA15" s="97">
        <v>100</v>
      </c>
      <c r="CB15" s="97">
        <v>100</v>
      </c>
      <c r="CC15" s="97">
        <v>70</v>
      </c>
      <c r="CD15" s="97">
        <v>55</v>
      </c>
      <c r="CE15" s="97">
        <v>43</v>
      </c>
      <c r="CF15" s="97">
        <v>35</v>
      </c>
      <c r="CG15" s="97">
        <v>22</v>
      </c>
      <c r="CH15" s="97">
        <v>15</v>
      </c>
      <c r="CI15" s="97">
        <v>4</v>
      </c>
      <c r="CJ15" s="97">
        <v>3</v>
      </c>
      <c r="CK15" s="98">
        <v>2</v>
      </c>
      <c r="CL15" s="111"/>
      <c r="CM15" s="83">
        <v>8</v>
      </c>
      <c r="CN15" s="93">
        <v>4</v>
      </c>
      <c r="CO15" s="94">
        <v>8</v>
      </c>
      <c r="CP15" s="95" t="s">
        <v>43</v>
      </c>
      <c r="CQ15" s="97"/>
      <c r="CR15" s="97"/>
      <c r="CS15" s="97"/>
      <c r="CT15" s="97"/>
      <c r="CU15" s="97"/>
      <c r="CV15" s="97"/>
      <c r="CW15" s="97"/>
      <c r="CX15" s="97"/>
      <c r="CY15" s="97"/>
      <c r="CZ15" s="97"/>
      <c r="DA15" s="97"/>
      <c r="DB15" s="97"/>
      <c r="DC15" s="97"/>
      <c r="DD15" s="97"/>
      <c r="DE15" s="97"/>
      <c r="DF15" s="97"/>
      <c r="DG15" s="97"/>
      <c r="DH15" s="97"/>
      <c r="DI15" s="97"/>
      <c r="DJ15" s="97"/>
      <c r="DK15" s="97"/>
      <c r="DL15" s="97"/>
      <c r="DM15" s="97"/>
      <c r="DN15" s="97"/>
      <c r="DO15" s="97"/>
      <c r="DP15" s="99"/>
      <c r="DQ15" s="99"/>
      <c r="DR15" s="100"/>
      <c r="EH15" s="313">
        <v>12</v>
      </c>
      <c r="EI15" s="314"/>
      <c r="EJ15" s="247" t="str">
        <f t="shared" si="4"/>
        <v/>
      </c>
      <c r="EK15" t="str">
        <f t="shared" si="5"/>
        <v/>
      </c>
    </row>
    <row r="16" spans="1:141" ht="14.4" thickTop="1" thickBot="1" x14ac:dyDescent="0.3">
      <c r="A16" s="123"/>
      <c r="B16" s="266">
        <v>13</v>
      </c>
      <c r="C16" s="44"/>
      <c r="D16" s="45">
        <f t="shared" si="0"/>
        <v>0</v>
      </c>
      <c r="F16" s="46">
        <v>12</v>
      </c>
      <c r="G16" s="369">
        <v>0.99952470000000004</v>
      </c>
      <c r="H16" s="47">
        <v>0.99823229999999996</v>
      </c>
      <c r="I16" s="48">
        <f t="shared" si="1"/>
        <v>1.0012946886210756</v>
      </c>
      <c r="K16" s="44">
        <v>26</v>
      </c>
      <c r="L16" s="49">
        <v>0.98839999999999995</v>
      </c>
      <c r="N16" s="397">
        <v>13</v>
      </c>
      <c r="O16" s="397" t="s">
        <v>381</v>
      </c>
      <c r="P16" s="400">
        <v>3922.2</v>
      </c>
      <c r="Q16" s="400">
        <v>11.64</v>
      </c>
      <c r="R16" s="400">
        <v>15.73</v>
      </c>
      <c r="S16" s="400">
        <v>11.64</v>
      </c>
      <c r="T16" s="400">
        <v>2262.0401384085767</v>
      </c>
      <c r="U16" s="401">
        <f t="shared" si="12"/>
        <v>1673.880941581426</v>
      </c>
      <c r="V16" s="401">
        <f t="shared" si="3"/>
        <v>2262.0401384085767</v>
      </c>
      <c r="X16" s="28">
        <v>13</v>
      </c>
      <c r="Y16" s="29"/>
      <c r="AA16" s="124">
        <v>1437</v>
      </c>
      <c r="AB16" s="125">
        <v>5000</v>
      </c>
      <c r="AC16" s="126">
        <f t="shared" si="11"/>
        <v>3.4794711203897006</v>
      </c>
      <c r="AF16" s="124"/>
      <c r="AG16" s="125"/>
      <c r="AH16" s="126"/>
      <c r="AM16" s="377">
        <v>12</v>
      </c>
      <c r="AN16" s="381">
        <v>0.999498</v>
      </c>
      <c r="AU16" s="256">
        <v>67</v>
      </c>
      <c r="AV16" s="257">
        <v>228.32</v>
      </c>
      <c r="AW16" s="258">
        <v>891.29</v>
      </c>
      <c r="AX16" s="258">
        <v>891.2</v>
      </c>
      <c r="AY16" s="258">
        <v>891.01747377140828</v>
      </c>
      <c r="AZ16" s="258">
        <v>890.91056450366784</v>
      </c>
      <c r="BA16" s="259">
        <v>890.7858544840401</v>
      </c>
      <c r="BB16" s="259">
        <v>890.6611619213711</v>
      </c>
      <c r="BC16" s="259">
        <v>890.51867893274186</v>
      </c>
      <c r="BD16" s="259">
        <v>890.36731648893874</v>
      </c>
      <c r="BE16" s="259">
        <v>890.20707921467999</v>
      </c>
      <c r="BF16" s="259">
        <v>890.03797200000008</v>
      </c>
      <c r="BG16" s="259">
        <v>889.86</v>
      </c>
      <c r="BH16" s="259">
        <v>889.66423080000004</v>
      </c>
      <c r="BI16" s="259">
        <v>889.45960802691593</v>
      </c>
      <c r="BJ16" s="259">
        <v>889.24613772098951</v>
      </c>
      <c r="BK16" s="259">
        <v>889.02382618655918</v>
      </c>
      <c r="BL16" s="259">
        <v>888.7837897534888</v>
      </c>
      <c r="BM16" s="259">
        <v>888.54381813025532</v>
      </c>
      <c r="BN16" s="259">
        <v>888.29502586117894</v>
      </c>
      <c r="BO16" s="259">
        <v>888.04630325393771</v>
      </c>
      <c r="BP16" s="259">
        <v>887.77988936296151</v>
      </c>
      <c r="BQ16" s="260">
        <v>887.77988936296151</v>
      </c>
      <c r="BR16" s="117"/>
      <c r="BT16" s="83">
        <v>9</v>
      </c>
      <c r="BU16" s="84" t="s">
        <v>39</v>
      </c>
      <c r="BV16" s="85">
        <v>9</v>
      </c>
      <c r="BW16" s="86" t="s">
        <v>40</v>
      </c>
      <c r="BX16" s="87">
        <v>100</v>
      </c>
      <c r="BY16" s="88">
        <v>100</v>
      </c>
      <c r="BZ16" s="88">
        <v>100</v>
      </c>
      <c r="CA16" s="88">
        <v>100</v>
      </c>
      <c r="CB16" s="88">
        <v>95</v>
      </c>
      <c r="CC16" s="88">
        <v>89</v>
      </c>
      <c r="CD16" s="88">
        <v>85</v>
      </c>
      <c r="CE16" s="88">
        <v>73</v>
      </c>
      <c r="CF16" s="88">
        <v>64</v>
      </c>
      <c r="CG16" s="88">
        <v>45</v>
      </c>
      <c r="CH16" s="88">
        <v>37</v>
      </c>
      <c r="CI16" s="88">
        <v>22</v>
      </c>
      <c r="CJ16" s="88">
        <v>16</v>
      </c>
      <c r="CK16" s="89">
        <v>9</v>
      </c>
      <c r="CL16" s="111"/>
      <c r="CM16" s="83">
        <v>9</v>
      </c>
      <c r="CN16" s="84" t="s">
        <v>39</v>
      </c>
      <c r="CO16" s="85">
        <v>9</v>
      </c>
      <c r="CP16" s="86" t="s">
        <v>40</v>
      </c>
      <c r="CQ16" s="88"/>
      <c r="CR16" s="88"/>
      <c r="CS16" s="88"/>
      <c r="CT16" s="88"/>
      <c r="CU16" s="88"/>
      <c r="CV16" s="88"/>
      <c r="CW16" s="88"/>
      <c r="CX16" s="88"/>
      <c r="CY16" s="88"/>
      <c r="CZ16" s="88"/>
      <c r="DA16" s="88"/>
      <c r="DB16" s="88"/>
      <c r="DC16" s="88"/>
      <c r="DD16" s="88"/>
      <c r="DE16" s="88"/>
      <c r="DF16" s="88"/>
      <c r="DG16" s="88"/>
      <c r="DH16" s="88"/>
      <c r="DI16" s="88"/>
      <c r="DJ16" s="88"/>
      <c r="DK16" s="88"/>
      <c r="DL16" s="88"/>
      <c r="DM16" s="127"/>
      <c r="DN16" s="127"/>
      <c r="DO16" s="127"/>
      <c r="DP16" s="127"/>
      <c r="DQ16" s="127"/>
      <c r="DR16" s="118"/>
      <c r="EH16" s="313">
        <v>13</v>
      </c>
      <c r="EI16" s="314"/>
      <c r="EJ16" s="247" t="str">
        <f t="shared" si="4"/>
        <v/>
      </c>
      <c r="EK16" t="str">
        <f t="shared" si="5"/>
        <v/>
      </c>
    </row>
    <row r="17" spans="1:141" ht="14.4" thickTop="1" thickBot="1" x14ac:dyDescent="0.3">
      <c r="A17" s="119"/>
      <c r="B17" s="266">
        <v>14</v>
      </c>
      <c r="C17" s="44"/>
      <c r="D17" s="45">
        <f t="shared" si="0"/>
        <v>0</v>
      </c>
      <c r="F17" s="46">
        <v>13</v>
      </c>
      <c r="G17" s="369">
        <v>0.99940399999999996</v>
      </c>
      <c r="H17" s="47">
        <v>0.99823229999999996</v>
      </c>
      <c r="I17" s="48">
        <f t="shared" si="1"/>
        <v>1.0011737748818588</v>
      </c>
      <c r="K17" s="44">
        <v>26.5</v>
      </c>
      <c r="L17" s="49">
        <v>0.98740000000000006</v>
      </c>
      <c r="N17" s="397">
        <v>14</v>
      </c>
      <c r="O17" s="397" t="s">
        <v>381</v>
      </c>
      <c r="P17" s="400">
        <v>3914.3</v>
      </c>
      <c r="Q17" s="400">
        <v>11.64</v>
      </c>
      <c r="R17" s="400">
        <v>15.73</v>
      </c>
      <c r="S17" s="400">
        <v>11.64</v>
      </c>
      <c r="T17" s="400">
        <v>2262.0401384085767</v>
      </c>
      <c r="U17" s="401">
        <f t="shared" si="12"/>
        <v>1673.880941581426</v>
      </c>
      <c r="V17" s="401">
        <f t="shared" si="3"/>
        <v>2262.0401384085767</v>
      </c>
      <c r="X17" s="43">
        <v>14</v>
      </c>
      <c r="Y17" s="50"/>
      <c r="AM17" s="376">
        <v>13</v>
      </c>
      <c r="AN17" s="380">
        <v>0.99937699999999996</v>
      </c>
      <c r="AU17" s="321">
        <v>89</v>
      </c>
      <c r="AV17" s="257">
        <v>243.89</v>
      </c>
      <c r="AW17" s="120">
        <v>916.62179374454433</v>
      </c>
      <c r="AX17" s="120">
        <v>916.53014073047132</v>
      </c>
      <c r="AY17" s="120">
        <v>916.4384968807833</v>
      </c>
      <c r="AZ17" s="120">
        <v>916.32853745628859</v>
      </c>
      <c r="BA17" s="121">
        <v>916.20026941856997</v>
      </c>
      <c r="BB17" s="121">
        <v>916.07201933586293</v>
      </c>
      <c r="BC17" s="121">
        <v>915.92547126046134</v>
      </c>
      <c r="BD17" s="121">
        <v>915.76979039609398</v>
      </c>
      <c r="BE17" s="121">
        <v>915.60498149942407</v>
      </c>
      <c r="BF17" s="121">
        <v>915.43104960000016</v>
      </c>
      <c r="BG17" s="121">
        <v>915.24800000000005</v>
      </c>
      <c r="BH17" s="121">
        <v>915.04664544000002</v>
      </c>
      <c r="BI17" s="121">
        <v>914.83618471154875</v>
      </c>
      <c r="BJ17" s="121">
        <v>914.61662402721811</v>
      </c>
      <c r="BK17" s="121">
        <v>914.38796987121123</v>
      </c>
      <c r="BL17" s="121">
        <v>914.14108511934603</v>
      </c>
      <c r="BM17" s="121">
        <v>913.89426702636376</v>
      </c>
      <c r="BN17" s="121">
        <v>913.63837663159643</v>
      </c>
      <c r="BO17" s="121">
        <v>913.38255788613958</v>
      </c>
      <c r="BP17" s="121">
        <v>913.10854311877381</v>
      </c>
      <c r="BQ17" s="122">
        <v>913.10854311877381</v>
      </c>
      <c r="BR17" s="117"/>
      <c r="BT17" s="83">
        <v>10</v>
      </c>
      <c r="BU17" s="93">
        <v>5</v>
      </c>
      <c r="BV17" s="94">
        <v>10</v>
      </c>
      <c r="BW17" s="95" t="s">
        <v>43</v>
      </c>
      <c r="BX17" s="96">
        <v>100</v>
      </c>
      <c r="BY17" s="97">
        <v>100</v>
      </c>
      <c r="BZ17" s="97">
        <v>100</v>
      </c>
      <c r="CA17" s="97">
        <v>100</v>
      </c>
      <c r="CB17" s="97">
        <v>85</v>
      </c>
      <c r="CC17" s="97">
        <v>64</v>
      </c>
      <c r="CD17" s="97">
        <v>50</v>
      </c>
      <c r="CE17" s="97">
        <v>44</v>
      </c>
      <c r="CF17" s="97">
        <v>40</v>
      </c>
      <c r="CG17" s="97">
        <v>30</v>
      </c>
      <c r="CH17" s="97">
        <v>21</v>
      </c>
      <c r="CI17" s="97">
        <v>8</v>
      </c>
      <c r="CJ17" s="97">
        <v>5</v>
      </c>
      <c r="CK17" s="98">
        <v>2</v>
      </c>
      <c r="CL17" s="76"/>
      <c r="CM17" s="83">
        <v>10</v>
      </c>
      <c r="CN17" s="93">
        <v>5</v>
      </c>
      <c r="CO17" s="94">
        <v>10</v>
      </c>
      <c r="CP17" s="95" t="s">
        <v>43</v>
      </c>
      <c r="CQ17" s="97"/>
      <c r="CR17" s="97"/>
      <c r="CS17" s="97"/>
      <c r="CT17" s="97"/>
      <c r="CU17" s="97"/>
      <c r="CV17" s="97"/>
      <c r="CW17" s="97"/>
      <c r="CX17" s="97"/>
      <c r="CY17" s="97"/>
      <c r="CZ17" s="97"/>
      <c r="DA17" s="97"/>
      <c r="DB17" s="97"/>
      <c r="DC17" s="97"/>
      <c r="DD17" s="97"/>
      <c r="DE17" s="97"/>
      <c r="DF17" s="97"/>
      <c r="DG17" s="97"/>
      <c r="DH17" s="97"/>
      <c r="DI17" s="97"/>
      <c r="DJ17" s="97"/>
      <c r="DK17" s="99"/>
      <c r="DL17" s="99"/>
      <c r="DM17" s="99"/>
      <c r="DN17" s="99"/>
      <c r="DO17" s="99"/>
      <c r="DP17" s="99"/>
      <c r="DQ17" s="99"/>
      <c r="DR17" s="100"/>
      <c r="EH17" s="313">
        <v>14</v>
      </c>
      <c r="EI17" s="314"/>
      <c r="EJ17" s="247" t="str">
        <f t="shared" si="4"/>
        <v/>
      </c>
      <c r="EK17" t="str">
        <f t="shared" si="5"/>
        <v/>
      </c>
    </row>
    <row r="18" spans="1:141" ht="14.4" thickTop="1" thickBot="1" x14ac:dyDescent="0.3">
      <c r="A18" s="123"/>
      <c r="B18" s="266">
        <v>15</v>
      </c>
      <c r="C18" s="44"/>
      <c r="D18" s="45">
        <f t="shared" si="0"/>
        <v>0</v>
      </c>
      <c r="F18" s="46">
        <v>14</v>
      </c>
      <c r="G18" s="369">
        <v>0.99927120000000003</v>
      </c>
      <c r="H18" s="47">
        <v>0.99823229999999996</v>
      </c>
      <c r="I18" s="48">
        <f t="shared" si="1"/>
        <v>1.0010407397155954</v>
      </c>
      <c r="K18" s="44">
        <v>27</v>
      </c>
      <c r="L18" s="49">
        <v>0.98640000000000005</v>
      </c>
      <c r="N18" s="397">
        <v>15</v>
      </c>
      <c r="O18" s="397" t="s">
        <v>381</v>
      </c>
      <c r="P18" s="400">
        <v>3916.5</v>
      </c>
      <c r="Q18" s="400">
        <v>11.64</v>
      </c>
      <c r="R18" s="400">
        <v>15.73</v>
      </c>
      <c r="S18" s="400">
        <v>11.64</v>
      </c>
      <c r="T18" s="400">
        <v>2262.0401384085767</v>
      </c>
      <c r="U18" s="401">
        <f t="shared" si="12"/>
        <v>1673.880941581426</v>
      </c>
      <c r="V18" s="401">
        <f t="shared" si="3"/>
        <v>2262.0401384085767</v>
      </c>
      <c r="X18" s="261">
        <v>15</v>
      </c>
      <c r="Y18" s="50">
        <v>62</v>
      </c>
      <c r="AB18" s="128" t="s">
        <v>45</v>
      </c>
      <c r="AC18" s="129">
        <f>SUM(AC6:AC16)/COUNTIF(AC6:AC16,"&gt;0")</f>
        <v>3.5109171561378623</v>
      </c>
      <c r="AG18" s="128"/>
      <c r="AH18" s="130"/>
      <c r="AM18" s="377">
        <v>14</v>
      </c>
      <c r="AN18" s="381">
        <v>0.99924400000000002</v>
      </c>
      <c r="AU18" s="321">
        <v>99</v>
      </c>
      <c r="AV18" s="257">
        <v>270.51</v>
      </c>
      <c r="AW18" s="120">
        <v>937.77149201244254</v>
      </c>
      <c r="AX18" s="120">
        <v>937.67772424001851</v>
      </c>
      <c r="AY18" s="120">
        <v>937.58396584343416</v>
      </c>
      <c r="AZ18" s="120">
        <v>937.47146926712207</v>
      </c>
      <c r="BA18" s="121">
        <v>937.34024163329343</v>
      </c>
      <c r="BB18" s="121">
        <v>937.20903236876177</v>
      </c>
      <c r="BC18" s="121">
        <v>937.05910291229588</v>
      </c>
      <c r="BD18" s="121">
        <v>936.89982994120589</v>
      </c>
      <c r="BE18" s="121">
        <v>936.73121832190793</v>
      </c>
      <c r="BF18" s="121">
        <v>936.55327320000004</v>
      </c>
      <c r="BG18" s="121">
        <v>936.36599999999999</v>
      </c>
      <c r="BH18" s="121">
        <v>936.15999948000001</v>
      </c>
      <c r="BI18" s="121">
        <v>935.94468268011951</v>
      </c>
      <c r="BJ18" s="121">
        <v>935.72005595627638</v>
      </c>
      <c r="BK18" s="121">
        <v>935.48612594228723</v>
      </c>
      <c r="BL18" s="121">
        <v>935.23354468828279</v>
      </c>
      <c r="BM18" s="121">
        <v>934.98103163121698</v>
      </c>
      <c r="BN18" s="121">
        <v>934.71923694236034</v>
      </c>
      <c r="BO18" s="121">
        <v>934.45751555601646</v>
      </c>
      <c r="BP18" s="121">
        <v>934.17717830134973</v>
      </c>
      <c r="BQ18" s="122">
        <v>934.17717830134973</v>
      </c>
      <c r="BR18" s="117"/>
      <c r="BT18" s="83">
        <v>11</v>
      </c>
      <c r="BU18" s="84" t="s">
        <v>39</v>
      </c>
      <c r="BV18" s="85">
        <v>11</v>
      </c>
      <c r="BW18" s="86" t="s">
        <v>40</v>
      </c>
      <c r="BX18" s="87">
        <v>100</v>
      </c>
      <c r="BY18" s="88">
        <v>100</v>
      </c>
      <c r="BZ18" s="88">
        <v>100</v>
      </c>
      <c r="CA18" s="88">
        <v>100</v>
      </c>
      <c r="CB18" s="88">
        <v>100</v>
      </c>
      <c r="CC18" s="88">
        <v>100</v>
      </c>
      <c r="CD18" s="88">
        <v>100</v>
      </c>
      <c r="CE18" s="88">
        <v>87</v>
      </c>
      <c r="CF18" s="88">
        <v>80</v>
      </c>
      <c r="CG18" s="88">
        <v>60</v>
      </c>
      <c r="CH18" s="88">
        <v>46</v>
      </c>
      <c r="CI18" s="88">
        <v>27</v>
      </c>
      <c r="CJ18" s="88">
        <v>18</v>
      </c>
      <c r="CK18" s="89">
        <v>10</v>
      </c>
      <c r="CL18" s="76"/>
      <c r="CM18" s="83">
        <v>11</v>
      </c>
      <c r="CN18" s="84" t="s">
        <v>39</v>
      </c>
      <c r="CO18" s="85">
        <v>11</v>
      </c>
      <c r="CP18" s="86" t="s">
        <v>40</v>
      </c>
      <c r="CQ18" s="88"/>
      <c r="CR18" s="88"/>
      <c r="CS18" s="88"/>
      <c r="CT18" s="88"/>
      <c r="CU18" s="88"/>
      <c r="CV18" s="88"/>
      <c r="CW18" s="88"/>
      <c r="CX18" s="88"/>
      <c r="CY18" s="88"/>
      <c r="CZ18" s="88"/>
      <c r="DA18" s="88"/>
      <c r="DB18" s="88"/>
      <c r="DC18" s="88"/>
      <c r="DD18" s="88"/>
      <c r="DE18" s="88"/>
      <c r="DF18" s="88"/>
      <c r="DG18" s="88"/>
      <c r="DH18" s="88"/>
      <c r="DI18" s="88"/>
      <c r="DJ18" s="88"/>
      <c r="DK18" s="88"/>
      <c r="DL18" s="88"/>
      <c r="DM18" s="88"/>
      <c r="DN18" s="88"/>
      <c r="DO18" s="88"/>
      <c r="DP18" s="88"/>
      <c r="DQ18" s="88"/>
      <c r="DR18" s="89"/>
      <c r="EH18" s="313">
        <v>15</v>
      </c>
      <c r="EI18" s="314"/>
      <c r="EJ18" s="247" t="str">
        <f t="shared" si="4"/>
        <v/>
      </c>
      <c r="EK18" t="str">
        <f t="shared" si="5"/>
        <v/>
      </c>
    </row>
    <row r="19" spans="1:141" ht="14.4" thickTop="1" thickBot="1" x14ac:dyDescent="0.3">
      <c r="A19" s="119"/>
      <c r="B19" s="266">
        <v>16</v>
      </c>
      <c r="C19" s="44"/>
      <c r="D19" s="45">
        <f t="shared" si="0"/>
        <v>0</v>
      </c>
      <c r="F19" s="46">
        <v>15</v>
      </c>
      <c r="G19" s="369">
        <v>0.99912650000000003</v>
      </c>
      <c r="H19" s="47">
        <v>0.99823229999999996</v>
      </c>
      <c r="I19" s="48">
        <f t="shared" si="1"/>
        <v>1.0008957834764514</v>
      </c>
      <c r="K19" s="44">
        <v>27.5</v>
      </c>
      <c r="L19" s="49">
        <v>0.98550000000000004</v>
      </c>
      <c r="N19" s="397">
        <v>16</v>
      </c>
      <c r="O19" s="397" t="s">
        <v>381</v>
      </c>
      <c r="P19" s="402"/>
      <c r="Q19" s="402"/>
      <c r="R19" s="402"/>
      <c r="S19" s="402"/>
      <c r="T19" s="398"/>
      <c r="U19" s="401" t="str">
        <f t="shared" ref="U19:U79" si="13">IF(SUM(P19:T19)=0,"",IF(S19="",PI()*(R19*R19/4),PI()*(R19*R19/4)))</f>
        <v/>
      </c>
      <c r="V19" s="401" t="str">
        <f t="shared" si="3"/>
        <v/>
      </c>
      <c r="X19" s="263">
        <v>16</v>
      </c>
      <c r="Y19" s="68">
        <v>62</v>
      </c>
      <c r="AM19" s="376">
        <v>15</v>
      </c>
      <c r="AN19" s="380">
        <v>0.99909899999999996</v>
      </c>
      <c r="AU19" s="256">
        <v>78</v>
      </c>
      <c r="AV19" s="257">
        <v>317.72000000000003</v>
      </c>
      <c r="AW19" s="258">
        <v>1447.74</v>
      </c>
      <c r="AX19" s="258">
        <v>1447.6</v>
      </c>
      <c r="AY19" s="258">
        <v>1447.3001111845338</v>
      </c>
      <c r="AZ19" s="258">
        <v>1447.1264560098125</v>
      </c>
      <c r="BA19" s="259">
        <v>1446.9238866656792</v>
      </c>
      <c r="BB19" s="259">
        <v>1446.7213456772843</v>
      </c>
      <c r="BC19" s="259">
        <v>1446.4899072921176</v>
      </c>
      <c r="BD19" s="259">
        <v>1446.2440458043309</v>
      </c>
      <c r="BE19" s="259">
        <v>1445.9837687259601</v>
      </c>
      <c r="BF19" s="259">
        <v>1445.7090840000003</v>
      </c>
      <c r="BG19" s="259">
        <v>1445.42</v>
      </c>
      <c r="BH19" s="259">
        <v>1445.1020076</v>
      </c>
      <c r="BI19" s="259">
        <v>1444.7696341382518</v>
      </c>
      <c r="BJ19" s="259">
        <v>1444.4228894260589</v>
      </c>
      <c r="BK19" s="259">
        <v>1444.0617837037023</v>
      </c>
      <c r="BL19" s="259">
        <v>1443.6718870221023</v>
      </c>
      <c r="BM19" s="259">
        <v>1443.2820956126063</v>
      </c>
      <c r="BN19" s="259">
        <v>1442.8779766258349</v>
      </c>
      <c r="BO19" s="259">
        <v>1442.4739707923795</v>
      </c>
      <c r="BP19" s="259">
        <v>1442.0412286011419</v>
      </c>
      <c r="BQ19" s="260">
        <v>1442.0412286011419</v>
      </c>
      <c r="BR19" s="117"/>
      <c r="BT19" s="83">
        <v>12</v>
      </c>
      <c r="BU19" s="93">
        <v>6</v>
      </c>
      <c r="BV19" s="94">
        <v>12</v>
      </c>
      <c r="BW19" s="95" t="s">
        <v>43</v>
      </c>
      <c r="BX19" s="96">
        <v>100</v>
      </c>
      <c r="BY19" s="97">
        <v>100</v>
      </c>
      <c r="BZ19" s="97">
        <v>100</v>
      </c>
      <c r="CA19" s="97">
        <v>100</v>
      </c>
      <c r="CB19" s="97">
        <v>100</v>
      </c>
      <c r="CC19" s="97">
        <v>100</v>
      </c>
      <c r="CD19" s="97">
        <v>85</v>
      </c>
      <c r="CE19" s="97">
        <v>73</v>
      </c>
      <c r="CF19" s="97">
        <v>65</v>
      </c>
      <c r="CG19" s="97">
        <v>45</v>
      </c>
      <c r="CH19" s="97">
        <v>32</v>
      </c>
      <c r="CI19" s="97">
        <v>16</v>
      </c>
      <c r="CJ19" s="97">
        <v>9</v>
      </c>
      <c r="CK19" s="98">
        <v>5</v>
      </c>
      <c r="CL19" s="76"/>
      <c r="CM19" s="83">
        <v>12</v>
      </c>
      <c r="CN19" s="93">
        <v>6</v>
      </c>
      <c r="CO19" s="94">
        <v>12</v>
      </c>
      <c r="CP19" s="95" t="s">
        <v>43</v>
      </c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9"/>
      <c r="DO19" s="99"/>
      <c r="DP19" s="99"/>
      <c r="DQ19" s="99"/>
      <c r="DR19" s="100"/>
      <c r="EH19" s="313">
        <v>16</v>
      </c>
      <c r="EI19" s="314"/>
      <c r="EJ19" s="247" t="str">
        <f t="shared" si="4"/>
        <v/>
      </c>
      <c r="EK19" t="str">
        <f t="shared" si="5"/>
        <v/>
      </c>
    </row>
    <row r="20" spans="1:141" ht="14.4" thickTop="1" thickBot="1" x14ac:dyDescent="0.3">
      <c r="A20" s="42"/>
      <c r="B20" s="266">
        <v>17</v>
      </c>
      <c r="C20" s="44"/>
      <c r="D20" s="45">
        <f t="shared" si="0"/>
        <v>0</v>
      </c>
      <c r="F20" s="46">
        <v>16</v>
      </c>
      <c r="G20" s="369">
        <v>0.99897009999999997</v>
      </c>
      <c r="H20" s="47">
        <v>0.99823229999999996</v>
      </c>
      <c r="I20" s="48">
        <f t="shared" si="1"/>
        <v>1.0007391065185929</v>
      </c>
      <c r="K20" s="44">
        <v>28</v>
      </c>
      <c r="L20" s="49">
        <v>0.98450000000000004</v>
      </c>
      <c r="N20" s="397">
        <v>17</v>
      </c>
      <c r="O20" s="397" t="s">
        <v>381</v>
      </c>
      <c r="P20" s="402"/>
      <c r="Q20" s="402"/>
      <c r="R20" s="402"/>
      <c r="S20" s="402"/>
      <c r="T20" s="398"/>
      <c r="U20" s="401" t="str">
        <f t="shared" si="13"/>
        <v/>
      </c>
      <c r="V20" s="401" t="str">
        <f t="shared" si="3"/>
        <v/>
      </c>
      <c r="X20" s="319">
        <v>17</v>
      </c>
      <c r="Y20" s="29">
        <v>62</v>
      </c>
      <c r="AA20" s="132">
        <v>3000</v>
      </c>
      <c r="AB20" s="2" t="s">
        <v>46</v>
      </c>
      <c r="AC20" s="133">
        <v>2.3802232276949571</v>
      </c>
      <c r="AF20" s="51" t="s">
        <v>340</v>
      </c>
      <c r="AG20" s="52" t="s">
        <v>341</v>
      </c>
      <c r="AH20" s="6" t="s">
        <v>342</v>
      </c>
      <c r="AI20" s="6" t="s">
        <v>343</v>
      </c>
      <c r="AJ20" s="6" t="s">
        <v>344</v>
      </c>
      <c r="AM20" s="377">
        <v>16</v>
      </c>
      <c r="AN20" s="381">
        <v>0.99894300000000003</v>
      </c>
      <c r="AU20" s="264">
        <v>83</v>
      </c>
      <c r="AV20" s="257">
        <v>274</v>
      </c>
      <c r="AW20" s="120"/>
      <c r="AX20" s="120"/>
      <c r="AY20" s="120"/>
      <c r="AZ20" s="120"/>
      <c r="BA20" s="121"/>
      <c r="BB20" s="121"/>
      <c r="BC20" s="121"/>
      <c r="BD20" s="121"/>
      <c r="BE20" s="121"/>
      <c r="BF20" s="121"/>
      <c r="BG20" s="121"/>
      <c r="BH20" s="121"/>
      <c r="BI20" s="121"/>
      <c r="BJ20" s="121"/>
      <c r="BK20" s="121"/>
      <c r="BL20" s="121"/>
      <c r="BM20" s="121"/>
      <c r="BN20" s="121"/>
      <c r="BO20" s="121"/>
      <c r="BP20" s="121"/>
      <c r="BQ20" s="122"/>
      <c r="BR20" s="117"/>
      <c r="BT20" s="83">
        <v>13</v>
      </c>
      <c r="BU20" s="84" t="s">
        <v>39</v>
      </c>
      <c r="BV20" s="85">
        <v>13</v>
      </c>
      <c r="BW20" s="86" t="s">
        <v>40</v>
      </c>
      <c r="BX20" s="87">
        <v>100</v>
      </c>
      <c r="BY20" s="88">
        <v>100</v>
      </c>
      <c r="BZ20" s="88">
        <v>100</v>
      </c>
      <c r="CA20" s="88">
        <v>100</v>
      </c>
      <c r="CB20" s="88">
        <v>100</v>
      </c>
      <c r="CC20" s="88">
        <v>100</v>
      </c>
      <c r="CD20" s="88">
        <v>100</v>
      </c>
      <c r="CE20" s="88">
        <v>95</v>
      </c>
      <c r="CF20" s="88">
        <v>90</v>
      </c>
      <c r="CG20" s="88">
        <v>70</v>
      </c>
      <c r="CH20" s="88">
        <v>46</v>
      </c>
      <c r="CI20" s="88">
        <v>27</v>
      </c>
      <c r="CJ20" s="88">
        <v>18</v>
      </c>
      <c r="CK20" s="89">
        <v>10</v>
      </c>
      <c r="CL20" s="76"/>
      <c r="CM20" s="83">
        <v>13</v>
      </c>
      <c r="CN20" s="84" t="s">
        <v>39</v>
      </c>
      <c r="CO20" s="85">
        <v>13</v>
      </c>
      <c r="CP20" s="86" t="s">
        <v>40</v>
      </c>
      <c r="CQ20" s="88"/>
      <c r="CR20" s="88"/>
      <c r="CS20" s="88"/>
      <c r="CT20" s="88"/>
      <c r="CU20" s="88"/>
      <c r="CV20" s="88"/>
      <c r="CW20" s="88"/>
      <c r="CX20" s="88"/>
      <c r="CY20" s="88"/>
      <c r="CZ20" s="88"/>
      <c r="DA20" s="88"/>
      <c r="DB20" s="88"/>
      <c r="DC20" s="88"/>
      <c r="DD20" s="88"/>
      <c r="DE20" s="88"/>
      <c r="DF20" s="127"/>
      <c r="DG20" s="127"/>
      <c r="DH20" s="127"/>
      <c r="DI20" s="127"/>
      <c r="DJ20" s="127"/>
      <c r="DK20" s="127"/>
      <c r="DL20" s="127"/>
      <c r="DM20" s="127"/>
      <c r="DN20" s="127"/>
      <c r="DO20" s="127"/>
      <c r="DP20" s="127"/>
      <c r="DQ20" s="127"/>
      <c r="DR20" s="118"/>
      <c r="EH20" s="313">
        <v>17</v>
      </c>
      <c r="EI20" s="314"/>
      <c r="EJ20" s="247" t="str">
        <f t="shared" si="4"/>
        <v/>
      </c>
      <c r="EK20" t="str">
        <f t="shared" si="5"/>
        <v/>
      </c>
    </row>
    <row r="21" spans="1:141" ht="14.4" thickTop="1" thickBot="1" x14ac:dyDescent="0.3">
      <c r="A21" s="42"/>
      <c r="B21" s="266">
        <v>18</v>
      </c>
      <c r="C21" s="44"/>
      <c r="D21" s="45">
        <f t="shared" si="0"/>
        <v>0</v>
      </c>
      <c r="F21" s="46">
        <v>17</v>
      </c>
      <c r="G21" s="369">
        <v>0.99880219999999997</v>
      </c>
      <c r="H21" s="47">
        <v>0.99823229999999996</v>
      </c>
      <c r="I21" s="48">
        <f t="shared" si="1"/>
        <v>1.0005709091961861</v>
      </c>
      <c r="K21" s="44">
        <v>28.5</v>
      </c>
      <c r="L21" s="49">
        <v>0.98350000000000004</v>
      </c>
      <c r="N21" s="397">
        <v>18</v>
      </c>
      <c r="O21" s="397" t="s">
        <v>381</v>
      </c>
      <c r="P21" s="398"/>
      <c r="Q21" s="398"/>
      <c r="R21" s="399"/>
      <c r="S21" s="399"/>
      <c r="T21" s="398"/>
      <c r="U21" s="401" t="str">
        <f t="shared" si="13"/>
        <v/>
      </c>
      <c r="V21" s="401" t="str">
        <f t="shared" si="3"/>
        <v/>
      </c>
      <c r="X21" s="317">
        <v>18</v>
      </c>
      <c r="Y21" s="50">
        <v>62</v>
      </c>
      <c r="AA21" s="132">
        <v>3000</v>
      </c>
      <c r="AB21" s="2" t="s">
        <v>47</v>
      </c>
      <c r="AC21" s="133">
        <v>3.4839000000000002</v>
      </c>
      <c r="AF21" s="61">
        <v>1</v>
      </c>
      <c r="AG21" s="61" t="s">
        <v>345</v>
      </c>
      <c r="AH21" s="159">
        <v>401.7</v>
      </c>
      <c r="AI21" s="159">
        <v>19.61</v>
      </c>
      <c r="AJ21" s="159">
        <v>50.2</v>
      </c>
      <c r="AM21" s="376">
        <v>17</v>
      </c>
      <c r="AN21" s="380">
        <v>0.99877499999999997</v>
      </c>
      <c r="AU21" s="264">
        <v>89</v>
      </c>
      <c r="AV21" s="257">
        <v>243.89</v>
      </c>
      <c r="AW21" s="120">
        <v>916.62179374454433</v>
      </c>
      <c r="AX21" s="120">
        <v>916.53014073047132</v>
      </c>
      <c r="AY21" s="120">
        <v>916.4384968807833</v>
      </c>
      <c r="AZ21" s="120">
        <v>916.32853745628859</v>
      </c>
      <c r="BA21" s="121">
        <v>916.20026941856997</v>
      </c>
      <c r="BB21" s="121">
        <v>916.07201933586293</v>
      </c>
      <c r="BC21" s="121">
        <v>915.92547126046134</v>
      </c>
      <c r="BD21" s="121">
        <v>915.76979039609398</v>
      </c>
      <c r="BE21" s="121">
        <v>915.60498149942407</v>
      </c>
      <c r="BF21" s="121">
        <v>915.43104960000016</v>
      </c>
      <c r="BG21" s="121">
        <v>915.24800000000005</v>
      </c>
      <c r="BH21" s="121">
        <v>915.04664544000002</v>
      </c>
      <c r="BI21" s="121">
        <v>914.83618471154875</v>
      </c>
      <c r="BJ21" s="121">
        <v>914.61662402721811</v>
      </c>
      <c r="BK21" s="121">
        <v>914.38796987121123</v>
      </c>
      <c r="BL21" s="121">
        <v>914.14108511934603</v>
      </c>
      <c r="BM21" s="121">
        <v>913.89426702636376</v>
      </c>
      <c r="BN21" s="121">
        <v>913.63837663159643</v>
      </c>
      <c r="BO21" s="121">
        <v>913.38255788613958</v>
      </c>
      <c r="BP21" s="121">
        <v>913.10854311877381</v>
      </c>
      <c r="BQ21" s="122">
        <v>913.10854311877381</v>
      </c>
      <c r="BR21" s="117"/>
      <c r="BT21" s="83">
        <v>14</v>
      </c>
      <c r="BU21" s="93">
        <v>7</v>
      </c>
      <c r="BV21" s="94">
        <v>14</v>
      </c>
      <c r="BW21" s="95" t="s">
        <v>43</v>
      </c>
      <c r="BX21" s="96">
        <v>100</v>
      </c>
      <c r="BY21" s="97">
        <v>100</v>
      </c>
      <c r="BZ21" s="97">
        <v>100</v>
      </c>
      <c r="CA21" s="97">
        <v>100</v>
      </c>
      <c r="CB21" s="97">
        <v>100</v>
      </c>
      <c r="CC21" s="97">
        <v>100</v>
      </c>
      <c r="CD21" s="97">
        <v>100</v>
      </c>
      <c r="CE21" s="97">
        <v>80</v>
      </c>
      <c r="CF21" s="97">
        <v>70</v>
      </c>
      <c r="CG21" s="97">
        <v>50</v>
      </c>
      <c r="CH21" s="97">
        <v>32</v>
      </c>
      <c r="CI21" s="97">
        <v>16</v>
      </c>
      <c r="CJ21" s="97">
        <v>9</v>
      </c>
      <c r="CK21" s="98">
        <v>6</v>
      </c>
      <c r="CL21" s="76"/>
      <c r="CM21" s="83">
        <v>14</v>
      </c>
      <c r="CN21" s="93">
        <v>7</v>
      </c>
      <c r="CO21" s="94">
        <v>14</v>
      </c>
      <c r="CP21" s="95" t="s">
        <v>43</v>
      </c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9"/>
      <c r="DD21" s="99"/>
      <c r="DE21" s="99"/>
      <c r="DF21" s="99"/>
      <c r="DG21" s="99"/>
      <c r="DH21" s="99"/>
      <c r="DI21" s="99"/>
      <c r="DJ21" s="99"/>
      <c r="DK21" s="99"/>
      <c r="DL21" s="99"/>
      <c r="DM21" s="99"/>
      <c r="DN21" s="99"/>
      <c r="DO21" s="99"/>
      <c r="DP21" s="99"/>
      <c r="DQ21" s="99"/>
      <c r="DR21" s="100"/>
      <c r="EH21" s="313">
        <v>18</v>
      </c>
      <c r="EI21" s="314"/>
      <c r="EJ21" s="247" t="str">
        <f t="shared" si="4"/>
        <v/>
      </c>
      <c r="EK21" t="str">
        <f t="shared" si="5"/>
        <v/>
      </c>
    </row>
    <row r="22" spans="1:141" ht="14.4" thickTop="1" thickBot="1" x14ac:dyDescent="0.3">
      <c r="A22" s="42"/>
      <c r="B22" s="266">
        <v>19</v>
      </c>
      <c r="C22" s="44"/>
      <c r="D22" s="45">
        <f t="shared" si="0"/>
        <v>0</v>
      </c>
      <c r="F22" s="46">
        <v>18</v>
      </c>
      <c r="G22" s="369">
        <v>0.99862320000000004</v>
      </c>
      <c r="H22" s="47">
        <v>0.99823229999999996</v>
      </c>
      <c r="I22" s="48">
        <f t="shared" si="1"/>
        <v>1.000391592217563</v>
      </c>
      <c r="K22" s="44">
        <v>29</v>
      </c>
      <c r="L22" s="49">
        <v>0.98260000000000003</v>
      </c>
      <c r="N22" s="397">
        <v>19</v>
      </c>
      <c r="O22" s="397" t="s">
        <v>381</v>
      </c>
      <c r="P22" s="398"/>
      <c r="Q22" s="398"/>
      <c r="R22" s="399"/>
      <c r="S22" s="399"/>
      <c r="T22" s="398"/>
      <c r="U22" s="401" t="str">
        <f t="shared" si="13"/>
        <v/>
      </c>
      <c r="V22" s="401" t="str">
        <f t="shared" si="3"/>
        <v/>
      </c>
      <c r="X22" s="317">
        <v>19</v>
      </c>
      <c r="Y22" s="50">
        <v>62</v>
      </c>
      <c r="AA22" s="132">
        <v>3000</v>
      </c>
      <c r="AB22" s="2" t="s">
        <v>46</v>
      </c>
      <c r="AC22" s="133">
        <v>2.3840795031047106</v>
      </c>
      <c r="AF22" s="69">
        <v>2</v>
      </c>
      <c r="AG22" s="69" t="s">
        <v>346</v>
      </c>
      <c r="AH22" s="70">
        <v>400.3</v>
      </c>
      <c r="AI22" s="159">
        <v>20.07</v>
      </c>
      <c r="AJ22" s="70">
        <v>50.3</v>
      </c>
      <c r="AM22" s="377">
        <v>18</v>
      </c>
      <c r="AN22" s="381">
        <v>0.99859600000000004</v>
      </c>
      <c r="AU22" s="271">
        <v>99</v>
      </c>
      <c r="AV22" s="257">
        <v>270.51</v>
      </c>
      <c r="AW22" s="120">
        <v>937.77149201244254</v>
      </c>
      <c r="AX22" s="120">
        <v>937.67772424001851</v>
      </c>
      <c r="AY22" s="120">
        <v>937.58396584343416</v>
      </c>
      <c r="AZ22" s="120">
        <v>937.47146926712207</v>
      </c>
      <c r="BA22" s="121">
        <v>937.34024163329343</v>
      </c>
      <c r="BB22" s="121">
        <v>937.20903236876177</v>
      </c>
      <c r="BC22" s="121">
        <v>937.05910291229588</v>
      </c>
      <c r="BD22" s="121">
        <v>936.89982994120589</v>
      </c>
      <c r="BE22" s="121">
        <v>936.73121832190793</v>
      </c>
      <c r="BF22" s="121">
        <v>936.55327320000004</v>
      </c>
      <c r="BG22" s="121">
        <v>936.36599999999999</v>
      </c>
      <c r="BH22" s="121">
        <v>936.15999948000001</v>
      </c>
      <c r="BI22" s="121">
        <v>935.94468268011951</v>
      </c>
      <c r="BJ22" s="121">
        <v>935.72005595627638</v>
      </c>
      <c r="BK22" s="121">
        <v>935.48612594228723</v>
      </c>
      <c r="BL22" s="121">
        <v>935.23354468828279</v>
      </c>
      <c r="BM22" s="121">
        <v>934.98103163121698</v>
      </c>
      <c r="BN22" s="121">
        <v>934.71923694236034</v>
      </c>
      <c r="BO22" s="121">
        <v>934.45751555601646</v>
      </c>
      <c r="BP22" s="121">
        <v>934.17717830134973</v>
      </c>
      <c r="BQ22" s="122">
        <v>934.17717830134973</v>
      </c>
      <c r="BR22" s="117"/>
      <c r="BT22" s="83">
        <v>15</v>
      </c>
      <c r="BU22" s="84" t="s">
        <v>39</v>
      </c>
      <c r="BV22" s="85">
        <v>15</v>
      </c>
      <c r="BW22" s="86" t="s">
        <v>40</v>
      </c>
      <c r="BX22" s="87"/>
      <c r="BY22" s="88"/>
      <c r="BZ22" s="88"/>
      <c r="CA22" s="88"/>
      <c r="CB22" s="88"/>
      <c r="CC22" s="88"/>
      <c r="CD22" s="88"/>
      <c r="CE22" s="88"/>
      <c r="CF22" s="88"/>
      <c r="CG22" s="88"/>
      <c r="CH22" s="88"/>
      <c r="CI22" s="88"/>
      <c r="CJ22" s="88"/>
      <c r="CK22" s="89"/>
      <c r="CM22" s="83">
        <v>15</v>
      </c>
      <c r="CN22" s="84" t="s">
        <v>39</v>
      </c>
      <c r="CO22" s="85">
        <v>15</v>
      </c>
      <c r="CP22" s="86" t="s">
        <v>40</v>
      </c>
      <c r="CQ22" s="88"/>
      <c r="CR22" s="88"/>
      <c r="CS22" s="88"/>
      <c r="CT22" s="88"/>
      <c r="CU22" s="88"/>
      <c r="CV22" s="88"/>
      <c r="CW22" s="88"/>
      <c r="CX22" s="88"/>
      <c r="CY22" s="88"/>
      <c r="CZ22" s="88"/>
      <c r="DA22" s="88"/>
      <c r="DB22" s="88"/>
      <c r="DC22" s="88"/>
      <c r="DD22" s="88"/>
      <c r="DE22" s="88"/>
      <c r="DF22" s="88"/>
      <c r="DG22" s="88"/>
      <c r="DH22" s="88"/>
      <c r="DI22" s="127"/>
      <c r="DJ22" s="127"/>
      <c r="DK22" s="127"/>
      <c r="DL22" s="127"/>
      <c r="DM22" s="127"/>
      <c r="DN22" s="127"/>
      <c r="DO22" s="127"/>
      <c r="DP22" s="127"/>
      <c r="DQ22" s="127"/>
      <c r="DR22" s="118"/>
      <c r="EH22" s="313">
        <v>19</v>
      </c>
      <c r="EI22" s="314"/>
      <c r="EJ22" s="247" t="str">
        <f t="shared" si="4"/>
        <v/>
      </c>
      <c r="EK22" t="str">
        <f t="shared" si="5"/>
        <v/>
      </c>
    </row>
    <row r="23" spans="1:141" ht="14.4" thickTop="1" thickBot="1" x14ac:dyDescent="0.3">
      <c r="A23" s="42"/>
      <c r="B23" s="268">
        <v>20</v>
      </c>
      <c r="C23" s="44"/>
      <c r="D23" s="45">
        <f t="shared" si="0"/>
        <v>0</v>
      </c>
      <c r="F23" s="46">
        <v>19</v>
      </c>
      <c r="G23" s="369">
        <v>0.99843309999999996</v>
      </c>
      <c r="H23" s="47">
        <v>0.99823229999999996</v>
      </c>
      <c r="I23" s="48">
        <f t="shared" si="1"/>
        <v>1.0002011555827235</v>
      </c>
      <c r="K23" s="44">
        <v>29.5</v>
      </c>
      <c r="L23" s="49">
        <v>0.98160000000000003</v>
      </c>
      <c r="N23" s="397">
        <v>20</v>
      </c>
      <c r="O23" s="397" t="s">
        <v>381</v>
      </c>
      <c r="P23" s="398">
        <v>3884.7</v>
      </c>
      <c r="Q23" s="398"/>
      <c r="R23" s="399">
        <f>((152.3+152.35+152.44+152.6)/4)/10</f>
        <v>15.242249999999999</v>
      </c>
      <c r="S23" s="399">
        <f>((116.56+116.56+116.56+116.68)/4)/10</f>
        <v>11.659000000000001</v>
      </c>
      <c r="T23" s="398"/>
      <c r="U23" s="401">
        <f t="shared" si="13"/>
        <v>182.46855905722313</v>
      </c>
      <c r="V23" s="401">
        <f t="shared" si="3"/>
        <v>2127.4009300481648</v>
      </c>
      <c r="X23" s="320">
        <v>20</v>
      </c>
      <c r="Y23" s="68">
        <v>62</v>
      </c>
      <c r="AA23" s="132">
        <v>3000</v>
      </c>
      <c r="AB23" s="2" t="s">
        <v>48</v>
      </c>
      <c r="AC23" s="133">
        <v>0</v>
      </c>
      <c r="AF23" s="69">
        <v>3</v>
      </c>
      <c r="AG23" s="70"/>
      <c r="AH23" s="71"/>
      <c r="AI23" s="71"/>
      <c r="AJ23" s="71"/>
      <c r="AM23" s="376">
        <v>19</v>
      </c>
      <c r="AN23" s="380">
        <v>0.99840600000000002</v>
      </c>
      <c r="AU23" s="271">
        <v>100</v>
      </c>
      <c r="AV23" s="257">
        <v>188.78</v>
      </c>
      <c r="AW23" s="120"/>
      <c r="AX23" s="120"/>
      <c r="AY23" s="120"/>
      <c r="AZ23" s="120"/>
      <c r="BA23" s="121"/>
      <c r="BB23" s="121"/>
      <c r="BC23" s="121"/>
      <c r="BD23" s="121"/>
      <c r="BE23" s="121"/>
      <c r="BF23" s="121">
        <v>917.6</v>
      </c>
      <c r="BG23" s="121"/>
      <c r="BH23" s="121"/>
      <c r="BI23" s="121"/>
      <c r="BJ23" s="121"/>
      <c r="BK23" s="121"/>
      <c r="BL23" s="121"/>
      <c r="BM23" s="121"/>
      <c r="BN23" s="121"/>
      <c r="BO23" s="121"/>
      <c r="BP23" s="121"/>
      <c r="BQ23" s="122"/>
      <c r="BR23" s="117"/>
      <c r="BT23" s="83">
        <v>16</v>
      </c>
      <c r="BU23" s="93">
        <v>8</v>
      </c>
      <c r="BV23" s="94">
        <v>16</v>
      </c>
      <c r="BW23" s="95" t="s">
        <v>43</v>
      </c>
      <c r="BX23" s="96"/>
      <c r="BY23" s="97"/>
      <c r="BZ23" s="97"/>
      <c r="CA23" s="97"/>
      <c r="CB23" s="97"/>
      <c r="CC23" s="97"/>
      <c r="CD23" s="97"/>
      <c r="CE23" s="97"/>
      <c r="CF23" s="97"/>
      <c r="CG23" s="97"/>
      <c r="CH23" s="97"/>
      <c r="CI23" s="97"/>
      <c r="CJ23" s="97"/>
      <c r="CK23" s="98"/>
      <c r="CM23" s="83">
        <v>16</v>
      </c>
      <c r="CN23" s="93">
        <v>8</v>
      </c>
      <c r="CO23" s="94">
        <v>16</v>
      </c>
      <c r="CP23" s="95" t="s">
        <v>43</v>
      </c>
      <c r="CQ23" s="97"/>
      <c r="CR23" s="97"/>
      <c r="CS23" s="97"/>
      <c r="CT23" s="97"/>
      <c r="CU23" s="97"/>
      <c r="CV23" s="97"/>
      <c r="CW23" s="97"/>
      <c r="CX23" s="97"/>
      <c r="CY23" s="97"/>
      <c r="CZ23" s="97"/>
      <c r="DA23" s="97"/>
      <c r="DB23" s="97"/>
      <c r="DC23" s="97"/>
      <c r="DD23" s="97"/>
      <c r="DE23" s="97"/>
      <c r="DF23" s="97"/>
      <c r="DG23" s="99"/>
      <c r="DH23" s="99"/>
      <c r="DI23" s="99"/>
      <c r="DJ23" s="99"/>
      <c r="DK23" s="99"/>
      <c r="DL23" s="99"/>
      <c r="DM23" s="99"/>
      <c r="DN23" s="99"/>
      <c r="DO23" s="99"/>
      <c r="DP23" s="99"/>
      <c r="DQ23" s="99"/>
      <c r="DR23" s="100"/>
      <c r="EH23" s="313">
        <v>20</v>
      </c>
      <c r="EI23" s="314">
        <v>0.2392</v>
      </c>
      <c r="EJ23" s="247">
        <f t="shared" si="4"/>
        <v>1</v>
      </c>
      <c r="EK23">
        <f t="shared" si="5"/>
        <v>2.4408163265306121E-2</v>
      </c>
    </row>
    <row r="24" spans="1:141" ht="14.4" thickTop="1" thickBot="1" x14ac:dyDescent="0.3">
      <c r="A24" s="42"/>
      <c r="B24" s="268">
        <v>21</v>
      </c>
      <c r="C24" s="44"/>
      <c r="D24" s="45">
        <f t="shared" si="0"/>
        <v>0</v>
      </c>
      <c r="F24" s="46">
        <v>20</v>
      </c>
      <c r="G24" s="369">
        <v>0.99823229999999996</v>
      </c>
      <c r="H24" s="47">
        <v>0.99823229999999996</v>
      </c>
      <c r="I24" s="48">
        <f t="shared" si="1"/>
        <v>1</v>
      </c>
      <c r="K24" s="44">
        <v>30</v>
      </c>
      <c r="L24" s="49">
        <v>0.98060000000000003</v>
      </c>
      <c r="N24" s="397">
        <v>21</v>
      </c>
      <c r="O24" s="397" t="s">
        <v>381</v>
      </c>
      <c r="P24" s="398">
        <v>3885.6</v>
      </c>
      <c r="Q24" s="398"/>
      <c r="R24" s="399">
        <f>((152.23+152.11+152.09+152.26)/4)/10</f>
        <v>15.217250000000002</v>
      </c>
      <c r="S24" s="399">
        <f>((116.87+116.79+116.78+116.82)/4)/10</f>
        <v>11.681500000000002</v>
      </c>
      <c r="T24" s="398"/>
      <c r="U24" s="401">
        <f t="shared" si="13"/>
        <v>181.87048817327312</v>
      </c>
      <c r="V24" s="401">
        <f t="shared" si="3"/>
        <v>2124.5201075960904</v>
      </c>
      <c r="X24" s="28"/>
      <c r="Y24" s="29"/>
      <c r="AF24" s="69">
        <v>4</v>
      </c>
      <c r="AG24" s="70"/>
      <c r="AH24" s="71"/>
      <c r="AI24" s="71"/>
      <c r="AJ24" s="71"/>
      <c r="AM24" s="377">
        <v>20</v>
      </c>
      <c r="AN24" s="381">
        <v>0.99820500000000001</v>
      </c>
      <c r="AU24" s="271">
        <v>93</v>
      </c>
      <c r="AV24" s="257">
        <v>237.02</v>
      </c>
      <c r="AW24" s="121">
        <v>907.83027364917837</v>
      </c>
      <c r="AX24" s="121">
        <v>907.73949969920841</v>
      </c>
      <c r="AY24" s="121">
        <v>907.6487348257258</v>
      </c>
      <c r="AZ24" s="121">
        <v>907.5398300461203</v>
      </c>
      <c r="BA24" s="121">
        <v>907.41279225520452</v>
      </c>
      <c r="BB24" s="121">
        <v>907.28577224708988</v>
      </c>
      <c r="BC24" s="121">
        <v>907.14062974633055</v>
      </c>
      <c r="BD24" s="121">
        <v>906.98644205118183</v>
      </c>
      <c r="BE24" s="121">
        <v>906.82321387268473</v>
      </c>
      <c r="BF24" s="121">
        <v>906.65095019214834</v>
      </c>
      <c r="BG24" s="121">
        <v>906.46965626089604</v>
      </c>
      <c r="BH24" s="121">
        <v>906.27933760000008</v>
      </c>
      <c r="BI24" s="121">
        <v>906.08</v>
      </c>
      <c r="BJ24" s="121">
        <v>905.86254080000015</v>
      </c>
      <c r="BK24" s="121">
        <v>905.6360751648001</v>
      </c>
      <c r="BL24" s="121">
        <v>905.39155342450556</v>
      </c>
      <c r="BM24" s="121">
        <v>905.14709770508091</v>
      </c>
      <c r="BN24" s="121">
        <v>904.89365651772357</v>
      </c>
      <c r="BO24" s="121">
        <v>904.64028629389861</v>
      </c>
      <c r="BP24" s="121">
        <v>904.36889420801049</v>
      </c>
      <c r="BQ24" s="121">
        <v>904.36889420801049</v>
      </c>
      <c r="BR24" s="117"/>
      <c r="BT24" s="83">
        <v>17</v>
      </c>
      <c r="BU24" s="84" t="s">
        <v>39</v>
      </c>
      <c r="BV24" s="85">
        <v>17</v>
      </c>
      <c r="BW24" s="86" t="s">
        <v>40</v>
      </c>
      <c r="BX24" s="87"/>
      <c r="BY24" s="88"/>
      <c r="BZ24" s="88"/>
      <c r="CA24" s="88"/>
      <c r="CB24" s="88"/>
      <c r="CC24" s="88"/>
      <c r="CD24" s="88"/>
      <c r="CE24" s="88"/>
      <c r="CF24" s="88"/>
      <c r="CG24" s="88"/>
      <c r="CH24" s="88"/>
      <c r="CI24" s="88"/>
      <c r="CJ24" s="88"/>
      <c r="CK24" s="89"/>
      <c r="CM24" s="83">
        <v>17</v>
      </c>
      <c r="CN24" s="84" t="s">
        <v>39</v>
      </c>
      <c r="CO24" s="85">
        <v>17</v>
      </c>
      <c r="CP24" s="86" t="s">
        <v>40</v>
      </c>
      <c r="CQ24" s="88"/>
      <c r="CR24" s="88"/>
      <c r="CS24" s="88"/>
      <c r="CT24" s="88"/>
      <c r="CU24" s="88"/>
      <c r="CV24" s="88"/>
      <c r="CW24" s="88"/>
      <c r="CX24" s="88"/>
      <c r="CY24" s="88"/>
      <c r="CZ24" s="88"/>
      <c r="DA24" s="88"/>
      <c r="DB24" s="88"/>
      <c r="DC24" s="88"/>
      <c r="DD24" s="88"/>
      <c r="DE24" s="88"/>
      <c r="DF24" s="88"/>
      <c r="DG24" s="88"/>
      <c r="DH24" s="88"/>
      <c r="DI24" s="88"/>
      <c r="DJ24" s="88"/>
      <c r="DK24" s="88"/>
      <c r="DL24" s="88"/>
      <c r="DM24" s="88"/>
      <c r="DN24" s="88"/>
      <c r="DO24" s="88"/>
      <c r="DP24" s="88"/>
      <c r="DQ24" s="88"/>
      <c r="DR24" s="89"/>
      <c r="EH24" s="313">
        <v>21</v>
      </c>
      <c r="EI24" s="314"/>
      <c r="EJ24" s="247" t="str">
        <f t="shared" si="4"/>
        <v/>
      </c>
      <c r="EK24" t="str">
        <f t="shared" si="5"/>
        <v/>
      </c>
    </row>
    <row r="25" spans="1:141" ht="14.4" thickTop="1" thickBot="1" x14ac:dyDescent="0.3">
      <c r="A25" s="42"/>
      <c r="B25" s="268">
        <v>22</v>
      </c>
      <c r="C25" s="44"/>
      <c r="D25" s="45">
        <f t="shared" si="0"/>
        <v>0</v>
      </c>
      <c r="F25" s="46">
        <v>21</v>
      </c>
      <c r="G25" s="369">
        <v>0.99802100000000005</v>
      </c>
      <c r="H25" s="47">
        <v>0.99823229999999996</v>
      </c>
      <c r="I25" s="48">
        <f t="shared" si="1"/>
        <v>0.99978832582355837</v>
      </c>
      <c r="K25" s="44">
        <v>30.5</v>
      </c>
      <c r="L25" s="49">
        <v>0.97970000000000002</v>
      </c>
      <c r="N25" s="397">
        <v>22</v>
      </c>
      <c r="O25" s="397" t="s">
        <v>381</v>
      </c>
      <c r="P25" s="398">
        <v>3887.2</v>
      </c>
      <c r="Q25" s="398"/>
      <c r="R25" s="399">
        <f>((152.28+152.62+152.5+152.65)/4)/10</f>
        <v>15.251249999999999</v>
      </c>
      <c r="S25" s="399">
        <f>((116.49+116.56+116.57+116.64)/4)/10</f>
        <v>11.656499999999999</v>
      </c>
      <c r="T25" s="398"/>
      <c r="U25" s="401">
        <f t="shared" si="13"/>
        <v>182.6841049072832</v>
      </c>
      <c r="V25" s="401">
        <f t="shared" si="3"/>
        <v>2129.4572688517464</v>
      </c>
      <c r="X25" s="43"/>
      <c r="Y25" s="50"/>
      <c r="AA25" s="137">
        <v>3000</v>
      </c>
      <c r="AC25" s="138">
        <v>2.3802232276949571</v>
      </c>
      <c r="AF25" s="69">
        <v>5</v>
      </c>
      <c r="AG25" s="70"/>
      <c r="AH25" s="71"/>
      <c r="AI25" s="71"/>
      <c r="AJ25" s="71"/>
      <c r="AM25" s="376">
        <v>21</v>
      </c>
      <c r="AN25" s="380">
        <v>0.99799400000000005</v>
      </c>
      <c r="AU25" s="271"/>
      <c r="AV25" s="257"/>
      <c r="AW25" s="120"/>
      <c r="AX25" s="120"/>
      <c r="AY25" s="120"/>
      <c r="AZ25" s="120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2"/>
      <c r="BR25" s="131"/>
      <c r="BT25" s="83">
        <v>18</v>
      </c>
      <c r="BU25" s="93">
        <v>9</v>
      </c>
      <c r="BV25" s="94">
        <v>18</v>
      </c>
      <c r="BW25" s="95" t="s">
        <v>43</v>
      </c>
      <c r="BX25" s="96"/>
      <c r="BY25" s="97"/>
      <c r="BZ25" s="97"/>
      <c r="CA25" s="97"/>
      <c r="CB25" s="97"/>
      <c r="CC25" s="97"/>
      <c r="CD25" s="97"/>
      <c r="CE25" s="97"/>
      <c r="CF25" s="97"/>
      <c r="CG25" s="97"/>
      <c r="CH25" s="97"/>
      <c r="CI25" s="97"/>
      <c r="CJ25" s="97"/>
      <c r="CK25" s="98"/>
      <c r="CM25" s="83">
        <v>18</v>
      </c>
      <c r="CN25" s="93">
        <v>9</v>
      </c>
      <c r="CO25" s="94">
        <v>18</v>
      </c>
      <c r="CP25" s="95" t="s">
        <v>43</v>
      </c>
      <c r="CQ25" s="97"/>
      <c r="CR25" s="97"/>
      <c r="CS25" s="97"/>
      <c r="CT25" s="97"/>
      <c r="CU25" s="97"/>
      <c r="CV25" s="97"/>
      <c r="CW25" s="97"/>
      <c r="CX25" s="97"/>
      <c r="CY25" s="97"/>
      <c r="CZ25" s="97"/>
      <c r="DA25" s="97"/>
      <c r="DB25" s="97"/>
      <c r="DC25" s="97"/>
      <c r="DD25" s="97"/>
      <c r="DE25" s="97"/>
      <c r="DF25" s="97"/>
      <c r="DG25" s="97"/>
      <c r="DH25" s="97"/>
      <c r="DI25" s="97"/>
      <c r="DJ25" s="97"/>
      <c r="DK25" s="97"/>
      <c r="DL25" s="97"/>
      <c r="DM25" s="97"/>
      <c r="DN25" s="97"/>
      <c r="DO25" s="97"/>
      <c r="DP25" s="97"/>
      <c r="DQ25" s="97"/>
      <c r="DR25" s="98"/>
      <c r="EH25" s="313">
        <v>22</v>
      </c>
      <c r="EI25" s="314"/>
      <c r="EJ25" s="247" t="str">
        <f t="shared" si="4"/>
        <v/>
      </c>
      <c r="EK25" t="str">
        <f t="shared" si="5"/>
        <v/>
      </c>
    </row>
    <row r="26" spans="1:141" ht="14.4" thickTop="1" thickBot="1" x14ac:dyDescent="0.3">
      <c r="A26" s="42"/>
      <c r="B26" s="268">
        <v>23</v>
      </c>
      <c r="C26" s="44"/>
      <c r="D26" s="45">
        <f t="shared" si="0"/>
        <v>0</v>
      </c>
      <c r="E26" s="318"/>
      <c r="F26" s="46">
        <v>22</v>
      </c>
      <c r="G26" s="369">
        <v>0.99779929999999994</v>
      </c>
      <c r="H26" s="47">
        <v>0.99823229999999996</v>
      </c>
      <c r="I26" s="48">
        <f t="shared" si="1"/>
        <v>0.99956623323048155</v>
      </c>
      <c r="K26" s="44">
        <v>31</v>
      </c>
      <c r="L26" s="49">
        <v>0.97870000000000001</v>
      </c>
      <c r="N26" s="397">
        <v>23</v>
      </c>
      <c r="O26" s="397" t="s">
        <v>381</v>
      </c>
      <c r="P26" s="398">
        <v>3887.8</v>
      </c>
      <c r="Q26" s="398"/>
      <c r="R26" s="399">
        <f>((152.07+152.38+151.99+152.44)/4)/10</f>
        <v>15.222</v>
      </c>
      <c r="S26" s="399">
        <f>((116.55+116.58+116.51+116.53)/4)/10</f>
        <v>11.654249999999999</v>
      </c>
      <c r="T26" s="398"/>
      <c r="U26" s="401">
        <f t="shared" si="13"/>
        <v>181.98404609573774</v>
      </c>
      <c r="V26" s="401">
        <f t="shared" si="3"/>
        <v>2120.8875692112515</v>
      </c>
      <c r="X26" s="43"/>
      <c r="Y26" s="50"/>
      <c r="AF26" s="69">
        <v>6</v>
      </c>
      <c r="AG26" s="70"/>
      <c r="AH26" s="71"/>
      <c r="AI26" s="71"/>
      <c r="AJ26" s="71"/>
      <c r="AM26" s="377">
        <v>22</v>
      </c>
      <c r="AN26" s="381">
        <v>0.99777199999999999</v>
      </c>
      <c r="BR26" s="2"/>
      <c r="BT26" s="83">
        <v>19</v>
      </c>
      <c r="BU26" s="84" t="s">
        <v>39</v>
      </c>
      <c r="BV26" s="85">
        <v>19</v>
      </c>
      <c r="BW26" s="86" t="s">
        <v>40</v>
      </c>
      <c r="BX26" s="87"/>
      <c r="BY26" s="88"/>
      <c r="BZ26" s="88"/>
      <c r="CA26" s="88"/>
      <c r="CB26" s="88"/>
      <c r="CC26" s="88"/>
      <c r="CD26" s="88"/>
      <c r="CE26" s="88"/>
      <c r="CF26" s="88"/>
      <c r="CG26" s="88"/>
      <c r="CH26" s="88"/>
      <c r="CI26" s="88"/>
      <c r="CJ26" s="88"/>
      <c r="CK26" s="89"/>
      <c r="CM26" s="83">
        <v>19</v>
      </c>
      <c r="CN26" s="84" t="s">
        <v>39</v>
      </c>
      <c r="CO26" s="85">
        <v>19</v>
      </c>
      <c r="CP26" s="86" t="s">
        <v>40</v>
      </c>
      <c r="CQ26" s="88"/>
      <c r="CR26" s="88"/>
      <c r="CS26" s="88"/>
      <c r="CT26" s="88"/>
      <c r="CU26" s="88"/>
      <c r="CV26" s="88"/>
      <c r="CW26" s="88"/>
      <c r="CX26" s="88"/>
      <c r="CY26" s="88"/>
      <c r="CZ26" s="88"/>
      <c r="DA26" s="88"/>
      <c r="DB26" s="88"/>
      <c r="DC26" s="88"/>
      <c r="DD26" s="88"/>
      <c r="DE26" s="88"/>
      <c r="DF26" s="88"/>
      <c r="DG26" s="88"/>
      <c r="DH26" s="88"/>
      <c r="DI26" s="88"/>
      <c r="DJ26" s="88"/>
      <c r="DK26" s="88"/>
      <c r="DL26" s="88"/>
      <c r="DM26" s="88"/>
      <c r="DN26" s="88"/>
      <c r="DO26" s="88"/>
      <c r="DP26" s="88"/>
      <c r="DQ26" s="88"/>
      <c r="DR26" s="89"/>
      <c r="EH26" s="313">
        <v>23</v>
      </c>
      <c r="EI26" s="314"/>
      <c r="EJ26" s="247" t="str">
        <f t="shared" si="4"/>
        <v/>
      </c>
      <c r="EK26" t="str">
        <f t="shared" si="5"/>
        <v/>
      </c>
    </row>
    <row r="27" spans="1:141" ht="13.8" thickBot="1" x14ac:dyDescent="0.3">
      <c r="A27" s="42"/>
      <c r="B27" s="268">
        <v>24</v>
      </c>
      <c r="C27" s="44"/>
      <c r="D27" s="45">
        <f t="shared" si="0"/>
        <v>0</v>
      </c>
      <c r="E27" s="251"/>
      <c r="F27" s="46">
        <v>23</v>
      </c>
      <c r="G27" s="369">
        <v>0.99756739999999999</v>
      </c>
      <c r="H27" s="47">
        <v>0.99823229999999996</v>
      </c>
      <c r="I27" s="48">
        <f t="shared" si="1"/>
        <v>0.9993339225749357</v>
      </c>
      <c r="K27" s="44">
        <v>31.5</v>
      </c>
      <c r="L27" s="49">
        <v>0.97770000000000001</v>
      </c>
      <c r="N27" s="397">
        <v>24</v>
      </c>
      <c r="O27" s="397" t="s">
        <v>381</v>
      </c>
      <c r="P27" s="398">
        <v>3883.7</v>
      </c>
      <c r="Q27" s="398"/>
      <c r="R27" s="399">
        <f>((152.45+152.66+152.33+152.39)/4)/10</f>
        <v>15.245750000000001</v>
      </c>
      <c r="S27" s="399">
        <f>((116.43+116.48+116.48+116.54)/4)/10</f>
        <v>11.648250000000001</v>
      </c>
      <c r="T27" s="398"/>
      <c r="U27" s="401">
        <f t="shared" si="13"/>
        <v>182.55236732444303</v>
      </c>
      <c r="V27" s="401">
        <f t="shared" si="3"/>
        <v>2126.4156126869439</v>
      </c>
      <c r="X27" s="67"/>
      <c r="Y27" s="68"/>
      <c r="AA27" s="139" t="s">
        <v>49</v>
      </c>
      <c r="AB27" s="140"/>
      <c r="AC27" s="139" t="s">
        <v>50</v>
      </c>
      <c r="AF27" s="69">
        <v>7</v>
      </c>
      <c r="AG27" s="70"/>
      <c r="AH27" s="71"/>
      <c r="AI27" s="71"/>
      <c r="AJ27" s="71"/>
      <c r="AM27" s="376">
        <v>23</v>
      </c>
      <c r="AN27" s="380">
        <v>0.99753999999999998</v>
      </c>
      <c r="AW27" s="134">
        <f>AX27*AW30+AX27</f>
        <v>1830.5418061912656</v>
      </c>
      <c r="AX27" s="134">
        <f t="shared" ref="AX27:AZ27" si="14">AY27*AX30+AY27</f>
        <v>1830.3587703142341</v>
      </c>
      <c r="AY27" s="134">
        <f t="shared" si="14"/>
        <v>1830.1757527389602</v>
      </c>
      <c r="AZ27" s="134">
        <f t="shared" si="14"/>
        <v>1829.9561580000002</v>
      </c>
      <c r="BA27" s="134">
        <v>1829.7</v>
      </c>
      <c r="BB27" s="134">
        <f t="shared" ref="BB27" si="15">ABS(BA27*BB30-BA27)</f>
        <v>1829.4072480000002</v>
      </c>
      <c r="BC27" s="134">
        <f t="shared" ref="BC27" si="16">ABS(BB27*BC30-BB27)</f>
        <v>1829.0962487678403</v>
      </c>
      <c r="BD27" s="134">
        <f t="shared" ref="BD27" si="17">ABS(BC27*BD30-BC27)</f>
        <v>1828.7670114430618</v>
      </c>
      <c r="BE27" s="134">
        <f t="shared" ref="BE27" si="18">ABS(BD27*BE30-BD27)</f>
        <v>1828.4195457108879</v>
      </c>
      <c r="BF27" s="134">
        <f t="shared" ref="BF27" si="19">ABS(BE27*BF30-BE27)</f>
        <v>1828.0538618017456</v>
      </c>
      <c r="BG27" s="134">
        <f t="shared" ref="BG27" si="20">ABS(BF27*BG30-BF27)</f>
        <v>1827.6699704907674</v>
      </c>
      <c r="BH27" s="134">
        <f t="shared" ref="BH27" si="21">ABS(BG27*BH30-BG27)</f>
        <v>1827.2678830972593</v>
      </c>
      <c r="BI27" s="134">
        <f t="shared" ref="BI27" si="22">ABS(BH27*BI30-BH27)</f>
        <v>1826.8476114841469</v>
      </c>
      <c r="BJ27" s="134">
        <f t="shared" ref="BJ27" si="23">ABS(BI27*BJ30-BI27)</f>
        <v>1826.4091680573908</v>
      </c>
      <c r="BK27" s="134">
        <f t="shared" ref="BK27" si="24">ABS(BJ27*BK30-BJ27)</f>
        <v>1825.9525657653764</v>
      </c>
      <c r="BL27" s="134">
        <f t="shared" ref="BL27" si="25">ABS(BK27*BL30-BK27)</f>
        <v>1825.4595585726197</v>
      </c>
      <c r="BM27" s="134">
        <f t="shared" ref="BM27" si="26">ABS(BL27*BM30-BL27)</f>
        <v>1824.9666844918052</v>
      </c>
      <c r="BN27" s="134">
        <f t="shared" ref="BN27" si="27">ABS(BM27*BN30-BM27)</f>
        <v>1824.4556938201476</v>
      </c>
      <c r="BO27" s="134">
        <f t="shared" ref="BO27" si="28">ABS(BN27*BO30-BN27)</f>
        <v>1823.9448462258779</v>
      </c>
      <c r="BP27" s="134">
        <f t="shared" ref="BP27" si="29">ABS(BO27*BP30-BO27)</f>
        <v>1823.3976627720101</v>
      </c>
      <c r="BQ27" s="134">
        <f t="shared" ref="BQ27" si="30">ABS(BP27*BQ30-BP27)</f>
        <v>1823.3976627720101</v>
      </c>
      <c r="BR27" s="2"/>
      <c r="BT27" s="83">
        <v>20</v>
      </c>
      <c r="BU27" s="93">
        <v>10</v>
      </c>
      <c r="BV27" s="94">
        <v>20</v>
      </c>
      <c r="BW27" s="95" t="s">
        <v>43</v>
      </c>
      <c r="BX27" s="96"/>
      <c r="BY27" s="97"/>
      <c r="BZ27" s="97"/>
      <c r="CA27" s="97"/>
      <c r="CB27" s="97"/>
      <c r="CC27" s="97"/>
      <c r="CD27" s="97"/>
      <c r="CE27" s="97"/>
      <c r="CF27" s="97"/>
      <c r="CG27" s="97"/>
      <c r="CH27" s="97"/>
      <c r="CI27" s="97"/>
      <c r="CJ27" s="97"/>
      <c r="CK27" s="98"/>
      <c r="CM27" s="83">
        <v>20</v>
      </c>
      <c r="CN27" s="93">
        <v>10</v>
      </c>
      <c r="CO27" s="94">
        <v>20</v>
      </c>
      <c r="CP27" s="95" t="s">
        <v>43</v>
      </c>
      <c r="CQ27" s="97"/>
      <c r="CR27" s="97"/>
      <c r="CS27" s="97"/>
      <c r="CT27" s="97"/>
      <c r="CU27" s="97"/>
      <c r="CV27" s="97"/>
      <c r="CW27" s="97"/>
      <c r="CX27" s="97"/>
      <c r="CY27" s="97"/>
      <c r="CZ27" s="97"/>
      <c r="DA27" s="97"/>
      <c r="DB27" s="97"/>
      <c r="DC27" s="97"/>
      <c r="DD27" s="97"/>
      <c r="DE27" s="97"/>
      <c r="DF27" s="97"/>
      <c r="DG27" s="97"/>
      <c r="DH27" s="97"/>
      <c r="DI27" s="97"/>
      <c r="DJ27" s="97"/>
      <c r="DK27" s="97"/>
      <c r="DL27" s="97"/>
      <c r="DM27" s="97"/>
      <c r="DN27" s="97"/>
      <c r="DO27" s="97"/>
      <c r="DP27" s="97"/>
      <c r="DQ27" s="97"/>
      <c r="DR27" s="98"/>
      <c r="EH27" s="313">
        <v>24</v>
      </c>
      <c r="EI27" s="314"/>
      <c r="EJ27" s="247" t="str">
        <f t="shared" si="4"/>
        <v/>
      </c>
      <c r="EK27" t="str">
        <f t="shared" si="5"/>
        <v/>
      </c>
    </row>
    <row r="28" spans="1:141" ht="14.4" thickTop="1" thickBot="1" x14ac:dyDescent="0.3">
      <c r="A28" s="42"/>
      <c r="B28" s="268">
        <v>25</v>
      </c>
      <c r="C28" s="44"/>
      <c r="D28" s="45">
        <f t="shared" si="0"/>
        <v>0</v>
      </c>
      <c r="E28" s="262"/>
      <c r="F28" s="46">
        <v>24</v>
      </c>
      <c r="G28" s="369">
        <v>0.99732560000000003</v>
      </c>
      <c r="H28" s="47">
        <v>0.99823229999999996</v>
      </c>
      <c r="I28" s="48">
        <f t="shared" si="1"/>
        <v>0.99909169438817003</v>
      </c>
      <c r="K28" s="44">
        <v>32</v>
      </c>
      <c r="L28" s="49">
        <v>0.97650000000000003</v>
      </c>
      <c r="N28" s="397">
        <v>25</v>
      </c>
      <c r="O28" s="397" t="s">
        <v>381</v>
      </c>
      <c r="P28" s="398">
        <v>3887.5</v>
      </c>
      <c r="Q28" s="398"/>
      <c r="R28" s="399">
        <f>((152.75+152.24+152.28+152.26)/4)/10</f>
        <v>15.238249999999999</v>
      </c>
      <c r="S28" s="399">
        <f>((116.56+116.45+116.58+116.53)/4)/10</f>
        <v>11.653</v>
      </c>
      <c r="T28" s="398"/>
      <c r="U28" s="401">
        <f t="shared" si="13"/>
        <v>182.37280174234542</v>
      </c>
      <c r="V28" s="401">
        <f t="shared" si="3"/>
        <v>2125.1902587035511</v>
      </c>
      <c r="X28" s="28"/>
      <c r="Y28" s="29"/>
      <c r="AA28" s="140" t="s">
        <v>51</v>
      </c>
      <c r="AB28" s="140"/>
      <c r="AC28" s="141">
        <v>101.97162</v>
      </c>
      <c r="AF28" s="69">
        <v>8</v>
      </c>
      <c r="AG28" s="70"/>
      <c r="AH28" s="71"/>
      <c r="AI28" s="71"/>
      <c r="AJ28" s="71"/>
      <c r="AM28" s="377">
        <v>24</v>
      </c>
      <c r="AN28" s="381">
        <v>0.99729900000000005</v>
      </c>
      <c r="BR28" s="2"/>
      <c r="BT28" s="83">
        <v>21</v>
      </c>
      <c r="BU28" s="84" t="s">
        <v>39</v>
      </c>
      <c r="BV28" s="85">
        <v>21</v>
      </c>
      <c r="BW28" s="86" t="s">
        <v>40</v>
      </c>
      <c r="BX28" s="87"/>
      <c r="BY28" s="88"/>
      <c r="BZ28" s="88"/>
      <c r="CA28" s="88"/>
      <c r="CB28" s="88"/>
      <c r="CC28" s="88"/>
      <c r="CD28" s="88"/>
      <c r="CE28" s="88"/>
      <c r="CF28" s="88"/>
      <c r="CG28" s="88"/>
      <c r="CH28" s="88"/>
      <c r="CI28" s="88"/>
      <c r="CJ28" s="88"/>
      <c r="CK28" s="89"/>
      <c r="CM28" s="83">
        <v>21</v>
      </c>
      <c r="CN28" s="84" t="s">
        <v>39</v>
      </c>
      <c r="CO28" s="85">
        <v>21</v>
      </c>
      <c r="CP28" s="86" t="s">
        <v>40</v>
      </c>
      <c r="CQ28" s="88"/>
      <c r="CR28" s="88"/>
      <c r="CS28" s="88"/>
      <c r="CT28" s="88"/>
      <c r="CU28" s="88"/>
      <c r="CV28" s="88"/>
      <c r="CW28" s="88"/>
      <c r="CX28" s="88"/>
      <c r="CY28" s="88"/>
      <c r="CZ28" s="88"/>
      <c r="DA28" s="88"/>
      <c r="DB28" s="88"/>
      <c r="DC28" s="88"/>
      <c r="DD28" s="88"/>
      <c r="DE28" s="88"/>
      <c r="DF28" s="88"/>
      <c r="DG28" s="88"/>
      <c r="DH28" s="88"/>
      <c r="DI28" s="88"/>
      <c r="DJ28" s="88"/>
      <c r="DK28" s="88"/>
      <c r="DL28" s="88"/>
      <c r="DM28" s="88"/>
      <c r="DN28" s="88"/>
      <c r="DO28" s="88"/>
      <c r="DP28" s="88"/>
      <c r="DQ28" s="88"/>
      <c r="DR28" s="89"/>
      <c r="EH28" s="313">
        <v>25</v>
      </c>
      <c r="EI28" s="314"/>
      <c r="EJ28" s="247" t="str">
        <f t="shared" si="4"/>
        <v/>
      </c>
      <c r="EK28" t="str">
        <f t="shared" si="5"/>
        <v/>
      </c>
    </row>
    <row r="29" spans="1:141" ht="13.8" thickBot="1" x14ac:dyDescent="0.3">
      <c r="A29" s="62"/>
      <c r="B29" s="268">
        <v>26</v>
      </c>
      <c r="C29" s="44"/>
      <c r="D29" s="45">
        <f t="shared" si="0"/>
        <v>0</v>
      </c>
      <c r="E29" s="265"/>
      <c r="F29" s="46">
        <v>25</v>
      </c>
      <c r="G29" s="369">
        <v>0.9970734</v>
      </c>
      <c r="H29" s="47">
        <v>0.99823229999999996</v>
      </c>
      <c r="I29" s="48">
        <f t="shared" si="1"/>
        <v>0.99883904778476917</v>
      </c>
      <c r="K29" s="44">
        <v>32.5</v>
      </c>
      <c r="L29" s="49">
        <v>0.9758</v>
      </c>
      <c r="N29" s="397">
        <v>26</v>
      </c>
      <c r="O29" s="397" t="s">
        <v>381</v>
      </c>
      <c r="P29" s="398"/>
      <c r="Q29" s="398"/>
      <c r="R29" s="399"/>
      <c r="S29" s="399"/>
      <c r="T29" s="398"/>
      <c r="U29" s="401" t="str">
        <f t="shared" si="13"/>
        <v/>
      </c>
      <c r="V29" s="401" t="str">
        <f t="shared" si="3"/>
        <v/>
      </c>
      <c r="X29" s="43"/>
      <c r="Y29" s="50"/>
      <c r="AF29" s="69">
        <v>9</v>
      </c>
      <c r="AG29" s="70"/>
      <c r="AH29" s="71"/>
      <c r="AI29" s="71"/>
      <c r="AJ29" s="71"/>
      <c r="AM29" s="376">
        <v>25</v>
      </c>
      <c r="AN29" s="380">
        <v>0.99704700000000002</v>
      </c>
      <c r="AW29" s="135">
        <v>0.99973000000000001</v>
      </c>
      <c r="AX29" s="135">
        <v>0.99963000000000002</v>
      </c>
      <c r="AY29" s="135">
        <v>0.99953000000000003</v>
      </c>
      <c r="AZ29" s="135">
        <v>0.99941000000000002</v>
      </c>
      <c r="BA29" s="135">
        <v>0.99926999999999999</v>
      </c>
      <c r="BB29" s="135">
        <v>0.99912999999999996</v>
      </c>
      <c r="BC29" s="135">
        <v>0.99897000000000002</v>
      </c>
      <c r="BD29" s="135">
        <v>0.99880000000000002</v>
      </c>
      <c r="BE29" s="135">
        <v>0.99861999999999995</v>
      </c>
      <c r="BF29" s="135">
        <v>0.99843000000000004</v>
      </c>
      <c r="BG29" s="135">
        <v>0.99822999999999995</v>
      </c>
      <c r="BH29" s="135">
        <v>0.99802000000000002</v>
      </c>
      <c r="BI29" s="135">
        <v>0.99780000000000002</v>
      </c>
      <c r="BJ29" s="135">
        <v>0.99756999999999996</v>
      </c>
      <c r="BK29" s="135">
        <v>0.99733000000000005</v>
      </c>
      <c r="BL29" s="135">
        <v>0.99707999999999997</v>
      </c>
      <c r="BM29" s="135">
        <v>0.99680999999999997</v>
      </c>
      <c r="BN29" s="135">
        <v>0.99653999999999998</v>
      </c>
      <c r="BO29" s="135">
        <v>0.99626000000000003</v>
      </c>
      <c r="BP29" s="135">
        <v>0.99597999999999998</v>
      </c>
      <c r="BQ29" s="135">
        <v>0.99568000000000001</v>
      </c>
      <c r="BR29" s="2"/>
      <c r="BT29" s="83">
        <v>22</v>
      </c>
      <c r="BU29" s="93">
        <v>11</v>
      </c>
      <c r="BV29" s="94">
        <v>22</v>
      </c>
      <c r="BW29" s="95" t="s">
        <v>43</v>
      </c>
      <c r="BX29" s="96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8"/>
      <c r="CM29" s="83">
        <v>22</v>
      </c>
      <c r="CN29" s="93">
        <v>11</v>
      </c>
      <c r="CO29" s="94">
        <v>22</v>
      </c>
      <c r="CP29" s="95" t="s">
        <v>43</v>
      </c>
      <c r="CQ29" s="97"/>
      <c r="CR29" s="97"/>
      <c r="CS29" s="97"/>
      <c r="CT29" s="97"/>
      <c r="CU29" s="97"/>
      <c r="CV29" s="97"/>
      <c r="CW29" s="97"/>
      <c r="CX29" s="97"/>
      <c r="CY29" s="97"/>
      <c r="CZ29" s="97"/>
      <c r="DA29" s="97"/>
      <c r="DB29" s="97"/>
      <c r="DC29" s="97"/>
      <c r="DD29" s="97"/>
      <c r="DE29" s="97"/>
      <c r="DF29" s="97"/>
      <c r="DG29" s="97"/>
      <c r="DH29" s="97"/>
      <c r="DI29" s="97"/>
      <c r="DJ29" s="97"/>
      <c r="DK29" s="97"/>
      <c r="DL29" s="97"/>
      <c r="DM29" s="97"/>
      <c r="DN29" s="97"/>
      <c r="DO29" s="97"/>
      <c r="DP29" s="97"/>
      <c r="DQ29" s="97"/>
      <c r="DR29" s="98"/>
      <c r="EH29" s="313">
        <v>26</v>
      </c>
      <c r="EI29" s="314"/>
      <c r="EJ29" s="247" t="str">
        <f t="shared" si="4"/>
        <v/>
      </c>
      <c r="EK29" t="str">
        <f t="shared" si="5"/>
        <v/>
      </c>
    </row>
    <row r="30" spans="1:141" ht="16.8" thickTop="1" thickBot="1" x14ac:dyDescent="0.3">
      <c r="A30" s="62"/>
      <c r="B30" s="268">
        <v>27</v>
      </c>
      <c r="C30" s="44"/>
      <c r="D30" s="45">
        <f t="shared" si="0"/>
        <v>0</v>
      </c>
      <c r="E30" s="269"/>
      <c r="F30" s="46">
        <v>26</v>
      </c>
      <c r="G30" s="369">
        <v>0.99681280000000005</v>
      </c>
      <c r="H30" s="47">
        <v>0.99823229999999996</v>
      </c>
      <c r="I30" s="48">
        <f t="shared" si="1"/>
        <v>0.99857798630639394</v>
      </c>
      <c r="K30" s="44">
        <v>33</v>
      </c>
      <c r="L30" s="49">
        <v>0.9748</v>
      </c>
      <c r="N30" s="397">
        <v>27</v>
      </c>
      <c r="O30" s="397" t="s">
        <v>381</v>
      </c>
      <c r="P30" s="398"/>
      <c r="Q30" s="398"/>
      <c r="R30" s="399"/>
      <c r="S30" s="399"/>
      <c r="T30" s="398"/>
      <c r="U30" s="401" t="str">
        <f t="shared" si="13"/>
        <v/>
      </c>
      <c r="V30" s="401" t="str">
        <f t="shared" si="3"/>
        <v/>
      </c>
      <c r="X30" s="43"/>
      <c r="Y30" s="50"/>
      <c r="AA30" s="51" t="s">
        <v>49</v>
      </c>
      <c r="AB30" s="51" t="s">
        <v>52</v>
      </c>
      <c r="AC30" s="52" t="s">
        <v>21</v>
      </c>
      <c r="AD30" s="6" t="s">
        <v>23</v>
      </c>
      <c r="AF30" s="69">
        <v>10</v>
      </c>
      <c r="AG30" s="335"/>
      <c r="AH30" s="336">
        <v>168.21</v>
      </c>
      <c r="AI30" s="336">
        <v>19</v>
      </c>
      <c r="AJ30" s="336">
        <v>36</v>
      </c>
      <c r="AM30" s="377">
        <v>26</v>
      </c>
      <c r="AN30" s="381">
        <v>0.99678500000000003</v>
      </c>
      <c r="AW30" s="135">
        <f>AW29-AX29</f>
        <v>9.9999999999988987E-5</v>
      </c>
      <c r="AX30" s="135">
        <f>AX29-AY29</f>
        <v>9.9999999999988987E-5</v>
      </c>
      <c r="AY30" s="135">
        <v>1.2000000000000899E-4</v>
      </c>
      <c r="AZ30" s="135">
        <v>1.4000000000002899E-4</v>
      </c>
      <c r="BA30" s="135">
        <v>1.4000000000002899E-4</v>
      </c>
      <c r="BB30" s="135">
        <v>1.59999999999938E-4</v>
      </c>
      <c r="BC30" s="135">
        <v>1.7000000000000299E-4</v>
      </c>
      <c r="BD30" s="135">
        <v>1.8000000000006899E-4</v>
      </c>
      <c r="BE30" s="135">
        <v>1.8999999999991246E-4</v>
      </c>
      <c r="BF30" s="135">
        <v>2.00000000000089E-4</v>
      </c>
      <c r="BG30" s="135">
        <v>2.0999999999993246E-4</v>
      </c>
      <c r="BH30" s="135">
        <v>2.1999999999999797E-4</v>
      </c>
      <c r="BI30" s="135">
        <v>2.3000000000006349E-4</v>
      </c>
      <c r="BJ30" s="135">
        <v>2.3999999999990695E-4</v>
      </c>
      <c r="BK30" s="135">
        <v>2.5000000000008349E-4</v>
      </c>
      <c r="BL30" s="135">
        <v>2.6999999999999247E-4</v>
      </c>
      <c r="BM30" s="135">
        <v>2.6999999999999247E-4</v>
      </c>
      <c r="BN30" s="135">
        <v>2.7999999999994696E-4</v>
      </c>
      <c r="BO30" s="135">
        <v>2.8000000000005798E-4</v>
      </c>
      <c r="BP30" s="135">
        <v>2.9999999999996696E-4</v>
      </c>
      <c r="BQ30" s="136"/>
      <c r="BR30" s="2"/>
      <c r="BT30" s="83">
        <v>23</v>
      </c>
      <c r="BU30" s="84" t="s">
        <v>39</v>
      </c>
      <c r="BV30" s="85">
        <v>23</v>
      </c>
      <c r="BW30" s="86" t="s">
        <v>40</v>
      </c>
      <c r="BX30" s="87"/>
      <c r="BY30" s="88"/>
      <c r="BZ30" s="88"/>
      <c r="CA30" s="88"/>
      <c r="CB30" s="88"/>
      <c r="CC30" s="88"/>
      <c r="CD30" s="88"/>
      <c r="CE30" s="88"/>
      <c r="CF30" s="88"/>
      <c r="CG30" s="88"/>
      <c r="CH30" s="88"/>
      <c r="CI30" s="88"/>
      <c r="CJ30" s="88"/>
      <c r="CK30" s="89"/>
      <c r="CM30" s="83">
        <v>23</v>
      </c>
      <c r="CN30" s="84" t="s">
        <v>39</v>
      </c>
      <c r="CO30" s="85">
        <v>23</v>
      </c>
      <c r="CP30" s="86" t="s">
        <v>40</v>
      </c>
      <c r="CQ30" s="88"/>
      <c r="CR30" s="88"/>
      <c r="CS30" s="88"/>
      <c r="CT30" s="88"/>
      <c r="CU30" s="88"/>
      <c r="CV30" s="88"/>
      <c r="CW30" s="88"/>
      <c r="CX30" s="88"/>
      <c r="CY30" s="88"/>
      <c r="CZ30" s="88"/>
      <c r="DA30" s="88"/>
      <c r="DB30" s="88"/>
      <c r="DC30" s="88"/>
      <c r="DD30" s="88"/>
      <c r="DE30" s="88"/>
      <c r="DF30" s="88"/>
      <c r="DG30" s="88"/>
      <c r="DH30" s="88"/>
      <c r="DI30" s="88"/>
      <c r="DJ30" s="88"/>
      <c r="DK30" s="88"/>
      <c r="DL30" s="88"/>
      <c r="DM30" s="88"/>
      <c r="DN30" s="88"/>
      <c r="DO30" s="88"/>
      <c r="DP30" s="88"/>
      <c r="DQ30" s="88"/>
      <c r="DR30" s="89"/>
      <c r="EH30" s="313">
        <v>27</v>
      </c>
      <c r="EI30" s="314"/>
      <c r="EJ30" s="247" t="str">
        <f t="shared" si="4"/>
        <v/>
      </c>
      <c r="EK30" t="str">
        <f t="shared" si="5"/>
        <v/>
      </c>
    </row>
    <row r="31" spans="1:141" ht="14.4" thickTop="1" thickBot="1" x14ac:dyDescent="0.3">
      <c r="A31" s="62"/>
      <c r="B31" s="268">
        <v>28</v>
      </c>
      <c r="C31" s="44"/>
      <c r="D31" s="45">
        <f t="shared" si="0"/>
        <v>0</v>
      </c>
      <c r="F31" s="46">
        <v>27</v>
      </c>
      <c r="G31" s="369">
        <v>0.99654209999999999</v>
      </c>
      <c r="H31" s="47">
        <v>0.99823229999999996</v>
      </c>
      <c r="I31" s="48">
        <f t="shared" si="1"/>
        <v>0.99830680694263252</v>
      </c>
      <c r="K31" s="44">
        <v>33.5</v>
      </c>
      <c r="L31" s="49">
        <v>0.97389999999999999</v>
      </c>
      <c r="N31" s="397">
        <v>28</v>
      </c>
      <c r="O31" s="397" t="s">
        <v>381</v>
      </c>
      <c r="P31" s="398"/>
      <c r="Q31" s="398"/>
      <c r="R31" s="399"/>
      <c r="S31" s="399"/>
      <c r="T31" s="398"/>
      <c r="U31" s="401" t="str">
        <f t="shared" si="13"/>
        <v/>
      </c>
      <c r="V31" s="401" t="str">
        <f t="shared" si="3"/>
        <v/>
      </c>
      <c r="X31" s="67"/>
      <c r="Y31" s="68"/>
      <c r="AA31" s="142">
        <v>0</v>
      </c>
      <c r="AB31" s="143">
        <v>0</v>
      </c>
      <c r="AC31" s="144">
        <v>0</v>
      </c>
      <c r="AD31" s="144">
        <v>0</v>
      </c>
      <c r="AF31" s="124"/>
      <c r="AG31" s="125"/>
      <c r="AH31" s="126"/>
      <c r="AI31" s="126"/>
      <c r="AJ31" s="126"/>
      <c r="AM31" s="376">
        <v>27</v>
      </c>
      <c r="AN31" s="380">
        <v>0.99651500000000004</v>
      </c>
      <c r="BR31" s="2"/>
      <c r="BT31" s="83">
        <v>24</v>
      </c>
      <c r="BU31" s="93">
        <v>12</v>
      </c>
      <c r="BV31" s="94">
        <v>24</v>
      </c>
      <c r="BW31" s="95" t="s">
        <v>43</v>
      </c>
      <c r="BX31" s="96"/>
      <c r="BY31" s="97"/>
      <c r="BZ31" s="97"/>
      <c r="CA31" s="97"/>
      <c r="CB31" s="97"/>
      <c r="CC31" s="97"/>
      <c r="CD31" s="97"/>
      <c r="CE31" s="97"/>
      <c r="CF31" s="97"/>
      <c r="CG31" s="97"/>
      <c r="CH31" s="97"/>
      <c r="CI31" s="97"/>
      <c r="CJ31" s="97"/>
      <c r="CK31" s="98"/>
      <c r="CM31" s="83">
        <v>24</v>
      </c>
      <c r="CN31" s="93">
        <v>12</v>
      </c>
      <c r="CO31" s="94">
        <v>24</v>
      </c>
      <c r="CP31" s="95" t="s">
        <v>43</v>
      </c>
      <c r="CQ31" s="97"/>
      <c r="CR31" s="97"/>
      <c r="CS31" s="97"/>
      <c r="CT31" s="97"/>
      <c r="CU31" s="97"/>
      <c r="CV31" s="97"/>
      <c r="CW31" s="97"/>
      <c r="CX31" s="97"/>
      <c r="CY31" s="97"/>
      <c r="CZ31" s="97"/>
      <c r="DA31" s="97"/>
      <c r="DB31" s="97"/>
      <c r="DC31" s="97"/>
      <c r="DD31" s="97"/>
      <c r="DE31" s="97"/>
      <c r="DF31" s="97"/>
      <c r="DG31" s="97"/>
      <c r="DH31" s="97"/>
      <c r="DI31" s="97"/>
      <c r="DJ31" s="97"/>
      <c r="DK31" s="97"/>
      <c r="DL31" s="97"/>
      <c r="DM31" s="97"/>
      <c r="DN31" s="97"/>
      <c r="DO31" s="97"/>
      <c r="DP31" s="97"/>
      <c r="DQ31" s="97"/>
      <c r="DR31" s="98"/>
      <c r="EH31" s="313">
        <v>28</v>
      </c>
      <c r="EI31" s="314"/>
      <c r="EJ31" s="247" t="str">
        <f t="shared" si="4"/>
        <v/>
      </c>
      <c r="EK31" t="str">
        <f t="shared" si="5"/>
        <v/>
      </c>
    </row>
    <row r="32" spans="1:141" ht="14.4" thickTop="1" thickBot="1" x14ac:dyDescent="0.3">
      <c r="A32" s="42"/>
      <c r="B32" s="268">
        <v>29</v>
      </c>
      <c r="C32" s="44"/>
      <c r="D32" s="45">
        <f t="shared" si="0"/>
        <v>0</v>
      </c>
      <c r="F32" s="46">
        <v>28</v>
      </c>
      <c r="G32" s="369">
        <v>0.99626230000000005</v>
      </c>
      <c r="H32" s="47">
        <v>0.99823229999999996</v>
      </c>
      <c r="I32" s="48">
        <f t="shared" si="1"/>
        <v>0.99802651146431554</v>
      </c>
      <c r="K32" s="44">
        <v>34</v>
      </c>
      <c r="L32" s="49">
        <v>0.97289999999999999</v>
      </c>
      <c r="N32" s="397">
        <v>29</v>
      </c>
      <c r="O32" s="397" t="s">
        <v>381</v>
      </c>
      <c r="P32" s="398"/>
      <c r="Q32" s="398"/>
      <c r="R32" s="399"/>
      <c r="S32" s="399"/>
      <c r="T32" s="398"/>
      <c r="U32" s="401" t="str">
        <f t="shared" si="13"/>
        <v/>
      </c>
      <c r="V32" s="401" t="str">
        <f t="shared" si="3"/>
        <v/>
      </c>
      <c r="X32" s="28"/>
      <c r="Y32" s="29"/>
      <c r="AA32" s="142">
        <v>1</v>
      </c>
      <c r="AB32" s="145">
        <v>101.97162</v>
      </c>
      <c r="AC32" s="144">
        <v>42</v>
      </c>
      <c r="AD32" s="146">
        <f>AB32/AC32</f>
        <v>2.4278957142857145</v>
      </c>
      <c r="AF32" s="232"/>
      <c r="AG32" s="147"/>
      <c r="AH32" s="3"/>
      <c r="AM32" s="377">
        <v>28</v>
      </c>
      <c r="AN32" s="381">
        <v>0.99623499999999998</v>
      </c>
      <c r="BR32" s="2"/>
      <c r="BT32" s="83">
        <v>25</v>
      </c>
      <c r="BU32" s="84" t="s">
        <v>39</v>
      </c>
      <c r="BV32" s="85">
        <v>25</v>
      </c>
      <c r="BW32" s="86" t="s">
        <v>40</v>
      </c>
      <c r="BX32" s="87"/>
      <c r="BY32" s="88"/>
      <c r="BZ32" s="88"/>
      <c r="CA32" s="88"/>
      <c r="CB32" s="88"/>
      <c r="CC32" s="88"/>
      <c r="CD32" s="88"/>
      <c r="CE32" s="88"/>
      <c r="CF32" s="88"/>
      <c r="CG32" s="88"/>
      <c r="CH32" s="88"/>
      <c r="CI32" s="88"/>
      <c r="CJ32" s="88"/>
      <c r="CK32" s="89"/>
      <c r="CM32" s="83">
        <v>25</v>
      </c>
      <c r="CN32" s="84" t="s">
        <v>39</v>
      </c>
      <c r="CO32" s="85">
        <v>25</v>
      </c>
      <c r="CP32" s="86" t="s">
        <v>40</v>
      </c>
      <c r="CQ32" s="88"/>
      <c r="CR32" s="88"/>
      <c r="CS32" s="88"/>
      <c r="CT32" s="88"/>
      <c r="CU32" s="88"/>
      <c r="CV32" s="88"/>
      <c r="CW32" s="88"/>
      <c r="CX32" s="88"/>
      <c r="CY32" s="88"/>
      <c r="CZ32" s="88"/>
      <c r="DA32" s="88"/>
      <c r="DB32" s="88"/>
      <c r="DC32" s="88"/>
      <c r="DD32" s="88"/>
      <c r="DE32" s="88"/>
      <c r="DF32" s="88"/>
      <c r="DG32" s="88"/>
      <c r="DH32" s="88"/>
      <c r="DI32" s="88"/>
      <c r="DJ32" s="88"/>
      <c r="DK32" s="88"/>
      <c r="DL32" s="88"/>
      <c r="DM32" s="88"/>
      <c r="DN32" s="88"/>
      <c r="DO32" s="88"/>
      <c r="DP32" s="88"/>
      <c r="DQ32" s="88"/>
      <c r="DR32" s="89"/>
      <c r="EH32" s="313">
        <v>29</v>
      </c>
      <c r="EI32" s="314"/>
      <c r="EJ32" s="247" t="str">
        <f t="shared" si="4"/>
        <v/>
      </c>
      <c r="EK32" t="str">
        <f t="shared" si="5"/>
        <v/>
      </c>
    </row>
    <row r="33" spans="1:141" ht="14.4" thickTop="1" thickBot="1" x14ac:dyDescent="0.3">
      <c r="A33" s="42"/>
      <c r="B33" s="268">
        <v>30</v>
      </c>
      <c r="C33" s="44"/>
      <c r="D33" s="45">
        <f t="shared" si="0"/>
        <v>0</v>
      </c>
      <c r="F33" s="46">
        <v>29</v>
      </c>
      <c r="G33" s="369">
        <v>0.99597349999999996</v>
      </c>
      <c r="H33" s="47">
        <v>0.99823229999999996</v>
      </c>
      <c r="I33" s="48">
        <f t="shared" si="1"/>
        <v>0.99773720004852573</v>
      </c>
      <c r="K33" s="44">
        <v>34.5</v>
      </c>
      <c r="L33" s="49">
        <v>0.97189999999999999</v>
      </c>
      <c r="N33" s="397">
        <v>30</v>
      </c>
      <c r="O33" s="397" t="s">
        <v>381</v>
      </c>
      <c r="P33" s="398"/>
      <c r="Q33" s="398"/>
      <c r="R33" s="399"/>
      <c r="S33" s="399"/>
      <c r="T33" s="398"/>
      <c r="U33" s="401" t="str">
        <f t="shared" si="13"/>
        <v/>
      </c>
      <c r="V33" s="401" t="str">
        <f t="shared" si="3"/>
        <v/>
      </c>
      <c r="X33" s="43"/>
      <c r="Y33" s="50"/>
      <c r="AA33" s="142">
        <v>5</v>
      </c>
      <c r="AB33" s="145">
        <v>509.85810000000004</v>
      </c>
      <c r="AC33" s="144">
        <v>213</v>
      </c>
      <c r="AD33" s="146">
        <f>AB33/AC33</f>
        <v>2.3937000000000004</v>
      </c>
      <c r="AF33" s="37"/>
      <c r="AG33" s="147"/>
      <c r="AH33" s="3"/>
      <c r="AM33" s="376">
        <v>29</v>
      </c>
      <c r="AN33" s="380">
        <v>0.995946</v>
      </c>
      <c r="BR33" s="2"/>
      <c r="BT33" s="83">
        <v>26</v>
      </c>
      <c r="BU33" s="93">
        <v>13</v>
      </c>
      <c r="BV33" s="94">
        <v>26</v>
      </c>
      <c r="BW33" s="95" t="s">
        <v>43</v>
      </c>
      <c r="BX33" s="96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8"/>
      <c r="CM33" s="83">
        <v>26</v>
      </c>
      <c r="CN33" s="93">
        <v>13</v>
      </c>
      <c r="CO33" s="94">
        <v>26</v>
      </c>
      <c r="CP33" s="95" t="s">
        <v>43</v>
      </c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7"/>
      <c r="DB33" s="97"/>
      <c r="DC33" s="97"/>
      <c r="DD33" s="97"/>
      <c r="DE33" s="97"/>
      <c r="DF33" s="97"/>
      <c r="DG33" s="97"/>
      <c r="DH33" s="97"/>
      <c r="DI33" s="97"/>
      <c r="DJ33" s="97"/>
      <c r="DK33" s="97"/>
      <c r="DL33" s="97"/>
      <c r="DM33" s="97"/>
      <c r="DN33" s="97"/>
      <c r="DO33" s="97"/>
      <c r="DP33" s="97"/>
      <c r="DQ33" s="97"/>
      <c r="DR33" s="98"/>
      <c r="EH33" s="313">
        <v>30</v>
      </c>
      <c r="EI33" s="314">
        <v>0.35880000000000001</v>
      </c>
      <c r="EJ33" s="247">
        <f t="shared" si="4"/>
        <v>1</v>
      </c>
      <c r="EK33">
        <f t="shared" si="5"/>
        <v>3.6612244897959181E-2</v>
      </c>
    </row>
    <row r="34" spans="1:141" ht="14.4" thickTop="1" thickBot="1" x14ac:dyDescent="0.3">
      <c r="A34" s="42"/>
      <c r="B34" s="266">
        <v>31</v>
      </c>
      <c r="C34" s="44"/>
      <c r="D34" s="45">
        <f t="shared" si="0"/>
        <v>0</v>
      </c>
      <c r="F34" s="46">
        <v>30</v>
      </c>
      <c r="G34" s="369">
        <v>0.99567559999999999</v>
      </c>
      <c r="H34" s="47">
        <v>0.99823229999999996</v>
      </c>
      <c r="I34" s="48">
        <f t="shared" si="1"/>
        <v>0.99743877251818047</v>
      </c>
      <c r="K34" s="44">
        <v>35</v>
      </c>
      <c r="L34" s="49">
        <v>0.97099999999999997</v>
      </c>
      <c r="N34" s="397">
        <v>31</v>
      </c>
      <c r="O34" s="398"/>
      <c r="P34" s="398"/>
      <c r="Q34" s="398"/>
      <c r="R34" s="399"/>
      <c r="S34" s="399"/>
      <c r="T34" s="398"/>
      <c r="U34" s="401" t="str">
        <f t="shared" si="13"/>
        <v/>
      </c>
      <c r="V34" s="401" t="str">
        <f t="shared" si="3"/>
        <v/>
      </c>
      <c r="X34" s="43"/>
      <c r="Y34" s="50"/>
      <c r="AA34" s="142">
        <v>10</v>
      </c>
      <c r="AB34" s="145">
        <v>1019.7162000000001</v>
      </c>
      <c r="AC34" s="144">
        <v>426</v>
      </c>
      <c r="AD34" s="146">
        <f t="shared" ref="AD34:AD39" si="31">AB34/AC34</f>
        <v>2.3937000000000004</v>
      </c>
      <c r="AF34" s="37"/>
      <c r="AG34" s="147"/>
      <c r="AH34" s="3"/>
      <c r="AM34" s="377">
        <v>30</v>
      </c>
      <c r="AN34" s="381">
        <v>0.99564900000000001</v>
      </c>
      <c r="BT34" s="83">
        <v>27</v>
      </c>
      <c r="BU34" s="84" t="s">
        <v>39</v>
      </c>
      <c r="BV34" s="85">
        <v>27</v>
      </c>
      <c r="BW34" s="86" t="s">
        <v>40</v>
      </c>
      <c r="BX34" s="87"/>
      <c r="BY34" s="88"/>
      <c r="BZ34" s="88"/>
      <c r="CA34" s="88"/>
      <c r="CB34" s="88"/>
      <c r="CC34" s="88"/>
      <c r="CD34" s="88"/>
      <c r="CE34" s="88"/>
      <c r="CF34" s="88"/>
      <c r="CG34" s="88"/>
      <c r="CH34" s="88"/>
      <c r="CI34" s="88"/>
      <c r="CJ34" s="88"/>
      <c r="CK34" s="89"/>
      <c r="CM34" s="83">
        <v>27</v>
      </c>
      <c r="CN34" s="84" t="s">
        <v>39</v>
      </c>
      <c r="CO34" s="85">
        <v>27</v>
      </c>
      <c r="CP34" s="86" t="s">
        <v>40</v>
      </c>
      <c r="CQ34" s="88"/>
      <c r="CR34" s="88"/>
      <c r="CS34" s="88"/>
      <c r="CT34" s="88"/>
      <c r="CU34" s="88"/>
      <c r="CV34" s="88"/>
      <c r="CW34" s="88"/>
      <c r="CX34" s="88"/>
      <c r="CY34" s="88"/>
      <c r="CZ34" s="88"/>
      <c r="DA34" s="88"/>
      <c r="DB34" s="88"/>
      <c r="DC34" s="88"/>
      <c r="DD34" s="88"/>
      <c r="DE34" s="88"/>
      <c r="DF34" s="88"/>
      <c r="DG34" s="88"/>
      <c r="DH34" s="88"/>
      <c r="DI34" s="88"/>
      <c r="DJ34" s="88"/>
      <c r="DK34" s="88"/>
      <c r="DL34" s="88"/>
      <c r="DM34" s="88"/>
      <c r="DN34" s="88"/>
      <c r="DO34" s="88"/>
      <c r="DP34" s="88"/>
      <c r="DQ34" s="88"/>
      <c r="DR34" s="89"/>
      <c r="EH34" s="313">
        <v>31</v>
      </c>
      <c r="EI34" s="314"/>
      <c r="EJ34" s="247" t="str">
        <f t="shared" si="4"/>
        <v/>
      </c>
      <c r="EK34" t="str">
        <f t="shared" si="5"/>
        <v/>
      </c>
    </row>
    <row r="35" spans="1:141" ht="14.4" thickTop="1" thickBot="1" x14ac:dyDescent="0.3">
      <c r="A35" s="42"/>
      <c r="B35" s="266">
        <v>32</v>
      </c>
      <c r="C35" s="44"/>
      <c r="D35" s="45">
        <f t="shared" si="0"/>
        <v>0</v>
      </c>
      <c r="F35" s="46">
        <v>31</v>
      </c>
      <c r="G35" s="369">
        <v>0.99536919999999995</v>
      </c>
      <c r="H35" s="47">
        <v>0.99823229999999996</v>
      </c>
      <c r="I35" s="48">
        <f t="shared" si="1"/>
        <v>0.99713182993577743</v>
      </c>
      <c r="K35" s="44">
        <v>35.5</v>
      </c>
      <c r="L35" s="49">
        <v>0.97</v>
      </c>
      <c r="N35" s="397">
        <v>32</v>
      </c>
      <c r="O35" s="398"/>
      <c r="P35" s="398"/>
      <c r="Q35" s="398"/>
      <c r="R35" s="399"/>
      <c r="S35" s="399"/>
      <c r="T35" s="398"/>
      <c r="U35" s="401" t="str">
        <f t="shared" si="13"/>
        <v/>
      </c>
      <c r="V35" s="401" t="str">
        <f t="shared" si="3"/>
        <v/>
      </c>
      <c r="X35" s="67"/>
      <c r="Y35" s="68"/>
      <c r="AA35" s="142">
        <v>14</v>
      </c>
      <c r="AB35" s="145">
        <v>1427.60268</v>
      </c>
      <c r="AC35" s="144">
        <v>600</v>
      </c>
      <c r="AD35" s="146">
        <f t="shared" si="31"/>
        <v>2.3793378000000001</v>
      </c>
      <c r="AF35" s="37"/>
      <c r="AG35" s="147"/>
      <c r="AH35" s="3"/>
      <c r="AM35" s="376">
        <v>40</v>
      </c>
      <c r="AN35" s="380">
        <v>0.99221999999999999</v>
      </c>
      <c r="AU35" s="246" t="s">
        <v>362</v>
      </c>
      <c r="BJ35" t="s">
        <v>348</v>
      </c>
      <c r="BT35" s="83">
        <v>28</v>
      </c>
      <c r="BU35" s="93">
        <v>14</v>
      </c>
      <c r="BV35" s="94">
        <v>28</v>
      </c>
      <c r="BW35" s="95" t="s">
        <v>43</v>
      </c>
      <c r="BX35" s="96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8"/>
      <c r="CM35" s="83">
        <v>28</v>
      </c>
      <c r="CN35" s="93">
        <v>14</v>
      </c>
      <c r="CO35" s="94">
        <v>28</v>
      </c>
      <c r="CP35" s="95" t="s">
        <v>43</v>
      </c>
      <c r="CQ35" s="97"/>
      <c r="CR35" s="97"/>
      <c r="CS35" s="97"/>
      <c r="CT35" s="97"/>
      <c r="CU35" s="97"/>
      <c r="CV35" s="97"/>
      <c r="CW35" s="97"/>
      <c r="CX35" s="97"/>
      <c r="CY35" s="97"/>
      <c r="CZ35" s="97"/>
      <c r="DA35" s="97"/>
      <c r="DB35" s="97"/>
      <c r="DC35" s="97"/>
      <c r="DD35" s="97"/>
      <c r="DE35" s="97"/>
      <c r="DF35" s="97"/>
      <c r="DG35" s="97"/>
      <c r="DH35" s="97"/>
      <c r="DI35" s="97"/>
      <c r="DJ35" s="97"/>
      <c r="DK35" s="97"/>
      <c r="DL35" s="97"/>
      <c r="DM35" s="97"/>
      <c r="DN35" s="97"/>
      <c r="DO35" s="97"/>
      <c r="DP35" s="97"/>
      <c r="DQ35" s="97"/>
      <c r="DR35" s="98"/>
      <c r="EH35" s="313">
        <v>32</v>
      </c>
      <c r="EI35" s="314"/>
      <c r="EJ35" s="247" t="str">
        <f t="shared" si="4"/>
        <v/>
      </c>
      <c r="EK35" t="str">
        <f t="shared" si="5"/>
        <v/>
      </c>
    </row>
    <row r="36" spans="1:141" ht="14.4" thickTop="1" thickBot="1" x14ac:dyDescent="0.3">
      <c r="A36" s="62"/>
      <c r="B36" s="266">
        <v>33</v>
      </c>
      <c r="C36" s="44"/>
      <c r="D36" s="45">
        <f t="shared" si="0"/>
        <v>0</v>
      </c>
      <c r="F36" s="46">
        <v>32</v>
      </c>
      <c r="G36" s="369">
        <v>0.9950542</v>
      </c>
      <c r="H36" s="47">
        <v>0.99823229999999996</v>
      </c>
      <c r="I36" s="48">
        <f t="shared" si="1"/>
        <v>0.99681627212423407</v>
      </c>
      <c r="K36" s="44">
        <v>36</v>
      </c>
      <c r="L36" s="49">
        <v>0.96899999999999997</v>
      </c>
      <c r="N36" s="397">
        <v>33</v>
      </c>
      <c r="O36" s="398"/>
      <c r="P36" s="398"/>
      <c r="Q36" s="398"/>
      <c r="R36" s="399"/>
      <c r="S36" s="399"/>
      <c r="T36" s="398"/>
      <c r="U36" s="401" t="str">
        <f t="shared" si="13"/>
        <v/>
      </c>
      <c r="V36" s="401" t="str">
        <f t="shared" si="3"/>
        <v/>
      </c>
      <c r="X36" s="28"/>
      <c r="Y36" s="29"/>
      <c r="AA36" s="142">
        <v>17</v>
      </c>
      <c r="AB36" s="145">
        <v>1733.5175400000001</v>
      </c>
      <c r="AC36" s="144">
        <v>728</v>
      </c>
      <c r="AD36" s="146">
        <f t="shared" si="31"/>
        <v>2.3812054120879123</v>
      </c>
      <c r="AF36" s="37"/>
      <c r="AG36" s="147"/>
      <c r="AH36" s="3"/>
      <c r="AM36" s="377">
        <v>50</v>
      </c>
      <c r="AN36" s="381">
        <v>0.98802999999999996</v>
      </c>
      <c r="BT36" s="83">
        <v>29</v>
      </c>
      <c r="BU36" s="84" t="s">
        <v>39</v>
      </c>
      <c r="BV36" s="85">
        <v>29</v>
      </c>
      <c r="BW36" s="86" t="s">
        <v>40</v>
      </c>
      <c r="BX36" s="87"/>
      <c r="BY36" s="88"/>
      <c r="BZ36" s="88"/>
      <c r="CA36" s="88"/>
      <c r="CB36" s="88"/>
      <c r="CC36" s="88"/>
      <c r="CD36" s="88"/>
      <c r="CE36" s="88"/>
      <c r="CF36" s="88"/>
      <c r="CG36" s="88"/>
      <c r="CH36" s="88"/>
      <c r="CI36" s="88"/>
      <c r="CJ36" s="88"/>
      <c r="CK36" s="89"/>
      <c r="CM36" s="83">
        <v>29</v>
      </c>
      <c r="CN36" s="84" t="s">
        <v>39</v>
      </c>
      <c r="CO36" s="85">
        <v>29</v>
      </c>
      <c r="CP36" s="86" t="s">
        <v>40</v>
      </c>
      <c r="CQ36" s="88"/>
      <c r="CR36" s="88"/>
      <c r="CS36" s="88"/>
      <c r="CT36" s="88"/>
      <c r="CU36" s="88"/>
      <c r="CV36" s="88"/>
      <c r="CW36" s="88"/>
      <c r="CX36" s="88"/>
      <c r="CY36" s="88"/>
      <c r="CZ36" s="88"/>
      <c r="DA36" s="88"/>
      <c r="DB36" s="88"/>
      <c r="DC36" s="88"/>
      <c r="DD36" s="88"/>
      <c r="DE36" s="88"/>
      <c r="DF36" s="88"/>
      <c r="DG36" s="88"/>
      <c r="DH36" s="88"/>
      <c r="DI36" s="88"/>
      <c r="DJ36" s="88"/>
      <c r="DK36" s="88"/>
      <c r="DL36" s="88"/>
      <c r="DM36" s="88"/>
      <c r="DN36" s="88"/>
      <c r="DO36" s="88"/>
      <c r="DP36" s="88"/>
      <c r="DQ36" s="88"/>
      <c r="DR36" s="89"/>
      <c r="EH36" s="313">
        <v>33</v>
      </c>
      <c r="EI36" s="314"/>
      <c r="EJ36" s="247" t="str">
        <f t="shared" si="4"/>
        <v/>
      </c>
      <c r="EK36" t="str">
        <f t="shared" si="5"/>
        <v/>
      </c>
    </row>
    <row r="37" spans="1:141" ht="14.4" thickTop="1" thickBot="1" x14ac:dyDescent="0.3">
      <c r="A37" s="62"/>
      <c r="B37" s="266">
        <v>34</v>
      </c>
      <c r="C37" s="44"/>
      <c r="D37" s="45">
        <f t="shared" si="0"/>
        <v>0</v>
      </c>
      <c r="F37" s="46">
        <v>33</v>
      </c>
      <c r="G37" s="369">
        <v>0.99473080000000003</v>
      </c>
      <c r="H37" s="47">
        <v>0.99823229999999996</v>
      </c>
      <c r="I37" s="48">
        <f t="shared" si="1"/>
        <v>0.99649229943771611</v>
      </c>
      <c r="K37" s="44">
        <v>36.5</v>
      </c>
      <c r="L37" s="49">
        <v>0.96799999999999997</v>
      </c>
      <c r="N37" s="397">
        <v>34</v>
      </c>
      <c r="O37" s="398"/>
      <c r="P37" s="398"/>
      <c r="Q37" s="398"/>
      <c r="R37" s="399"/>
      <c r="S37" s="399"/>
      <c r="T37" s="398"/>
      <c r="U37" s="401" t="str">
        <f t="shared" si="13"/>
        <v/>
      </c>
      <c r="V37" s="401" t="str">
        <f t="shared" si="3"/>
        <v/>
      </c>
      <c r="X37" s="43"/>
      <c r="Y37" s="50"/>
      <c r="AA37" s="142">
        <v>20</v>
      </c>
      <c r="AB37" s="145">
        <v>2039.4324000000001</v>
      </c>
      <c r="AC37" s="144">
        <v>858</v>
      </c>
      <c r="AD37" s="146">
        <f t="shared" si="31"/>
        <v>2.3769608391608394</v>
      </c>
      <c r="AF37" s="37"/>
      <c r="AG37" s="147"/>
      <c r="AH37" s="3"/>
      <c r="AM37" s="376">
        <v>60</v>
      </c>
      <c r="AN37" s="380">
        <v>0.98319999999999996</v>
      </c>
      <c r="AU37" s="159" t="s">
        <v>42</v>
      </c>
      <c r="AV37" s="343" t="s">
        <v>341</v>
      </c>
      <c r="AW37" s="343" t="s">
        <v>288</v>
      </c>
      <c r="AX37" s="343" t="s">
        <v>289</v>
      </c>
      <c r="AY37" s="343" t="s">
        <v>290</v>
      </c>
      <c r="AZ37" s="343" t="s">
        <v>291</v>
      </c>
      <c r="BA37" s="343" t="s">
        <v>292</v>
      </c>
      <c r="BB37" s="343" t="s">
        <v>293</v>
      </c>
      <c r="BC37" s="344" t="s">
        <v>349</v>
      </c>
      <c r="BD37" s="343" t="s">
        <v>357</v>
      </c>
      <c r="BE37" s="343" t="s">
        <v>358</v>
      </c>
      <c r="BF37" s="343" t="s">
        <v>356</v>
      </c>
      <c r="BG37" s="343" t="s">
        <v>355</v>
      </c>
      <c r="BH37" s="246"/>
      <c r="BJ37" s="159" t="s">
        <v>42</v>
      </c>
      <c r="BK37" s="343" t="s">
        <v>350</v>
      </c>
      <c r="BL37" s="343" t="s">
        <v>351</v>
      </c>
      <c r="BM37" s="343" t="s">
        <v>352</v>
      </c>
      <c r="BN37" s="343"/>
      <c r="BO37" s="343" t="s">
        <v>353</v>
      </c>
      <c r="BP37" s="343" t="s">
        <v>354</v>
      </c>
      <c r="BQ37" s="343" t="s">
        <v>294</v>
      </c>
      <c r="BT37" s="83">
        <v>30</v>
      </c>
      <c r="BU37" s="93">
        <v>15</v>
      </c>
      <c r="BV37" s="94">
        <v>30</v>
      </c>
      <c r="BW37" s="95" t="s">
        <v>43</v>
      </c>
      <c r="BX37" s="96"/>
      <c r="BY37" s="97"/>
      <c r="BZ37" s="97"/>
      <c r="CA37" s="97"/>
      <c r="CB37" s="97"/>
      <c r="CC37" s="97"/>
      <c r="CD37" s="97"/>
      <c r="CE37" s="97"/>
      <c r="CF37" s="97"/>
      <c r="CG37" s="97"/>
      <c r="CH37" s="97"/>
      <c r="CI37" s="97"/>
      <c r="CJ37" s="97"/>
      <c r="CK37" s="98"/>
      <c r="CM37" s="83">
        <v>30</v>
      </c>
      <c r="CN37" s="93">
        <v>15</v>
      </c>
      <c r="CO37" s="94">
        <v>30</v>
      </c>
      <c r="CP37" s="95" t="s">
        <v>43</v>
      </c>
      <c r="CQ37" s="97"/>
      <c r="CR37" s="97"/>
      <c r="CS37" s="97"/>
      <c r="CT37" s="97"/>
      <c r="CU37" s="97"/>
      <c r="CV37" s="97"/>
      <c r="CW37" s="97"/>
      <c r="CX37" s="97"/>
      <c r="CY37" s="97"/>
      <c r="CZ37" s="97"/>
      <c r="DA37" s="97"/>
      <c r="DB37" s="97"/>
      <c r="DC37" s="97"/>
      <c r="DD37" s="97"/>
      <c r="DE37" s="97"/>
      <c r="DF37" s="97"/>
      <c r="DG37" s="97"/>
      <c r="DH37" s="97"/>
      <c r="DI37" s="97"/>
      <c r="DJ37" s="97"/>
      <c r="DK37" s="97"/>
      <c r="DL37" s="97"/>
      <c r="DM37" s="97"/>
      <c r="DN37" s="97"/>
      <c r="DO37" s="97"/>
      <c r="DP37" s="97"/>
      <c r="DQ37" s="97"/>
      <c r="DR37" s="98"/>
      <c r="EH37" s="313">
        <v>34</v>
      </c>
      <c r="EI37" s="314"/>
      <c r="EJ37" s="247" t="str">
        <f t="shared" si="4"/>
        <v/>
      </c>
      <c r="EK37" t="str">
        <f t="shared" si="5"/>
        <v/>
      </c>
    </row>
    <row r="38" spans="1:141" ht="14.4" thickTop="1" thickBot="1" x14ac:dyDescent="0.3">
      <c r="A38" s="62"/>
      <c r="B38" s="266">
        <v>35</v>
      </c>
      <c r="C38" s="44"/>
      <c r="D38" s="45">
        <f t="shared" si="0"/>
        <v>0</v>
      </c>
      <c r="F38" s="46">
        <v>34</v>
      </c>
      <c r="G38" s="369">
        <v>0.99439909999999998</v>
      </c>
      <c r="H38" s="47">
        <v>0.99823229999999996</v>
      </c>
      <c r="I38" s="48">
        <f t="shared" si="1"/>
        <v>0.99616001205330662</v>
      </c>
      <c r="K38" s="44">
        <v>37</v>
      </c>
      <c r="L38" s="49">
        <v>0.96709999999999996</v>
      </c>
      <c r="N38" s="397">
        <v>35</v>
      </c>
      <c r="O38" s="398"/>
      <c r="P38" s="398"/>
      <c r="Q38" s="398"/>
      <c r="R38" s="399"/>
      <c r="S38" s="399"/>
      <c r="T38" s="398"/>
      <c r="U38" s="401" t="str">
        <f t="shared" si="13"/>
        <v/>
      </c>
      <c r="V38" s="401" t="str">
        <f t="shared" si="3"/>
        <v/>
      </c>
      <c r="X38" s="43"/>
      <c r="Y38" s="50"/>
      <c r="AA38" s="142">
        <v>25</v>
      </c>
      <c r="AB38" s="145">
        <v>2549.2905000000001</v>
      </c>
      <c r="AC38" s="144">
        <v>1078</v>
      </c>
      <c r="AD38" s="146">
        <f t="shared" si="31"/>
        <v>2.364833487940631</v>
      </c>
      <c r="AF38" s="37"/>
      <c r="AG38" s="147"/>
      <c r="AH38" s="3"/>
      <c r="AM38" s="377">
        <v>70</v>
      </c>
      <c r="AN38" s="381">
        <v>0.97777999999999998</v>
      </c>
      <c r="AU38" s="349">
        <v>1</v>
      </c>
      <c r="AV38" s="350">
        <v>61.3</v>
      </c>
      <c r="AW38" s="350">
        <v>14.3</v>
      </c>
      <c r="AX38" s="350">
        <v>12.9</v>
      </c>
      <c r="AY38" s="351">
        <v>9.6</v>
      </c>
      <c r="AZ38" s="351">
        <v>3.6</v>
      </c>
      <c r="BA38" s="351">
        <v>27.6</v>
      </c>
      <c r="BB38" s="350">
        <v>61.075000000000003</v>
      </c>
      <c r="BC38" s="352">
        <f>0.5*(BB38/BQ38)</f>
        <v>0.51668112263687971</v>
      </c>
      <c r="BD38" s="353">
        <v>1.0008999999999999</v>
      </c>
      <c r="BE38" s="354">
        <v>1.0021</v>
      </c>
      <c r="BF38" s="352">
        <f>BD38-BE38</f>
        <v>-1.2000000000000899E-3</v>
      </c>
      <c r="BG38" s="355">
        <f>COUNT(AU47:AU53)^-1*(SUM(SUM(AV47:AV53)-SUM(AW47:AW53)))</f>
        <v>-8.285714285712738E-4</v>
      </c>
      <c r="BJ38" s="349">
        <v>1</v>
      </c>
      <c r="BK38" s="363">
        <v>926.1</v>
      </c>
      <c r="BL38" s="363">
        <v>2905.7</v>
      </c>
      <c r="BM38" s="363">
        <v>2900.7</v>
      </c>
      <c r="BN38" s="363">
        <v>2841.8</v>
      </c>
      <c r="BO38" s="363">
        <v>1979.6</v>
      </c>
      <c r="BP38" s="363">
        <v>6.0422960725075532</v>
      </c>
      <c r="BQ38" s="364">
        <v>59.103185044098403</v>
      </c>
      <c r="BT38" s="83">
        <v>31</v>
      </c>
      <c r="BU38" s="84" t="s">
        <v>39</v>
      </c>
      <c r="BV38" s="85">
        <v>31</v>
      </c>
      <c r="BW38" s="86" t="s">
        <v>40</v>
      </c>
      <c r="BX38" s="87"/>
      <c r="BY38" s="88"/>
      <c r="BZ38" s="88"/>
      <c r="CA38" s="88"/>
      <c r="CB38" s="88"/>
      <c r="CC38" s="88"/>
      <c r="CD38" s="88"/>
      <c r="CE38" s="88"/>
      <c r="CF38" s="88"/>
      <c r="CG38" s="88"/>
      <c r="CH38" s="88"/>
      <c r="CI38" s="88"/>
      <c r="CJ38" s="88"/>
      <c r="CK38" s="89"/>
      <c r="CM38" s="83">
        <v>31</v>
      </c>
      <c r="CN38" s="84" t="s">
        <v>39</v>
      </c>
      <c r="CO38" s="85">
        <v>31</v>
      </c>
      <c r="CP38" s="86" t="s">
        <v>40</v>
      </c>
      <c r="CQ38" s="88"/>
      <c r="CR38" s="88"/>
      <c r="CS38" s="88"/>
      <c r="CT38" s="88"/>
      <c r="CU38" s="88"/>
      <c r="CV38" s="88"/>
      <c r="CW38" s="88"/>
      <c r="CX38" s="88"/>
      <c r="CY38" s="88"/>
      <c r="CZ38" s="88"/>
      <c r="DA38" s="88"/>
      <c r="DB38" s="88"/>
      <c r="DC38" s="88"/>
      <c r="DD38" s="88"/>
      <c r="DE38" s="88"/>
      <c r="DF38" s="88"/>
      <c r="DG38" s="88"/>
      <c r="DH38" s="88"/>
      <c r="DI38" s="88"/>
      <c r="DJ38" s="88"/>
      <c r="DK38" s="88"/>
      <c r="DL38" s="88"/>
      <c r="DM38" s="88"/>
      <c r="DN38" s="88"/>
      <c r="DO38" s="88"/>
      <c r="DP38" s="88"/>
      <c r="DQ38" s="88"/>
      <c r="DR38" s="89"/>
      <c r="EH38" s="313">
        <v>35</v>
      </c>
      <c r="EI38" s="314"/>
      <c r="EJ38" s="247" t="str">
        <f t="shared" si="4"/>
        <v/>
      </c>
      <c r="EK38" t="str">
        <f t="shared" si="5"/>
        <v/>
      </c>
    </row>
    <row r="39" spans="1:141" ht="14.4" thickTop="1" thickBot="1" x14ac:dyDescent="0.3">
      <c r="A39" s="42"/>
      <c r="B39" s="266">
        <v>36</v>
      </c>
      <c r="C39" s="44"/>
      <c r="D39" s="45">
        <f t="shared" si="0"/>
        <v>0</v>
      </c>
      <c r="F39" s="46">
        <v>35</v>
      </c>
      <c r="G39" s="369">
        <v>0.99405940000000004</v>
      </c>
      <c r="H39" s="47">
        <v>0.99823229999999996</v>
      </c>
      <c r="I39" s="48">
        <f t="shared" si="1"/>
        <v>0.99581971050225493</v>
      </c>
      <c r="K39" s="44">
        <v>37.5</v>
      </c>
      <c r="L39" s="49">
        <v>0.96609999999999996</v>
      </c>
      <c r="N39" s="397">
        <v>36</v>
      </c>
      <c r="O39" s="398"/>
      <c r="P39" s="398"/>
      <c r="Q39" s="398"/>
      <c r="R39" s="399"/>
      <c r="S39" s="399"/>
      <c r="T39" s="398"/>
      <c r="U39" s="401" t="str">
        <f t="shared" si="13"/>
        <v/>
      </c>
      <c r="V39" s="401" t="str">
        <f t="shared" si="3"/>
        <v/>
      </c>
      <c r="X39" s="67"/>
      <c r="Y39" s="68"/>
      <c r="AA39" s="142">
        <v>30</v>
      </c>
      <c r="AB39" s="145">
        <v>3059.1486</v>
      </c>
      <c r="AC39" s="144">
        <v>1299</v>
      </c>
      <c r="AD39" s="146">
        <f t="shared" si="31"/>
        <v>2.3550027713625865</v>
      </c>
      <c r="AF39" s="37"/>
      <c r="AG39" s="147"/>
      <c r="AH39" s="3"/>
      <c r="AM39" s="376">
        <v>80</v>
      </c>
      <c r="AN39" s="380">
        <v>0.97182000000000002</v>
      </c>
      <c r="AU39" s="384" t="s">
        <v>369</v>
      </c>
      <c r="AV39" s="346"/>
      <c r="AW39" s="346">
        <v>14.64</v>
      </c>
      <c r="AX39" s="346">
        <v>12.96</v>
      </c>
      <c r="AY39" s="347">
        <v>9.6</v>
      </c>
      <c r="AZ39" s="346">
        <v>2.6</v>
      </c>
      <c r="BA39" s="346">
        <v>27.6</v>
      </c>
      <c r="BB39" s="346">
        <v>58.8</v>
      </c>
      <c r="BC39" s="348"/>
      <c r="BD39" s="348"/>
      <c r="BE39" s="348"/>
      <c r="BF39" s="348">
        <v>-2.0999999999999999E-3</v>
      </c>
      <c r="BG39" s="357">
        <v>5.9999999999999995E-4</v>
      </c>
      <c r="BJ39" s="356">
        <v>2</v>
      </c>
      <c r="BK39" s="345">
        <v>1011.9</v>
      </c>
      <c r="BL39" s="345">
        <v>3002.4</v>
      </c>
      <c r="BM39" s="345">
        <v>3004.7</v>
      </c>
      <c r="BN39" s="345">
        <v>2942.6</v>
      </c>
      <c r="BO39" s="345">
        <v>1990.5</v>
      </c>
      <c r="BP39" s="345">
        <v>6.0422960725075532</v>
      </c>
      <c r="BQ39" s="365">
        <v>59.103185044098367</v>
      </c>
      <c r="BT39" s="83">
        <v>32</v>
      </c>
      <c r="BU39" s="93">
        <v>16</v>
      </c>
      <c r="BV39" s="94">
        <v>32</v>
      </c>
      <c r="BW39" s="95" t="s">
        <v>43</v>
      </c>
      <c r="BX39" s="96"/>
      <c r="BY39" s="97"/>
      <c r="BZ39" s="97"/>
      <c r="CA39" s="97"/>
      <c r="CB39" s="97"/>
      <c r="CC39" s="97"/>
      <c r="CD39" s="97"/>
      <c r="CE39" s="97"/>
      <c r="CF39" s="97"/>
      <c r="CG39" s="97"/>
      <c r="CH39" s="97"/>
      <c r="CI39" s="97"/>
      <c r="CJ39" s="97"/>
      <c r="CK39" s="98"/>
      <c r="CM39" s="83">
        <v>32</v>
      </c>
      <c r="CN39" s="93">
        <v>16</v>
      </c>
      <c r="CO39" s="94">
        <v>32</v>
      </c>
      <c r="CP39" s="95" t="s">
        <v>43</v>
      </c>
      <c r="CQ39" s="97"/>
      <c r="CR39" s="97"/>
      <c r="CS39" s="97"/>
      <c r="CT39" s="97"/>
      <c r="CU39" s="97"/>
      <c r="CV39" s="97"/>
      <c r="CW39" s="97"/>
      <c r="CX39" s="97"/>
      <c r="CY39" s="97"/>
      <c r="CZ39" s="97"/>
      <c r="DA39" s="97"/>
      <c r="DB39" s="97"/>
      <c r="DC39" s="97"/>
      <c r="DD39" s="97"/>
      <c r="DE39" s="97"/>
      <c r="DF39" s="97"/>
      <c r="DG39" s="97"/>
      <c r="DH39" s="97"/>
      <c r="DI39" s="97"/>
      <c r="DJ39" s="97"/>
      <c r="DK39" s="97"/>
      <c r="DL39" s="97"/>
      <c r="DM39" s="97"/>
      <c r="DN39" s="97"/>
      <c r="DO39" s="97"/>
      <c r="DP39" s="97"/>
      <c r="DQ39" s="97"/>
      <c r="DR39" s="98"/>
      <c r="EH39" s="313">
        <v>36</v>
      </c>
      <c r="EI39" s="314"/>
      <c r="EJ39" s="247" t="str">
        <f t="shared" si="4"/>
        <v/>
      </c>
      <c r="EK39" t="str">
        <f t="shared" si="5"/>
        <v/>
      </c>
    </row>
    <row r="40" spans="1:141" ht="14.4" thickTop="1" thickBot="1" x14ac:dyDescent="0.3">
      <c r="A40" s="42"/>
      <c r="B40" s="266">
        <v>37</v>
      </c>
      <c r="C40" s="44"/>
      <c r="D40" s="45">
        <f t="shared" si="0"/>
        <v>0</v>
      </c>
      <c r="F40" s="46">
        <v>36</v>
      </c>
      <c r="G40" s="369">
        <v>0.99371189999999998</v>
      </c>
      <c r="H40" s="47">
        <v>0.99823229999999996</v>
      </c>
      <c r="I40" s="48">
        <f t="shared" si="1"/>
        <v>0.99547159513872674</v>
      </c>
      <c r="K40" s="44">
        <v>38</v>
      </c>
      <c r="L40" s="49">
        <v>0.96509999999999996</v>
      </c>
      <c r="N40" s="397">
        <v>37</v>
      </c>
      <c r="O40" s="398"/>
      <c r="P40" s="398"/>
      <c r="Q40" s="398"/>
      <c r="R40" s="399"/>
      <c r="S40" s="399"/>
      <c r="T40" s="398"/>
      <c r="U40" s="401" t="str">
        <f t="shared" si="13"/>
        <v/>
      </c>
      <c r="V40" s="401" t="str">
        <f t="shared" si="3"/>
        <v/>
      </c>
      <c r="AM40" s="377">
        <v>90</v>
      </c>
      <c r="AN40" s="381">
        <v>0.96535000000000004</v>
      </c>
      <c r="AU40" s="356">
        <v>3</v>
      </c>
      <c r="AV40" s="346"/>
      <c r="AW40" s="346"/>
      <c r="AX40" s="346"/>
      <c r="AY40" s="347"/>
      <c r="AZ40" s="346"/>
      <c r="BA40" s="346"/>
      <c r="BB40" s="346"/>
      <c r="BC40" s="348"/>
      <c r="BD40" s="348"/>
      <c r="BE40" s="348"/>
      <c r="BF40" s="348"/>
      <c r="BG40" s="357"/>
      <c r="BJ40" s="356">
        <v>3</v>
      </c>
      <c r="BK40" s="345">
        <v>1180.2</v>
      </c>
      <c r="BL40" s="345">
        <v>3164.9</v>
      </c>
      <c r="BM40" s="345">
        <v>3165.6</v>
      </c>
      <c r="BN40" s="345">
        <v>3104.1</v>
      </c>
      <c r="BO40" s="345">
        <v>1984.7</v>
      </c>
      <c r="BP40" s="345">
        <v>4.6403712296983759</v>
      </c>
      <c r="BQ40" s="365">
        <v>46.010337483655348</v>
      </c>
      <c r="BT40" s="83">
        <v>33</v>
      </c>
      <c r="BU40" s="84" t="s">
        <v>39</v>
      </c>
      <c r="BV40" s="85">
        <v>33</v>
      </c>
      <c r="BW40" s="86" t="s">
        <v>40</v>
      </c>
      <c r="BX40" s="87"/>
      <c r="BY40" s="88"/>
      <c r="BZ40" s="88"/>
      <c r="CA40" s="88"/>
      <c r="CB40" s="88"/>
      <c r="CC40" s="88"/>
      <c r="CD40" s="88"/>
      <c r="CE40" s="88"/>
      <c r="CF40" s="88"/>
      <c r="CG40" s="88"/>
      <c r="CH40" s="88"/>
      <c r="CI40" s="88"/>
      <c r="CJ40" s="88"/>
      <c r="CK40" s="89"/>
      <c r="CM40" s="83">
        <v>33</v>
      </c>
      <c r="CN40" s="84" t="s">
        <v>39</v>
      </c>
      <c r="CO40" s="85">
        <v>33</v>
      </c>
      <c r="CP40" s="86" t="s">
        <v>40</v>
      </c>
      <c r="CQ40" s="88"/>
      <c r="CR40" s="88"/>
      <c r="CS40" s="88"/>
      <c r="CT40" s="88"/>
      <c r="CU40" s="88"/>
      <c r="CV40" s="88"/>
      <c r="CW40" s="88"/>
      <c r="CX40" s="88"/>
      <c r="CY40" s="88"/>
      <c r="CZ40" s="88"/>
      <c r="DA40" s="88"/>
      <c r="DB40" s="88"/>
      <c r="DC40" s="88"/>
      <c r="DD40" s="88"/>
      <c r="DE40" s="88"/>
      <c r="DF40" s="88"/>
      <c r="DG40" s="88"/>
      <c r="DH40" s="88"/>
      <c r="DI40" s="88"/>
      <c r="DJ40" s="88"/>
      <c r="DK40" s="88"/>
      <c r="DL40" s="88"/>
      <c r="DM40" s="88"/>
      <c r="DN40" s="88"/>
      <c r="DO40" s="88"/>
      <c r="DP40" s="88"/>
      <c r="DQ40" s="88"/>
      <c r="DR40" s="89"/>
      <c r="EH40" s="313">
        <v>37</v>
      </c>
      <c r="EI40" s="314"/>
      <c r="EJ40" s="247" t="str">
        <f t="shared" si="4"/>
        <v/>
      </c>
      <c r="EK40" t="str">
        <f t="shared" si="5"/>
        <v/>
      </c>
    </row>
    <row r="41" spans="1:141" ht="14.4" thickTop="1" thickBot="1" x14ac:dyDescent="0.3">
      <c r="A41" s="42"/>
      <c r="B41" s="266">
        <v>38</v>
      </c>
      <c r="C41" s="44"/>
      <c r="D41" s="45">
        <f t="shared" si="0"/>
        <v>0</v>
      </c>
      <c r="F41" s="46">
        <v>37</v>
      </c>
      <c r="G41" s="369">
        <v>0.99335649999999998</v>
      </c>
      <c r="H41" s="47">
        <v>0.99823229999999996</v>
      </c>
      <c r="I41" s="48">
        <f t="shared" si="1"/>
        <v>0.99511556578563931</v>
      </c>
      <c r="K41" s="44">
        <v>38.5</v>
      </c>
      <c r="L41" s="49">
        <v>0.96419999999999995</v>
      </c>
      <c r="N41" s="397">
        <v>38</v>
      </c>
      <c r="O41" s="398"/>
      <c r="P41" s="398"/>
      <c r="Q41" s="398"/>
      <c r="R41" s="399"/>
      <c r="S41" s="399"/>
      <c r="T41" s="398"/>
      <c r="U41" s="401" t="str">
        <f t="shared" si="13"/>
        <v/>
      </c>
      <c r="V41" s="401" t="str">
        <f t="shared" si="3"/>
        <v/>
      </c>
      <c r="AD41" s="129">
        <f>SUM(AD31:AD40)/COUNTIF(AD31:AD39,"&gt;0")</f>
        <v>2.3840795031047106</v>
      </c>
      <c r="AM41" s="376">
        <v>100</v>
      </c>
      <c r="AN41" s="380">
        <v>0.95840000000000003</v>
      </c>
      <c r="AU41" s="356">
        <v>4</v>
      </c>
      <c r="AV41" s="346"/>
      <c r="AW41" s="346"/>
      <c r="AX41" s="346"/>
      <c r="AY41" s="347"/>
      <c r="AZ41" s="346"/>
      <c r="BA41" s="346"/>
      <c r="BB41" s="346"/>
      <c r="BC41" s="348"/>
      <c r="BD41" s="348"/>
      <c r="BE41" s="348"/>
      <c r="BF41" s="348"/>
      <c r="BG41" s="357"/>
      <c r="BJ41" s="356">
        <v>4</v>
      </c>
      <c r="BK41" s="345">
        <v>1173</v>
      </c>
      <c r="BL41" s="345">
        <v>3159.9</v>
      </c>
      <c r="BM41" s="345">
        <v>3161.5</v>
      </c>
      <c r="BN41" s="345">
        <v>3099.9</v>
      </c>
      <c r="BO41" s="345">
        <v>1986.9</v>
      </c>
      <c r="BP41" s="345">
        <v>4.6728971962616823</v>
      </c>
      <c r="BQ41" s="365">
        <v>46.712509918330099</v>
      </c>
      <c r="BT41" s="83">
        <v>34</v>
      </c>
      <c r="BU41" s="93">
        <v>17</v>
      </c>
      <c r="BV41" s="94">
        <v>34</v>
      </c>
      <c r="BW41" s="95" t="s">
        <v>43</v>
      </c>
      <c r="BX41" s="96"/>
      <c r="BY41" s="97"/>
      <c r="BZ41" s="97"/>
      <c r="CA41" s="97"/>
      <c r="CB41" s="97"/>
      <c r="CC41" s="97"/>
      <c r="CD41" s="97"/>
      <c r="CE41" s="97"/>
      <c r="CF41" s="97"/>
      <c r="CG41" s="97"/>
      <c r="CH41" s="97"/>
      <c r="CI41" s="97"/>
      <c r="CJ41" s="97"/>
      <c r="CK41" s="98"/>
      <c r="CM41" s="83">
        <v>34</v>
      </c>
      <c r="CN41" s="93">
        <v>17</v>
      </c>
      <c r="CO41" s="94">
        <v>34</v>
      </c>
      <c r="CP41" s="95" t="s">
        <v>43</v>
      </c>
      <c r="CQ41" s="97"/>
      <c r="CR41" s="97"/>
      <c r="CS41" s="97"/>
      <c r="CT41" s="97"/>
      <c r="CU41" s="97"/>
      <c r="CV41" s="97"/>
      <c r="CW41" s="97"/>
      <c r="CX41" s="97"/>
      <c r="CY41" s="97"/>
      <c r="CZ41" s="97"/>
      <c r="DA41" s="97"/>
      <c r="DB41" s="97"/>
      <c r="DC41" s="97"/>
      <c r="DD41" s="97"/>
      <c r="DE41" s="97"/>
      <c r="DF41" s="97"/>
      <c r="DG41" s="97"/>
      <c r="DH41" s="97"/>
      <c r="DI41" s="97"/>
      <c r="DJ41" s="97"/>
      <c r="DK41" s="97"/>
      <c r="DL41" s="97"/>
      <c r="DM41" s="97"/>
      <c r="DN41" s="97"/>
      <c r="DO41" s="97"/>
      <c r="DP41" s="97"/>
      <c r="DQ41" s="97"/>
      <c r="DR41" s="98"/>
      <c r="EH41" s="313">
        <v>38</v>
      </c>
      <c r="EI41" s="314"/>
      <c r="EJ41" s="247" t="str">
        <f t="shared" si="4"/>
        <v/>
      </c>
      <c r="EK41" t="str">
        <f t="shared" si="5"/>
        <v/>
      </c>
    </row>
    <row r="42" spans="1:141" ht="14.4" thickTop="1" thickBot="1" x14ac:dyDescent="0.3">
      <c r="A42" s="42"/>
      <c r="B42" s="266">
        <v>39</v>
      </c>
      <c r="C42" s="44"/>
      <c r="D42" s="45">
        <f t="shared" si="0"/>
        <v>0</v>
      </c>
      <c r="F42" s="46">
        <v>38</v>
      </c>
      <c r="G42" s="369">
        <v>0.99299360000000003</v>
      </c>
      <c r="H42" s="47">
        <v>0.99823229999999996</v>
      </c>
      <c r="I42" s="48">
        <f t="shared" si="1"/>
        <v>0.99475202315132472</v>
      </c>
      <c r="K42" s="44">
        <v>39</v>
      </c>
      <c r="L42" s="49">
        <v>0.96319999999999995</v>
      </c>
      <c r="N42" s="397">
        <v>39</v>
      </c>
      <c r="O42" s="398"/>
      <c r="P42" s="398"/>
      <c r="Q42" s="398"/>
      <c r="R42" s="399"/>
      <c r="S42" s="399"/>
      <c r="T42" s="398"/>
      <c r="U42" s="401" t="str">
        <f t="shared" si="13"/>
        <v/>
      </c>
      <c r="V42" s="401" t="str">
        <f t="shared" si="3"/>
        <v/>
      </c>
      <c r="AU42" s="358">
        <v>5</v>
      </c>
      <c r="AV42" s="359">
        <v>61.3</v>
      </c>
      <c r="AW42" s="359"/>
      <c r="AX42" s="359"/>
      <c r="AY42" s="360">
        <v>9.5</v>
      </c>
      <c r="AZ42" s="359">
        <v>2.6</v>
      </c>
      <c r="BA42" s="359">
        <v>16.850000000000001</v>
      </c>
      <c r="BB42" s="359"/>
      <c r="BC42" s="361">
        <v>0.64</v>
      </c>
      <c r="BD42" s="361"/>
      <c r="BE42" s="361"/>
      <c r="BF42" s="361">
        <v>-8.0000000000000004E-4</v>
      </c>
      <c r="BG42" s="362">
        <v>5.9999999999999995E-4</v>
      </c>
      <c r="BJ42" s="383" t="s">
        <v>369</v>
      </c>
      <c r="BK42" s="366"/>
      <c r="BL42" s="366"/>
      <c r="BM42" s="366"/>
      <c r="BN42" s="366"/>
      <c r="BO42" s="366">
        <v>2000</v>
      </c>
      <c r="BP42" s="366">
        <v>5.5549999999999997</v>
      </c>
      <c r="BQ42" s="367">
        <v>55.164000000000001</v>
      </c>
      <c r="BT42" s="83">
        <v>35</v>
      </c>
      <c r="BU42" s="84" t="s">
        <v>39</v>
      </c>
      <c r="BV42" s="85">
        <v>35</v>
      </c>
      <c r="BW42" s="86" t="s">
        <v>40</v>
      </c>
      <c r="BX42" s="87"/>
      <c r="BY42" s="88"/>
      <c r="BZ42" s="88"/>
      <c r="CA42" s="88"/>
      <c r="CB42" s="88"/>
      <c r="CC42" s="88"/>
      <c r="CD42" s="88"/>
      <c r="CE42" s="88"/>
      <c r="CF42" s="88"/>
      <c r="CG42" s="88"/>
      <c r="CH42" s="88"/>
      <c r="CI42" s="88"/>
      <c r="CJ42" s="88"/>
      <c r="CK42" s="89"/>
      <c r="CM42" s="83">
        <v>35</v>
      </c>
      <c r="CN42" s="84" t="s">
        <v>39</v>
      </c>
      <c r="CO42" s="85">
        <v>35</v>
      </c>
      <c r="CP42" s="86" t="s">
        <v>40</v>
      </c>
      <c r="CQ42" s="88"/>
      <c r="CR42" s="88"/>
      <c r="CS42" s="88"/>
      <c r="CT42" s="88"/>
      <c r="CU42" s="88"/>
      <c r="CV42" s="88"/>
      <c r="CW42" s="88"/>
      <c r="CX42" s="88"/>
      <c r="CY42" s="88"/>
      <c r="CZ42" s="88"/>
      <c r="DA42" s="88"/>
      <c r="DB42" s="88"/>
      <c r="DC42" s="88"/>
      <c r="DD42" s="88"/>
      <c r="DE42" s="88"/>
      <c r="DF42" s="88"/>
      <c r="DG42" s="88"/>
      <c r="DH42" s="88"/>
      <c r="DI42" s="88"/>
      <c r="DJ42" s="88"/>
      <c r="DK42" s="88"/>
      <c r="DL42" s="88"/>
      <c r="DM42" s="88"/>
      <c r="DN42" s="88"/>
      <c r="DO42" s="88"/>
      <c r="DP42" s="88"/>
      <c r="DQ42" s="88"/>
      <c r="DR42" s="89"/>
      <c r="EH42" s="313">
        <v>39</v>
      </c>
      <c r="EI42" s="314"/>
      <c r="EJ42" s="247" t="str">
        <f t="shared" si="4"/>
        <v/>
      </c>
      <c r="EK42" t="str">
        <f t="shared" si="5"/>
        <v/>
      </c>
    </row>
    <row r="43" spans="1:141" ht="14.4" thickTop="1" thickBot="1" x14ac:dyDescent="0.3">
      <c r="A43" s="42"/>
      <c r="B43" s="266">
        <v>40</v>
      </c>
      <c r="C43" s="44"/>
      <c r="D43" s="45">
        <f t="shared" si="0"/>
        <v>0</v>
      </c>
      <c r="F43" s="46">
        <v>39</v>
      </c>
      <c r="G43" s="369">
        <v>0.99262320000000004</v>
      </c>
      <c r="H43" s="47">
        <v>0.99823229999999996</v>
      </c>
      <c r="I43" s="48">
        <f t="shared" si="1"/>
        <v>0.99438096723578273</v>
      </c>
      <c r="K43" s="44">
        <v>39.5</v>
      </c>
      <c r="L43" s="49">
        <v>0.96220000000000006</v>
      </c>
      <c r="N43" s="397">
        <v>40</v>
      </c>
      <c r="O43" s="398"/>
      <c r="P43" s="398"/>
      <c r="Q43" s="398"/>
      <c r="R43" s="399"/>
      <c r="S43" s="399"/>
      <c r="T43" s="398"/>
      <c r="U43" s="401" t="str">
        <f t="shared" si="13"/>
        <v/>
      </c>
      <c r="V43" s="401" t="str">
        <f t="shared" si="3"/>
        <v/>
      </c>
      <c r="AA43" s="148"/>
      <c r="AB43" s="149"/>
      <c r="AC43" s="150"/>
      <c r="AD43" s="151" t="s">
        <v>53</v>
      </c>
      <c r="BJ43" s="383" t="s">
        <v>370</v>
      </c>
      <c r="BK43" s="366"/>
      <c r="BL43" s="366"/>
      <c r="BM43" s="366"/>
      <c r="BN43" s="366"/>
      <c r="BO43" s="366">
        <v>2000</v>
      </c>
      <c r="BP43" s="366">
        <v>5.5814000000000004</v>
      </c>
      <c r="BQ43" s="367">
        <v>55.305999999999997</v>
      </c>
      <c r="BT43" s="83">
        <v>36</v>
      </c>
      <c r="BU43" s="93">
        <v>18</v>
      </c>
      <c r="BV43" s="94">
        <v>36</v>
      </c>
      <c r="BW43" s="95" t="s">
        <v>43</v>
      </c>
      <c r="BX43" s="96"/>
      <c r="BY43" s="97"/>
      <c r="BZ43" s="97"/>
      <c r="CA43" s="97"/>
      <c r="CB43" s="97"/>
      <c r="CC43" s="97"/>
      <c r="CD43" s="97"/>
      <c r="CE43" s="97"/>
      <c r="CF43" s="97"/>
      <c r="CG43" s="97"/>
      <c r="CH43" s="97"/>
      <c r="CI43" s="97"/>
      <c r="CJ43" s="97"/>
      <c r="CK43" s="98"/>
      <c r="CM43" s="83">
        <v>36</v>
      </c>
      <c r="CN43" s="93">
        <v>18</v>
      </c>
      <c r="CO43" s="94">
        <v>36</v>
      </c>
      <c r="CP43" s="95" t="s">
        <v>43</v>
      </c>
      <c r="CQ43" s="97"/>
      <c r="CR43" s="97"/>
      <c r="CS43" s="97"/>
      <c r="CT43" s="97"/>
      <c r="CU43" s="97"/>
      <c r="CV43" s="97"/>
      <c r="CW43" s="97"/>
      <c r="CX43" s="97"/>
      <c r="CY43" s="97"/>
      <c r="CZ43" s="97"/>
      <c r="DA43" s="97"/>
      <c r="DB43" s="97"/>
      <c r="DC43" s="97"/>
      <c r="DD43" s="97"/>
      <c r="DE43" s="97"/>
      <c r="DF43" s="97"/>
      <c r="DG43" s="97"/>
      <c r="DH43" s="97"/>
      <c r="DI43" s="97"/>
      <c r="DJ43" s="97"/>
      <c r="DK43" s="97"/>
      <c r="DL43" s="97"/>
      <c r="DM43" s="97"/>
      <c r="DN43" s="97"/>
      <c r="DO43" s="97"/>
      <c r="DP43" s="97"/>
      <c r="DQ43" s="97"/>
      <c r="DR43" s="98"/>
      <c r="EH43" s="313">
        <v>40</v>
      </c>
      <c r="EI43" s="314">
        <v>0.47839999999999999</v>
      </c>
      <c r="EJ43" s="247">
        <f t="shared" si="4"/>
        <v>1</v>
      </c>
      <c r="EK43">
        <f t="shared" si="5"/>
        <v>4.8816326530612242E-2</v>
      </c>
    </row>
    <row r="44" spans="1:141" ht="14.4" thickTop="1" thickBot="1" x14ac:dyDescent="0.3">
      <c r="A44" s="42"/>
      <c r="B44" s="43">
        <v>41</v>
      </c>
      <c r="C44" s="44"/>
      <c r="D44" s="45">
        <f t="shared" si="0"/>
        <v>0</v>
      </c>
      <c r="F44" s="152">
        <v>40</v>
      </c>
      <c r="G44" s="371">
        <v>0.9922455</v>
      </c>
      <c r="H44" s="153">
        <v>0.99823229999999996</v>
      </c>
      <c r="I44" s="154">
        <f t="shared" si="1"/>
        <v>0.99400259839317961</v>
      </c>
      <c r="K44" s="44">
        <v>40</v>
      </c>
      <c r="L44" s="49">
        <v>0.96130000000000004</v>
      </c>
      <c r="N44" s="397">
        <v>41</v>
      </c>
      <c r="O44" s="398"/>
      <c r="P44" s="398"/>
      <c r="Q44" s="398"/>
      <c r="R44" s="399"/>
      <c r="S44" s="399"/>
      <c r="T44" s="398"/>
      <c r="U44" s="401" t="str">
        <f t="shared" si="13"/>
        <v/>
      </c>
      <c r="V44" s="401" t="str">
        <f t="shared" si="3"/>
        <v/>
      </c>
      <c r="BJ44" s="383" t="s">
        <v>371</v>
      </c>
      <c r="BK44" s="366"/>
      <c r="BL44" s="366"/>
      <c r="BM44" s="366"/>
      <c r="BN44" s="366"/>
      <c r="BO44" s="366">
        <v>2000</v>
      </c>
      <c r="BP44" s="366">
        <v>5.6078999999999999</v>
      </c>
      <c r="BQ44" s="367">
        <v>55.610999999999997</v>
      </c>
      <c r="BT44" s="83">
        <v>37</v>
      </c>
      <c r="BU44" s="84" t="s">
        <v>39</v>
      </c>
      <c r="BV44" s="85">
        <v>37</v>
      </c>
      <c r="BW44" s="86" t="s">
        <v>40</v>
      </c>
      <c r="BX44" s="87"/>
      <c r="BY44" s="88"/>
      <c r="BZ44" s="88"/>
      <c r="CA44" s="88"/>
      <c r="CB44" s="88"/>
      <c r="CC44" s="88"/>
      <c r="CD44" s="88"/>
      <c r="CE44" s="88"/>
      <c r="CF44" s="88"/>
      <c r="CG44" s="88"/>
      <c r="CH44" s="88"/>
      <c r="CI44" s="88"/>
      <c r="CJ44" s="88"/>
      <c r="CK44" s="89"/>
      <c r="CM44" s="83">
        <v>37</v>
      </c>
      <c r="CN44" s="84" t="s">
        <v>39</v>
      </c>
      <c r="CO44" s="85">
        <v>37</v>
      </c>
      <c r="CP44" s="86" t="s">
        <v>40</v>
      </c>
      <c r="CQ44" s="88"/>
      <c r="CR44" s="88"/>
      <c r="CS44" s="88"/>
      <c r="CT44" s="88"/>
      <c r="CU44" s="88"/>
      <c r="CV44" s="88"/>
      <c r="CW44" s="88"/>
      <c r="CX44" s="88"/>
      <c r="CY44" s="88"/>
      <c r="CZ44" s="88"/>
      <c r="DA44" s="88"/>
      <c r="DB44" s="88"/>
      <c r="DC44" s="88"/>
      <c r="DD44" s="88"/>
      <c r="DE44" s="88"/>
      <c r="DF44" s="88"/>
      <c r="DG44" s="88"/>
      <c r="DH44" s="88"/>
      <c r="DI44" s="88"/>
      <c r="DJ44" s="88"/>
      <c r="DK44" s="88"/>
      <c r="DL44" s="88"/>
      <c r="DM44" s="88"/>
      <c r="DN44" s="88"/>
      <c r="DO44" s="88"/>
      <c r="DP44" s="88"/>
      <c r="DQ44" s="88"/>
      <c r="DR44" s="89"/>
      <c r="DT44" s="155">
        <v>7.3999999999999996E-2</v>
      </c>
      <c r="DU44" s="155" t="s">
        <v>26</v>
      </c>
      <c r="DV44" s="155" t="s">
        <v>26</v>
      </c>
      <c r="EH44" s="313">
        <v>41</v>
      </c>
      <c r="EI44" s="314"/>
      <c r="EJ44" s="247" t="str">
        <f t="shared" si="4"/>
        <v/>
      </c>
      <c r="EK44" t="str">
        <f t="shared" si="5"/>
        <v/>
      </c>
    </row>
    <row r="45" spans="1:141" ht="14.4" thickTop="1" thickBot="1" x14ac:dyDescent="0.3">
      <c r="A45" s="42"/>
      <c r="B45" s="43">
        <v>42</v>
      </c>
      <c r="C45" s="44"/>
      <c r="D45" s="45">
        <f t="shared" si="0"/>
        <v>0</v>
      </c>
      <c r="K45" s="44">
        <v>40.5</v>
      </c>
      <c r="L45" s="49">
        <v>0.96030000000000004</v>
      </c>
      <c r="N45" s="397">
        <v>42</v>
      </c>
      <c r="O45" s="398"/>
      <c r="P45" s="398"/>
      <c r="Q45" s="398"/>
      <c r="R45" s="399"/>
      <c r="S45" s="399"/>
      <c r="T45" s="398"/>
      <c r="U45" s="401" t="str">
        <f t="shared" si="13"/>
        <v/>
      </c>
      <c r="V45" s="401" t="str">
        <f t="shared" si="3"/>
        <v/>
      </c>
      <c r="AM45" s="378"/>
      <c r="AN45" s="378"/>
      <c r="AU45" s="246" t="s">
        <v>359</v>
      </c>
      <c r="AY45" s="338"/>
      <c r="BA45" s="339"/>
      <c r="BB45" s="337"/>
      <c r="BC45" s="338"/>
      <c r="BJ45" s="383" t="s">
        <v>372</v>
      </c>
      <c r="BK45" s="366"/>
      <c r="BL45" s="366"/>
      <c r="BM45" s="366"/>
      <c r="BN45" s="366"/>
      <c r="BO45" s="366">
        <v>2000</v>
      </c>
      <c r="BP45" s="366">
        <v>5.5549999999999997</v>
      </c>
      <c r="BQ45" s="367">
        <v>55.072000000000003</v>
      </c>
      <c r="BT45" s="83">
        <v>38</v>
      </c>
      <c r="BU45" s="93">
        <v>19</v>
      </c>
      <c r="BV45" s="94">
        <v>38</v>
      </c>
      <c r="BW45" s="95" t="s">
        <v>43</v>
      </c>
      <c r="BX45" s="96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8"/>
      <c r="CM45" s="83">
        <v>38</v>
      </c>
      <c r="CN45" s="93">
        <v>19</v>
      </c>
      <c r="CO45" s="94">
        <v>38</v>
      </c>
      <c r="CP45" s="95" t="s">
        <v>43</v>
      </c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7"/>
      <c r="DB45" s="97"/>
      <c r="DC45" s="97"/>
      <c r="DD45" s="97"/>
      <c r="DE45" s="97"/>
      <c r="DF45" s="97"/>
      <c r="DG45" s="97"/>
      <c r="DH45" s="97"/>
      <c r="DI45" s="97"/>
      <c r="DJ45" s="97"/>
      <c r="DK45" s="97"/>
      <c r="DL45" s="97"/>
      <c r="DM45" s="97"/>
      <c r="DN45" s="97"/>
      <c r="DO45" s="97"/>
      <c r="DP45" s="97"/>
      <c r="DQ45" s="97"/>
      <c r="DR45" s="98"/>
      <c r="DT45" s="155">
        <v>0.106</v>
      </c>
      <c r="DU45" s="155" t="s">
        <v>26</v>
      </c>
      <c r="DV45" s="155" t="s">
        <v>26</v>
      </c>
      <c r="EH45" s="313">
        <v>42</v>
      </c>
      <c r="EI45" s="314"/>
      <c r="EJ45" s="247" t="str">
        <f t="shared" si="4"/>
        <v/>
      </c>
      <c r="EK45" t="str">
        <f t="shared" si="5"/>
        <v/>
      </c>
    </row>
    <row r="46" spans="1:141" ht="13.8" thickTop="1" x14ac:dyDescent="0.25">
      <c r="A46" s="42"/>
      <c r="B46" s="43">
        <v>43</v>
      </c>
      <c r="C46" s="44"/>
      <c r="D46" s="45">
        <f t="shared" si="0"/>
        <v>0</v>
      </c>
      <c r="K46" s="44">
        <v>41</v>
      </c>
      <c r="L46" s="49">
        <v>0.95909999999999995</v>
      </c>
      <c r="N46" s="397">
        <v>43</v>
      </c>
      <c r="O46" s="398"/>
      <c r="P46" s="398"/>
      <c r="Q46" s="398"/>
      <c r="R46" s="399"/>
      <c r="S46" s="399"/>
      <c r="T46" s="398"/>
      <c r="U46" s="401" t="str">
        <f t="shared" si="13"/>
        <v/>
      </c>
      <c r="V46" s="401" t="str">
        <f t="shared" si="3"/>
        <v/>
      </c>
      <c r="AM46" s="378"/>
      <c r="AN46" s="378"/>
      <c r="AV46" s="246" t="s">
        <v>360</v>
      </c>
      <c r="AW46" s="246" t="s">
        <v>361</v>
      </c>
      <c r="AX46" s="337"/>
      <c r="BT46" s="83">
        <v>39</v>
      </c>
      <c r="BU46" s="84" t="s">
        <v>39</v>
      </c>
      <c r="BV46" s="85">
        <v>39</v>
      </c>
      <c r="BW46" s="86" t="s">
        <v>40</v>
      </c>
      <c r="BX46" s="87"/>
      <c r="BY46" s="88"/>
      <c r="BZ46" s="88"/>
      <c r="CA46" s="88"/>
      <c r="CB46" s="88"/>
      <c r="CC46" s="88"/>
      <c r="CD46" s="88"/>
      <c r="CE46" s="88"/>
      <c r="CF46" s="88"/>
      <c r="CG46" s="88"/>
      <c r="CH46" s="88"/>
      <c r="CI46" s="88"/>
      <c r="CJ46" s="88"/>
      <c r="CK46" s="89"/>
      <c r="CM46" s="83">
        <v>39</v>
      </c>
      <c r="CN46" s="84" t="s">
        <v>39</v>
      </c>
      <c r="CO46" s="85">
        <v>39</v>
      </c>
      <c r="CP46" s="86" t="s">
        <v>40</v>
      </c>
      <c r="CQ46" s="88"/>
      <c r="CR46" s="88"/>
      <c r="CS46" s="88"/>
      <c r="CT46" s="88"/>
      <c r="CU46" s="88"/>
      <c r="CV46" s="88"/>
      <c r="CW46" s="88"/>
      <c r="CX46" s="88"/>
      <c r="CY46" s="88"/>
      <c r="CZ46" s="88"/>
      <c r="DA46" s="88"/>
      <c r="DB46" s="88"/>
      <c r="DC46" s="88"/>
      <c r="DD46" s="88"/>
      <c r="DE46" s="88"/>
      <c r="DF46" s="88"/>
      <c r="DG46" s="88"/>
      <c r="DH46" s="88"/>
      <c r="DI46" s="88"/>
      <c r="DJ46" s="88"/>
      <c r="DK46" s="88"/>
      <c r="DL46" s="88"/>
      <c r="DM46" s="88"/>
      <c r="DN46" s="88"/>
      <c r="DO46" s="88"/>
      <c r="DP46" s="88"/>
      <c r="DQ46" s="88"/>
      <c r="DR46" s="89"/>
      <c r="DT46" s="155">
        <v>0.25</v>
      </c>
      <c r="DU46" s="155" t="s">
        <v>26</v>
      </c>
      <c r="DV46" s="155" t="s">
        <v>26</v>
      </c>
      <c r="EH46" s="313">
        <v>43</v>
      </c>
      <c r="EI46" s="314"/>
      <c r="EJ46" s="247" t="str">
        <f t="shared" si="4"/>
        <v/>
      </c>
      <c r="EK46" t="str">
        <f t="shared" si="5"/>
        <v/>
      </c>
    </row>
    <row r="47" spans="1:141" ht="13.8" thickBot="1" x14ac:dyDescent="0.3">
      <c r="A47" s="42"/>
      <c r="B47" s="43">
        <v>44</v>
      </c>
      <c r="C47" s="44"/>
      <c r="D47" s="45">
        <f t="shared" si="0"/>
        <v>0</v>
      </c>
      <c r="K47" s="44">
        <v>41.5</v>
      </c>
      <c r="L47" s="49">
        <v>0.95840000000000003</v>
      </c>
      <c r="N47" s="397">
        <v>44</v>
      </c>
      <c r="O47" s="398"/>
      <c r="P47" s="398"/>
      <c r="Q47" s="398"/>
      <c r="R47" s="399"/>
      <c r="S47" s="399"/>
      <c r="T47" s="398"/>
      <c r="U47" s="401" t="str">
        <f t="shared" si="13"/>
        <v/>
      </c>
      <c r="V47" s="401" t="str">
        <f t="shared" si="3"/>
        <v/>
      </c>
      <c r="AM47" s="378"/>
      <c r="AN47" s="378"/>
      <c r="AU47">
        <v>8.4</v>
      </c>
      <c r="AV47">
        <v>1.0019</v>
      </c>
      <c r="AW47">
        <v>1.0026999999999999</v>
      </c>
      <c r="AX47">
        <f>1-AW47</f>
        <v>-2.6999999999999247E-3</v>
      </c>
      <c r="AY47" s="342">
        <f>AV47-AW47</f>
        <v>-7.9999999999991189E-4</v>
      </c>
      <c r="AZ47" s="341"/>
      <c r="BF47" s="246"/>
      <c r="BG47" s="246"/>
      <c r="BT47" s="83">
        <v>40</v>
      </c>
      <c r="BU47" s="93">
        <v>20</v>
      </c>
      <c r="BV47" s="94">
        <v>40</v>
      </c>
      <c r="BW47" s="95" t="s">
        <v>43</v>
      </c>
      <c r="BX47" s="96"/>
      <c r="BY47" s="97"/>
      <c r="BZ47" s="97"/>
      <c r="CA47" s="97"/>
      <c r="CB47" s="97"/>
      <c r="CC47" s="97"/>
      <c r="CD47" s="97"/>
      <c r="CE47" s="97"/>
      <c r="CF47" s="97"/>
      <c r="CG47" s="97"/>
      <c r="CH47" s="97"/>
      <c r="CI47" s="97"/>
      <c r="CJ47" s="97"/>
      <c r="CK47" s="98"/>
      <c r="CM47" s="83">
        <v>40</v>
      </c>
      <c r="CN47" s="93">
        <v>20</v>
      </c>
      <c r="CO47" s="94">
        <v>40</v>
      </c>
      <c r="CP47" s="95" t="s">
        <v>43</v>
      </c>
      <c r="CQ47" s="97"/>
      <c r="CR47" s="97"/>
      <c r="CS47" s="97"/>
      <c r="CT47" s="97"/>
      <c r="CU47" s="97"/>
      <c r="CV47" s="97"/>
      <c r="CW47" s="97"/>
      <c r="CX47" s="97"/>
      <c r="CY47" s="97"/>
      <c r="CZ47" s="97"/>
      <c r="DA47" s="97"/>
      <c r="DB47" s="97"/>
      <c r="DC47" s="97"/>
      <c r="DD47" s="97"/>
      <c r="DE47" s="97"/>
      <c r="DF47" s="97"/>
      <c r="DG47" s="97"/>
      <c r="DH47" s="97"/>
      <c r="DI47" s="97"/>
      <c r="DJ47" s="97"/>
      <c r="DK47" s="97"/>
      <c r="DL47" s="97"/>
      <c r="DM47" s="97"/>
      <c r="DN47" s="97"/>
      <c r="DO47" s="97"/>
      <c r="DP47" s="97"/>
      <c r="DQ47" s="97"/>
      <c r="DR47" s="98"/>
      <c r="DT47" s="155">
        <v>0.42499999999999999</v>
      </c>
      <c r="DU47" s="155" t="s">
        <v>26</v>
      </c>
      <c r="DV47" s="155" t="s">
        <v>26</v>
      </c>
      <c r="EH47" s="313">
        <v>44</v>
      </c>
      <c r="EI47" s="314"/>
      <c r="EJ47" s="247" t="str">
        <f t="shared" si="4"/>
        <v/>
      </c>
      <c r="EK47" t="str">
        <f t="shared" si="5"/>
        <v/>
      </c>
    </row>
    <row r="48" spans="1:141" x14ac:dyDescent="0.25">
      <c r="A48" s="42"/>
      <c r="B48" s="43">
        <v>45</v>
      </c>
      <c r="C48" s="44"/>
      <c r="D48" s="45">
        <f t="shared" si="0"/>
        <v>0</v>
      </c>
      <c r="E48" s="318"/>
      <c r="K48" s="44">
        <v>42</v>
      </c>
      <c r="L48" s="49">
        <v>0.95740000000000003</v>
      </c>
      <c r="N48" s="397">
        <v>45</v>
      </c>
      <c r="O48" s="398"/>
      <c r="P48" s="398"/>
      <c r="Q48" s="398"/>
      <c r="R48" s="399"/>
      <c r="S48" s="399"/>
      <c r="T48" s="398"/>
      <c r="U48" s="401" t="str">
        <f t="shared" si="13"/>
        <v/>
      </c>
      <c r="V48" s="401" t="str">
        <f t="shared" si="3"/>
        <v/>
      </c>
      <c r="AM48" s="378"/>
      <c r="AN48" s="378"/>
      <c r="AU48">
        <v>9.6</v>
      </c>
      <c r="AV48">
        <v>1.0017</v>
      </c>
      <c r="AW48">
        <v>1.0024999999999999</v>
      </c>
      <c r="AX48">
        <f t="shared" ref="AX48:AX53" si="32">1-AW48</f>
        <v>-2.4999999999999467E-3</v>
      </c>
      <c r="AY48" s="342">
        <f t="shared" ref="AY48:AY53" si="33">AV48-AW48</f>
        <v>-7.9999999999991189E-4</v>
      </c>
      <c r="BT48" s="83">
        <v>41</v>
      </c>
      <c r="BU48" s="84" t="s">
        <v>39</v>
      </c>
      <c r="BV48" s="85">
        <v>41</v>
      </c>
      <c r="BW48" s="86" t="s">
        <v>40</v>
      </c>
      <c r="BX48" s="87"/>
      <c r="BY48" s="88"/>
      <c r="BZ48" s="88"/>
      <c r="CA48" s="88"/>
      <c r="CB48" s="88"/>
      <c r="CC48" s="88"/>
      <c r="CD48" s="88"/>
      <c r="CE48" s="88"/>
      <c r="CF48" s="88"/>
      <c r="CG48" s="88"/>
      <c r="CH48" s="88"/>
      <c r="CI48" s="88"/>
      <c r="CJ48" s="88"/>
      <c r="CK48" s="89"/>
      <c r="CM48" s="83">
        <v>41</v>
      </c>
      <c r="CN48" s="84" t="s">
        <v>39</v>
      </c>
      <c r="CO48" s="85">
        <v>41</v>
      </c>
      <c r="CP48" s="86" t="s">
        <v>40</v>
      </c>
      <c r="CQ48" s="88"/>
      <c r="CR48" s="88"/>
      <c r="CS48" s="88"/>
      <c r="CT48" s="88"/>
      <c r="CU48" s="88"/>
      <c r="CV48" s="88"/>
      <c r="CW48" s="88"/>
      <c r="CX48" s="88"/>
      <c r="CY48" s="88"/>
      <c r="CZ48" s="88"/>
      <c r="DA48" s="88"/>
      <c r="DB48" s="88"/>
      <c r="DC48" s="88"/>
      <c r="DD48" s="88"/>
      <c r="DE48" s="88"/>
      <c r="DF48" s="88"/>
      <c r="DG48" s="88"/>
      <c r="DH48" s="88"/>
      <c r="DI48" s="88"/>
      <c r="DJ48" s="88"/>
      <c r="DK48" s="88"/>
      <c r="DL48" s="88"/>
      <c r="DM48" s="88"/>
      <c r="DN48" s="88"/>
      <c r="DO48" s="88"/>
      <c r="DP48" s="88"/>
      <c r="DQ48" s="88"/>
      <c r="DR48" s="89"/>
      <c r="DT48" s="155">
        <v>0.84099999999999997</v>
      </c>
      <c r="DU48" s="155" t="s">
        <v>26</v>
      </c>
      <c r="DV48" s="155" t="s">
        <v>26</v>
      </c>
      <c r="EH48" s="313">
        <v>45</v>
      </c>
      <c r="EI48" s="314"/>
      <c r="EJ48" s="247" t="str">
        <f t="shared" si="4"/>
        <v/>
      </c>
      <c r="EK48" t="str">
        <f t="shared" si="5"/>
        <v/>
      </c>
    </row>
    <row r="49" spans="1:141" ht="13.8" thickBot="1" x14ac:dyDescent="0.3">
      <c r="A49" s="42"/>
      <c r="B49" s="43">
        <v>46</v>
      </c>
      <c r="C49" s="44"/>
      <c r="D49" s="45">
        <f t="shared" si="0"/>
        <v>0</v>
      </c>
      <c r="E49" s="251"/>
      <c r="K49" s="44">
        <v>42.5</v>
      </c>
      <c r="L49" s="49">
        <v>0.95640000000000003</v>
      </c>
      <c r="N49" s="397">
        <v>46</v>
      </c>
      <c r="O49" s="398"/>
      <c r="P49" s="398"/>
      <c r="Q49" s="398"/>
      <c r="R49" s="399"/>
      <c r="S49" s="399"/>
      <c r="T49" s="398"/>
      <c r="U49" s="401" t="str">
        <f t="shared" si="13"/>
        <v/>
      </c>
      <c r="V49" s="401" t="str">
        <f t="shared" si="3"/>
        <v/>
      </c>
      <c r="AM49" s="378"/>
      <c r="AN49" s="378"/>
      <c r="AU49">
        <v>12.8</v>
      </c>
      <c r="AV49">
        <v>1.0014000000000001</v>
      </c>
      <c r="AW49">
        <v>1.0022</v>
      </c>
      <c r="AX49">
        <f t="shared" si="32"/>
        <v>-2.1999999999999797E-3</v>
      </c>
      <c r="AY49" s="342">
        <f t="shared" si="33"/>
        <v>-7.9999999999991189E-4</v>
      </c>
      <c r="AZ49" s="340"/>
      <c r="BT49" s="83">
        <v>42</v>
      </c>
      <c r="BU49" s="93">
        <v>21</v>
      </c>
      <c r="BV49" s="94">
        <v>42</v>
      </c>
      <c r="BW49" s="95" t="s">
        <v>43</v>
      </c>
      <c r="BX49" s="96"/>
      <c r="BY49" s="97"/>
      <c r="BZ49" s="97"/>
      <c r="CA49" s="97"/>
      <c r="CB49" s="97"/>
      <c r="CC49" s="97"/>
      <c r="CD49" s="97"/>
      <c r="CE49" s="97"/>
      <c r="CF49" s="97"/>
      <c r="CG49" s="97"/>
      <c r="CH49" s="97"/>
      <c r="CI49" s="97"/>
      <c r="CJ49" s="97"/>
      <c r="CK49" s="98"/>
      <c r="CM49" s="83">
        <v>42</v>
      </c>
      <c r="CN49" s="93">
        <v>21</v>
      </c>
      <c r="CO49" s="94">
        <v>42</v>
      </c>
      <c r="CP49" s="95" t="s">
        <v>43</v>
      </c>
      <c r="CQ49" s="97"/>
      <c r="CR49" s="97"/>
      <c r="CS49" s="97"/>
      <c r="CT49" s="97"/>
      <c r="CU49" s="97"/>
      <c r="CV49" s="97"/>
      <c r="CW49" s="97"/>
      <c r="CX49" s="97"/>
      <c r="CY49" s="97"/>
      <c r="CZ49" s="97"/>
      <c r="DA49" s="97"/>
      <c r="DB49" s="97"/>
      <c r="DC49" s="97"/>
      <c r="DD49" s="97"/>
      <c r="DE49" s="97"/>
      <c r="DF49" s="97"/>
      <c r="DG49" s="97"/>
      <c r="DH49" s="97"/>
      <c r="DI49" s="97"/>
      <c r="DJ49" s="97"/>
      <c r="DK49" s="97"/>
      <c r="DL49" s="97"/>
      <c r="DM49" s="97"/>
      <c r="DN49" s="97"/>
      <c r="DO49" s="97"/>
      <c r="DP49" s="97"/>
      <c r="DQ49" s="97"/>
      <c r="DR49" s="98"/>
      <c r="DT49" s="155">
        <v>1.19</v>
      </c>
      <c r="DU49" s="155" t="s">
        <v>26</v>
      </c>
      <c r="DV49" s="155" t="s">
        <v>26</v>
      </c>
      <c r="EH49" s="313">
        <v>46</v>
      </c>
      <c r="EI49" s="314"/>
      <c r="EJ49" s="247" t="str">
        <f t="shared" si="4"/>
        <v/>
      </c>
      <c r="EK49" t="str">
        <f t="shared" si="5"/>
        <v/>
      </c>
    </row>
    <row r="50" spans="1:141" x14ac:dyDescent="0.25">
      <c r="A50" s="42"/>
      <c r="B50" s="43">
        <v>47</v>
      </c>
      <c r="C50" s="44"/>
      <c r="D50" s="45">
        <f t="shared" si="0"/>
        <v>0</v>
      </c>
      <c r="E50" s="262"/>
      <c r="K50" s="44">
        <v>43</v>
      </c>
      <c r="L50" s="49">
        <v>0.95550000000000002</v>
      </c>
      <c r="N50" s="397">
        <v>47</v>
      </c>
      <c r="O50" s="398"/>
      <c r="P50" s="398"/>
      <c r="Q50" s="398"/>
      <c r="R50" s="399"/>
      <c r="S50" s="399"/>
      <c r="T50" s="398"/>
      <c r="U50" s="401" t="str">
        <f t="shared" si="13"/>
        <v/>
      </c>
      <c r="V50" s="401" t="str">
        <f t="shared" si="3"/>
        <v/>
      </c>
      <c r="AM50" s="378"/>
      <c r="AN50" s="378"/>
      <c r="AU50">
        <v>14.9</v>
      </c>
      <c r="AV50">
        <v>1.0012000000000001</v>
      </c>
      <c r="AW50">
        <v>1.002</v>
      </c>
      <c r="AX50">
        <f t="shared" si="32"/>
        <v>-2.0000000000000018E-3</v>
      </c>
      <c r="AY50" s="342">
        <f t="shared" si="33"/>
        <v>-7.9999999999991189E-4</v>
      </c>
      <c r="DT50" s="155">
        <v>2</v>
      </c>
      <c r="DU50" s="155" t="s">
        <v>26</v>
      </c>
      <c r="DV50" s="155" t="s">
        <v>26</v>
      </c>
      <c r="EH50" s="313">
        <v>47</v>
      </c>
      <c r="EI50" s="314"/>
      <c r="EJ50" s="247" t="str">
        <f t="shared" si="4"/>
        <v/>
      </c>
      <c r="EK50" t="str">
        <f t="shared" si="5"/>
        <v/>
      </c>
    </row>
    <row r="51" spans="1:141" x14ac:dyDescent="0.25">
      <c r="A51" s="42"/>
      <c r="B51" s="43">
        <v>48</v>
      </c>
      <c r="C51" s="44"/>
      <c r="D51" s="45">
        <f t="shared" si="0"/>
        <v>0</v>
      </c>
      <c r="E51" s="265"/>
      <c r="K51" s="44">
        <v>43.5</v>
      </c>
      <c r="L51" s="49">
        <v>0.95450000000000002</v>
      </c>
      <c r="N51" s="397">
        <v>48</v>
      </c>
      <c r="O51" s="398"/>
      <c r="P51" s="398"/>
      <c r="Q51" s="398"/>
      <c r="R51" s="399"/>
      <c r="S51" s="399"/>
      <c r="T51" s="398"/>
      <c r="U51" s="401" t="str">
        <f t="shared" si="13"/>
        <v/>
      </c>
      <c r="V51" s="401" t="str">
        <f t="shared" si="3"/>
        <v/>
      </c>
      <c r="AM51" s="378"/>
      <c r="AN51" s="378"/>
      <c r="AU51">
        <v>24.1</v>
      </c>
      <c r="AV51">
        <v>1.0001</v>
      </c>
      <c r="AW51">
        <v>1.0008999999999999</v>
      </c>
      <c r="AX51">
        <f t="shared" si="32"/>
        <v>-8.9999999999990088E-4</v>
      </c>
      <c r="AY51" s="342">
        <f t="shared" si="33"/>
        <v>-7.9999999999991189E-4</v>
      </c>
      <c r="DT51" s="155">
        <v>2.38</v>
      </c>
      <c r="DU51" s="155" t="s">
        <v>26</v>
      </c>
      <c r="DV51" s="155" t="s">
        <v>26</v>
      </c>
      <c r="EH51" s="313">
        <v>48</v>
      </c>
      <c r="EI51" s="314"/>
      <c r="EJ51" s="247" t="str">
        <f t="shared" si="4"/>
        <v/>
      </c>
      <c r="EK51" t="str">
        <f t="shared" si="5"/>
        <v/>
      </c>
    </row>
    <row r="52" spans="1:141" x14ac:dyDescent="0.25">
      <c r="A52" s="42"/>
      <c r="B52" s="43">
        <v>49</v>
      </c>
      <c r="C52" s="44"/>
      <c r="D52" s="45">
        <f t="shared" si="0"/>
        <v>0</v>
      </c>
      <c r="E52" s="269"/>
      <c r="K52" s="44">
        <v>44</v>
      </c>
      <c r="L52" s="49">
        <v>0.95350000000000001</v>
      </c>
      <c r="N52" s="397">
        <v>49</v>
      </c>
      <c r="O52" s="397"/>
      <c r="P52" s="398"/>
      <c r="Q52" s="398"/>
      <c r="R52" s="399"/>
      <c r="S52" s="399"/>
      <c r="T52" s="398"/>
      <c r="U52" s="401" t="str">
        <f t="shared" si="13"/>
        <v/>
      </c>
      <c r="V52" s="401" t="str">
        <f t="shared" si="3"/>
        <v/>
      </c>
      <c r="AM52" s="378"/>
      <c r="AN52" s="378"/>
      <c r="AU52">
        <v>26.8</v>
      </c>
      <c r="AV52">
        <v>0.99909999999999999</v>
      </c>
      <c r="AW52">
        <v>1</v>
      </c>
      <c r="AX52">
        <f t="shared" si="32"/>
        <v>0</v>
      </c>
      <c r="AY52" s="342">
        <f t="shared" si="33"/>
        <v>-9.000000000000119E-4</v>
      </c>
      <c r="BU52" s="156">
        <v>15</v>
      </c>
      <c r="BX52" s="65" t="s">
        <v>28</v>
      </c>
      <c r="BY52" s="65" t="s">
        <v>29</v>
      </c>
      <c r="BZ52" s="66" t="s">
        <v>30</v>
      </c>
      <c r="CA52" s="66" t="s">
        <v>31</v>
      </c>
      <c r="CB52" s="66" t="s">
        <v>32</v>
      </c>
      <c r="CC52" s="66" t="s">
        <v>33</v>
      </c>
      <c r="CD52" s="66" t="s">
        <v>34</v>
      </c>
      <c r="CE52" s="66" t="s">
        <v>35</v>
      </c>
      <c r="CF52" s="66" t="s">
        <v>36</v>
      </c>
      <c r="CG52" s="65">
        <v>4</v>
      </c>
      <c r="CH52" s="65">
        <v>10</v>
      </c>
      <c r="CI52" s="65">
        <v>40</v>
      </c>
      <c r="CJ52" s="65">
        <v>80</v>
      </c>
      <c r="CK52" s="65">
        <v>200</v>
      </c>
      <c r="CN52" s="156">
        <v>0</v>
      </c>
      <c r="CQ52" s="65">
        <v>800</v>
      </c>
      <c r="CR52" s="65">
        <v>750</v>
      </c>
      <c r="CS52" s="65">
        <v>700</v>
      </c>
      <c r="CT52" s="65">
        <v>650</v>
      </c>
      <c r="CU52" s="65">
        <v>600</v>
      </c>
      <c r="CV52" s="65">
        <v>550</v>
      </c>
      <c r="CW52" s="65">
        <v>500</v>
      </c>
      <c r="CX52" s="65">
        <v>400</v>
      </c>
      <c r="CY52" s="65">
        <v>350</v>
      </c>
      <c r="CZ52" s="65">
        <v>300</v>
      </c>
      <c r="DA52" s="65">
        <v>250</v>
      </c>
      <c r="DB52" s="65">
        <v>200</v>
      </c>
      <c r="DC52" s="65">
        <v>150</v>
      </c>
      <c r="DD52" s="65">
        <v>4</v>
      </c>
      <c r="DE52" s="65">
        <v>3</v>
      </c>
      <c r="DF52" s="65">
        <v>2</v>
      </c>
      <c r="DG52" s="65">
        <v>1</v>
      </c>
      <c r="DH52" s="65" t="s">
        <v>34</v>
      </c>
      <c r="DI52" s="65" t="s">
        <v>36</v>
      </c>
      <c r="DJ52" s="65">
        <v>4</v>
      </c>
      <c r="DK52" s="65">
        <v>8</v>
      </c>
      <c r="DL52" s="65">
        <v>10</v>
      </c>
      <c r="DM52" s="65">
        <v>16</v>
      </c>
      <c r="DN52" s="65">
        <v>20</v>
      </c>
      <c r="DO52" s="65">
        <v>40</v>
      </c>
      <c r="DP52" s="65">
        <v>60</v>
      </c>
      <c r="DQ52" s="65">
        <v>140</v>
      </c>
      <c r="DR52" s="65">
        <v>200</v>
      </c>
      <c r="DT52" s="157">
        <v>4.76</v>
      </c>
      <c r="DU52" s="157" t="s">
        <v>26</v>
      </c>
      <c r="DV52" s="157" t="s">
        <v>26</v>
      </c>
      <c r="EH52" s="313">
        <v>49</v>
      </c>
      <c r="EI52" s="314"/>
      <c r="EJ52" s="247" t="str">
        <f t="shared" si="4"/>
        <v/>
      </c>
      <c r="EK52" t="str">
        <f t="shared" si="5"/>
        <v/>
      </c>
    </row>
    <row r="53" spans="1:141" ht="13.8" thickBot="1" x14ac:dyDescent="0.3">
      <c r="A53" s="158"/>
      <c r="B53" s="43">
        <v>50</v>
      </c>
      <c r="C53" s="44"/>
      <c r="D53" s="45">
        <f t="shared" si="0"/>
        <v>0</v>
      </c>
      <c r="K53" s="44">
        <v>44.5</v>
      </c>
      <c r="L53" s="49">
        <v>0.95250000000000001</v>
      </c>
      <c r="N53" s="397">
        <v>50</v>
      </c>
      <c r="O53" s="397" t="s">
        <v>381</v>
      </c>
      <c r="P53" s="402">
        <v>2830.5</v>
      </c>
      <c r="Q53" s="402">
        <v>11.6</v>
      </c>
      <c r="R53" s="402">
        <v>15.3</v>
      </c>
      <c r="S53" s="402">
        <v>2132.7047304086209</v>
      </c>
      <c r="T53" s="402"/>
      <c r="U53" s="401">
        <f t="shared" ref="U53" si="34">IF(SUM(P53:T53)=0,"",IF(S53="",PI()*(R53*R53/4),PI()*(R53*R53/4)))</f>
        <v>183.85385606970868</v>
      </c>
      <c r="V53" s="401">
        <f t="shared" ref="V53" si="35">IF(SUM(P53:T53)=0,"",IF(S53="",PI()*(R53*R53/4)*T53,PI()*(R53*R53/4)*S53))</f>
        <v>392105.98854373343</v>
      </c>
      <c r="AM53" s="378"/>
      <c r="AN53" s="378"/>
      <c r="AU53">
        <v>29.2</v>
      </c>
      <c r="AV53">
        <v>0.998</v>
      </c>
      <c r="AW53">
        <v>0.99890000000000001</v>
      </c>
      <c r="AX53">
        <f t="shared" si="32"/>
        <v>1.0999999999999899E-3</v>
      </c>
      <c r="AY53" s="342">
        <f t="shared" si="33"/>
        <v>-9.000000000000119E-4</v>
      </c>
      <c r="BX53" s="77">
        <v>101.6</v>
      </c>
      <c r="BY53" s="77">
        <v>76.2</v>
      </c>
      <c r="BZ53" s="77">
        <v>63.6</v>
      </c>
      <c r="CA53" s="77">
        <v>50.8</v>
      </c>
      <c r="CB53" s="77">
        <v>38.1</v>
      </c>
      <c r="CC53" s="77">
        <v>25.4</v>
      </c>
      <c r="CD53" s="77">
        <v>19.100000000000001</v>
      </c>
      <c r="CE53" s="77">
        <v>12.7</v>
      </c>
      <c r="CF53" s="78">
        <v>9.51</v>
      </c>
      <c r="CG53" s="78">
        <v>4.76</v>
      </c>
      <c r="CH53" s="78">
        <v>2</v>
      </c>
      <c r="CI53" s="78">
        <v>0.42499999999999999</v>
      </c>
      <c r="CJ53" s="78">
        <v>0.17699999999999999</v>
      </c>
      <c r="CK53" s="78">
        <v>7.4999999999999997E-2</v>
      </c>
      <c r="CQ53" s="65">
        <v>800</v>
      </c>
      <c r="CR53" s="65">
        <v>750</v>
      </c>
      <c r="CS53" s="65">
        <v>700</v>
      </c>
      <c r="CT53" s="65">
        <v>650</v>
      </c>
      <c r="CU53" s="65">
        <v>600</v>
      </c>
      <c r="CV53" s="65">
        <v>550</v>
      </c>
      <c r="CW53" s="77">
        <v>500</v>
      </c>
      <c r="CX53" s="77">
        <v>400</v>
      </c>
      <c r="CY53" s="77">
        <v>350</v>
      </c>
      <c r="CZ53" s="77">
        <v>300</v>
      </c>
      <c r="DA53" s="77">
        <v>250</v>
      </c>
      <c r="DB53" s="77">
        <v>200</v>
      </c>
      <c r="DC53" s="77">
        <v>150</v>
      </c>
      <c r="DD53" s="77">
        <v>101.6</v>
      </c>
      <c r="DE53" s="77">
        <v>76.2</v>
      </c>
      <c r="DF53" s="77">
        <v>50.8</v>
      </c>
      <c r="DG53" s="77">
        <v>25.4</v>
      </c>
      <c r="DH53" s="77">
        <v>19.100000000000001</v>
      </c>
      <c r="DI53" s="77">
        <v>9.52</v>
      </c>
      <c r="DJ53" s="77">
        <v>4.76</v>
      </c>
      <c r="DK53" s="78">
        <v>2.38</v>
      </c>
      <c r="DL53" s="78">
        <v>2</v>
      </c>
      <c r="DM53" s="78">
        <v>1.19</v>
      </c>
      <c r="DN53" s="78">
        <v>0.84099999999999997</v>
      </c>
      <c r="DO53" s="78">
        <v>0.42499999999999999</v>
      </c>
      <c r="DP53" s="78">
        <v>0.25</v>
      </c>
      <c r="DQ53" s="78">
        <v>0.106</v>
      </c>
      <c r="DR53" s="78">
        <v>7.3999999999999996E-2</v>
      </c>
      <c r="DT53" s="157">
        <v>9.52</v>
      </c>
      <c r="DU53" s="157" t="s">
        <v>26</v>
      </c>
      <c r="DV53" s="157" t="s">
        <v>26</v>
      </c>
      <c r="EH53" s="313">
        <v>50</v>
      </c>
      <c r="EI53" s="314">
        <v>0.59799999999999998</v>
      </c>
      <c r="EJ53" s="247">
        <f t="shared" si="4"/>
        <v>1</v>
      </c>
      <c r="EK53">
        <f t="shared" si="5"/>
        <v>6.1020408163265302E-2</v>
      </c>
    </row>
    <row r="54" spans="1:141" ht="13.8" thickTop="1" x14ac:dyDescent="0.25">
      <c r="A54" s="159"/>
      <c r="B54" s="43">
        <v>51</v>
      </c>
      <c r="C54" s="44"/>
      <c r="D54" s="45">
        <f t="shared" si="0"/>
        <v>0</v>
      </c>
      <c r="K54" s="44">
        <v>45</v>
      </c>
      <c r="L54" s="49">
        <v>0.9516</v>
      </c>
      <c r="N54" s="397">
        <v>51</v>
      </c>
      <c r="O54" s="398"/>
      <c r="P54" s="398"/>
      <c r="Q54" s="398"/>
      <c r="R54" s="399"/>
      <c r="S54" s="399"/>
      <c r="T54" s="398"/>
      <c r="U54" s="401" t="str">
        <f t="shared" si="13"/>
        <v/>
      </c>
      <c r="V54" s="401" t="str">
        <f t="shared" si="3"/>
        <v/>
      </c>
      <c r="AM54" s="378"/>
      <c r="AN54" s="378"/>
      <c r="BU54" s="160" t="s">
        <v>26</v>
      </c>
      <c r="BX54" s="140" t="s">
        <v>26</v>
      </c>
      <c r="BY54" s="140" t="s">
        <v>26</v>
      </c>
      <c r="BZ54" s="140" t="s">
        <v>26</v>
      </c>
      <c r="CA54" s="140" t="s">
        <v>26</v>
      </c>
      <c r="CB54" s="140" t="s">
        <v>26</v>
      </c>
      <c r="CC54" s="140" t="s">
        <v>26</v>
      </c>
      <c r="CD54" s="140" t="s">
        <v>26</v>
      </c>
      <c r="CE54" s="140" t="s">
        <v>26</v>
      </c>
      <c r="CF54" s="140" t="s">
        <v>26</v>
      </c>
      <c r="CG54" s="140" t="s">
        <v>26</v>
      </c>
      <c r="CH54" s="140" t="s">
        <v>26</v>
      </c>
      <c r="CI54" s="140" t="s">
        <v>26</v>
      </c>
      <c r="CJ54" s="140" t="s">
        <v>26</v>
      </c>
      <c r="CK54" s="140" t="s">
        <v>26</v>
      </c>
      <c r="CN54" s="160" t="s">
        <v>26</v>
      </c>
      <c r="CQ54" s="140" t="s">
        <v>26</v>
      </c>
      <c r="CR54" s="140" t="s">
        <v>26</v>
      </c>
      <c r="CS54" s="140" t="s">
        <v>26</v>
      </c>
      <c r="CT54" s="140" t="s">
        <v>26</v>
      </c>
      <c r="CU54" s="140" t="s">
        <v>26</v>
      </c>
      <c r="CV54" s="140" t="s">
        <v>26</v>
      </c>
      <c r="CW54" s="140" t="s">
        <v>26</v>
      </c>
      <c r="CX54" s="140" t="s">
        <v>26</v>
      </c>
      <c r="CY54" s="140" t="s">
        <v>26</v>
      </c>
      <c r="CZ54" s="140" t="s">
        <v>26</v>
      </c>
      <c r="DA54" s="140" t="s">
        <v>26</v>
      </c>
      <c r="DB54" s="140" t="s">
        <v>26</v>
      </c>
      <c r="DC54" s="140" t="s">
        <v>26</v>
      </c>
      <c r="DD54" s="140" t="s">
        <v>26</v>
      </c>
      <c r="DE54" s="140" t="s">
        <v>26</v>
      </c>
      <c r="DF54" s="140" t="s">
        <v>26</v>
      </c>
      <c r="DG54" s="140" t="s">
        <v>26</v>
      </c>
      <c r="DH54" s="140" t="s">
        <v>26</v>
      </c>
      <c r="DI54" s="140" t="s">
        <v>26</v>
      </c>
      <c r="DJ54" s="140" t="s">
        <v>26</v>
      </c>
      <c r="DK54" s="140" t="s">
        <v>26</v>
      </c>
      <c r="DL54" s="140" t="s">
        <v>26</v>
      </c>
      <c r="DM54" s="140" t="s">
        <v>26</v>
      </c>
      <c r="DN54" s="140" t="s">
        <v>26</v>
      </c>
      <c r="DO54" s="140" t="s">
        <v>26</v>
      </c>
      <c r="DP54" s="140" t="s">
        <v>26</v>
      </c>
      <c r="DQ54" s="140" t="s">
        <v>26</v>
      </c>
      <c r="DR54" s="140" t="s">
        <v>26</v>
      </c>
      <c r="DT54" s="157">
        <v>19.100000000000001</v>
      </c>
      <c r="DU54" s="157" t="s">
        <v>26</v>
      </c>
      <c r="DV54" s="157" t="s">
        <v>26</v>
      </c>
      <c r="EH54" s="313">
        <v>51</v>
      </c>
      <c r="EI54" s="314"/>
      <c r="EJ54" s="247" t="str">
        <f t="shared" si="4"/>
        <v/>
      </c>
      <c r="EK54" t="str">
        <f t="shared" si="5"/>
        <v/>
      </c>
    </row>
    <row r="55" spans="1:141" x14ac:dyDescent="0.25">
      <c r="A55" s="62"/>
      <c r="B55" s="43">
        <v>52</v>
      </c>
      <c r="C55" s="44"/>
      <c r="D55" s="45">
        <f t="shared" si="0"/>
        <v>0</v>
      </c>
      <c r="K55" s="44">
        <v>45.5</v>
      </c>
      <c r="L55" s="49">
        <v>0.9506</v>
      </c>
      <c r="N55" s="397">
        <v>52</v>
      </c>
      <c r="O55" s="398"/>
      <c r="P55" s="398"/>
      <c r="Q55" s="398"/>
      <c r="R55" s="399"/>
      <c r="S55" s="399"/>
      <c r="T55" s="398"/>
      <c r="U55" s="401" t="str">
        <f t="shared" si="13"/>
        <v/>
      </c>
      <c r="V55" s="401" t="str">
        <f t="shared" si="3"/>
        <v/>
      </c>
      <c r="AM55" s="378"/>
      <c r="AN55" s="378"/>
      <c r="BX55" s="140" t="s">
        <v>26</v>
      </c>
      <c r="BY55" s="140" t="s">
        <v>26</v>
      </c>
      <c r="BZ55" s="140" t="s">
        <v>26</v>
      </c>
      <c r="CA55" s="140" t="s">
        <v>26</v>
      </c>
      <c r="CB55" s="140" t="s">
        <v>26</v>
      </c>
      <c r="CC55" s="140" t="s">
        <v>26</v>
      </c>
      <c r="CD55" s="140" t="s">
        <v>26</v>
      </c>
      <c r="CE55" s="140" t="s">
        <v>26</v>
      </c>
      <c r="CF55" s="140" t="s">
        <v>26</v>
      </c>
      <c r="CG55" s="140" t="s">
        <v>26</v>
      </c>
      <c r="CH55" s="140" t="s">
        <v>26</v>
      </c>
      <c r="CI55" s="140" t="s">
        <v>26</v>
      </c>
      <c r="CJ55" s="140" t="s">
        <v>26</v>
      </c>
      <c r="CK55" s="140" t="s">
        <v>26</v>
      </c>
      <c r="CQ55" s="140" t="s">
        <v>26</v>
      </c>
      <c r="CR55" s="140" t="s">
        <v>26</v>
      </c>
      <c r="CS55" s="140" t="s">
        <v>26</v>
      </c>
      <c r="CT55" s="140" t="s">
        <v>26</v>
      </c>
      <c r="CU55" s="140" t="s">
        <v>26</v>
      </c>
      <c r="CV55" s="140" t="s">
        <v>26</v>
      </c>
      <c r="CW55" s="140" t="s">
        <v>26</v>
      </c>
      <c r="CX55" s="140" t="s">
        <v>26</v>
      </c>
      <c r="CY55" s="140" t="s">
        <v>26</v>
      </c>
      <c r="CZ55" s="140" t="s">
        <v>26</v>
      </c>
      <c r="DA55" s="140" t="s">
        <v>26</v>
      </c>
      <c r="DB55" s="140" t="s">
        <v>26</v>
      </c>
      <c r="DC55" s="140" t="s">
        <v>26</v>
      </c>
      <c r="DD55" s="140" t="s">
        <v>26</v>
      </c>
      <c r="DE55" s="140" t="s">
        <v>26</v>
      </c>
      <c r="DF55" s="140" t="s">
        <v>26</v>
      </c>
      <c r="DG55" s="140" t="s">
        <v>26</v>
      </c>
      <c r="DH55" s="140" t="s">
        <v>26</v>
      </c>
      <c r="DI55" s="140" t="s">
        <v>26</v>
      </c>
      <c r="DJ55" s="140" t="s">
        <v>26</v>
      </c>
      <c r="DK55" s="140" t="s">
        <v>26</v>
      </c>
      <c r="DL55" s="140" t="s">
        <v>26</v>
      </c>
      <c r="DM55" s="140" t="s">
        <v>26</v>
      </c>
      <c r="DN55" s="140" t="s">
        <v>26</v>
      </c>
      <c r="DO55" s="140" t="s">
        <v>26</v>
      </c>
      <c r="DP55" s="140" t="s">
        <v>26</v>
      </c>
      <c r="DQ55" s="140" t="s">
        <v>26</v>
      </c>
      <c r="DR55" s="140" t="s">
        <v>26</v>
      </c>
      <c r="DT55" s="157">
        <v>25.4</v>
      </c>
      <c r="DU55" s="157" t="s">
        <v>26</v>
      </c>
      <c r="DV55" s="157" t="s">
        <v>26</v>
      </c>
      <c r="EH55" s="313">
        <v>52</v>
      </c>
      <c r="EI55" s="314"/>
      <c r="EJ55" s="247" t="str">
        <f t="shared" si="4"/>
        <v/>
      </c>
      <c r="EK55" t="str">
        <f t="shared" si="5"/>
        <v/>
      </c>
    </row>
    <row r="56" spans="1:141" x14ac:dyDescent="0.25">
      <c r="A56" s="62"/>
      <c r="B56" s="43">
        <v>53</v>
      </c>
      <c r="C56" s="44"/>
      <c r="D56" s="45">
        <f t="shared" si="0"/>
        <v>0</v>
      </c>
      <c r="K56" s="44">
        <v>46</v>
      </c>
      <c r="L56" s="49">
        <v>0.9496</v>
      </c>
      <c r="N56" s="397">
        <v>53</v>
      </c>
      <c r="O56" s="398"/>
      <c r="P56" s="398"/>
      <c r="Q56" s="398"/>
      <c r="R56" s="399"/>
      <c r="S56" s="399"/>
      <c r="T56" s="398"/>
      <c r="U56" s="401" t="str">
        <f t="shared" si="13"/>
        <v/>
      </c>
      <c r="V56" s="401" t="str">
        <f t="shared" si="3"/>
        <v/>
      </c>
      <c r="AM56" s="378"/>
      <c r="AN56" s="378"/>
      <c r="BU56" s="160" t="s">
        <v>26</v>
      </c>
      <c r="CN56" s="160" t="s">
        <v>26</v>
      </c>
      <c r="DT56" s="157">
        <v>50.8</v>
      </c>
      <c r="DU56" s="157" t="s">
        <v>26</v>
      </c>
      <c r="DV56" s="157" t="s">
        <v>26</v>
      </c>
      <c r="EH56" s="313">
        <v>53</v>
      </c>
      <c r="EI56" s="314"/>
      <c r="EJ56" s="247" t="str">
        <f t="shared" si="4"/>
        <v/>
      </c>
      <c r="EK56" t="str">
        <f t="shared" si="5"/>
        <v/>
      </c>
    </row>
    <row r="57" spans="1:141" x14ac:dyDescent="0.25">
      <c r="A57" s="62"/>
      <c r="B57" s="317">
        <v>54</v>
      </c>
      <c r="C57" s="44"/>
      <c r="D57" s="45">
        <f t="shared" si="0"/>
        <v>0</v>
      </c>
      <c r="K57" s="44">
        <v>46.5</v>
      </c>
      <c r="L57" s="49">
        <v>0.94869999999999999</v>
      </c>
      <c r="N57" s="397">
        <v>54</v>
      </c>
      <c r="O57" s="398"/>
      <c r="P57" s="398"/>
      <c r="Q57" s="398"/>
      <c r="R57" s="399"/>
      <c r="S57" s="399"/>
      <c r="T57" s="398"/>
      <c r="U57" s="401" t="str">
        <f t="shared" si="13"/>
        <v/>
      </c>
      <c r="V57" s="401" t="str">
        <f t="shared" si="3"/>
        <v/>
      </c>
      <c r="AM57" s="378"/>
      <c r="AN57" s="378"/>
      <c r="DT57" s="157">
        <v>76.2</v>
      </c>
      <c r="DU57" s="157" t="s">
        <v>26</v>
      </c>
      <c r="DV57" s="157" t="s">
        <v>26</v>
      </c>
      <c r="EH57" s="313">
        <v>54</v>
      </c>
      <c r="EI57" s="314"/>
      <c r="EJ57" s="247" t="str">
        <f t="shared" si="4"/>
        <v/>
      </c>
      <c r="EK57" t="str">
        <f t="shared" si="5"/>
        <v/>
      </c>
    </row>
    <row r="58" spans="1:141" x14ac:dyDescent="0.25">
      <c r="A58" s="62"/>
      <c r="B58" s="250">
        <v>55</v>
      </c>
      <c r="C58" s="44"/>
      <c r="D58" s="45">
        <f t="shared" si="0"/>
        <v>0</v>
      </c>
      <c r="K58" s="44">
        <v>47</v>
      </c>
      <c r="L58" s="49">
        <v>0.94769999999999999</v>
      </c>
      <c r="N58" s="397">
        <v>55</v>
      </c>
      <c r="O58" s="398"/>
      <c r="P58" s="398"/>
      <c r="Q58" s="398"/>
      <c r="R58" s="399"/>
      <c r="S58" s="399"/>
      <c r="T58" s="398"/>
      <c r="U58" s="401" t="str">
        <f t="shared" si="13"/>
        <v/>
      </c>
      <c r="V58" s="401" t="str">
        <f t="shared" si="3"/>
        <v/>
      </c>
      <c r="AM58" s="378"/>
      <c r="AN58" s="378"/>
      <c r="BV58" s="140">
        <v>1</v>
      </c>
      <c r="BW58" s="140">
        <v>2</v>
      </c>
      <c r="BX58" s="140">
        <v>1</v>
      </c>
      <c r="BY58" s="161" t="s">
        <v>54</v>
      </c>
      <c r="BZ58" s="162"/>
      <c r="CA58" s="163"/>
      <c r="CB58" s="163"/>
      <c r="CC58" s="163"/>
      <c r="CD58" s="163"/>
      <c r="CE58" s="163"/>
      <c r="CF58" s="163"/>
      <c r="CG58" s="163"/>
      <c r="CH58" s="163"/>
      <c r="CI58" s="164"/>
      <c r="CJ58" s="76"/>
      <c r="CO58" s="140">
        <v>1</v>
      </c>
      <c r="CP58" s="140">
        <v>2</v>
      </c>
      <c r="DD58" s="140" t="s">
        <v>39</v>
      </c>
      <c r="DE58" s="140">
        <v>1</v>
      </c>
      <c r="DF58" s="161" t="s">
        <v>55</v>
      </c>
      <c r="DG58" s="162"/>
      <c r="DH58" s="163"/>
      <c r="DI58" s="163"/>
      <c r="DJ58" s="163"/>
      <c r="DK58" s="163"/>
      <c r="DL58" s="163"/>
      <c r="DM58" s="163"/>
      <c r="DN58" s="163"/>
      <c r="DO58" s="163"/>
      <c r="DP58" s="164"/>
      <c r="DQ58" s="76"/>
      <c r="DT58" s="157">
        <v>101.6</v>
      </c>
      <c r="DU58" s="157" t="s">
        <v>26</v>
      </c>
      <c r="DV58" s="157" t="s">
        <v>26</v>
      </c>
      <c r="EH58" s="313">
        <v>55</v>
      </c>
      <c r="EI58" s="314"/>
      <c r="EJ58" s="247" t="str">
        <f t="shared" si="4"/>
        <v/>
      </c>
      <c r="EK58" t="str">
        <f t="shared" si="5"/>
        <v/>
      </c>
    </row>
    <row r="59" spans="1:141" x14ac:dyDescent="0.25">
      <c r="A59" s="62"/>
      <c r="B59" s="250">
        <v>56</v>
      </c>
      <c r="C59" s="44"/>
      <c r="D59" s="45">
        <f t="shared" si="0"/>
        <v>0</v>
      </c>
      <c r="K59" s="44">
        <v>47.5</v>
      </c>
      <c r="L59" s="49">
        <v>0.94669999999999999</v>
      </c>
      <c r="N59" s="397">
        <v>56</v>
      </c>
      <c r="O59" s="398"/>
      <c r="P59" s="398"/>
      <c r="Q59" s="398"/>
      <c r="R59" s="399"/>
      <c r="S59" s="399"/>
      <c r="T59" s="398"/>
      <c r="U59" s="401" t="str">
        <f t="shared" si="13"/>
        <v/>
      </c>
      <c r="V59" s="401" t="str">
        <f t="shared" si="3"/>
        <v/>
      </c>
      <c r="AM59" s="378"/>
      <c r="AN59" s="378"/>
      <c r="BV59" s="140">
        <v>3</v>
      </c>
      <c r="BW59" s="140">
        <v>4</v>
      </c>
      <c r="BX59" s="140">
        <v>2</v>
      </c>
      <c r="BY59" s="161" t="s">
        <v>56</v>
      </c>
      <c r="BZ59" s="162"/>
      <c r="CA59" s="163"/>
      <c r="CB59" s="163"/>
      <c r="CC59" s="163"/>
      <c r="CD59" s="163"/>
      <c r="CE59" s="163"/>
      <c r="CF59" s="163"/>
      <c r="CG59" s="163"/>
      <c r="CH59" s="163"/>
      <c r="CI59" s="164"/>
      <c r="CJ59" s="76"/>
      <c r="CO59" s="140">
        <v>3</v>
      </c>
      <c r="CP59" s="140">
        <v>4</v>
      </c>
      <c r="DD59" s="140" t="s">
        <v>39</v>
      </c>
      <c r="DE59" s="140">
        <v>2</v>
      </c>
      <c r="DF59" s="161" t="s">
        <v>57</v>
      </c>
      <c r="DG59" s="162"/>
      <c r="DH59" s="163"/>
      <c r="DI59" s="163"/>
      <c r="DJ59" s="163"/>
      <c r="DK59" s="163"/>
      <c r="DL59" s="163"/>
      <c r="DM59" s="163"/>
      <c r="DN59" s="163"/>
      <c r="DO59" s="163"/>
      <c r="DP59" s="164"/>
      <c r="DQ59" s="76"/>
      <c r="DT59" s="157">
        <v>150</v>
      </c>
      <c r="DU59" s="157" t="s">
        <v>26</v>
      </c>
      <c r="DV59" s="157" t="s">
        <v>26</v>
      </c>
      <c r="EH59" s="313">
        <v>56</v>
      </c>
      <c r="EI59" s="314"/>
      <c r="EJ59" s="247" t="str">
        <f t="shared" si="4"/>
        <v/>
      </c>
      <c r="EK59" t="str">
        <f t="shared" si="5"/>
        <v/>
      </c>
    </row>
    <row r="60" spans="1:141" x14ac:dyDescent="0.25">
      <c r="A60" s="42"/>
      <c r="B60" s="250">
        <v>57</v>
      </c>
      <c r="C60" s="44"/>
      <c r="D60" s="45">
        <f t="shared" si="0"/>
        <v>0</v>
      </c>
      <c r="K60" s="44">
        <v>48</v>
      </c>
      <c r="L60" s="49">
        <v>0.9456</v>
      </c>
      <c r="N60" s="397">
        <v>57</v>
      </c>
      <c r="O60" s="398"/>
      <c r="P60" s="398"/>
      <c r="Q60" s="398"/>
      <c r="R60" s="399"/>
      <c r="S60" s="399"/>
      <c r="T60" s="398"/>
      <c r="U60" s="401" t="str">
        <f t="shared" si="13"/>
        <v/>
      </c>
      <c r="V60" s="401" t="str">
        <f t="shared" si="3"/>
        <v/>
      </c>
      <c r="AM60" s="378"/>
      <c r="AN60" s="378"/>
      <c r="BV60" s="140">
        <v>5</v>
      </c>
      <c r="BW60" s="140">
        <v>6</v>
      </c>
      <c r="BX60" s="140">
        <v>3</v>
      </c>
      <c r="BY60" s="161" t="s">
        <v>58</v>
      </c>
      <c r="BZ60" s="162"/>
      <c r="CA60" s="163"/>
      <c r="CB60" s="163"/>
      <c r="CC60" s="163"/>
      <c r="CD60" s="163"/>
      <c r="CE60" s="163"/>
      <c r="CF60" s="163"/>
      <c r="CG60" s="163"/>
      <c r="CH60" s="163"/>
      <c r="CI60" s="164"/>
      <c r="CJ60" s="76"/>
      <c r="CO60" s="140">
        <v>5</v>
      </c>
      <c r="CP60" s="140">
        <v>6</v>
      </c>
      <c r="DD60" s="140" t="s">
        <v>39</v>
      </c>
      <c r="DE60" s="140">
        <v>3</v>
      </c>
      <c r="DF60" s="161" t="s">
        <v>59</v>
      </c>
      <c r="DG60" s="162"/>
      <c r="DH60" s="163"/>
      <c r="DI60" s="163"/>
      <c r="DJ60" s="163"/>
      <c r="DK60" s="163"/>
      <c r="DL60" s="163"/>
      <c r="DM60" s="163"/>
      <c r="DN60" s="163"/>
      <c r="DO60" s="163"/>
      <c r="DP60" s="164"/>
      <c r="DQ60" s="76"/>
      <c r="DT60" s="157">
        <v>200</v>
      </c>
      <c r="DU60" s="157" t="s">
        <v>26</v>
      </c>
      <c r="DV60" s="157" t="s">
        <v>26</v>
      </c>
      <c r="EH60" s="313">
        <v>57</v>
      </c>
      <c r="EI60" s="314"/>
      <c r="EJ60" s="247" t="str">
        <f t="shared" si="4"/>
        <v/>
      </c>
      <c r="EK60" t="str">
        <f t="shared" si="5"/>
        <v/>
      </c>
    </row>
    <row r="61" spans="1:141" x14ac:dyDescent="0.25">
      <c r="A61" s="62"/>
      <c r="B61" s="250">
        <v>58</v>
      </c>
      <c r="C61" s="44"/>
      <c r="D61" s="45">
        <f t="shared" si="0"/>
        <v>0</v>
      </c>
      <c r="K61" s="44">
        <v>48.5</v>
      </c>
      <c r="L61" s="49">
        <v>0.94479999999999997</v>
      </c>
      <c r="N61" s="397">
        <v>58</v>
      </c>
      <c r="O61" s="398"/>
      <c r="P61" s="398"/>
      <c r="Q61" s="398"/>
      <c r="R61" s="399"/>
      <c r="S61" s="399"/>
      <c r="T61" s="398"/>
      <c r="U61" s="401" t="str">
        <f t="shared" si="13"/>
        <v/>
      </c>
      <c r="V61" s="401" t="str">
        <f t="shared" si="3"/>
        <v/>
      </c>
      <c r="AM61" s="378"/>
      <c r="AN61" s="378"/>
      <c r="BV61" s="140">
        <v>7</v>
      </c>
      <c r="BW61" s="140">
        <v>8</v>
      </c>
      <c r="BX61" s="140">
        <v>4</v>
      </c>
      <c r="BY61" s="161" t="s">
        <v>60</v>
      </c>
      <c r="BZ61" s="162"/>
      <c r="CA61" s="163"/>
      <c r="CB61" s="163"/>
      <c r="CC61" s="163"/>
      <c r="CD61" s="163"/>
      <c r="CE61" s="163"/>
      <c r="CF61" s="163"/>
      <c r="CG61" s="163"/>
      <c r="CH61" s="163"/>
      <c r="CI61" s="164"/>
      <c r="CJ61" s="76"/>
      <c r="CO61" s="140">
        <v>7</v>
      </c>
      <c r="CP61" s="140">
        <v>8</v>
      </c>
      <c r="DD61" s="140" t="s">
        <v>39</v>
      </c>
      <c r="DE61" s="140">
        <v>4</v>
      </c>
      <c r="DF61" s="161" t="s">
        <v>61</v>
      </c>
      <c r="DG61" s="162"/>
      <c r="DH61" s="163"/>
      <c r="DI61" s="163"/>
      <c r="DJ61" s="163"/>
      <c r="DK61" s="163"/>
      <c r="DL61" s="163"/>
      <c r="DM61" s="163"/>
      <c r="DN61" s="163"/>
      <c r="DO61" s="163"/>
      <c r="DP61" s="164"/>
      <c r="DQ61" s="76"/>
      <c r="DT61" s="157">
        <v>250</v>
      </c>
      <c r="DU61" s="157" t="s">
        <v>26</v>
      </c>
      <c r="DV61" s="157" t="s">
        <v>26</v>
      </c>
      <c r="EH61" s="313">
        <v>58</v>
      </c>
      <c r="EI61" s="314"/>
      <c r="EJ61" s="247" t="str">
        <f t="shared" si="4"/>
        <v/>
      </c>
      <c r="EK61" t="str">
        <f t="shared" si="5"/>
        <v/>
      </c>
    </row>
    <row r="62" spans="1:141" x14ac:dyDescent="0.25">
      <c r="A62" s="62"/>
      <c r="B62" s="250">
        <v>59</v>
      </c>
      <c r="C62" s="44"/>
      <c r="D62" s="45">
        <f t="shared" si="0"/>
        <v>0</v>
      </c>
      <c r="K62" s="44">
        <v>49</v>
      </c>
      <c r="L62" s="49">
        <v>0.94379999999999997</v>
      </c>
      <c r="N62" s="397">
        <v>59</v>
      </c>
      <c r="O62" s="398"/>
      <c r="P62" s="398"/>
      <c r="Q62" s="398"/>
      <c r="R62" s="399"/>
      <c r="S62" s="399"/>
      <c r="T62" s="398"/>
      <c r="U62" s="401" t="str">
        <f t="shared" si="13"/>
        <v/>
      </c>
      <c r="V62" s="401" t="str">
        <f t="shared" si="3"/>
        <v/>
      </c>
      <c r="AM62" s="378"/>
      <c r="AN62" s="378"/>
      <c r="BV62" s="140">
        <v>9</v>
      </c>
      <c r="BW62" s="140">
        <v>10</v>
      </c>
      <c r="BX62" s="140">
        <v>5</v>
      </c>
      <c r="BY62" s="161" t="s">
        <v>62</v>
      </c>
      <c r="BZ62" s="162"/>
      <c r="CA62" s="163"/>
      <c r="CB62" s="163"/>
      <c r="CC62" s="163"/>
      <c r="CD62" s="163"/>
      <c r="CE62" s="163"/>
      <c r="CF62" s="163"/>
      <c r="CG62" s="163"/>
      <c r="CH62" s="163"/>
      <c r="CI62" s="164"/>
      <c r="CJ62" s="76"/>
      <c r="CO62" s="140">
        <v>9</v>
      </c>
      <c r="CP62" s="140">
        <v>10</v>
      </c>
      <c r="DD62" s="140" t="s">
        <v>39</v>
      </c>
      <c r="DE62" s="140">
        <v>5</v>
      </c>
      <c r="DF62" s="161" t="s">
        <v>63</v>
      </c>
      <c r="DG62" s="162"/>
      <c r="DH62" s="163"/>
      <c r="DI62" s="163"/>
      <c r="DJ62" s="163"/>
      <c r="DK62" s="163"/>
      <c r="DL62" s="163"/>
      <c r="DM62" s="163"/>
      <c r="DN62" s="163"/>
      <c r="DO62" s="163"/>
      <c r="DP62" s="164"/>
      <c r="DQ62" s="76"/>
      <c r="DT62" s="157">
        <v>300</v>
      </c>
      <c r="DU62" s="157" t="s">
        <v>26</v>
      </c>
      <c r="DV62" s="157" t="s">
        <v>26</v>
      </c>
      <c r="EH62" s="313">
        <v>59</v>
      </c>
      <c r="EI62" s="314"/>
      <c r="EJ62" s="247" t="str">
        <f t="shared" si="4"/>
        <v/>
      </c>
      <c r="EK62" t="str">
        <f t="shared" si="5"/>
        <v/>
      </c>
    </row>
    <row r="63" spans="1:141" ht="13.8" thickBot="1" x14ac:dyDescent="0.3">
      <c r="A63" s="125"/>
      <c r="B63" s="250">
        <v>60</v>
      </c>
      <c r="C63" s="44"/>
      <c r="D63" s="45">
        <f t="shared" si="0"/>
        <v>0</v>
      </c>
      <c r="K63" s="44">
        <v>49.5</v>
      </c>
      <c r="L63" s="49">
        <v>0.94289999999999996</v>
      </c>
      <c r="N63" s="397">
        <v>60</v>
      </c>
      <c r="O63" s="398"/>
      <c r="P63" s="398"/>
      <c r="Q63" s="398"/>
      <c r="R63" s="399"/>
      <c r="S63" s="399"/>
      <c r="T63" s="398"/>
      <c r="U63" s="401" t="str">
        <f t="shared" si="13"/>
        <v/>
      </c>
      <c r="V63" s="401" t="str">
        <f t="shared" si="3"/>
        <v/>
      </c>
      <c r="AM63" s="378"/>
      <c r="AN63" s="378"/>
      <c r="BV63" s="140">
        <v>11</v>
      </c>
      <c r="BW63" s="140">
        <v>12</v>
      </c>
      <c r="BX63" s="140">
        <v>6</v>
      </c>
      <c r="BY63" s="161" t="s">
        <v>64</v>
      </c>
      <c r="BZ63" s="162"/>
      <c r="CA63" s="163"/>
      <c r="CB63" s="163"/>
      <c r="CC63" s="163"/>
      <c r="CD63" s="163"/>
      <c r="CE63" s="163"/>
      <c r="CF63" s="163"/>
      <c r="CG63" s="163"/>
      <c r="CH63" s="163"/>
      <c r="CI63" s="164"/>
      <c r="CJ63" s="76"/>
      <c r="CO63" s="140">
        <v>11</v>
      </c>
      <c r="CP63" s="140">
        <v>12</v>
      </c>
      <c r="DD63" s="140" t="s">
        <v>39</v>
      </c>
      <c r="DE63" s="140">
        <v>6</v>
      </c>
      <c r="DF63" s="161" t="s">
        <v>65</v>
      </c>
      <c r="DG63" s="162"/>
      <c r="DH63" s="163"/>
      <c r="DI63" s="163"/>
      <c r="DJ63" s="163"/>
      <c r="DK63" s="163"/>
      <c r="DL63" s="163"/>
      <c r="DM63" s="163"/>
      <c r="DN63" s="163"/>
      <c r="DO63" s="163"/>
      <c r="DP63" s="164"/>
      <c r="DQ63" s="76"/>
      <c r="DT63" s="157">
        <v>350</v>
      </c>
      <c r="DU63" s="157" t="s">
        <v>26</v>
      </c>
      <c r="DV63" s="157" t="s">
        <v>26</v>
      </c>
      <c r="EH63" s="313">
        <v>60</v>
      </c>
      <c r="EI63" s="314">
        <v>0.7177</v>
      </c>
      <c r="EJ63" s="247">
        <f t="shared" si="4"/>
        <v>1</v>
      </c>
      <c r="EK63">
        <f t="shared" si="5"/>
        <v>7.3234693877551021E-2</v>
      </c>
    </row>
    <row r="64" spans="1:141" ht="13.8" thickTop="1" x14ac:dyDescent="0.25">
      <c r="A64" s="20"/>
      <c r="B64" s="250">
        <v>61</v>
      </c>
      <c r="C64" s="44"/>
      <c r="D64" s="45">
        <f t="shared" si="0"/>
        <v>0</v>
      </c>
      <c r="K64" s="44">
        <v>50</v>
      </c>
      <c r="L64" s="49">
        <v>0.94189999999999996</v>
      </c>
      <c r="N64" s="397">
        <v>61</v>
      </c>
      <c r="O64" s="398"/>
      <c r="P64" s="398"/>
      <c r="Q64" s="398"/>
      <c r="R64" s="399"/>
      <c r="S64" s="399"/>
      <c r="T64" s="398"/>
      <c r="U64" s="401" t="str">
        <f t="shared" si="13"/>
        <v/>
      </c>
      <c r="V64" s="401" t="str">
        <f t="shared" si="3"/>
        <v/>
      </c>
      <c r="AM64" s="378"/>
      <c r="AN64" s="378"/>
      <c r="BV64" s="140">
        <v>13</v>
      </c>
      <c r="BW64" s="140">
        <v>14</v>
      </c>
      <c r="BX64" s="140">
        <v>7</v>
      </c>
      <c r="BY64" s="161" t="s">
        <v>66</v>
      </c>
      <c r="BZ64" s="162"/>
      <c r="CA64" s="163"/>
      <c r="CB64" s="163"/>
      <c r="CC64" s="163"/>
      <c r="CD64" s="163"/>
      <c r="CE64" s="163"/>
      <c r="CF64" s="163"/>
      <c r="CG64" s="163"/>
      <c r="CH64" s="163"/>
      <c r="CI64" s="164"/>
      <c r="CJ64" s="76"/>
      <c r="CO64" s="140">
        <v>13</v>
      </c>
      <c r="CP64" s="140">
        <v>14</v>
      </c>
      <c r="DD64" s="140" t="s">
        <v>39</v>
      </c>
      <c r="DE64" s="140">
        <v>7</v>
      </c>
      <c r="DF64" s="161" t="s">
        <v>67</v>
      </c>
      <c r="DG64" s="162"/>
      <c r="DH64" s="163"/>
      <c r="DI64" s="163"/>
      <c r="DJ64" s="163"/>
      <c r="DK64" s="163"/>
      <c r="DL64" s="163"/>
      <c r="DM64" s="163"/>
      <c r="DN64" s="163"/>
      <c r="DO64" s="163"/>
      <c r="DP64" s="164"/>
      <c r="DQ64" s="76"/>
      <c r="DT64" s="157">
        <v>400</v>
      </c>
      <c r="DU64" s="157" t="s">
        <v>26</v>
      </c>
      <c r="DV64" s="157" t="s">
        <v>26</v>
      </c>
      <c r="EH64" s="313">
        <v>61</v>
      </c>
      <c r="EI64" s="314"/>
      <c r="EJ64" s="247" t="str">
        <f t="shared" si="4"/>
        <v/>
      </c>
      <c r="EK64" t="str">
        <f t="shared" si="5"/>
        <v/>
      </c>
    </row>
    <row r="65" spans="1:141" x14ac:dyDescent="0.25">
      <c r="A65" s="62"/>
      <c r="B65" s="250">
        <v>62</v>
      </c>
      <c r="C65" s="44"/>
      <c r="D65" s="45">
        <f t="shared" si="0"/>
        <v>0</v>
      </c>
      <c r="K65" s="44">
        <v>50.5</v>
      </c>
      <c r="L65" s="49">
        <v>0.94089999999999996</v>
      </c>
      <c r="N65" s="397">
        <v>62</v>
      </c>
      <c r="O65" s="398"/>
      <c r="P65" s="398"/>
      <c r="Q65" s="398"/>
      <c r="R65" s="399"/>
      <c r="S65" s="399"/>
      <c r="T65" s="398"/>
      <c r="U65" s="401" t="str">
        <f t="shared" si="13"/>
        <v/>
      </c>
      <c r="V65" s="401" t="str">
        <f t="shared" si="3"/>
        <v/>
      </c>
      <c r="AM65" s="378"/>
      <c r="AN65" s="378"/>
      <c r="BV65" s="140">
        <v>15</v>
      </c>
      <c r="BW65" s="140">
        <v>16</v>
      </c>
      <c r="BX65" s="140">
        <v>8</v>
      </c>
      <c r="BY65" s="165"/>
      <c r="BZ65" s="162"/>
      <c r="CA65" s="163"/>
      <c r="CB65" s="163"/>
      <c r="CC65" s="163"/>
      <c r="CD65" s="163"/>
      <c r="CE65" s="163"/>
      <c r="CF65" s="163"/>
      <c r="CG65" s="163"/>
      <c r="CH65" s="163"/>
      <c r="CI65" s="164"/>
      <c r="CJ65" s="74"/>
      <c r="CO65" s="140">
        <v>15</v>
      </c>
      <c r="CP65" s="140">
        <v>16</v>
      </c>
      <c r="DD65" s="140" t="s">
        <v>39</v>
      </c>
      <c r="DE65" s="140">
        <v>8</v>
      </c>
      <c r="DF65" s="161" t="s">
        <v>68</v>
      </c>
      <c r="DG65" s="166"/>
      <c r="DH65" s="163"/>
      <c r="DI65" s="163"/>
      <c r="DJ65" s="163"/>
      <c r="DK65" s="163"/>
      <c r="DL65" s="163"/>
      <c r="DM65" s="163"/>
      <c r="DN65" s="163"/>
      <c r="DO65" s="163"/>
      <c r="DP65" s="164"/>
      <c r="DQ65" s="74"/>
      <c r="DT65" s="157">
        <v>500</v>
      </c>
      <c r="DU65" s="157" t="s">
        <v>26</v>
      </c>
      <c r="DV65" s="157" t="s">
        <v>26</v>
      </c>
      <c r="EH65" s="313">
        <v>62</v>
      </c>
      <c r="EI65" s="314"/>
      <c r="EJ65" s="247" t="str">
        <f t="shared" si="4"/>
        <v/>
      </c>
      <c r="EK65" t="str">
        <f t="shared" si="5"/>
        <v/>
      </c>
    </row>
    <row r="66" spans="1:141" x14ac:dyDescent="0.25">
      <c r="A66" s="62"/>
      <c r="B66" s="250">
        <v>63</v>
      </c>
      <c r="C66" s="44"/>
      <c r="D66" s="45">
        <f t="shared" si="0"/>
        <v>0</v>
      </c>
      <c r="K66" s="44">
        <v>51</v>
      </c>
      <c r="L66" s="49">
        <v>0.94</v>
      </c>
      <c r="N66" s="397">
        <v>63</v>
      </c>
      <c r="O66" s="398"/>
      <c r="P66" s="398"/>
      <c r="Q66" s="398"/>
      <c r="R66" s="399"/>
      <c r="S66" s="399"/>
      <c r="T66" s="398"/>
      <c r="U66" s="401" t="str">
        <f t="shared" si="13"/>
        <v/>
      </c>
      <c r="V66" s="401" t="str">
        <f t="shared" si="3"/>
        <v/>
      </c>
      <c r="AM66" s="378"/>
      <c r="AN66" s="378"/>
      <c r="BV66" s="140">
        <v>17</v>
      </c>
      <c r="BW66" s="140">
        <v>18</v>
      </c>
      <c r="BX66" s="140">
        <v>9</v>
      </c>
      <c r="BY66" s="165"/>
      <c r="BZ66" s="162"/>
      <c r="CA66" s="163"/>
      <c r="CB66" s="163"/>
      <c r="CC66" s="163"/>
      <c r="CD66" s="163"/>
      <c r="CE66" s="163"/>
      <c r="CF66" s="163"/>
      <c r="CG66" s="163"/>
      <c r="CH66" s="163"/>
      <c r="CI66" s="164"/>
      <c r="CJ66" s="74"/>
      <c r="CO66" s="140">
        <v>17</v>
      </c>
      <c r="CP66" s="140">
        <v>18</v>
      </c>
      <c r="DD66" s="140" t="s">
        <v>39</v>
      </c>
      <c r="DE66" s="140">
        <v>9</v>
      </c>
      <c r="DF66" s="161" t="s">
        <v>69</v>
      </c>
      <c r="DG66" s="162"/>
      <c r="DH66" s="163"/>
      <c r="DI66" s="163"/>
      <c r="DJ66" s="163"/>
      <c r="DK66" s="163"/>
      <c r="DL66" s="163"/>
      <c r="DM66" s="163"/>
      <c r="DN66" s="163"/>
      <c r="DO66" s="163"/>
      <c r="DP66" s="164"/>
      <c r="DQ66" s="74"/>
      <c r="DT66" s="140">
        <v>550</v>
      </c>
      <c r="DU66" s="140" t="s">
        <v>26</v>
      </c>
      <c r="DV66" s="140" t="s">
        <v>26</v>
      </c>
      <c r="EH66" s="313">
        <v>63</v>
      </c>
      <c r="EI66" s="314"/>
      <c r="EJ66" s="247" t="str">
        <f t="shared" si="4"/>
        <v/>
      </c>
      <c r="EK66" t="str">
        <f t="shared" si="5"/>
        <v/>
      </c>
    </row>
    <row r="67" spans="1:141" x14ac:dyDescent="0.25">
      <c r="A67" s="62"/>
      <c r="B67" s="250">
        <v>64</v>
      </c>
      <c r="C67" s="44"/>
      <c r="D67" s="45">
        <f t="shared" si="0"/>
        <v>0</v>
      </c>
      <c r="K67" s="44">
        <v>51.5</v>
      </c>
      <c r="L67" s="49">
        <v>0.93899999999999995</v>
      </c>
      <c r="N67" s="397">
        <v>64</v>
      </c>
      <c r="O67" s="398"/>
      <c r="P67" s="398"/>
      <c r="Q67" s="398"/>
      <c r="R67" s="399"/>
      <c r="S67" s="399"/>
      <c r="T67" s="398"/>
      <c r="U67" s="401" t="str">
        <f t="shared" si="13"/>
        <v/>
      </c>
      <c r="V67" s="401" t="str">
        <f t="shared" si="3"/>
        <v/>
      </c>
      <c r="AM67" s="378"/>
      <c r="AN67" s="378"/>
      <c r="BV67" s="140">
        <v>19</v>
      </c>
      <c r="BW67" s="140">
        <v>20</v>
      </c>
      <c r="BX67" s="140">
        <v>10</v>
      </c>
      <c r="BY67" s="167"/>
      <c r="BZ67" s="168"/>
      <c r="CA67" s="168"/>
      <c r="CB67" s="168"/>
      <c r="CC67" s="168"/>
      <c r="CD67" s="168"/>
      <c r="CE67" s="168"/>
      <c r="CF67" s="168"/>
      <c r="CG67" s="168"/>
      <c r="CH67" s="168"/>
      <c r="CI67" s="169"/>
      <c r="CJ67" s="74"/>
      <c r="CO67" s="140">
        <v>19</v>
      </c>
      <c r="CP67" s="140">
        <v>20</v>
      </c>
      <c r="DD67" s="140" t="s">
        <v>39</v>
      </c>
      <c r="DE67" s="140">
        <v>10</v>
      </c>
      <c r="DF67" s="161" t="s">
        <v>70</v>
      </c>
      <c r="DG67" s="168"/>
      <c r="DH67" s="168"/>
      <c r="DI67" s="168"/>
      <c r="DJ67" s="168"/>
      <c r="DK67" s="168"/>
      <c r="DL67" s="168"/>
      <c r="DM67" s="168"/>
      <c r="DN67" s="168"/>
      <c r="DO67" s="168"/>
      <c r="DP67" s="169"/>
      <c r="DQ67" s="74"/>
      <c r="DT67" s="140">
        <v>600</v>
      </c>
      <c r="DU67" s="140" t="s">
        <v>26</v>
      </c>
      <c r="DV67" s="140" t="s">
        <v>26</v>
      </c>
      <c r="EH67" s="313">
        <v>64</v>
      </c>
      <c r="EI67" s="314"/>
      <c r="EJ67" s="247" t="str">
        <f t="shared" si="4"/>
        <v/>
      </c>
      <c r="EK67" t="str">
        <f t="shared" si="5"/>
        <v/>
      </c>
    </row>
    <row r="68" spans="1:141" x14ac:dyDescent="0.25">
      <c r="A68" s="42"/>
      <c r="B68" s="250">
        <v>65</v>
      </c>
      <c r="C68" s="44"/>
      <c r="D68" s="45">
        <f t="shared" si="0"/>
        <v>0</v>
      </c>
      <c r="K68" s="44">
        <v>52</v>
      </c>
      <c r="L68" s="49">
        <v>0.93799999999999994</v>
      </c>
      <c r="N68" s="397">
        <v>65</v>
      </c>
      <c r="O68" s="398"/>
      <c r="P68" s="398"/>
      <c r="Q68" s="398"/>
      <c r="R68" s="399"/>
      <c r="S68" s="399"/>
      <c r="T68" s="398"/>
      <c r="U68" s="401" t="str">
        <f t="shared" si="13"/>
        <v/>
      </c>
      <c r="V68" s="401" t="str">
        <f t="shared" si="3"/>
        <v/>
      </c>
      <c r="AM68" s="378"/>
      <c r="AN68" s="378"/>
      <c r="BV68" s="140">
        <v>21</v>
      </c>
      <c r="BW68" s="140">
        <v>22</v>
      </c>
      <c r="BX68" s="140">
        <v>11</v>
      </c>
      <c r="BY68" s="167"/>
      <c r="BZ68" s="168"/>
      <c r="CA68" s="168"/>
      <c r="CB68" s="168"/>
      <c r="CC68" s="168"/>
      <c r="CD68" s="168"/>
      <c r="CE68" s="168"/>
      <c r="CF68" s="168"/>
      <c r="CG68" s="168"/>
      <c r="CH68" s="168"/>
      <c r="CI68" s="169"/>
      <c r="CJ68" s="74"/>
      <c r="CO68" s="140">
        <v>21</v>
      </c>
      <c r="CP68" s="140">
        <v>22</v>
      </c>
      <c r="DD68" s="140" t="s">
        <v>39</v>
      </c>
      <c r="DE68" s="140">
        <v>11</v>
      </c>
      <c r="DF68" s="161"/>
      <c r="DG68" s="168"/>
      <c r="DH68" s="168"/>
      <c r="DI68" s="168"/>
      <c r="DJ68" s="168"/>
      <c r="DK68" s="168"/>
      <c r="DL68" s="168"/>
      <c r="DM68" s="168"/>
      <c r="DN68" s="168"/>
      <c r="DO68" s="168"/>
      <c r="DP68" s="169"/>
      <c r="DQ68" s="74"/>
      <c r="DT68" s="140">
        <v>650</v>
      </c>
      <c r="DU68" s="140" t="s">
        <v>26</v>
      </c>
      <c r="DV68" s="140" t="s">
        <v>26</v>
      </c>
      <c r="EH68" s="313">
        <v>65</v>
      </c>
      <c r="EI68" s="314"/>
      <c r="EJ68" s="247" t="str">
        <f t="shared" si="4"/>
        <v/>
      </c>
      <c r="EK68" t="str">
        <f t="shared" si="5"/>
        <v/>
      </c>
    </row>
    <row r="69" spans="1:141" x14ac:dyDescent="0.25">
      <c r="A69" s="42"/>
      <c r="B69" s="250">
        <v>66</v>
      </c>
      <c r="C69" s="44"/>
      <c r="D69" s="45">
        <f t="shared" ref="D69:D132" si="36">C69</f>
        <v>0</v>
      </c>
      <c r="K69" s="44">
        <v>52.5</v>
      </c>
      <c r="L69" s="49">
        <v>0.93710000000000004</v>
      </c>
      <c r="N69" s="397">
        <v>66</v>
      </c>
      <c r="O69" s="398"/>
      <c r="P69" s="398"/>
      <c r="Q69" s="398"/>
      <c r="R69" s="399"/>
      <c r="S69" s="399"/>
      <c r="T69" s="398"/>
      <c r="U69" s="401" t="str">
        <f t="shared" si="13"/>
        <v/>
      </c>
      <c r="V69" s="401" t="str">
        <f t="shared" ref="V69:V115" si="37">IF(SUM(P69:T69)=0,"",IF(S69="",PI()*(R69*R69/4)*T69,PI()*(R69*R69/4)*S69))</f>
        <v/>
      </c>
      <c r="AM69" s="378"/>
      <c r="AN69" s="378"/>
      <c r="BV69" s="140">
        <v>23</v>
      </c>
      <c r="BW69" s="140">
        <v>24</v>
      </c>
      <c r="BX69" s="140">
        <v>12</v>
      </c>
      <c r="BY69" s="167"/>
      <c r="BZ69" s="168"/>
      <c r="CA69" s="168"/>
      <c r="CB69" s="168"/>
      <c r="CC69" s="168"/>
      <c r="CD69" s="168"/>
      <c r="CE69" s="168"/>
      <c r="CF69" s="168"/>
      <c r="CG69" s="168"/>
      <c r="CH69" s="168"/>
      <c r="CI69" s="169"/>
      <c r="CJ69" s="74"/>
      <c r="CO69" s="140">
        <v>23</v>
      </c>
      <c r="CP69" s="140">
        <v>24</v>
      </c>
      <c r="DD69" s="140" t="s">
        <v>39</v>
      </c>
      <c r="DE69" s="140">
        <v>12</v>
      </c>
      <c r="DF69" s="167"/>
      <c r="DG69" s="168"/>
      <c r="DH69" s="168"/>
      <c r="DI69" s="168"/>
      <c r="DJ69" s="168"/>
      <c r="DK69" s="168"/>
      <c r="DL69" s="168"/>
      <c r="DM69" s="168"/>
      <c r="DN69" s="168"/>
      <c r="DO69" s="168"/>
      <c r="DP69" s="169"/>
      <c r="DQ69" s="74"/>
      <c r="DT69" s="140">
        <v>700</v>
      </c>
      <c r="DU69" s="140" t="s">
        <v>26</v>
      </c>
      <c r="DV69" s="140" t="s">
        <v>26</v>
      </c>
      <c r="EH69" s="313">
        <v>66</v>
      </c>
      <c r="EI69" s="314"/>
      <c r="EJ69" s="247" t="str">
        <f t="shared" ref="EJ69:EJ132" si="38">IF(EI69="","",1)</f>
        <v/>
      </c>
      <c r="EK69" t="str">
        <f t="shared" ref="EK69:EK132" si="39">IF(EI69="","",EI69/9.8)</f>
        <v/>
      </c>
    </row>
    <row r="70" spans="1:141" x14ac:dyDescent="0.25">
      <c r="A70" s="42"/>
      <c r="B70" s="250">
        <v>67</v>
      </c>
      <c r="C70" s="44"/>
      <c r="D70" s="45">
        <f t="shared" si="36"/>
        <v>0</v>
      </c>
      <c r="K70" s="44">
        <v>53</v>
      </c>
      <c r="L70" s="49">
        <v>0.93610000000000004</v>
      </c>
      <c r="N70" s="397">
        <v>67</v>
      </c>
      <c r="O70" s="398"/>
      <c r="P70" s="398"/>
      <c r="Q70" s="398"/>
      <c r="R70" s="399"/>
      <c r="S70" s="399"/>
      <c r="T70" s="398"/>
      <c r="U70" s="401" t="str">
        <f t="shared" si="13"/>
        <v/>
      </c>
      <c r="V70" s="401" t="str">
        <f t="shared" si="37"/>
        <v/>
      </c>
      <c r="AM70" s="378"/>
      <c r="AN70" s="378"/>
      <c r="BV70" s="140">
        <v>25</v>
      </c>
      <c r="BW70" s="140">
        <v>26</v>
      </c>
      <c r="BX70" s="140">
        <v>13</v>
      </c>
      <c r="BY70" s="167"/>
      <c r="BZ70" s="168"/>
      <c r="CA70" s="168"/>
      <c r="CB70" s="168"/>
      <c r="CC70" s="168"/>
      <c r="CD70" s="168"/>
      <c r="CE70" s="168"/>
      <c r="CF70" s="168"/>
      <c r="CG70" s="168"/>
      <c r="CH70" s="168"/>
      <c r="CI70" s="169"/>
      <c r="CJ70" s="74"/>
      <c r="CO70" s="140">
        <v>25</v>
      </c>
      <c r="CP70" s="140">
        <v>26</v>
      </c>
      <c r="DD70" s="140" t="s">
        <v>39</v>
      </c>
      <c r="DE70" s="140">
        <v>13</v>
      </c>
      <c r="DF70" s="167"/>
      <c r="DG70" s="168"/>
      <c r="DH70" s="168"/>
      <c r="DI70" s="168"/>
      <c r="DJ70" s="168"/>
      <c r="DK70" s="168"/>
      <c r="DL70" s="168"/>
      <c r="DM70" s="168"/>
      <c r="DN70" s="168"/>
      <c r="DO70" s="168"/>
      <c r="DP70" s="169"/>
      <c r="DQ70" s="74"/>
      <c r="DT70" s="140">
        <v>750</v>
      </c>
      <c r="DU70" s="140" t="s">
        <v>26</v>
      </c>
      <c r="DV70" s="140" t="s">
        <v>26</v>
      </c>
      <c r="EH70" s="313">
        <v>67</v>
      </c>
      <c r="EI70" s="314"/>
      <c r="EJ70" s="247" t="str">
        <f t="shared" si="38"/>
        <v/>
      </c>
      <c r="EK70" t="str">
        <f t="shared" si="39"/>
        <v/>
      </c>
    </row>
    <row r="71" spans="1:141" x14ac:dyDescent="0.25">
      <c r="A71" s="42"/>
      <c r="B71" s="250">
        <v>68</v>
      </c>
      <c r="C71" s="44"/>
      <c r="D71" s="45">
        <f t="shared" si="36"/>
        <v>0</v>
      </c>
      <c r="K71" s="44">
        <v>53.5</v>
      </c>
      <c r="L71" s="49">
        <v>0.93510000000000004</v>
      </c>
      <c r="N71" s="397">
        <v>68</v>
      </c>
      <c r="O71" s="398"/>
      <c r="P71" s="398"/>
      <c r="Q71" s="398"/>
      <c r="R71" s="399"/>
      <c r="S71" s="399"/>
      <c r="T71" s="398"/>
      <c r="U71" s="401" t="str">
        <f t="shared" si="13"/>
        <v/>
      </c>
      <c r="V71" s="401" t="str">
        <f t="shared" si="37"/>
        <v/>
      </c>
      <c r="AM71" s="378"/>
      <c r="AN71" s="378"/>
      <c r="BV71" s="140">
        <v>27</v>
      </c>
      <c r="BW71" s="140">
        <v>28</v>
      </c>
      <c r="BX71" s="140">
        <v>14</v>
      </c>
      <c r="BY71" s="167"/>
      <c r="BZ71" s="168"/>
      <c r="CA71" s="168"/>
      <c r="CB71" s="168"/>
      <c r="CC71" s="168"/>
      <c r="CD71" s="168"/>
      <c r="CE71" s="168"/>
      <c r="CF71" s="168"/>
      <c r="CG71" s="168"/>
      <c r="CH71" s="168"/>
      <c r="CI71" s="169"/>
      <c r="CJ71" s="74"/>
      <c r="CO71" s="140">
        <v>27</v>
      </c>
      <c r="CP71" s="140">
        <v>28</v>
      </c>
      <c r="DD71" s="140" t="s">
        <v>39</v>
      </c>
      <c r="DE71" s="140">
        <v>14</v>
      </c>
      <c r="DF71" s="167"/>
      <c r="DG71" s="168"/>
      <c r="DH71" s="168"/>
      <c r="DI71" s="168"/>
      <c r="DJ71" s="168"/>
      <c r="DK71" s="168"/>
      <c r="DL71" s="168"/>
      <c r="DM71" s="168"/>
      <c r="DN71" s="168"/>
      <c r="DO71" s="168"/>
      <c r="DP71" s="169"/>
      <c r="DQ71" s="74"/>
      <c r="DT71" s="140">
        <v>800</v>
      </c>
      <c r="DU71" s="140" t="s">
        <v>26</v>
      </c>
      <c r="DV71" s="140" t="s">
        <v>26</v>
      </c>
      <c r="EH71" s="313">
        <v>68</v>
      </c>
      <c r="EI71" s="314"/>
      <c r="EJ71" s="247" t="str">
        <f t="shared" si="38"/>
        <v/>
      </c>
      <c r="EK71" t="str">
        <f t="shared" si="39"/>
        <v/>
      </c>
    </row>
    <row r="72" spans="1:141" x14ac:dyDescent="0.25">
      <c r="A72" s="62"/>
      <c r="B72" s="250">
        <v>69</v>
      </c>
      <c r="C72" s="44"/>
      <c r="D72" s="45">
        <f t="shared" si="36"/>
        <v>0</v>
      </c>
      <c r="E72" s="318"/>
      <c r="K72" s="44">
        <v>54</v>
      </c>
      <c r="L72" s="49">
        <v>0.93410000000000004</v>
      </c>
      <c r="N72" s="397">
        <v>69</v>
      </c>
      <c r="O72" s="398"/>
      <c r="P72" s="398"/>
      <c r="Q72" s="398"/>
      <c r="R72" s="399"/>
      <c r="S72" s="399"/>
      <c r="T72" s="398"/>
      <c r="U72" s="401" t="str">
        <f t="shared" si="13"/>
        <v/>
      </c>
      <c r="V72" s="401" t="str">
        <f t="shared" si="37"/>
        <v/>
      </c>
      <c r="AM72" s="378"/>
      <c r="AN72" s="378"/>
      <c r="BV72" s="140">
        <v>29</v>
      </c>
      <c r="BW72" s="140">
        <v>30</v>
      </c>
      <c r="BX72" s="140">
        <v>15</v>
      </c>
      <c r="BY72" s="167"/>
      <c r="BZ72" s="168"/>
      <c r="CA72" s="168"/>
      <c r="CB72" s="168"/>
      <c r="CC72" s="168"/>
      <c r="CD72" s="168"/>
      <c r="CE72" s="168"/>
      <c r="CF72" s="168"/>
      <c r="CG72" s="168"/>
      <c r="CH72" s="168"/>
      <c r="CI72" s="169"/>
      <c r="CJ72" s="74"/>
      <c r="CO72" s="140">
        <v>29</v>
      </c>
      <c r="CP72" s="140">
        <v>30</v>
      </c>
      <c r="DD72" s="140" t="s">
        <v>39</v>
      </c>
      <c r="DE72" s="140">
        <v>15</v>
      </c>
      <c r="DF72" s="167"/>
      <c r="DG72" s="168"/>
      <c r="DH72" s="168"/>
      <c r="DI72" s="168"/>
      <c r="DJ72" s="168"/>
      <c r="DK72" s="168"/>
      <c r="DL72" s="168"/>
      <c r="DM72" s="168"/>
      <c r="DN72" s="168"/>
      <c r="DO72" s="168"/>
      <c r="DP72" s="169"/>
      <c r="DQ72" s="74"/>
      <c r="EH72" s="313">
        <v>69</v>
      </c>
      <c r="EI72" s="314"/>
      <c r="EJ72" s="247" t="str">
        <f t="shared" si="38"/>
        <v/>
      </c>
      <c r="EK72" t="str">
        <f t="shared" si="39"/>
        <v/>
      </c>
    </row>
    <row r="73" spans="1:141" x14ac:dyDescent="0.25">
      <c r="A73" s="62"/>
      <c r="B73" s="250">
        <v>70</v>
      </c>
      <c r="C73" s="44"/>
      <c r="D73" s="45">
        <f t="shared" si="36"/>
        <v>0</v>
      </c>
      <c r="E73" s="251"/>
      <c r="K73" s="44">
        <v>54.5</v>
      </c>
      <c r="L73" s="49">
        <v>0.93320000000000003</v>
      </c>
      <c r="N73" s="392">
        <v>70</v>
      </c>
      <c r="O73" s="391"/>
      <c r="P73" s="391"/>
      <c r="Q73" s="391"/>
      <c r="R73" s="393"/>
      <c r="S73" s="393"/>
      <c r="T73" s="391"/>
      <c r="U73" s="401" t="str">
        <f t="shared" si="13"/>
        <v/>
      </c>
      <c r="V73" s="401" t="str">
        <f t="shared" si="37"/>
        <v/>
      </c>
      <c r="AM73" s="378"/>
      <c r="AN73" s="378"/>
      <c r="BV73" s="140">
        <v>31</v>
      </c>
      <c r="BW73" s="140">
        <v>32</v>
      </c>
      <c r="BX73" s="140">
        <v>16</v>
      </c>
      <c r="BY73" s="167"/>
      <c r="BZ73" s="168"/>
      <c r="CA73" s="168"/>
      <c r="CB73" s="168"/>
      <c r="CC73" s="168"/>
      <c r="CD73" s="168"/>
      <c r="CE73" s="168"/>
      <c r="CF73" s="168"/>
      <c r="CG73" s="168"/>
      <c r="CH73" s="168"/>
      <c r="CI73" s="169"/>
      <c r="CJ73" s="74"/>
      <c r="CO73" s="140">
        <v>31</v>
      </c>
      <c r="CP73" s="140">
        <v>32</v>
      </c>
      <c r="DD73" s="140" t="s">
        <v>39</v>
      </c>
      <c r="DE73" s="140">
        <v>16</v>
      </c>
      <c r="DF73" s="167"/>
      <c r="DG73" s="168"/>
      <c r="DH73" s="168"/>
      <c r="DI73" s="168"/>
      <c r="DJ73" s="168"/>
      <c r="DK73" s="168"/>
      <c r="DL73" s="168"/>
      <c r="DM73" s="168"/>
      <c r="DN73" s="168"/>
      <c r="DO73" s="168"/>
      <c r="DP73" s="169"/>
      <c r="DQ73" s="74"/>
      <c r="EH73" s="313">
        <v>70</v>
      </c>
      <c r="EI73" s="314">
        <v>0.83730000000000004</v>
      </c>
      <c r="EJ73" s="247">
        <f t="shared" si="38"/>
        <v>1</v>
      </c>
      <c r="EK73">
        <f t="shared" si="39"/>
        <v>8.5438775510204082E-2</v>
      </c>
    </row>
    <row r="74" spans="1:141" x14ac:dyDescent="0.25">
      <c r="A74" s="62"/>
      <c r="B74" s="250">
        <v>71</v>
      </c>
      <c r="C74" s="44"/>
      <c r="D74" s="45">
        <f t="shared" si="36"/>
        <v>0</v>
      </c>
      <c r="E74" s="262"/>
      <c r="K74" s="44">
        <v>55</v>
      </c>
      <c r="L74" s="49">
        <v>0.93220000000000003</v>
      </c>
      <c r="N74" s="392">
        <v>71</v>
      </c>
      <c r="O74" s="391"/>
      <c r="P74" s="391"/>
      <c r="Q74" s="391"/>
      <c r="R74" s="393"/>
      <c r="S74" s="393"/>
      <c r="T74" s="391"/>
      <c r="U74" s="401" t="str">
        <f t="shared" si="13"/>
        <v/>
      </c>
      <c r="V74" s="401" t="str">
        <f t="shared" si="37"/>
        <v/>
      </c>
      <c r="AM74" s="378"/>
      <c r="AN74" s="378"/>
      <c r="BV74" s="140">
        <v>33</v>
      </c>
      <c r="BW74" s="140">
        <v>34</v>
      </c>
      <c r="BX74" s="140">
        <v>17</v>
      </c>
      <c r="BY74" s="167"/>
      <c r="BZ74" s="168"/>
      <c r="CA74" s="168"/>
      <c r="CB74" s="168"/>
      <c r="CC74" s="168"/>
      <c r="CD74" s="168"/>
      <c r="CE74" s="168"/>
      <c r="CF74" s="168"/>
      <c r="CG74" s="168"/>
      <c r="CH74" s="168"/>
      <c r="CI74" s="169"/>
      <c r="CO74" s="140">
        <v>33</v>
      </c>
      <c r="CP74" s="140">
        <v>34</v>
      </c>
      <c r="DD74" s="140" t="s">
        <v>39</v>
      </c>
      <c r="DE74" s="140">
        <v>17</v>
      </c>
      <c r="DF74" s="167"/>
      <c r="DG74" s="168"/>
      <c r="DH74" s="168"/>
      <c r="DI74" s="168"/>
      <c r="DJ74" s="168"/>
      <c r="DK74" s="168"/>
      <c r="DL74" s="168"/>
      <c r="DM74" s="168"/>
      <c r="DN74" s="168"/>
      <c r="DO74" s="168"/>
      <c r="DP74" s="169"/>
      <c r="EH74" s="313">
        <v>71</v>
      </c>
      <c r="EI74" s="314"/>
      <c r="EJ74" s="247" t="str">
        <f t="shared" si="38"/>
        <v/>
      </c>
      <c r="EK74" t="str">
        <f t="shared" si="39"/>
        <v/>
      </c>
    </row>
    <row r="75" spans="1:141" x14ac:dyDescent="0.25">
      <c r="A75" s="42"/>
      <c r="B75" s="250">
        <v>72</v>
      </c>
      <c r="C75" s="44"/>
      <c r="D75" s="45">
        <f t="shared" si="36"/>
        <v>0</v>
      </c>
      <c r="E75" s="265"/>
      <c r="K75" s="44">
        <v>55.5</v>
      </c>
      <c r="L75" s="49">
        <v>0.93120000000000003</v>
      </c>
      <c r="N75" s="392">
        <v>72</v>
      </c>
      <c r="O75" s="391"/>
      <c r="P75" s="391"/>
      <c r="Q75" s="391"/>
      <c r="R75" s="393"/>
      <c r="S75" s="393"/>
      <c r="T75" s="391"/>
      <c r="U75" s="401" t="str">
        <f t="shared" si="13"/>
        <v/>
      </c>
      <c r="V75" s="401" t="str">
        <f t="shared" si="37"/>
        <v/>
      </c>
      <c r="AM75" s="378"/>
      <c r="AN75" s="378"/>
      <c r="BV75" s="140">
        <v>35</v>
      </c>
      <c r="BW75" s="140">
        <v>36</v>
      </c>
      <c r="BX75" s="140">
        <v>18</v>
      </c>
      <c r="BY75" s="167"/>
      <c r="BZ75" s="168"/>
      <c r="CA75" s="168"/>
      <c r="CB75" s="168"/>
      <c r="CC75" s="168"/>
      <c r="CD75" s="168"/>
      <c r="CE75" s="168"/>
      <c r="CF75" s="168"/>
      <c r="CG75" s="168"/>
      <c r="CH75" s="168"/>
      <c r="CI75" s="169"/>
      <c r="CO75" s="140">
        <v>35</v>
      </c>
      <c r="CP75" s="140">
        <v>36</v>
      </c>
      <c r="DD75" s="140" t="s">
        <v>39</v>
      </c>
      <c r="DE75" s="140">
        <v>18</v>
      </c>
      <c r="DF75" s="167"/>
      <c r="DG75" s="168"/>
      <c r="DH75" s="168"/>
      <c r="DI75" s="168"/>
      <c r="DJ75" s="168"/>
      <c r="DK75" s="168"/>
      <c r="DL75" s="168"/>
      <c r="DM75" s="168"/>
      <c r="DN75" s="168"/>
      <c r="DO75" s="168"/>
      <c r="DP75" s="169"/>
      <c r="EH75" s="313">
        <v>72</v>
      </c>
      <c r="EI75" s="314"/>
      <c r="EJ75" s="247" t="str">
        <f t="shared" si="38"/>
        <v/>
      </c>
      <c r="EK75" t="str">
        <f t="shared" si="39"/>
        <v/>
      </c>
    </row>
    <row r="76" spans="1:141" x14ac:dyDescent="0.25">
      <c r="A76" s="42"/>
      <c r="B76" s="250">
        <v>73</v>
      </c>
      <c r="C76" s="44"/>
      <c r="D76" s="45">
        <f t="shared" si="36"/>
        <v>0</v>
      </c>
      <c r="E76" s="269"/>
      <c r="K76" s="44">
        <v>56</v>
      </c>
      <c r="L76" s="49">
        <v>0.93030000000000002</v>
      </c>
      <c r="N76" s="392">
        <v>73</v>
      </c>
      <c r="O76" s="391"/>
      <c r="P76" s="391"/>
      <c r="Q76" s="391"/>
      <c r="R76" s="393"/>
      <c r="S76" s="393"/>
      <c r="T76" s="391"/>
      <c r="U76" s="401" t="str">
        <f t="shared" si="13"/>
        <v/>
      </c>
      <c r="V76" s="401" t="str">
        <f t="shared" si="37"/>
        <v/>
      </c>
      <c r="AM76" s="378"/>
      <c r="AN76" s="378"/>
      <c r="BV76" s="140">
        <v>37</v>
      </c>
      <c r="BW76" s="140">
        <v>38</v>
      </c>
      <c r="BX76" s="140">
        <v>19</v>
      </c>
      <c r="BY76" s="167"/>
      <c r="BZ76" s="168"/>
      <c r="CA76" s="168"/>
      <c r="CB76" s="168"/>
      <c r="CC76" s="168"/>
      <c r="CD76" s="168"/>
      <c r="CE76" s="168"/>
      <c r="CF76" s="168"/>
      <c r="CG76" s="168"/>
      <c r="CH76" s="168"/>
      <c r="CI76" s="169"/>
      <c r="CO76" s="140">
        <v>37</v>
      </c>
      <c r="CP76" s="140">
        <v>38</v>
      </c>
      <c r="DD76" s="140" t="s">
        <v>39</v>
      </c>
      <c r="DE76" s="140">
        <v>19</v>
      </c>
      <c r="DF76" s="167"/>
      <c r="DG76" s="168"/>
      <c r="DH76" s="168"/>
      <c r="DI76" s="168"/>
      <c r="DJ76" s="168"/>
      <c r="DK76" s="168"/>
      <c r="DL76" s="168"/>
      <c r="DM76" s="168"/>
      <c r="DN76" s="168"/>
      <c r="DO76" s="168"/>
      <c r="DP76" s="169"/>
      <c r="EH76" s="313">
        <v>73</v>
      </c>
      <c r="EI76" s="314"/>
      <c r="EJ76" s="247" t="str">
        <f t="shared" si="38"/>
        <v/>
      </c>
      <c r="EK76" t="str">
        <f t="shared" si="39"/>
        <v/>
      </c>
    </row>
    <row r="77" spans="1:141" x14ac:dyDescent="0.25">
      <c r="A77" s="42"/>
      <c r="B77" s="250">
        <v>74</v>
      </c>
      <c r="C77" s="44"/>
      <c r="D77" s="45">
        <f t="shared" si="36"/>
        <v>0</v>
      </c>
      <c r="K77" s="44">
        <v>56.5</v>
      </c>
      <c r="L77" s="49">
        <v>0.92930000000000001</v>
      </c>
      <c r="N77" s="392">
        <v>74</v>
      </c>
      <c r="O77" s="391"/>
      <c r="P77" s="391"/>
      <c r="Q77" s="391"/>
      <c r="R77" s="393"/>
      <c r="S77" s="393"/>
      <c r="T77" s="391"/>
      <c r="U77" s="401" t="str">
        <f t="shared" si="13"/>
        <v/>
      </c>
      <c r="V77" s="401" t="str">
        <f t="shared" si="37"/>
        <v/>
      </c>
      <c r="AM77" s="378"/>
      <c r="AN77" s="378"/>
      <c r="BV77" s="140">
        <v>39</v>
      </c>
      <c r="BW77" s="140">
        <v>40</v>
      </c>
      <c r="BX77" s="140">
        <v>20</v>
      </c>
      <c r="BY77" s="167"/>
      <c r="BZ77" s="168"/>
      <c r="CA77" s="168"/>
      <c r="CB77" s="168"/>
      <c r="CC77" s="168"/>
      <c r="CD77" s="168"/>
      <c r="CE77" s="168"/>
      <c r="CF77" s="168"/>
      <c r="CG77" s="168"/>
      <c r="CH77" s="168"/>
      <c r="CI77" s="169"/>
      <c r="CO77" s="140">
        <v>39</v>
      </c>
      <c r="CP77" s="140">
        <v>40</v>
      </c>
      <c r="DD77" s="140" t="s">
        <v>39</v>
      </c>
      <c r="DE77" s="140">
        <v>20</v>
      </c>
      <c r="DF77" s="167"/>
      <c r="DG77" s="168"/>
      <c r="DH77" s="168"/>
      <c r="DI77" s="168"/>
      <c r="DJ77" s="168"/>
      <c r="DK77" s="168"/>
      <c r="DL77" s="168"/>
      <c r="DM77" s="168"/>
      <c r="DN77" s="168"/>
      <c r="DO77" s="168"/>
      <c r="DP77" s="169"/>
      <c r="EH77" s="313">
        <v>74</v>
      </c>
      <c r="EI77" s="314"/>
      <c r="EJ77" s="247" t="str">
        <f t="shared" si="38"/>
        <v/>
      </c>
      <c r="EK77" t="str">
        <f t="shared" si="39"/>
        <v/>
      </c>
    </row>
    <row r="78" spans="1:141" x14ac:dyDescent="0.25">
      <c r="A78" s="42"/>
      <c r="B78" s="250">
        <v>75</v>
      </c>
      <c r="C78" s="44"/>
      <c r="D78" s="45">
        <f t="shared" si="36"/>
        <v>0</v>
      </c>
      <c r="K78" s="44">
        <v>57</v>
      </c>
      <c r="L78" s="49">
        <v>0.92830000000000001</v>
      </c>
      <c r="N78" s="392">
        <v>75</v>
      </c>
      <c r="O78" s="391"/>
      <c r="P78" s="391"/>
      <c r="Q78" s="391"/>
      <c r="R78" s="393"/>
      <c r="S78" s="393"/>
      <c r="T78" s="391"/>
      <c r="U78" s="401" t="str">
        <f t="shared" si="13"/>
        <v/>
      </c>
      <c r="V78" s="401" t="str">
        <f t="shared" si="37"/>
        <v/>
      </c>
      <c r="AM78" s="378"/>
      <c r="AN78" s="378"/>
      <c r="BV78" s="140">
        <v>41</v>
      </c>
      <c r="BW78" s="140">
        <v>42</v>
      </c>
      <c r="BX78" s="140">
        <v>21</v>
      </c>
      <c r="BY78" s="167"/>
      <c r="BZ78" s="168"/>
      <c r="CA78" s="168"/>
      <c r="CB78" s="168"/>
      <c r="CC78" s="168"/>
      <c r="CD78" s="168"/>
      <c r="CE78" s="168"/>
      <c r="CF78" s="168"/>
      <c r="CG78" s="168"/>
      <c r="CH78" s="168"/>
      <c r="CI78" s="169"/>
      <c r="CO78" s="140">
        <v>41</v>
      </c>
      <c r="CP78" s="140">
        <v>42</v>
      </c>
      <c r="DD78" s="140" t="s">
        <v>39</v>
      </c>
      <c r="DE78" s="140">
        <v>21</v>
      </c>
      <c r="DF78" s="167"/>
      <c r="DG78" s="168"/>
      <c r="DH78" s="168"/>
      <c r="DI78" s="168"/>
      <c r="DJ78" s="168"/>
      <c r="DK78" s="168"/>
      <c r="DL78" s="168"/>
      <c r="DM78" s="168"/>
      <c r="DN78" s="168"/>
      <c r="DO78" s="168"/>
      <c r="DP78" s="169"/>
      <c r="EH78" s="313">
        <v>75</v>
      </c>
      <c r="EI78" s="314"/>
      <c r="EJ78" s="247" t="str">
        <f t="shared" si="38"/>
        <v/>
      </c>
      <c r="EK78" t="str">
        <f t="shared" si="39"/>
        <v/>
      </c>
    </row>
    <row r="79" spans="1:141" x14ac:dyDescent="0.25">
      <c r="A79" s="42"/>
      <c r="B79" s="250">
        <v>76</v>
      </c>
      <c r="C79" s="44"/>
      <c r="D79" s="45">
        <f t="shared" si="36"/>
        <v>0</v>
      </c>
      <c r="K79" s="44">
        <v>57.5</v>
      </c>
      <c r="L79" s="49">
        <v>0.9274</v>
      </c>
      <c r="N79" s="392">
        <v>76</v>
      </c>
      <c r="O79" s="391"/>
      <c r="P79" s="391"/>
      <c r="Q79" s="391"/>
      <c r="R79" s="393"/>
      <c r="S79" s="393"/>
      <c r="T79" s="391"/>
      <c r="U79" s="401" t="str">
        <f t="shared" si="13"/>
        <v/>
      </c>
      <c r="V79" s="401" t="str">
        <f t="shared" si="37"/>
        <v/>
      </c>
      <c r="AM79" s="378"/>
      <c r="AN79" s="378"/>
      <c r="EH79" s="313">
        <v>76</v>
      </c>
      <c r="EI79" s="314"/>
      <c r="EJ79" s="247" t="str">
        <f t="shared" si="38"/>
        <v/>
      </c>
      <c r="EK79" t="str">
        <f t="shared" si="39"/>
        <v/>
      </c>
    </row>
    <row r="80" spans="1:141" x14ac:dyDescent="0.25">
      <c r="A80" s="42"/>
      <c r="B80" s="250">
        <v>77</v>
      </c>
      <c r="C80" s="44"/>
      <c r="D80" s="45">
        <f t="shared" si="36"/>
        <v>0</v>
      </c>
      <c r="K80" s="44">
        <v>58</v>
      </c>
      <c r="L80" s="49">
        <v>0.9264</v>
      </c>
      <c r="N80" s="392">
        <v>77</v>
      </c>
      <c r="O80" s="391"/>
      <c r="P80" s="391"/>
      <c r="Q80" s="391"/>
      <c r="R80" s="393"/>
      <c r="S80" s="393"/>
      <c r="T80" s="391"/>
      <c r="U80" s="401" t="str">
        <f t="shared" ref="U80:U115" si="40">IF(SUM(P80:T80)=0,"",IF(S80="",PI()*(R80*R80/4),PI()*(R80*R80/4)))</f>
        <v/>
      </c>
      <c r="V80" s="401" t="str">
        <f t="shared" si="37"/>
        <v/>
      </c>
      <c r="AM80" s="378"/>
      <c r="AN80" s="378"/>
      <c r="BX80" s="140">
        <v>1</v>
      </c>
      <c r="BY80" s="161" t="s">
        <v>71</v>
      </c>
      <c r="BZ80" s="162"/>
      <c r="CA80" s="163"/>
      <c r="CB80" s="163"/>
      <c r="CC80" s="163"/>
      <c r="CD80" s="163"/>
      <c r="CE80" s="163"/>
      <c r="CF80" s="163"/>
      <c r="CG80" s="163"/>
      <c r="CH80" s="163"/>
      <c r="CI80" s="164"/>
      <c r="DE80" s="140">
        <v>1</v>
      </c>
      <c r="DF80" s="161" t="s">
        <v>72</v>
      </c>
      <c r="DG80" s="162"/>
      <c r="DH80" s="163"/>
      <c r="DI80" s="163"/>
      <c r="DJ80" s="163"/>
      <c r="DK80" s="163"/>
      <c r="DL80" s="163"/>
      <c r="DM80" s="163"/>
      <c r="DN80" s="163"/>
      <c r="DO80" s="163"/>
      <c r="DP80" s="164"/>
      <c r="EH80" s="313">
        <v>77</v>
      </c>
      <c r="EI80" s="314"/>
      <c r="EJ80" s="247" t="str">
        <f t="shared" si="38"/>
        <v/>
      </c>
      <c r="EK80" t="str">
        <f t="shared" si="39"/>
        <v/>
      </c>
    </row>
    <row r="81" spans="1:141" x14ac:dyDescent="0.25">
      <c r="A81" s="42"/>
      <c r="B81" s="250">
        <v>78</v>
      </c>
      <c r="C81" s="44"/>
      <c r="D81" s="45">
        <f t="shared" si="36"/>
        <v>0</v>
      </c>
      <c r="K81" s="44">
        <v>58.5</v>
      </c>
      <c r="L81" s="49">
        <v>0.9254</v>
      </c>
      <c r="N81" s="392">
        <v>78</v>
      </c>
      <c r="O81" s="391"/>
      <c r="P81" s="391"/>
      <c r="Q81" s="391"/>
      <c r="R81" s="393"/>
      <c r="S81" s="393"/>
      <c r="T81" s="391"/>
      <c r="U81" s="401" t="str">
        <f t="shared" si="40"/>
        <v/>
      </c>
      <c r="V81" s="401" t="str">
        <f t="shared" si="37"/>
        <v/>
      </c>
      <c r="AM81" s="378"/>
      <c r="AN81" s="378"/>
      <c r="BX81" s="140">
        <v>2</v>
      </c>
      <c r="BY81" s="161" t="s">
        <v>73</v>
      </c>
      <c r="BZ81" s="162"/>
      <c r="CA81" s="163"/>
      <c r="CB81" s="163"/>
      <c r="CC81" s="163"/>
      <c r="CD81" s="163"/>
      <c r="CE81" s="163"/>
      <c r="CF81" s="163"/>
      <c r="CG81" s="163"/>
      <c r="CH81" s="163"/>
      <c r="CI81" s="164"/>
      <c r="DE81" s="140">
        <v>2</v>
      </c>
      <c r="DF81" s="161" t="s">
        <v>74</v>
      </c>
      <c r="DG81" s="162"/>
      <c r="DH81" s="163"/>
      <c r="DI81" s="163"/>
      <c r="DJ81" s="163"/>
      <c r="DK81" s="163"/>
      <c r="DL81" s="163"/>
      <c r="DM81" s="163"/>
      <c r="DN81" s="163"/>
      <c r="DO81" s="163"/>
      <c r="DP81" s="164"/>
      <c r="EH81" s="313">
        <v>78</v>
      </c>
      <c r="EI81" s="314"/>
      <c r="EJ81" s="247" t="str">
        <f t="shared" si="38"/>
        <v/>
      </c>
      <c r="EK81" t="str">
        <f t="shared" si="39"/>
        <v/>
      </c>
    </row>
    <row r="82" spans="1:141" x14ac:dyDescent="0.25">
      <c r="A82" s="42"/>
      <c r="B82" s="250">
        <v>79</v>
      </c>
      <c r="C82" s="44"/>
      <c r="D82" s="45">
        <f t="shared" si="36"/>
        <v>0</v>
      </c>
      <c r="K82" s="44">
        <v>59</v>
      </c>
      <c r="L82" s="49">
        <v>0.92449999999999999</v>
      </c>
      <c r="N82" s="392">
        <v>79</v>
      </c>
      <c r="O82" s="391"/>
      <c r="P82" s="391"/>
      <c r="Q82" s="391"/>
      <c r="R82" s="393"/>
      <c r="S82" s="393"/>
      <c r="T82" s="391"/>
      <c r="U82" s="401" t="str">
        <f t="shared" si="40"/>
        <v/>
      </c>
      <c r="V82" s="401" t="str">
        <f t="shared" si="37"/>
        <v/>
      </c>
      <c r="AM82" s="378"/>
      <c r="AN82" s="378"/>
      <c r="BX82" s="140">
        <v>3</v>
      </c>
      <c r="BY82" s="161" t="s">
        <v>75</v>
      </c>
      <c r="BZ82" s="162"/>
      <c r="CA82" s="163"/>
      <c r="CB82" s="163"/>
      <c r="CC82" s="163"/>
      <c r="CD82" s="163"/>
      <c r="CE82" s="163"/>
      <c r="CF82" s="163"/>
      <c r="CG82" s="163"/>
      <c r="CH82" s="163"/>
      <c r="CI82" s="164"/>
      <c r="DE82" s="140">
        <v>3</v>
      </c>
      <c r="DF82" s="161" t="s">
        <v>76</v>
      </c>
      <c r="DG82" s="162"/>
      <c r="DH82" s="163"/>
      <c r="DI82" s="163"/>
      <c r="DJ82" s="163"/>
      <c r="DK82" s="163"/>
      <c r="DL82" s="163"/>
      <c r="DM82" s="163"/>
      <c r="DN82" s="163"/>
      <c r="DO82" s="163"/>
      <c r="DP82" s="164"/>
      <c r="EH82" s="313">
        <v>79</v>
      </c>
      <c r="EI82" s="314"/>
      <c r="EJ82" s="247" t="str">
        <f t="shared" si="38"/>
        <v/>
      </c>
      <c r="EK82" t="str">
        <f t="shared" si="39"/>
        <v/>
      </c>
    </row>
    <row r="83" spans="1:141" ht="13.8" thickBot="1" x14ac:dyDescent="0.3">
      <c r="A83" s="125"/>
      <c r="B83" s="250">
        <v>80</v>
      </c>
      <c r="C83" s="44"/>
      <c r="D83" s="45">
        <f t="shared" si="36"/>
        <v>0</v>
      </c>
      <c r="K83" s="44">
        <v>59.5</v>
      </c>
      <c r="L83" s="49">
        <v>0.92349999999999999</v>
      </c>
      <c r="N83" s="392">
        <v>80</v>
      </c>
      <c r="O83" s="391"/>
      <c r="P83" s="391"/>
      <c r="Q83" s="391"/>
      <c r="R83" s="393"/>
      <c r="S83" s="393"/>
      <c r="T83" s="391"/>
      <c r="U83" s="401" t="str">
        <f t="shared" si="40"/>
        <v/>
      </c>
      <c r="V83" s="401" t="str">
        <f t="shared" si="37"/>
        <v/>
      </c>
      <c r="BX83" s="140">
        <v>4</v>
      </c>
      <c r="BY83" s="161" t="s">
        <v>77</v>
      </c>
      <c r="BZ83" s="162"/>
      <c r="CA83" s="163"/>
      <c r="CB83" s="163"/>
      <c r="CC83" s="163"/>
      <c r="CD83" s="163"/>
      <c r="CE83" s="163"/>
      <c r="CF83" s="163"/>
      <c r="CG83" s="163"/>
      <c r="CH83" s="163"/>
      <c r="CI83" s="164"/>
      <c r="DE83" s="140">
        <v>4</v>
      </c>
      <c r="DF83" s="161" t="s">
        <v>78</v>
      </c>
      <c r="DG83" s="162"/>
      <c r="DH83" s="163"/>
      <c r="DI83" s="163"/>
      <c r="DJ83" s="163"/>
      <c r="DK83" s="163"/>
      <c r="DL83" s="163"/>
      <c r="DM83" s="163"/>
      <c r="DN83" s="163"/>
      <c r="DO83" s="163"/>
      <c r="DP83" s="164"/>
      <c r="EH83" s="313">
        <v>80</v>
      </c>
      <c r="EI83" s="314">
        <v>0.95689999999999997</v>
      </c>
      <c r="EJ83" s="247">
        <f t="shared" si="38"/>
        <v>1</v>
      </c>
      <c r="EK83">
        <f t="shared" si="39"/>
        <v>9.7642857142857128E-2</v>
      </c>
    </row>
    <row r="84" spans="1:141" ht="13.8" thickTop="1" x14ac:dyDescent="0.25">
      <c r="A84" s="159"/>
      <c r="B84" s="250">
        <v>81</v>
      </c>
      <c r="C84" s="44"/>
      <c r="D84" s="45">
        <f t="shared" si="36"/>
        <v>0</v>
      </c>
      <c r="K84" s="44">
        <v>60</v>
      </c>
      <c r="L84" s="49">
        <v>0.92249999999999999</v>
      </c>
      <c r="N84" s="392">
        <v>81</v>
      </c>
      <c r="O84" s="391"/>
      <c r="P84" s="391"/>
      <c r="Q84" s="391"/>
      <c r="R84" s="393"/>
      <c r="S84" s="393"/>
      <c r="T84" s="391"/>
      <c r="U84" s="401" t="str">
        <f t="shared" si="40"/>
        <v/>
      </c>
      <c r="V84" s="401" t="str">
        <f t="shared" si="37"/>
        <v/>
      </c>
      <c r="BX84" s="140">
        <v>5</v>
      </c>
      <c r="BY84" s="161" t="s">
        <v>79</v>
      </c>
      <c r="BZ84" s="162"/>
      <c r="CA84" s="163"/>
      <c r="CB84" s="163"/>
      <c r="CC84" s="163"/>
      <c r="CD84" s="163"/>
      <c r="CE84" s="163"/>
      <c r="CF84" s="163"/>
      <c r="CG84" s="163"/>
      <c r="CH84" s="163"/>
      <c r="CI84" s="164"/>
      <c r="DE84" s="140">
        <v>5</v>
      </c>
      <c r="DF84" s="161" t="s">
        <v>80</v>
      </c>
      <c r="DG84" s="162"/>
      <c r="DH84" s="163"/>
      <c r="DI84" s="163"/>
      <c r="DJ84" s="163"/>
      <c r="DK84" s="163"/>
      <c r="DL84" s="163"/>
      <c r="DM84" s="163"/>
      <c r="DN84" s="163"/>
      <c r="DO84" s="163"/>
      <c r="DP84" s="164"/>
      <c r="EH84" s="313">
        <v>81</v>
      </c>
      <c r="EI84" s="314"/>
      <c r="EJ84" s="247" t="str">
        <f t="shared" si="38"/>
        <v/>
      </c>
      <c r="EK84" t="str">
        <f t="shared" si="39"/>
        <v/>
      </c>
    </row>
    <row r="85" spans="1:141" x14ac:dyDescent="0.25">
      <c r="A85" s="62"/>
      <c r="B85" s="250">
        <v>82</v>
      </c>
      <c r="C85" s="44"/>
      <c r="D85" s="45">
        <f t="shared" si="36"/>
        <v>0</v>
      </c>
      <c r="K85" s="44">
        <v>60.5</v>
      </c>
      <c r="L85" s="49">
        <v>0.92159999999999997</v>
      </c>
      <c r="N85" s="392">
        <v>82</v>
      </c>
      <c r="O85" s="391"/>
      <c r="P85" s="391"/>
      <c r="Q85" s="391"/>
      <c r="R85" s="393"/>
      <c r="S85" s="393"/>
      <c r="T85" s="391"/>
      <c r="U85" s="401" t="str">
        <f t="shared" si="40"/>
        <v/>
      </c>
      <c r="V85" s="401" t="str">
        <f t="shared" si="37"/>
        <v/>
      </c>
      <c r="BX85" s="140">
        <v>6</v>
      </c>
      <c r="BY85" s="161" t="s">
        <v>81</v>
      </c>
      <c r="BZ85" s="162"/>
      <c r="CA85" s="163"/>
      <c r="CB85" s="163"/>
      <c r="CC85" s="163"/>
      <c r="CD85" s="163"/>
      <c r="CE85" s="163"/>
      <c r="CF85" s="163"/>
      <c r="CG85" s="163"/>
      <c r="CH85" s="163"/>
      <c r="CI85" s="164"/>
      <c r="DE85" s="140">
        <v>6</v>
      </c>
      <c r="DF85" s="161" t="s">
        <v>82</v>
      </c>
      <c r="DG85" s="162"/>
      <c r="DH85" s="163"/>
      <c r="DI85" s="163"/>
      <c r="DJ85" s="163"/>
      <c r="DK85" s="163"/>
      <c r="DL85" s="163"/>
      <c r="DM85" s="163"/>
      <c r="DN85" s="163"/>
      <c r="DO85" s="163"/>
      <c r="DP85" s="164"/>
      <c r="EH85" s="313">
        <v>82</v>
      </c>
      <c r="EI85" s="314"/>
      <c r="EJ85" s="247" t="str">
        <f t="shared" si="38"/>
        <v/>
      </c>
      <c r="EK85" t="str">
        <f t="shared" si="39"/>
        <v/>
      </c>
    </row>
    <row r="86" spans="1:141" x14ac:dyDescent="0.25">
      <c r="A86" s="62"/>
      <c r="B86" s="250">
        <v>83</v>
      </c>
      <c r="C86" s="44"/>
      <c r="D86" s="45">
        <f t="shared" si="36"/>
        <v>0</v>
      </c>
      <c r="K86" s="44">
        <v>61</v>
      </c>
      <c r="L86" s="49">
        <v>0.92059999999999997</v>
      </c>
      <c r="N86" s="392">
        <v>83</v>
      </c>
      <c r="O86" s="391"/>
      <c r="P86" s="391"/>
      <c r="Q86" s="391"/>
      <c r="R86" s="393"/>
      <c r="S86" s="393"/>
      <c r="T86" s="391"/>
      <c r="U86" s="401" t="str">
        <f t="shared" si="40"/>
        <v/>
      </c>
      <c r="V86" s="401" t="str">
        <f t="shared" si="37"/>
        <v/>
      </c>
      <c r="BX86" s="140">
        <v>7</v>
      </c>
      <c r="BY86" s="161" t="s">
        <v>83</v>
      </c>
      <c r="BZ86" s="162"/>
      <c r="CA86" s="163"/>
      <c r="CB86" s="163"/>
      <c r="CC86" s="163"/>
      <c r="CD86" s="163"/>
      <c r="CE86" s="163"/>
      <c r="CF86" s="163"/>
      <c r="CG86" s="163"/>
      <c r="CH86" s="163"/>
      <c r="CI86" s="164"/>
      <c r="DE86" s="140">
        <v>7</v>
      </c>
      <c r="DF86" s="161" t="s">
        <v>84</v>
      </c>
      <c r="DG86" s="162"/>
      <c r="DH86" s="163"/>
      <c r="DI86" s="163"/>
      <c r="DJ86" s="163"/>
      <c r="DK86" s="163"/>
      <c r="DL86" s="163"/>
      <c r="DM86" s="163"/>
      <c r="DN86" s="163"/>
      <c r="DO86" s="163"/>
      <c r="DP86" s="164"/>
      <c r="EH86" s="313">
        <v>83</v>
      </c>
      <c r="EI86" s="314"/>
      <c r="EJ86" s="247" t="str">
        <f t="shared" si="38"/>
        <v/>
      </c>
      <c r="EK86" t="str">
        <f t="shared" si="39"/>
        <v/>
      </c>
    </row>
    <row r="87" spans="1:141" x14ac:dyDescent="0.25">
      <c r="A87" s="62"/>
      <c r="B87" s="250">
        <v>84</v>
      </c>
      <c r="C87" s="44"/>
      <c r="D87" s="45">
        <f t="shared" si="36"/>
        <v>0</v>
      </c>
      <c r="K87" s="44">
        <v>61.5</v>
      </c>
      <c r="L87" s="49">
        <v>0.91959999999999997</v>
      </c>
      <c r="N87" s="392">
        <v>84</v>
      </c>
      <c r="O87" s="391"/>
      <c r="P87" s="391"/>
      <c r="Q87" s="391"/>
      <c r="R87" s="393"/>
      <c r="S87" s="393"/>
      <c r="T87" s="391"/>
      <c r="U87" s="401" t="str">
        <f t="shared" si="40"/>
        <v/>
      </c>
      <c r="V87" s="401" t="str">
        <f t="shared" si="37"/>
        <v/>
      </c>
      <c r="BX87" s="140">
        <v>8</v>
      </c>
      <c r="BY87" s="167"/>
      <c r="BZ87" s="168"/>
      <c r="CA87" s="168"/>
      <c r="CB87" s="168"/>
      <c r="CC87" s="168"/>
      <c r="CD87" s="168"/>
      <c r="CE87" s="168"/>
      <c r="CF87" s="168"/>
      <c r="CG87" s="168"/>
      <c r="CH87" s="168"/>
      <c r="CI87" s="169"/>
      <c r="DE87" s="140">
        <v>8</v>
      </c>
      <c r="DF87" s="170" t="s">
        <v>85</v>
      </c>
      <c r="DG87" s="168"/>
      <c r="DH87" s="168"/>
      <c r="DI87" s="168"/>
      <c r="DJ87" s="168"/>
      <c r="DK87" s="168"/>
      <c r="DL87" s="168"/>
      <c r="DM87" s="168"/>
      <c r="DN87" s="168"/>
      <c r="DO87" s="168"/>
      <c r="DP87" s="169"/>
      <c r="EH87" s="313">
        <v>84</v>
      </c>
      <c r="EI87" s="314"/>
      <c r="EJ87" s="247" t="str">
        <f t="shared" si="38"/>
        <v/>
      </c>
      <c r="EK87" t="str">
        <f t="shared" si="39"/>
        <v/>
      </c>
    </row>
    <row r="88" spans="1:141" x14ac:dyDescent="0.25">
      <c r="A88" s="42"/>
      <c r="B88" s="250">
        <v>85</v>
      </c>
      <c r="C88" s="44"/>
      <c r="D88" s="45">
        <f t="shared" si="36"/>
        <v>0</v>
      </c>
      <c r="K88" s="44">
        <v>62</v>
      </c>
      <c r="L88" s="49">
        <v>0.91869999999999996</v>
      </c>
      <c r="N88" s="392">
        <v>85</v>
      </c>
      <c r="O88" s="391"/>
      <c r="P88" s="391"/>
      <c r="Q88" s="391"/>
      <c r="R88" s="393"/>
      <c r="S88" s="393"/>
      <c r="T88" s="391"/>
      <c r="U88" s="401" t="str">
        <f t="shared" si="40"/>
        <v/>
      </c>
      <c r="V88" s="401" t="str">
        <f t="shared" si="37"/>
        <v/>
      </c>
      <c r="BX88" s="140">
        <v>9</v>
      </c>
      <c r="BY88" s="167"/>
      <c r="BZ88" s="168"/>
      <c r="CA88" s="168"/>
      <c r="CB88" s="168"/>
      <c r="CC88" s="168"/>
      <c r="CD88" s="168"/>
      <c r="CE88" s="168"/>
      <c r="CF88" s="168"/>
      <c r="CG88" s="168"/>
      <c r="CH88" s="168"/>
      <c r="CI88" s="169"/>
      <c r="DE88" s="140">
        <v>9</v>
      </c>
      <c r="DF88" s="167"/>
      <c r="DG88" s="168"/>
      <c r="DH88" s="168"/>
      <c r="DI88" s="168"/>
      <c r="DJ88" s="168"/>
      <c r="DK88" s="168"/>
      <c r="DL88" s="168"/>
      <c r="DM88" s="168"/>
      <c r="DN88" s="168"/>
      <c r="DO88" s="168"/>
      <c r="DP88" s="169"/>
      <c r="EH88" s="313">
        <v>85</v>
      </c>
      <c r="EI88" s="314"/>
      <c r="EJ88" s="247" t="str">
        <f t="shared" si="38"/>
        <v/>
      </c>
      <c r="EK88" t="str">
        <f t="shared" si="39"/>
        <v/>
      </c>
    </row>
    <row r="89" spans="1:141" x14ac:dyDescent="0.25">
      <c r="A89" s="42"/>
      <c r="B89" s="250">
        <v>86</v>
      </c>
      <c r="C89" s="44"/>
      <c r="D89" s="45">
        <f t="shared" si="36"/>
        <v>0</v>
      </c>
      <c r="K89" s="44">
        <v>62.5</v>
      </c>
      <c r="L89" s="49">
        <v>0.91769999999999996</v>
      </c>
      <c r="N89" s="392">
        <v>86</v>
      </c>
      <c r="O89" s="391"/>
      <c r="P89" s="391"/>
      <c r="Q89" s="391"/>
      <c r="R89" s="393"/>
      <c r="S89" s="393"/>
      <c r="T89" s="391"/>
      <c r="U89" s="401" t="str">
        <f t="shared" si="40"/>
        <v/>
      </c>
      <c r="V89" s="401" t="str">
        <f t="shared" si="37"/>
        <v/>
      </c>
      <c r="BX89" s="140">
        <v>10</v>
      </c>
      <c r="BY89" s="167"/>
      <c r="BZ89" s="168"/>
      <c r="CA89" s="168"/>
      <c r="CB89" s="168"/>
      <c r="CC89" s="168"/>
      <c r="CD89" s="168"/>
      <c r="CE89" s="168"/>
      <c r="CF89" s="168"/>
      <c r="CG89" s="168"/>
      <c r="CH89" s="168"/>
      <c r="CI89" s="169"/>
      <c r="DE89" s="140">
        <v>10</v>
      </c>
      <c r="DF89" s="167"/>
      <c r="DG89" s="168"/>
      <c r="DH89" s="168"/>
      <c r="DI89" s="168"/>
      <c r="DJ89" s="168"/>
      <c r="DK89" s="168"/>
      <c r="DL89" s="168"/>
      <c r="DM89" s="168"/>
      <c r="DN89" s="168"/>
      <c r="DO89" s="168"/>
      <c r="DP89" s="169"/>
      <c r="EH89" s="313">
        <v>86</v>
      </c>
      <c r="EI89" s="314"/>
      <c r="EJ89" s="247" t="str">
        <f t="shared" si="38"/>
        <v/>
      </c>
      <c r="EK89" t="str">
        <f t="shared" si="39"/>
        <v/>
      </c>
    </row>
    <row r="90" spans="1:141" x14ac:dyDescent="0.25">
      <c r="A90" s="42"/>
      <c r="B90" s="250">
        <v>87</v>
      </c>
      <c r="C90" s="44"/>
      <c r="D90" s="45">
        <f t="shared" si="36"/>
        <v>0</v>
      </c>
      <c r="K90" s="44">
        <v>63</v>
      </c>
      <c r="L90" s="49">
        <v>0.91669999999999996</v>
      </c>
      <c r="N90" s="392">
        <v>87</v>
      </c>
      <c r="O90" s="391"/>
      <c r="P90" s="391"/>
      <c r="Q90" s="391"/>
      <c r="R90" s="393"/>
      <c r="S90" s="393"/>
      <c r="T90" s="391"/>
      <c r="U90" s="401" t="str">
        <f t="shared" si="40"/>
        <v/>
      </c>
      <c r="V90" s="401" t="str">
        <f t="shared" si="37"/>
        <v/>
      </c>
      <c r="BX90" s="140">
        <v>11</v>
      </c>
      <c r="BY90" s="167"/>
      <c r="BZ90" s="168"/>
      <c r="CA90" s="168"/>
      <c r="CB90" s="168"/>
      <c r="CC90" s="168"/>
      <c r="CD90" s="168"/>
      <c r="CE90" s="168"/>
      <c r="CF90" s="168"/>
      <c r="CG90" s="168"/>
      <c r="CH90" s="168"/>
      <c r="CI90" s="169"/>
      <c r="DE90" s="140">
        <v>11</v>
      </c>
      <c r="DF90" s="167"/>
      <c r="DG90" s="168"/>
      <c r="DH90" s="168"/>
      <c r="DI90" s="168"/>
      <c r="DJ90" s="168"/>
      <c r="DK90" s="168"/>
      <c r="DL90" s="168"/>
      <c r="DM90" s="168"/>
      <c r="DN90" s="168"/>
      <c r="DO90" s="168"/>
      <c r="DP90" s="169"/>
      <c r="EH90" s="313">
        <v>87</v>
      </c>
      <c r="EI90" s="314"/>
      <c r="EJ90" s="247" t="str">
        <f t="shared" si="38"/>
        <v/>
      </c>
      <c r="EK90" t="str">
        <f t="shared" si="39"/>
        <v/>
      </c>
    </row>
    <row r="91" spans="1:141" x14ac:dyDescent="0.25">
      <c r="A91" s="62"/>
      <c r="B91" s="250">
        <v>88</v>
      </c>
      <c r="C91" s="44"/>
      <c r="D91" s="45">
        <f t="shared" si="36"/>
        <v>0</v>
      </c>
      <c r="K91" s="44">
        <v>63.5</v>
      </c>
      <c r="L91" s="49">
        <v>0.91569999999999996</v>
      </c>
      <c r="N91" s="392">
        <v>88</v>
      </c>
      <c r="O91" s="391"/>
      <c r="P91" s="391"/>
      <c r="Q91" s="391"/>
      <c r="R91" s="393"/>
      <c r="S91" s="393"/>
      <c r="T91" s="391"/>
      <c r="U91" s="401" t="str">
        <f t="shared" si="40"/>
        <v/>
      </c>
      <c r="V91" s="401" t="str">
        <f t="shared" si="37"/>
        <v/>
      </c>
      <c r="BX91" s="140">
        <v>12</v>
      </c>
      <c r="BY91" s="167"/>
      <c r="BZ91" s="168"/>
      <c r="CA91" s="168"/>
      <c r="CB91" s="168"/>
      <c r="CC91" s="168"/>
      <c r="CD91" s="168"/>
      <c r="CE91" s="168"/>
      <c r="CF91" s="168"/>
      <c r="CG91" s="168"/>
      <c r="CH91" s="168"/>
      <c r="CI91" s="169"/>
      <c r="DE91" s="140">
        <v>12</v>
      </c>
      <c r="DF91" s="167"/>
      <c r="DG91" s="168"/>
      <c r="DH91" s="168"/>
      <c r="DI91" s="168"/>
      <c r="DJ91" s="168"/>
      <c r="DK91" s="168"/>
      <c r="DL91" s="168"/>
      <c r="DM91" s="168"/>
      <c r="DN91" s="168"/>
      <c r="DO91" s="168"/>
      <c r="DP91" s="169"/>
      <c r="EH91" s="313">
        <v>88</v>
      </c>
      <c r="EI91" s="314"/>
      <c r="EJ91" s="247" t="str">
        <f t="shared" si="38"/>
        <v/>
      </c>
      <c r="EK91" t="str">
        <f t="shared" si="39"/>
        <v/>
      </c>
    </row>
    <row r="92" spans="1:141" x14ac:dyDescent="0.25">
      <c r="A92" s="62"/>
      <c r="B92" s="250">
        <v>89</v>
      </c>
      <c r="C92" s="44"/>
      <c r="D92" s="45">
        <f t="shared" si="36"/>
        <v>0</v>
      </c>
      <c r="K92" s="44">
        <v>64</v>
      </c>
      <c r="L92" s="49">
        <v>0.91479999999999995</v>
      </c>
      <c r="N92" s="392">
        <v>89</v>
      </c>
      <c r="O92" s="391"/>
      <c r="P92" s="391"/>
      <c r="Q92" s="391"/>
      <c r="R92" s="393"/>
      <c r="S92" s="393"/>
      <c r="T92" s="391"/>
      <c r="U92" s="401" t="str">
        <f t="shared" si="40"/>
        <v/>
      </c>
      <c r="V92" s="401" t="str">
        <f t="shared" si="37"/>
        <v/>
      </c>
      <c r="BX92" s="140">
        <v>13</v>
      </c>
      <c r="BY92" s="167"/>
      <c r="BZ92" s="168"/>
      <c r="CA92" s="168"/>
      <c r="CB92" s="168"/>
      <c r="CC92" s="168"/>
      <c r="CD92" s="168"/>
      <c r="CE92" s="168"/>
      <c r="CF92" s="168"/>
      <c r="CG92" s="168"/>
      <c r="CH92" s="168"/>
      <c r="CI92" s="169"/>
      <c r="DE92" s="140">
        <v>13</v>
      </c>
      <c r="DF92" s="167"/>
      <c r="DG92" s="168"/>
      <c r="DH92" s="168"/>
      <c r="DI92" s="168"/>
      <c r="DJ92" s="168"/>
      <c r="DK92" s="168"/>
      <c r="DL92" s="168"/>
      <c r="DM92" s="168"/>
      <c r="DN92" s="168"/>
      <c r="DO92" s="168"/>
      <c r="DP92" s="169"/>
      <c r="EH92" s="313">
        <v>89</v>
      </c>
      <c r="EI92" s="314"/>
      <c r="EJ92" s="247" t="str">
        <f t="shared" si="38"/>
        <v/>
      </c>
      <c r="EK92" t="str">
        <f t="shared" si="39"/>
        <v/>
      </c>
    </row>
    <row r="93" spans="1:141" x14ac:dyDescent="0.25">
      <c r="A93" s="62"/>
      <c r="B93" s="250">
        <v>90</v>
      </c>
      <c r="C93" s="44"/>
      <c r="D93" s="45">
        <f t="shared" si="36"/>
        <v>0</v>
      </c>
      <c r="K93" s="44">
        <v>64.5</v>
      </c>
      <c r="L93" s="49">
        <v>0.91379999999999995</v>
      </c>
      <c r="N93" s="392">
        <v>90</v>
      </c>
      <c r="O93" s="391"/>
      <c r="P93" s="391"/>
      <c r="Q93" s="391"/>
      <c r="R93" s="393"/>
      <c r="S93" s="393"/>
      <c r="T93" s="391"/>
      <c r="U93" s="401" t="str">
        <f t="shared" si="40"/>
        <v/>
      </c>
      <c r="V93" s="401" t="str">
        <f t="shared" si="37"/>
        <v/>
      </c>
      <c r="BX93" s="140">
        <v>14</v>
      </c>
      <c r="BY93" s="167"/>
      <c r="BZ93" s="168"/>
      <c r="CA93" s="168"/>
      <c r="CB93" s="168"/>
      <c r="CC93" s="168"/>
      <c r="CD93" s="168"/>
      <c r="CE93" s="168"/>
      <c r="CF93" s="168"/>
      <c r="CG93" s="168"/>
      <c r="CH93" s="168"/>
      <c r="CI93" s="169"/>
      <c r="DE93" s="140">
        <v>14</v>
      </c>
      <c r="DF93" s="167"/>
      <c r="DG93" s="168"/>
      <c r="DH93" s="168"/>
      <c r="DI93" s="168"/>
      <c r="DJ93" s="168"/>
      <c r="DK93" s="168"/>
      <c r="DL93" s="168"/>
      <c r="DM93" s="168"/>
      <c r="DN93" s="168"/>
      <c r="DO93" s="168"/>
      <c r="DP93" s="169"/>
      <c r="EH93" s="313">
        <v>90</v>
      </c>
      <c r="EI93" s="314">
        <v>1.0765</v>
      </c>
      <c r="EJ93" s="247">
        <f t="shared" si="38"/>
        <v>1</v>
      </c>
      <c r="EK93">
        <f t="shared" si="39"/>
        <v>0.1098469387755102</v>
      </c>
    </row>
    <row r="94" spans="1:141" x14ac:dyDescent="0.25">
      <c r="A94" s="42"/>
      <c r="B94" s="250">
        <v>91</v>
      </c>
      <c r="C94" s="44"/>
      <c r="D94" s="45">
        <f t="shared" si="36"/>
        <v>0</v>
      </c>
      <c r="K94" s="44">
        <v>65</v>
      </c>
      <c r="L94" s="49">
        <v>0.91279999999999994</v>
      </c>
      <c r="N94" s="392">
        <v>91</v>
      </c>
      <c r="O94" s="391"/>
      <c r="P94" s="391"/>
      <c r="Q94" s="391"/>
      <c r="R94" s="393"/>
      <c r="S94" s="393"/>
      <c r="T94" s="391"/>
      <c r="U94" s="401" t="str">
        <f t="shared" si="40"/>
        <v/>
      </c>
      <c r="V94" s="401" t="str">
        <f t="shared" si="37"/>
        <v/>
      </c>
      <c r="BX94" s="140">
        <v>15</v>
      </c>
      <c r="BY94" s="167"/>
      <c r="BZ94" s="168"/>
      <c r="CA94" s="168"/>
      <c r="CB94" s="168"/>
      <c r="CC94" s="168"/>
      <c r="CD94" s="168"/>
      <c r="CE94" s="168"/>
      <c r="CF94" s="168"/>
      <c r="CG94" s="168"/>
      <c r="CH94" s="168"/>
      <c r="CI94" s="169"/>
      <c r="DE94" s="140">
        <v>15</v>
      </c>
      <c r="DF94" s="167"/>
      <c r="DG94" s="168"/>
      <c r="DH94" s="168"/>
      <c r="DI94" s="168"/>
      <c r="DJ94" s="168"/>
      <c r="DK94" s="168"/>
      <c r="DL94" s="168"/>
      <c r="DM94" s="168"/>
      <c r="DN94" s="168"/>
      <c r="DO94" s="168"/>
      <c r="DP94" s="169"/>
      <c r="EH94" s="313">
        <v>91</v>
      </c>
      <c r="EI94" s="314"/>
      <c r="EJ94" s="247" t="str">
        <f t="shared" si="38"/>
        <v/>
      </c>
      <c r="EK94" t="str">
        <f t="shared" si="39"/>
        <v/>
      </c>
    </row>
    <row r="95" spans="1:141" x14ac:dyDescent="0.25">
      <c r="A95" s="42"/>
      <c r="B95" s="250">
        <v>92</v>
      </c>
      <c r="C95" s="44"/>
      <c r="D95" s="45">
        <f t="shared" si="36"/>
        <v>0</v>
      </c>
      <c r="K95" s="44">
        <v>65.5</v>
      </c>
      <c r="L95" s="49">
        <v>0.91190000000000004</v>
      </c>
      <c r="N95" s="392">
        <v>92</v>
      </c>
      <c r="O95" s="391"/>
      <c r="P95" s="391"/>
      <c r="Q95" s="391"/>
      <c r="R95" s="393"/>
      <c r="S95" s="393"/>
      <c r="T95" s="391"/>
      <c r="U95" s="401" t="str">
        <f t="shared" si="40"/>
        <v/>
      </c>
      <c r="V95" s="401" t="str">
        <f t="shared" si="37"/>
        <v/>
      </c>
      <c r="BX95" s="140">
        <v>16</v>
      </c>
      <c r="BY95" s="167"/>
      <c r="BZ95" s="168"/>
      <c r="CA95" s="168"/>
      <c r="CB95" s="168"/>
      <c r="CC95" s="168"/>
      <c r="CD95" s="168"/>
      <c r="CE95" s="168"/>
      <c r="CF95" s="168"/>
      <c r="CG95" s="168"/>
      <c r="CH95" s="168"/>
      <c r="CI95" s="169"/>
      <c r="DE95" s="140">
        <v>16</v>
      </c>
      <c r="DF95" s="167"/>
      <c r="DG95" s="168"/>
      <c r="DH95" s="168"/>
      <c r="DI95" s="168"/>
      <c r="DJ95" s="168"/>
      <c r="DK95" s="168"/>
      <c r="DL95" s="168"/>
      <c r="DM95" s="168"/>
      <c r="DN95" s="168"/>
      <c r="DO95" s="168"/>
      <c r="DP95" s="169"/>
      <c r="EH95" s="313">
        <v>92</v>
      </c>
      <c r="EI95" s="314"/>
      <c r="EJ95" s="247" t="str">
        <f t="shared" si="38"/>
        <v/>
      </c>
      <c r="EK95" t="str">
        <f t="shared" si="39"/>
        <v/>
      </c>
    </row>
    <row r="96" spans="1:141" x14ac:dyDescent="0.25">
      <c r="A96" s="42"/>
      <c r="B96" s="261">
        <v>93</v>
      </c>
      <c r="C96" s="44"/>
      <c r="D96" s="45">
        <f t="shared" si="36"/>
        <v>0</v>
      </c>
      <c r="E96" s="318"/>
      <c r="K96" s="44">
        <v>66</v>
      </c>
      <c r="L96" s="49">
        <v>0.91090000000000004</v>
      </c>
      <c r="N96" s="392">
        <v>93</v>
      </c>
      <c r="O96" s="391"/>
      <c r="P96" s="391"/>
      <c r="Q96" s="391"/>
      <c r="R96" s="393"/>
      <c r="S96" s="393"/>
      <c r="T96" s="391"/>
      <c r="U96" s="401" t="str">
        <f t="shared" si="40"/>
        <v/>
      </c>
      <c r="V96" s="401" t="str">
        <f t="shared" si="37"/>
        <v/>
      </c>
      <c r="BX96" s="140">
        <v>17</v>
      </c>
      <c r="BY96" s="167"/>
      <c r="BZ96" s="168"/>
      <c r="CA96" s="168"/>
      <c r="CB96" s="168"/>
      <c r="CC96" s="168"/>
      <c r="CD96" s="168"/>
      <c r="CE96" s="168"/>
      <c r="CF96" s="168"/>
      <c r="CG96" s="168"/>
      <c r="CH96" s="168"/>
      <c r="CI96" s="169"/>
      <c r="DE96" s="140">
        <v>17</v>
      </c>
      <c r="DF96" s="167"/>
      <c r="DG96" s="168"/>
      <c r="DH96" s="168"/>
      <c r="DI96" s="168"/>
      <c r="DJ96" s="168"/>
      <c r="DK96" s="168"/>
      <c r="DL96" s="168"/>
      <c r="DM96" s="168"/>
      <c r="DN96" s="168"/>
      <c r="DO96" s="168"/>
      <c r="DP96" s="169"/>
      <c r="EH96" s="313">
        <v>93</v>
      </c>
      <c r="EI96" s="314"/>
      <c r="EJ96" s="247" t="str">
        <f t="shared" si="38"/>
        <v/>
      </c>
      <c r="EK96" t="str">
        <f t="shared" si="39"/>
        <v/>
      </c>
    </row>
    <row r="97" spans="1:141" x14ac:dyDescent="0.25">
      <c r="A97" s="42"/>
      <c r="B97" s="261">
        <v>94</v>
      </c>
      <c r="C97" s="44"/>
      <c r="D97" s="45">
        <f t="shared" si="36"/>
        <v>0</v>
      </c>
      <c r="E97" s="251"/>
      <c r="K97" s="44">
        <v>66.5</v>
      </c>
      <c r="L97" s="49">
        <v>0.90990000000000004</v>
      </c>
      <c r="N97" s="392">
        <v>94</v>
      </c>
      <c r="O97" s="391"/>
      <c r="P97" s="391"/>
      <c r="Q97" s="391"/>
      <c r="R97" s="393"/>
      <c r="S97" s="393"/>
      <c r="T97" s="391"/>
      <c r="U97" s="401" t="str">
        <f t="shared" si="40"/>
        <v/>
      </c>
      <c r="V97" s="401" t="str">
        <f t="shared" si="37"/>
        <v/>
      </c>
      <c r="BX97" s="140">
        <v>18</v>
      </c>
      <c r="BY97" s="167"/>
      <c r="BZ97" s="168"/>
      <c r="CA97" s="168"/>
      <c r="CB97" s="168"/>
      <c r="CC97" s="168"/>
      <c r="CD97" s="168"/>
      <c r="CE97" s="168"/>
      <c r="CF97" s="168"/>
      <c r="CG97" s="168"/>
      <c r="CH97" s="168"/>
      <c r="CI97" s="169"/>
      <c r="DE97" s="140">
        <v>18</v>
      </c>
      <c r="DF97" s="167"/>
      <c r="DG97" s="168"/>
      <c r="DH97" s="168"/>
      <c r="DI97" s="168"/>
      <c r="DJ97" s="168"/>
      <c r="DK97" s="168"/>
      <c r="DL97" s="168"/>
      <c r="DM97" s="168"/>
      <c r="DN97" s="168"/>
      <c r="DO97" s="168"/>
      <c r="DP97" s="169"/>
      <c r="EH97" s="313">
        <v>94</v>
      </c>
      <c r="EI97" s="314"/>
      <c r="EJ97" s="247" t="str">
        <f t="shared" si="38"/>
        <v/>
      </c>
      <c r="EK97" t="str">
        <f t="shared" si="39"/>
        <v/>
      </c>
    </row>
    <row r="98" spans="1:141" x14ac:dyDescent="0.25">
      <c r="A98" s="42"/>
      <c r="B98" s="261">
        <v>95</v>
      </c>
      <c r="C98" s="44"/>
      <c r="D98" s="45">
        <f t="shared" si="36"/>
        <v>0</v>
      </c>
      <c r="E98" s="262"/>
      <c r="K98" s="44">
        <v>67</v>
      </c>
      <c r="L98" s="49">
        <v>0.90900000000000003</v>
      </c>
      <c r="N98" s="392">
        <v>95</v>
      </c>
      <c r="O98" s="391"/>
      <c r="P98" s="391"/>
      <c r="Q98" s="391"/>
      <c r="R98" s="393"/>
      <c r="S98" s="393"/>
      <c r="T98" s="391"/>
      <c r="U98" s="401" t="str">
        <f t="shared" si="40"/>
        <v/>
      </c>
      <c r="V98" s="401" t="str">
        <f t="shared" si="37"/>
        <v/>
      </c>
      <c r="BX98" s="140">
        <v>19</v>
      </c>
      <c r="BY98" s="167"/>
      <c r="BZ98" s="168"/>
      <c r="CA98" s="168"/>
      <c r="CB98" s="168"/>
      <c r="CC98" s="168"/>
      <c r="CD98" s="168"/>
      <c r="CE98" s="168"/>
      <c r="CF98" s="168"/>
      <c r="CG98" s="168"/>
      <c r="CH98" s="168"/>
      <c r="CI98" s="169"/>
      <c r="DE98" s="140">
        <v>19</v>
      </c>
      <c r="DF98" s="167"/>
      <c r="DG98" s="168"/>
      <c r="DH98" s="168"/>
      <c r="DI98" s="168"/>
      <c r="DJ98" s="168"/>
      <c r="DK98" s="168"/>
      <c r="DL98" s="168"/>
      <c r="DM98" s="168"/>
      <c r="DN98" s="168"/>
      <c r="DO98" s="168"/>
      <c r="DP98" s="169"/>
      <c r="EH98" s="313">
        <v>95</v>
      </c>
      <c r="EI98" s="314"/>
      <c r="EJ98" s="247" t="str">
        <f t="shared" si="38"/>
        <v/>
      </c>
      <c r="EK98" t="str">
        <f t="shared" si="39"/>
        <v/>
      </c>
    </row>
    <row r="99" spans="1:141" x14ac:dyDescent="0.25">
      <c r="A99" s="42"/>
      <c r="B99" s="261">
        <v>96</v>
      </c>
      <c r="C99" s="44"/>
      <c r="D99" s="45">
        <f t="shared" si="36"/>
        <v>0</v>
      </c>
      <c r="E99" s="265"/>
      <c r="K99" s="44">
        <v>67.5</v>
      </c>
      <c r="L99" s="49">
        <v>0.90800000000000003</v>
      </c>
      <c r="N99" s="392">
        <v>96</v>
      </c>
      <c r="O99" s="391"/>
      <c r="P99" s="391"/>
      <c r="Q99" s="391"/>
      <c r="R99" s="393"/>
      <c r="S99" s="393"/>
      <c r="T99" s="391"/>
      <c r="U99" s="401" t="str">
        <f t="shared" si="40"/>
        <v/>
      </c>
      <c r="V99" s="401" t="str">
        <f t="shared" si="37"/>
        <v/>
      </c>
      <c r="BX99" s="140">
        <v>20</v>
      </c>
      <c r="BY99" s="167"/>
      <c r="BZ99" s="168"/>
      <c r="CA99" s="168"/>
      <c r="CB99" s="168"/>
      <c r="CC99" s="168"/>
      <c r="CD99" s="168"/>
      <c r="CE99" s="168"/>
      <c r="CF99" s="168"/>
      <c r="CG99" s="168"/>
      <c r="CH99" s="168"/>
      <c r="CI99" s="169"/>
      <c r="DE99" s="140">
        <v>20</v>
      </c>
      <c r="DF99" s="167"/>
      <c r="DG99" s="168"/>
      <c r="DH99" s="168"/>
      <c r="DI99" s="168"/>
      <c r="DJ99" s="168"/>
      <c r="DK99" s="168"/>
      <c r="DL99" s="168"/>
      <c r="DM99" s="168"/>
      <c r="DN99" s="168"/>
      <c r="DO99" s="168"/>
      <c r="DP99" s="169"/>
      <c r="EH99" s="313">
        <v>96</v>
      </c>
      <c r="EI99" s="314"/>
      <c r="EJ99" s="247" t="str">
        <f t="shared" si="38"/>
        <v/>
      </c>
      <c r="EK99" t="str">
        <f t="shared" si="39"/>
        <v/>
      </c>
    </row>
    <row r="100" spans="1:141" x14ac:dyDescent="0.25">
      <c r="A100" s="42"/>
      <c r="B100" s="261">
        <v>97</v>
      </c>
      <c r="C100" s="44"/>
      <c r="D100" s="45">
        <f t="shared" si="36"/>
        <v>0</v>
      </c>
      <c r="E100" s="269"/>
      <c r="K100" s="44">
        <v>68</v>
      </c>
      <c r="L100" s="49">
        <v>0.90700000000000003</v>
      </c>
      <c r="N100" s="392">
        <v>97</v>
      </c>
      <c r="O100" s="391"/>
      <c r="P100" s="391"/>
      <c r="Q100" s="391"/>
      <c r="R100" s="393"/>
      <c r="S100" s="393"/>
      <c r="T100" s="391"/>
      <c r="U100" s="401" t="str">
        <f t="shared" si="40"/>
        <v/>
      </c>
      <c r="V100" s="401" t="str">
        <f t="shared" si="37"/>
        <v/>
      </c>
      <c r="BX100" s="140">
        <v>21</v>
      </c>
      <c r="BY100" s="167"/>
      <c r="BZ100" s="168"/>
      <c r="CA100" s="168"/>
      <c r="CB100" s="168"/>
      <c r="CC100" s="168"/>
      <c r="CD100" s="168"/>
      <c r="CE100" s="168"/>
      <c r="CF100" s="168"/>
      <c r="CG100" s="168"/>
      <c r="CH100" s="168"/>
      <c r="CI100" s="169"/>
      <c r="DE100" s="140">
        <v>21</v>
      </c>
      <c r="DF100" s="167"/>
      <c r="DG100" s="168"/>
      <c r="DH100" s="168"/>
      <c r="DI100" s="168"/>
      <c r="DJ100" s="168"/>
      <c r="DK100" s="168"/>
      <c r="DL100" s="168"/>
      <c r="DM100" s="168"/>
      <c r="DN100" s="168"/>
      <c r="DO100" s="168"/>
      <c r="DP100" s="169"/>
      <c r="EH100" s="313">
        <v>97</v>
      </c>
      <c r="EI100" s="314"/>
      <c r="EJ100" s="247" t="str">
        <f t="shared" si="38"/>
        <v/>
      </c>
      <c r="EK100" t="str">
        <f t="shared" si="39"/>
        <v/>
      </c>
    </row>
    <row r="101" spans="1:141" x14ac:dyDescent="0.25">
      <c r="A101" s="42"/>
      <c r="B101" s="261">
        <v>98</v>
      </c>
      <c r="C101" s="44"/>
      <c r="D101" s="45">
        <f t="shared" si="36"/>
        <v>0</v>
      </c>
      <c r="K101" s="44">
        <v>68.5</v>
      </c>
      <c r="L101" s="49">
        <v>0.90610000000000002</v>
      </c>
      <c r="N101" s="392">
        <v>98</v>
      </c>
      <c r="O101" s="391"/>
      <c r="P101" s="391"/>
      <c r="Q101" s="391"/>
      <c r="R101" s="393"/>
      <c r="S101" s="393"/>
      <c r="T101" s="391"/>
      <c r="U101" s="401" t="str">
        <f t="shared" si="40"/>
        <v/>
      </c>
      <c r="V101" s="401" t="str">
        <f t="shared" si="37"/>
        <v/>
      </c>
      <c r="EH101" s="313">
        <v>98</v>
      </c>
      <c r="EI101" s="314"/>
      <c r="EJ101" s="247" t="str">
        <f t="shared" si="38"/>
        <v/>
      </c>
      <c r="EK101" t="str">
        <f t="shared" si="39"/>
        <v/>
      </c>
    </row>
    <row r="102" spans="1:141" x14ac:dyDescent="0.25">
      <c r="A102" s="42"/>
      <c r="B102" s="261">
        <v>99</v>
      </c>
      <c r="C102" s="44"/>
      <c r="D102" s="45">
        <f t="shared" si="36"/>
        <v>0</v>
      </c>
      <c r="K102" s="44">
        <v>69</v>
      </c>
      <c r="L102" s="49">
        <v>0.90510000000000002</v>
      </c>
      <c r="N102" s="392">
        <v>99</v>
      </c>
      <c r="O102" s="391"/>
      <c r="P102" s="391"/>
      <c r="Q102" s="391"/>
      <c r="R102" s="393"/>
      <c r="S102" s="393"/>
      <c r="T102" s="391"/>
      <c r="U102" s="401" t="str">
        <f t="shared" si="40"/>
        <v/>
      </c>
      <c r="V102" s="401" t="str">
        <f t="shared" si="37"/>
        <v/>
      </c>
      <c r="EH102" s="313">
        <v>99</v>
      </c>
      <c r="EI102" s="314"/>
      <c r="EJ102" s="247" t="str">
        <f t="shared" si="38"/>
        <v/>
      </c>
      <c r="EK102" t="str">
        <f t="shared" si="39"/>
        <v/>
      </c>
    </row>
    <row r="103" spans="1:141" ht="13.8" thickBot="1" x14ac:dyDescent="0.3">
      <c r="A103" s="158"/>
      <c r="B103" s="317">
        <v>100</v>
      </c>
      <c r="C103" s="44"/>
      <c r="D103" s="45">
        <f t="shared" si="36"/>
        <v>0</v>
      </c>
      <c r="K103" s="44">
        <v>69.5</v>
      </c>
      <c r="L103" s="49">
        <v>0.90410000000000001</v>
      </c>
      <c r="N103" s="392">
        <v>100</v>
      </c>
      <c r="O103" s="391"/>
      <c r="P103" s="391"/>
      <c r="Q103" s="391"/>
      <c r="R103" s="393"/>
      <c r="S103" s="393"/>
      <c r="T103" s="391"/>
      <c r="U103" s="401" t="str">
        <f t="shared" si="40"/>
        <v/>
      </c>
      <c r="V103" s="401" t="str">
        <f t="shared" si="37"/>
        <v/>
      </c>
      <c r="EH103" s="313">
        <v>100</v>
      </c>
      <c r="EI103" s="314">
        <v>1.1960999999999999</v>
      </c>
      <c r="EJ103" s="247">
        <f t="shared" si="38"/>
        <v>1</v>
      </c>
      <c r="EK103">
        <f t="shared" si="39"/>
        <v>0.12205102040816325</v>
      </c>
    </row>
    <row r="104" spans="1:141" ht="13.8" thickTop="1" x14ac:dyDescent="0.25">
      <c r="B104" s="317">
        <v>101</v>
      </c>
      <c r="C104">
        <v>73.8</v>
      </c>
      <c r="D104" s="45">
        <f t="shared" si="36"/>
        <v>73.8</v>
      </c>
      <c r="K104" s="44">
        <v>70</v>
      </c>
      <c r="L104" s="49">
        <v>0.9032</v>
      </c>
      <c r="N104" s="392">
        <v>101</v>
      </c>
      <c r="O104" s="391"/>
      <c r="P104" s="391"/>
      <c r="Q104" s="391"/>
      <c r="R104" s="393"/>
      <c r="S104" s="393"/>
      <c r="T104" s="391"/>
      <c r="U104" s="401" t="str">
        <f t="shared" si="40"/>
        <v/>
      </c>
      <c r="V104" s="401" t="str">
        <f t="shared" si="37"/>
        <v/>
      </c>
      <c r="EH104" s="313">
        <v>101</v>
      </c>
      <c r="EI104" s="314"/>
      <c r="EJ104" s="247" t="str">
        <f t="shared" si="38"/>
        <v/>
      </c>
      <c r="EK104" t="str">
        <f t="shared" si="39"/>
        <v/>
      </c>
    </row>
    <row r="105" spans="1:141" x14ac:dyDescent="0.25">
      <c r="B105" s="317">
        <v>102</v>
      </c>
      <c r="C105">
        <v>75</v>
      </c>
      <c r="D105" s="45">
        <f t="shared" si="36"/>
        <v>75</v>
      </c>
      <c r="K105" s="44">
        <v>70.5</v>
      </c>
      <c r="L105" s="49">
        <v>0.9022</v>
      </c>
      <c r="N105" s="392">
        <v>102</v>
      </c>
      <c r="O105" s="391"/>
      <c r="P105" s="391"/>
      <c r="Q105" s="391"/>
      <c r="R105" s="393"/>
      <c r="S105" s="393"/>
      <c r="T105" s="391"/>
      <c r="U105" s="401" t="str">
        <f t="shared" si="40"/>
        <v/>
      </c>
      <c r="V105" s="401" t="str">
        <f t="shared" si="37"/>
        <v/>
      </c>
      <c r="EH105" s="313">
        <v>102</v>
      </c>
      <c r="EI105" s="314"/>
      <c r="EJ105" s="247" t="str">
        <f t="shared" si="38"/>
        <v/>
      </c>
      <c r="EK105" t="str">
        <f t="shared" si="39"/>
        <v/>
      </c>
    </row>
    <row r="106" spans="1:141" x14ac:dyDescent="0.25">
      <c r="B106" s="317">
        <v>103</v>
      </c>
      <c r="C106">
        <v>67.099999999999994</v>
      </c>
      <c r="D106" s="45">
        <f t="shared" si="36"/>
        <v>67.099999999999994</v>
      </c>
      <c r="K106" s="44">
        <v>71</v>
      </c>
      <c r="L106" s="49">
        <v>0.9012</v>
      </c>
      <c r="N106" s="392">
        <v>103</v>
      </c>
      <c r="O106" s="391"/>
      <c r="P106" s="391"/>
      <c r="Q106" s="391"/>
      <c r="R106" s="393"/>
      <c r="S106" s="393"/>
      <c r="T106" s="391"/>
      <c r="U106" s="401" t="str">
        <f t="shared" si="40"/>
        <v/>
      </c>
      <c r="V106" s="401" t="str">
        <f t="shared" si="37"/>
        <v/>
      </c>
      <c r="CQ106" s="65">
        <v>1200</v>
      </c>
      <c r="CR106" s="65">
        <v>600</v>
      </c>
      <c r="CS106" s="65">
        <v>1200</v>
      </c>
      <c r="CT106" s="65">
        <v>600</v>
      </c>
      <c r="CU106" s="65">
        <v>1200</v>
      </c>
      <c r="CV106" s="65">
        <v>600</v>
      </c>
      <c r="CW106" s="65">
        <v>500</v>
      </c>
      <c r="CX106" s="65">
        <v>400</v>
      </c>
      <c r="CY106" s="65">
        <v>350</v>
      </c>
      <c r="CZ106" s="65">
        <v>300</v>
      </c>
      <c r="DA106" s="65">
        <v>250</v>
      </c>
      <c r="DB106" s="65">
        <v>200</v>
      </c>
      <c r="DC106" s="65">
        <v>150</v>
      </c>
      <c r="DD106" s="65">
        <v>4</v>
      </c>
      <c r="DE106" s="65">
        <v>3</v>
      </c>
      <c r="DF106" s="65">
        <v>2</v>
      </c>
      <c r="DG106" s="65">
        <v>1</v>
      </c>
      <c r="DH106" s="65" t="s">
        <v>34</v>
      </c>
      <c r="DI106" s="65" t="s">
        <v>36</v>
      </c>
      <c r="DJ106" s="65">
        <v>4</v>
      </c>
      <c r="DK106" s="65">
        <v>8</v>
      </c>
      <c r="DL106" s="65">
        <v>10</v>
      </c>
      <c r="DM106" s="65">
        <v>16</v>
      </c>
      <c r="DN106" s="65">
        <v>20</v>
      </c>
      <c r="DO106" s="65">
        <v>40</v>
      </c>
      <c r="DP106" s="65">
        <v>60</v>
      </c>
      <c r="DQ106" s="65">
        <v>140</v>
      </c>
      <c r="DR106" s="65">
        <v>200</v>
      </c>
      <c r="EH106" s="313">
        <v>103</v>
      </c>
      <c r="EI106" s="314"/>
      <c r="EJ106" s="247" t="str">
        <f t="shared" si="38"/>
        <v/>
      </c>
      <c r="EK106" t="str">
        <f t="shared" si="39"/>
        <v/>
      </c>
    </row>
    <row r="107" spans="1:141" x14ac:dyDescent="0.25">
      <c r="B107" s="317">
        <v>104</v>
      </c>
      <c r="C107">
        <v>72.599999999999994</v>
      </c>
      <c r="D107" s="45">
        <f t="shared" si="36"/>
        <v>72.599999999999994</v>
      </c>
      <c r="K107" s="44">
        <v>71.5</v>
      </c>
      <c r="L107" s="49">
        <v>0.90029999999999999</v>
      </c>
      <c r="N107" s="392">
        <v>104</v>
      </c>
      <c r="O107" s="391"/>
      <c r="P107" s="391"/>
      <c r="Q107" s="391"/>
      <c r="R107" s="393"/>
      <c r="S107" s="393"/>
      <c r="T107" s="391"/>
      <c r="U107" s="401" t="str">
        <f t="shared" si="40"/>
        <v/>
      </c>
      <c r="V107" s="401" t="str">
        <f t="shared" si="37"/>
        <v/>
      </c>
      <c r="CQ107" s="77">
        <v>1200</v>
      </c>
      <c r="CR107" s="77">
        <v>600</v>
      </c>
      <c r="CS107" s="77">
        <v>1200</v>
      </c>
      <c r="CT107" s="77">
        <v>600</v>
      </c>
      <c r="CU107" s="77">
        <v>1200</v>
      </c>
      <c r="CV107" s="77">
        <v>600</v>
      </c>
      <c r="CW107" s="77">
        <v>500</v>
      </c>
      <c r="CX107" s="77">
        <v>400</v>
      </c>
      <c r="CY107" s="77">
        <v>350</v>
      </c>
      <c r="CZ107" s="77">
        <v>300</v>
      </c>
      <c r="DA107" s="77">
        <v>250</v>
      </c>
      <c r="DB107" s="77">
        <v>200</v>
      </c>
      <c r="DC107" s="77">
        <v>150</v>
      </c>
      <c r="DD107" s="77">
        <v>101.6</v>
      </c>
      <c r="DE107" s="77">
        <v>76.2</v>
      </c>
      <c r="DF107" s="77">
        <v>50.8</v>
      </c>
      <c r="DG107" s="77">
        <v>25.4</v>
      </c>
      <c r="DH107" s="77">
        <v>19.100000000000001</v>
      </c>
      <c r="DI107" s="77">
        <v>9.52</v>
      </c>
      <c r="DJ107" s="77">
        <v>4.76</v>
      </c>
      <c r="DK107" s="78">
        <v>2.38</v>
      </c>
      <c r="DL107" s="78">
        <v>2</v>
      </c>
      <c r="DM107" s="78">
        <v>1.19</v>
      </c>
      <c r="DN107" s="78">
        <v>0.84099999999999997</v>
      </c>
      <c r="DO107" s="78">
        <v>0.42499999999999999</v>
      </c>
      <c r="DP107" s="78">
        <v>0.25</v>
      </c>
      <c r="DQ107" s="78">
        <v>0.106</v>
      </c>
      <c r="DR107" s="78">
        <v>7.4999999999999997E-2</v>
      </c>
      <c r="EH107" s="313">
        <v>104</v>
      </c>
      <c r="EI107" s="314"/>
      <c r="EJ107" s="247" t="str">
        <f t="shared" si="38"/>
        <v/>
      </c>
      <c r="EK107" t="str">
        <f t="shared" si="39"/>
        <v/>
      </c>
    </row>
    <row r="108" spans="1:141" x14ac:dyDescent="0.25">
      <c r="B108" s="317">
        <v>105</v>
      </c>
      <c r="C108">
        <v>76</v>
      </c>
      <c r="D108" s="45">
        <f t="shared" si="36"/>
        <v>76</v>
      </c>
      <c r="K108" s="44">
        <v>72</v>
      </c>
      <c r="L108" s="49">
        <v>0.89929999999999999</v>
      </c>
      <c r="N108" s="392">
        <v>105</v>
      </c>
      <c r="O108" s="391"/>
      <c r="P108" s="391"/>
      <c r="Q108" s="391"/>
      <c r="R108" s="393"/>
      <c r="S108" s="393"/>
      <c r="T108" s="391"/>
      <c r="U108" s="401" t="str">
        <f t="shared" si="40"/>
        <v/>
      </c>
      <c r="V108" s="401" t="str">
        <f t="shared" si="37"/>
        <v/>
      </c>
      <c r="CQ108" s="140" t="s">
        <v>26</v>
      </c>
      <c r="CR108" s="140" t="s">
        <v>26</v>
      </c>
      <c r="CS108" s="140" t="s">
        <v>26</v>
      </c>
      <c r="CT108" s="140" t="s">
        <v>26</v>
      </c>
      <c r="CU108" s="140" t="s">
        <v>26</v>
      </c>
      <c r="CV108" s="140" t="s">
        <v>26</v>
      </c>
      <c r="CW108" s="140" t="s">
        <v>26</v>
      </c>
      <c r="CX108" s="140" t="s">
        <v>26</v>
      </c>
      <c r="CY108" s="140" t="s">
        <v>26</v>
      </c>
      <c r="CZ108" s="140" t="s">
        <v>26</v>
      </c>
      <c r="DA108" s="140" t="s">
        <v>26</v>
      </c>
      <c r="DB108" s="140" t="s">
        <v>26</v>
      </c>
      <c r="DC108" s="140" t="s">
        <v>26</v>
      </c>
      <c r="DD108" s="140" t="s">
        <v>26</v>
      </c>
      <c r="DE108" s="140" t="s">
        <v>26</v>
      </c>
      <c r="DF108" s="140" t="s">
        <v>26</v>
      </c>
      <c r="DG108" s="140" t="s">
        <v>26</v>
      </c>
      <c r="DH108" s="140" t="s">
        <v>26</v>
      </c>
      <c r="DI108" s="140" t="s">
        <v>26</v>
      </c>
      <c r="DJ108" s="140" t="s">
        <v>26</v>
      </c>
      <c r="DK108" s="140" t="s">
        <v>26</v>
      </c>
      <c r="DL108" s="140" t="s">
        <v>26</v>
      </c>
      <c r="DM108" s="140" t="s">
        <v>26</v>
      </c>
      <c r="DN108" s="140" t="s">
        <v>26</v>
      </c>
      <c r="DO108" s="140" t="s">
        <v>26</v>
      </c>
      <c r="DP108" s="140" t="s">
        <v>26</v>
      </c>
      <c r="DQ108" s="140" t="s">
        <v>26</v>
      </c>
      <c r="DR108" s="140" t="s">
        <v>26</v>
      </c>
      <c r="EH108" s="313">
        <v>105</v>
      </c>
      <c r="EI108" s="314"/>
      <c r="EJ108" s="247" t="str">
        <f t="shared" si="38"/>
        <v/>
      </c>
      <c r="EK108" t="str">
        <f t="shared" si="39"/>
        <v/>
      </c>
    </row>
    <row r="109" spans="1:141" x14ac:dyDescent="0.25">
      <c r="B109" s="317">
        <v>106</v>
      </c>
      <c r="C109">
        <v>71.8</v>
      </c>
      <c r="D109" s="45">
        <f t="shared" si="36"/>
        <v>71.8</v>
      </c>
      <c r="K109" s="44">
        <v>72.5</v>
      </c>
      <c r="L109" s="49">
        <v>0.89829999999999999</v>
      </c>
      <c r="N109" s="392">
        <v>106</v>
      </c>
      <c r="O109" s="391"/>
      <c r="P109" s="391"/>
      <c r="Q109" s="391"/>
      <c r="R109" s="393"/>
      <c r="S109" s="393"/>
      <c r="T109" s="391"/>
      <c r="U109" s="401" t="str">
        <f t="shared" si="40"/>
        <v/>
      </c>
      <c r="V109" s="401" t="str">
        <f t="shared" si="37"/>
        <v/>
      </c>
      <c r="CQ109" s="140" t="s">
        <v>26</v>
      </c>
      <c r="CR109" s="140" t="s">
        <v>26</v>
      </c>
      <c r="CS109" s="140" t="s">
        <v>26</v>
      </c>
      <c r="CT109" s="140" t="s">
        <v>26</v>
      </c>
      <c r="CU109" s="140" t="s">
        <v>26</v>
      </c>
      <c r="CV109" s="140" t="s">
        <v>26</v>
      </c>
      <c r="CW109" s="140" t="s">
        <v>26</v>
      </c>
      <c r="CX109" s="140" t="s">
        <v>26</v>
      </c>
      <c r="CY109" s="140" t="s">
        <v>26</v>
      </c>
      <c r="CZ109" s="140" t="s">
        <v>26</v>
      </c>
      <c r="DA109" s="140" t="s">
        <v>26</v>
      </c>
      <c r="DB109" s="140" t="s">
        <v>26</v>
      </c>
      <c r="DC109" s="140" t="s">
        <v>26</v>
      </c>
      <c r="DD109" s="140" t="s">
        <v>26</v>
      </c>
      <c r="DE109" s="140" t="s">
        <v>26</v>
      </c>
      <c r="DF109" s="140" t="s">
        <v>26</v>
      </c>
      <c r="DG109" s="140" t="s">
        <v>26</v>
      </c>
      <c r="DH109" s="140" t="s">
        <v>26</v>
      </c>
      <c r="DI109" s="140" t="s">
        <v>26</v>
      </c>
      <c r="DJ109" s="140" t="s">
        <v>26</v>
      </c>
      <c r="DK109" s="140" t="s">
        <v>26</v>
      </c>
      <c r="DL109" s="140" t="s">
        <v>26</v>
      </c>
      <c r="DM109" s="140" t="s">
        <v>26</v>
      </c>
      <c r="DN109" s="140" t="s">
        <v>26</v>
      </c>
      <c r="DO109" s="140" t="s">
        <v>26</v>
      </c>
      <c r="DP109" s="140" t="s">
        <v>26</v>
      </c>
      <c r="DQ109" s="140" t="s">
        <v>26</v>
      </c>
      <c r="DR109" s="140" t="s">
        <v>26</v>
      </c>
      <c r="EH109" s="313">
        <v>106</v>
      </c>
      <c r="EI109" s="314"/>
      <c r="EJ109" s="247" t="str">
        <f t="shared" si="38"/>
        <v/>
      </c>
      <c r="EK109" t="str">
        <f t="shared" si="39"/>
        <v/>
      </c>
    </row>
    <row r="110" spans="1:141" x14ac:dyDescent="0.25">
      <c r="B110" s="317">
        <v>107</v>
      </c>
      <c r="C110" s="44"/>
      <c r="D110" s="45">
        <f t="shared" si="36"/>
        <v>0</v>
      </c>
      <c r="K110" s="44">
        <v>73</v>
      </c>
      <c r="L110" s="49">
        <v>0.89729999999999999</v>
      </c>
      <c r="N110" s="392">
        <v>107</v>
      </c>
      <c r="O110" s="391"/>
      <c r="P110" s="391"/>
      <c r="Q110" s="391"/>
      <c r="R110" s="393"/>
      <c r="S110" s="393"/>
      <c r="T110" s="391"/>
      <c r="U110" s="401" t="str">
        <f t="shared" si="40"/>
        <v/>
      </c>
      <c r="V110" s="401" t="str">
        <f t="shared" si="37"/>
        <v/>
      </c>
      <c r="EH110" s="313">
        <v>107</v>
      </c>
      <c r="EI110" s="314"/>
      <c r="EJ110" s="247" t="str">
        <f t="shared" si="38"/>
        <v/>
      </c>
      <c r="EK110" t="str">
        <f t="shared" si="39"/>
        <v/>
      </c>
    </row>
    <row r="111" spans="1:141" x14ac:dyDescent="0.25">
      <c r="B111" s="317">
        <v>108</v>
      </c>
      <c r="C111" s="44"/>
      <c r="D111" s="45">
        <f t="shared" si="36"/>
        <v>0</v>
      </c>
      <c r="K111" s="44">
        <v>73.5</v>
      </c>
      <c r="L111" s="49">
        <v>0.89639999999999997</v>
      </c>
      <c r="N111" s="392">
        <v>108</v>
      </c>
      <c r="O111" s="391"/>
      <c r="P111" s="391"/>
      <c r="Q111" s="391"/>
      <c r="R111" s="393"/>
      <c r="S111" s="393"/>
      <c r="T111" s="391"/>
      <c r="U111" s="401" t="str">
        <f t="shared" si="40"/>
        <v/>
      </c>
      <c r="V111" s="401" t="str">
        <f t="shared" si="37"/>
        <v/>
      </c>
      <c r="EH111" s="313">
        <v>108</v>
      </c>
      <c r="EI111" s="314"/>
      <c r="EJ111" s="247" t="str">
        <f t="shared" si="38"/>
        <v/>
      </c>
      <c r="EK111" t="str">
        <f t="shared" si="39"/>
        <v/>
      </c>
    </row>
    <row r="112" spans="1:141" x14ac:dyDescent="0.25">
      <c r="B112" s="317">
        <v>109</v>
      </c>
      <c r="C112" s="44"/>
      <c r="D112" s="45">
        <f t="shared" si="36"/>
        <v>0</v>
      </c>
      <c r="K112" s="44">
        <v>74</v>
      </c>
      <c r="L112" s="49">
        <v>0.89539999999999997</v>
      </c>
      <c r="N112" s="392">
        <v>109</v>
      </c>
      <c r="O112" s="391"/>
      <c r="P112" s="391"/>
      <c r="Q112" s="391"/>
      <c r="R112" s="393"/>
      <c r="S112" s="393"/>
      <c r="T112" s="391"/>
      <c r="U112" s="401" t="str">
        <f t="shared" si="40"/>
        <v/>
      </c>
      <c r="V112" s="401" t="str">
        <f t="shared" si="37"/>
        <v/>
      </c>
      <c r="EH112" s="313">
        <v>109</v>
      </c>
      <c r="EI112" s="314"/>
      <c r="EJ112" s="247" t="str">
        <f t="shared" si="38"/>
        <v/>
      </c>
      <c r="EK112" t="str">
        <f t="shared" si="39"/>
        <v/>
      </c>
    </row>
    <row r="113" spans="2:141" x14ac:dyDescent="0.25">
      <c r="B113" s="317">
        <v>110</v>
      </c>
      <c r="C113" s="44"/>
      <c r="D113" s="45">
        <f t="shared" si="36"/>
        <v>0</v>
      </c>
      <c r="K113" s="44">
        <v>74.5</v>
      </c>
      <c r="L113" s="49">
        <v>0.89439999999999997</v>
      </c>
      <c r="N113" s="392">
        <v>110</v>
      </c>
      <c r="O113" s="391"/>
      <c r="P113" s="391"/>
      <c r="Q113" s="391"/>
      <c r="R113" s="393"/>
      <c r="S113" s="393"/>
      <c r="T113" s="391"/>
      <c r="U113" s="401" t="str">
        <f t="shared" si="40"/>
        <v/>
      </c>
      <c r="V113" s="401" t="str">
        <f t="shared" si="37"/>
        <v/>
      </c>
      <c r="EH113" s="313">
        <v>110</v>
      </c>
      <c r="EI113" s="314">
        <v>1.3157000000000001</v>
      </c>
      <c r="EJ113" s="247">
        <f t="shared" si="38"/>
        <v>1</v>
      </c>
      <c r="EK113">
        <f t="shared" si="39"/>
        <v>0.13425510204081634</v>
      </c>
    </row>
    <row r="114" spans="2:141" x14ac:dyDescent="0.25">
      <c r="B114" s="317">
        <v>111</v>
      </c>
      <c r="C114" s="44"/>
      <c r="D114" s="45">
        <f t="shared" si="36"/>
        <v>0</v>
      </c>
      <c r="K114" s="44">
        <v>75</v>
      </c>
      <c r="L114" s="49">
        <v>0.89349999999999996</v>
      </c>
      <c r="N114" s="392">
        <v>111</v>
      </c>
      <c r="O114" s="391"/>
      <c r="P114" s="391"/>
      <c r="Q114" s="391"/>
      <c r="R114" s="393"/>
      <c r="S114" s="393"/>
      <c r="T114" s="391"/>
      <c r="U114" s="401" t="str">
        <f t="shared" si="40"/>
        <v/>
      </c>
      <c r="V114" s="401" t="str">
        <f t="shared" si="37"/>
        <v/>
      </c>
      <c r="EH114" s="313">
        <v>111</v>
      </c>
      <c r="EI114" s="314"/>
      <c r="EJ114" s="247" t="str">
        <f t="shared" si="38"/>
        <v/>
      </c>
      <c r="EK114" t="str">
        <f t="shared" si="39"/>
        <v/>
      </c>
    </row>
    <row r="115" spans="2:141" ht="13.8" thickBot="1" x14ac:dyDescent="0.3">
      <c r="B115" s="317">
        <v>112</v>
      </c>
      <c r="C115" s="44"/>
      <c r="D115" s="45">
        <f t="shared" si="36"/>
        <v>0</v>
      </c>
      <c r="K115" s="44">
        <v>75.5</v>
      </c>
      <c r="L115" s="49">
        <v>0.89249999999999996</v>
      </c>
      <c r="N115" s="394">
        <v>112</v>
      </c>
      <c r="O115" s="395"/>
      <c r="P115" s="395"/>
      <c r="Q115" s="395"/>
      <c r="R115" s="396"/>
      <c r="S115" s="396"/>
      <c r="T115" s="395"/>
      <c r="U115" s="401" t="str">
        <f t="shared" si="40"/>
        <v/>
      </c>
      <c r="V115" s="401" t="str">
        <f t="shared" si="37"/>
        <v/>
      </c>
      <c r="EH115" s="313">
        <v>112</v>
      </c>
      <c r="EI115" s="314"/>
      <c r="EJ115" s="247" t="str">
        <f t="shared" si="38"/>
        <v/>
      </c>
      <c r="EK115" t="str">
        <f t="shared" si="39"/>
        <v/>
      </c>
    </row>
    <row r="116" spans="2:141" ht="13.8" thickTop="1" x14ac:dyDescent="0.25">
      <c r="B116" s="317">
        <v>113</v>
      </c>
      <c r="C116" s="44"/>
      <c r="D116" s="45">
        <f t="shared" si="36"/>
        <v>0</v>
      </c>
      <c r="K116" s="44">
        <v>76</v>
      </c>
      <c r="L116" s="49">
        <v>0.89149999999999996</v>
      </c>
      <c r="EH116" s="313">
        <v>113</v>
      </c>
      <c r="EI116" s="314"/>
      <c r="EJ116" s="247" t="str">
        <f t="shared" si="38"/>
        <v/>
      </c>
      <c r="EK116" t="str">
        <f t="shared" si="39"/>
        <v/>
      </c>
    </row>
    <row r="117" spans="2:141" x14ac:dyDescent="0.25">
      <c r="B117" s="317">
        <v>114</v>
      </c>
      <c r="C117" s="44"/>
      <c r="D117" s="45">
        <f t="shared" si="36"/>
        <v>0</v>
      </c>
      <c r="K117" s="44">
        <v>76.5</v>
      </c>
      <c r="L117" s="49">
        <v>0.89059999999999995</v>
      </c>
      <c r="EH117" s="313">
        <v>114</v>
      </c>
      <c r="EI117" s="314"/>
      <c r="EJ117" s="247" t="str">
        <f t="shared" si="38"/>
        <v/>
      </c>
      <c r="EK117" t="str">
        <f t="shared" si="39"/>
        <v/>
      </c>
    </row>
    <row r="118" spans="2:141" x14ac:dyDescent="0.25">
      <c r="B118" s="317">
        <v>115</v>
      </c>
      <c r="C118" s="44"/>
      <c r="D118" s="45">
        <f t="shared" si="36"/>
        <v>0</v>
      </c>
      <c r="K118" s="44">
        <v>77</v>
      </c>
      <c r="L118" s="49">
        <v>0.88959999999999995</v>
      </c>
      <c r="EH118" s="313">
        <v>115</v>
      </c>
      <c r="EI118" s="314"/>
      <c r="EJ118" s="247" t="str">
        <f t="shared" si="38"/>
        <v/>
      </c>
      <c r="EK118" t="str">
        <f t="shared" si="39"/>
        <v/>
      </c>
    </row>
    <row r="119" spans="2:141" x14ac:dyDescent="0.25">
      <c r="B119" s="317">
        <v>116</v>
      </c>
      <c r="C119" s="44"/>
      <c r="D119" s="45">
        <f t="shared" si="36"/>
        <v>0</v>
      </c>
      <c r="K119" s="44">
        <v>77.5</v>
      </c>
      <c r="L119" s="49">
        <v>0.88859999999999995</v>
      </c>
      <c r="EH119" s="313">
        <v>116</v>
      </c>
      <c r="EI119" s="314"/>
      <c r="EJ119" s="247" t="str">
        <f t="shared" si="38"/>
        <v/>
      </c>
      <c r="EK119" t="str">
        <f t="shared" si="39"/>
        <v/>
      </c>
    </row>
    <row r="120" spans="2:141" x14ac:dyDescent="0.25">
      <c r="B120" s="317">
        <v>117</v>
      </c>
      <c r="C120" s="44"/>
      <c r="D120" s="45">
        <f t="shared" si="36"/>
        <v>0</v>
      </c>
      <c r="E120" s="318"/>
      <c r="K120" s="44">
        <v>78</v>
      </c>
      <c r="L120" s="49">
        <v>0.88770000000000004</v>
      </c>
      <c r="EH120" s="313">
        <v>117</v>
      </c>
      <c r="EI120" s="314"/>
      <c r="EJ120" s="247" t="str">
        <f t="shared" si="38"/>
        <v/>
      </c>
      <c r="EK120" t="str">
        <f t="shared" si="39"/>
        <v/>
      </c>
    </row>
    <row r="121" spans="2:141" x14ac:dyDescent="0.25">
      <c r="B121" s="317">
        <v>118</v>
      </c>
      <c r="C121" s="44"/>
      <c r="D121" s="45">
        <f t="shared" si="36"/>
        <v>0</v>
      </c>
      <c r="E121" s="251"/>
      <c r="K121" s="44">
        <v>78.5</v>
      </c>
      <c r="L121" s="49">
        <v>0.88670000000000004</v>
      </c>
      <c r="EH121" s="313">
        <v>118</v>
      </c>
      <c r="EI121" s="314"/>
      <c r="EJ121" s="247" t="str">
        <f t="shared" si="38"/>
        <v/>
      </c>
      <c r="EK121" t="str">
        <f t="shared" si="39"/>
        <v/>
      </c>
    </row>
    <row r="122" spans="2:141" x14ac:dyDescent="0.25">
      <c r="B122" s="317">
        <v>119</v>
      </c>
      <c r="C122" s="44"/>
      <c r="D122" s="45">
        <f t="shared" si="36"/>
        <v>0</v>
      </c>
      <c r="E122" s="262"/>
      <c r="K122" s="44">
        <v>79</v>
      </c>
      <c r="L122" s="49">
        <v>0.88570000000000004</v>
      </c>
      <c r="EH122" s="313">
        <v>119</v>
      </c>
      <c r="EI122" s="314"/>
      <c r="EJ122" s="247" t="str">
        <f t="shared" si="38"/>
        <v/>
      </c>
      <c r="EK122" t="str">
        <f t="shared" si="39"/>
        <v/>
      </c>
    </row>
    <row r="123" spans="2:141" x14ac:dyDescent="0.25">
      <c r="B123" s="317">
        <v>120</v>
      </c>
      <c r="C123" s="44"/>
      <c r="D123" s="45">
        <f t="shared" si="36"/>
        <v>0</v>
      </c>
      <c r="E123" s="265"/>
      <c r="K123" s="44">
        <v>79.5</v>
      </c>
      <c r="L123" s="49">
        <v>0.88480000000000003</v>
      </c>
      <c r="EH123" s="313">
        <v>120</v>
      </c>
      <c r="EI123" s="314">
        <v>1.4354</v>
      </c>
      <c r="EJ123" s="247">
        <f t="shared" si="38"/>
        <v>1</v>
      </c>
      <c r="EK123">
        <f t="shared" si="39"/>
        <v>0.14646938775510204</v>
      </c>
    </row>
    <row r="124" spans="2:141" x14ac:dyDescent="0.25">
      <c r="B124" s="317">
        <v>121</v>
      </c>
      <c r="C124" s="44"/>
      <c r="D124" s="45">
        <f t="shared" si="36"/>
        <v>0</v>
      </c>
      <c r="E124" s="269"/>
      <c r="K124" s="44">
        <v>80</v>
      </c>
      <c r="L124" s="49">
        <v>0.88380000000000003</v>
      </c>
      <c r="EH124" s="313">
        <v>121</v>
      </c>
      <c r="EI124" s="314"/>
      <c r="EJ124" s="247" t="str">
        <f t="shared" si="38"/>
        <v/>
      </c>
      <c r="EK124" t="str">
        <f t="shared" si="39"/>
        <v/>
      </c>
    </row>
    <row r="125" spans="2:141" x14ac:dyDescent="0.25">
      <c r="B125" s="317">
        <v>122</v>
      </c>
      <c r="C125" s="44"/>
      <c r="D125" s="45">
        <f t="shared" si="36"/>
        <v>0</v>
      </c>
      <c r="K125" s="44">
        <v>80.5</v>
      </c>
      <c r="L125" s="49">
        <v>0.88280000000000003</v>
      </c>
      <c r="EH125" s="313">
        <v>122</v>
      </c>
      <c r="EI125" s="314"/>
      <c r="EJ125" s="247" t="str">
        <f t="shared" si="38"/>
        <v/>
      </c>
      <c r="EK125" t="str">
        <f t="shared" si="39"/>
        <v/>
      </c>
    </row>
    <row r="126" spans="2:141" x14ac:dyDescent="0.25">
      <c r="B126" s="261">
        <v>123</v>
      </c>
      <c r="C126" s="44"/>
      <c r="D126" s="45">
        <f t="shared" si="36"/>
        <v>0</v>
      </c>
      <c r="K126" s="44">
        <v>81</v>
      </c>
      <c r="L126" s="49">
        <v>0.88190000000000002</v>
      </c>
      <c r="EH126" s="313">
        <v>123</v>
      </c>
      <c r="EI126" s="314"/>
      <c r="EJ126" s="247" t="str">
        <f t="shared" si="38"/>
        <v/>
      </c>
      <c r="EK126" t="str">
        <f t="shared" si="39"/>
        <v/>
      </c>
    </row>
    <row r="127" spans="2:141" x14ac:dyDescent="0.25">
      <c r="B127" s="261">
        <v>124</v>
      </c>
      <c r="C127" s="44"/>
      <c r="D127" s="45">
        <f t="shared" si="36"/>
        <v>0</v>
      </c>
      <c r="K127" s="44">
        <v>81.5</v>
      </c>
      <c r="L127" s="49">
        <v>0.88090000000000002</v>
      </c>
      <c r="EH127" s="313">
        <v>124</v>
      </c>
      <c r="EI127" s="314"/>
      <c r="EJ127" s="247" t="str">
        <f t="shared" si="38"/>
        <v/>
      </c>
      <c r="EK127" t="str">
        <f t="shared" si="39"/>
        <v/>
      </c>
    </row>
    <row r="128" spans="2:141" x14ac:dyDescent="0.25">
      <c r="B128" s="261">
        <v>125</v>
      </c>
      <c r="C128" s="44"/>
      <c r="D128" s="45">
        <f t="shared" si="36"/>
        <v>0</v>
      </c>
      <c r="K128" s="44">
        <v>82</v>
      </c>
      <c r="L128" s="49">
        <v>0.87990000000000002</v>
      </c>
      <c r="EH128" s="313">
        <v>125</v>
      </c>
      <c r="EI128" s="314"/>
      <c r="EJ128" s="247" t="str">
        <f t="shared" si="38"/>
        <v/>
      </c>
      <c r="EK128" t="str">
        <f t="shared" si="39"/>
        <v/>
      </c>
    </row>
    <row r="129" spans="2:141" x14ac:dyDescent="0.25">
      <c r="B129" s="261">
        <v>126</v>
      </c>
      <c r="C129" s="44"/>
      <c r="D129" s="45">
        <f t="shared" si="36"/>
        <v>0</v>
      </c>
      <c r="K129" s="44">
        <v>82.5</v>
      </c>
      <c r="L129" s="49">
        <v>0.87890000000000001</v>
      </c>
      <c r="EH129" s="313">
        <v>126</v>
      </c>
      <c r="EI129" s="314"/>
      <c r="EJ129" s="247" t="str">
        <f t="shared" si="38"/>
        <v/>
      </c>
      <c r="EK129" t="str">
        <f t="shared" si="39"/>
        <v/>
      </c>
    </row>
    <row r="130" spans="2:141" x14ac:dyDescent="0.25">
      <c r="B130" s="261">
        <v>127</v>
      </c>
      <c r="C130" s="44"/>
      <c r="D130" s="45">
        <f t="shared" si="36"/>
        <v>0</v>
      </c>
      <c r="K130" s="44">
        <v>83</v>
      </c>
      <c r="L130" s="49">
        <v>0.878</v>
      </c>
      <c r="EH130" s="313">
        <v>127</v>
      </c>
      <c r="EI130" s="314"/>
      <c r="EJ130" s="247" t="str">
        <f t="shared" si="38"/>
        <v/>
      </c>
      <c r="EK130" t="str">
        <f t="shared" si="39"/>
        <v/>
      </c>
    </row>
    <row r="131" spans="2:141" x14ac:dyDescent="0.25">
      <c r="B131" s="261">
        <v>128</v>
      </c>
      <c r="C131" s="44"/>
      <c r="D131" s="45">
        <f t="shared" si="36"/>
        <v>0</v>
      </c>
      <c r="K131" s="44">
        <v>83.5</v>
      </c>
      <c r="L131" s="49">
        <v>0.877</v>
      </c>
      <c r="EH131" s="313">
        <v>128</v>
      </c>
      <c r="EI131" s="314"/>
      <c r="EJ131" s="247" t="str">
        <f t="shared" si="38"/>
        <v/>
      </c>
      <c r="EK131" t="str">
        <f t="shared" si="39"/>
        <v/>
      </c>
    </row>
    <row r="132" spans="2:141" x14ac:dyDescent="0.25">
      <c r="B132" s="261">
        <v>129</v>
      </c>
      <c r="C132" s="44"/>
      <c r="D132" s="45">
        <f t="shared" si="36"/>
        <v>0</v>
      </c>
      <c r="K132" s="44">
        <v>84</v>
      </c>
      <c r="L132" s="49">
        <v>0.876</v>
      </c>
      <c r="EH132" s="313">
        <v>129</v>
      </c>
      <c r="EI132" s="314"/>
      <c r="EJ132" s="247" t="str">
        <f t="shared" si="38"/>
        <v/>
      </c>
      <c r="EK132" t="str">
        <f t="shared" si="39"/>
        <v/>
      </c>
    </row>
    <row r="133" spans="2:141" x14ac:dyDescent="0.25">
      <c r="B133" s="261">
        <v>130</v>
      </c>
      <c r="C133" s="44"/>
      <c r="D133" s="45">
        <f t="shared" ref="D133:D196" si="41">C133</f>
        <v>0</v>
      </c>
      <c r="K133" s="44">
        <v>84.5</v>
      </c>
      <c r="L133" s="49">
        <v>0.87509999999999999</v>
      </c>
      <c r="EH133" s="313">
        <v>130</v>
      </c>
      <c r="EI133" s="314">
        <v>1.5549999999999999</v>
      </c>
      <c r="EJ133" s="247">
        <f t="shared" ref="EJ133:EJ196" si="42">IF(EI133="","",1)</f>
        <v>1</v>
      </c>
      <c r="EK133">
        <f t="shared" ref="EK133:EK196" si="43">IF(EI133="","",EI133/9.8)</f>
        <v>0.15867346938775509</v>
      </c>
    </row>
    <row r="134" spans="2:141" x14ac:dyDescent="0.25">
      <c r="B134" s="261">
        <v>131</v>
      </c>
      <c r="C134" s="44"/>
      <c r="D134" s="45">
        <f t="shared" si="41"/>
        <v>0</v>
      </c>
      <c r="K134" s="44">
        <v>85</v>
      </c>
      <c r="L134" s="49">
        <v>0.87409999999999999</v>
      </c>
      <c r="EH134" s="313">
        <v>131</v>
      </c>
      <c r="EI134" s="314"/>
      <c r="EJ134" s="247" t="str">
        <f t="shared" si="42"/>
        <v/>
      </c>
      <c r="EK134" t="str">
        <f t="shared" si="43"/>
        <v/>
      </c>
    </row>
    <row r="135" spans="2:141" ht="13.8" thickBot="1" x14ac:dyDescent="0.3">
      <c r="B135" s="261">
        <v>132</v>
      </c>
      <c r="C135" s="44"/>
      <c r="D135" s="45">
        <f t="shared" si="41"/>
        <v>0</v>
      </c>
      <c r="K135" s="171">
        <v>85.5</v>
      </c>
      <c r="L135" s="172">
        <v>0.87309999999999999</v>
      </c>
      <c r="EH135" s="313">
        <v>132</v>
      </c>
      <c r="EI135" s="314"/>
      <c r="EJ135" s="247" t="str">
        <f t="shared" si="42"/>
        <v/>
      </c>
      <c r="EK135" t="str">
        <f t="shared" si="43"/>
        <v/>
      </c>
    </row>
    <row r="136" spans="2:141" ht="13.8" thickTop="1" x14ac:dyDescent="0.25">
      <c r="B136" s="261">
        <v>133</v>
      </c>
      <c r="C136" s="44"/>
      <c r="D136" s="45">
        <f t="shared" si="41"/>
        <v>0</v>
      </c>
      <c r="EH136" s="313">
        <v>133</v>
      </c>
      <c r="EI136" s="314"/>
      <c r="EJ136" s="247" t="str">
        <f t="shared" si="42"/>
        <v/>
      </c>
      <c r="EK136" t="str">
        <f t="shared" si="43"/>
        <v/>
      </c>
    </row>
    <row r="137" spans="2:141" x14ac:dyDescent="0.25">
      <c r="B137" s="261">
        <v>134</v>
      </c>
      <c r="C137" s="44"/>
      <c r="D137" s="45">
        <f t="shared" si="41"/>
        <v>0</v>
      </c>
      <c r="EH137" s="313">
        <v>134</v>
      </c>
      <c r="EI137" s="314"/>
      <c r="EJ137" s="247" t="str">
        <f t="shared" si="42"/>
        <v/>
      </c>
      <c r="EK137" t="str">
        <f t="shared" si="43"/>
        <v/>
      </c>
    </row>
    <row r="138" spans="2:141" x14ac:dyDescent="0.25">
      <c r="B138" s="261">
        <v>135</v>
      </c>
      <c r="C138" s="44"/>
      <c r="D138" s="45">
        <f t="shared" si="41"/>
        <v>0</v>
      </c>
      <c r="EH138" s="313">
        <v>135</v>
      </c>
      <c r="EI138" s="314"/>
      <c r="EJ138" s="247" t="str">
        <f t="shared" si="42"/>
        <v/>
      </c>
      <c r="EK138" t="str">
        <f t="shared" si="43"/>
        <v/>
      </c>
    </row>
    <row r="139" spans="2:141" x14ac:dyDescent="0.25">
      <c r="B139" s="261">
        <v>136</v>
      </c>
      <c r="C139" s="44"/>
      <c r="D139" s="45">
        <f t="shared" si="41"/>
        <v>0</v>
      </c>
      <c r="EH139" s="313">
        <v>136</v>
      </c>
      <c r="EI139" s="314"/>
      <c r="EJ139" s="247" t="str">
        <f t="shared" si="42"/>
        <v/>
      </c>
      <c r="EK139" t="str">
        <f t="shared" si="43"/>
        <v/>
      </c>
    </row>
    <row r="140" spans="2:141" x14ac:dyDescent="0.25">
      <c r="B140" s="261">
        <v>137</v>
      </c>
      <c r="C140" s="44"/>
      <c r="D140" s="45">
        <f t="shared" si="41"/>
        <v>0</v>
      </c>
      <c r="EH140" s="313">
        <v>137</v>
      </c>
      <c r="EI140" s="314"/>
      <c r="EJ140" s="247" t="str">
        <f t="shared" si="42"/>
        <v/>
      </c>
      <c r="EK140" t="str">
        <f t="shared" si="43"/>
        <v/>
      </c>
    </row>
    <row r="141" spans="2:141" x14ac:dyDescent="0.25">
      <c r="B141" s="261">
        <v>138</v>
      </c>
      <c r="C141" s="44"/>
      <c r="D141" s="45">
        <f t="shared" si="41"/>
        <v>0</v>
      </c>
      <c r="EH141" s="313">
        <v>138</v>
      </c>
      <c r="EI141" s="314"/>
      <c r="EJ141" s="247" t="str">
        <f t="shared" si="42"/>
        <v/>
      </c>
      <c r="EK141" t="str">
        <f t="shared" si="43"/>
        <v/>
      </c>
    </row>
    <row r="142" spans="2:141" x14ac:dyDescent="0.25">
      <c r="B142" s="261">
        <v>139</v>
      </c>
      <c r="C142" s="44"/>
      <c r="D142" s="45">
        <f t="shared" si="41"/>
        <v>0</v>
      </c>
      <c r="EH142" s="313">
        <v>139</v>
      </c>
      <c r="EI142" s="314"/>
      <c r="EJ142" s="247" t="str">
        <f t="shared" si="42"/>
        <v/>
      </c>
      <c r="EK142" t="str">
        <f t="shared" si="43"/>
        <v/>
      </c>
    </row>
    <row r="143" spans="2:141" x14ac:dyDescent="0.25">
      <c r="B143" s="261">
        <v>140</v>
      </c>
      <c r="C143" s="44"/>
      <c r="D143" s="45">
        <f t="shared" si="41"/>
        <v>0</v>
      </c>
      <c r="EH143" s="313">
        <v>140</v>
      </c>
      <c r="EI143" s="314">
        <v>1.6746000000000001</v>
      </c>
      <c r="EJ143" s="247">
        <f t="shared" si="42"/>
        <v>1</v>
      </c>
      <c r="EK143">
        <f t="shared" si="43"/>
        <v>0.17087755102040816</v>
      </c>
    </row>
    <row r="144" spans="2:141" x14ac:dyDescent="0.25">
      <c r="B144" s="261">
        <v>141</v>
      </c>
      <c r="C144" s="44"/>
      <c r="D144" s="45">
        <f t="shared" si="41"/>
        <v>0</v>
      </c>
      <c r="E144" s="318"/>
      <c r="EH144" s="313">
        <v>141</v>
      </c>
      <c r="EI144" s="314"/>
      <c r="EJ144" s="247" t="str">
        <f t="shared" si="42"/>
        <v/>
      </c>
      <c r="EK144" t="str">
        <f t="shared" si="43"/>
        <v/>
      </c>
    </row>
    <row r="145" spans="2:141" x14ac:dyDescent="0.25">
      <c r="B145" s="261">
        <v>142</v>
      </c>
      <c r="C145" s="44"/>
      <c r="D145" s="45">
        <f t="shared" si="41"/>
        <v>0</v>
      </c>
      <c r="E145" s="251"/>
      <c r="EH145" s="313">
        <v>142</v>
      </c>
      <c r="EI145" s="314"/>
      <c r="EJ145" s="247" t="str">
        <f t="shared" si="42"/>
        <v/>
      </c>
      <c r="EK145" t="str">
        <f t="shared" si="43"/>
        <v/>
      </c>
    </row>
    <row r="146" spans="2:141" x14ac:dyDescent="0.25">
      <c r="B146" s="261">
        <v>143</v>
      </c>
      <c r="C146" s="44"/>
      <c r="D146" s="45">
        <f t="shared" si="41"/>
        <v>0</v>
      </c>
      <c r="E146" s="262"/>
      <c r="EH146" s="313">
        <v>143</v>
      </c>
      <c r="EI146" s="314"/>
      <c r="EJ146" s="247" t="str">
        <f t="shared" si="42"/>
        <v/>
      </c>
      <c r="EK146" t="str">
        <f t="shared" si="43"/>
        <v/>
      </c>
    </row>
    <row r="147" spans="2:141" x14ac:dyDescent="0.25">
      <c r="B147" s="261">
        <v>144</v>
      </c>
      <c r="C147" s="44"/>
      <c r="D147" s="45">
        <f t="shared" si="41"/>
        <v>0</v>
      </c>
      <c r="E147" s="265"/>
      <c r="EH147" s="313">
        <v>144</v>
      </c>
      <c r="EI147" s="314"/>
      <c r="EJ147" s="247" t="str">
        <f t="shared" si="42"/>
        <v/>
      </c>
      <c r="EK147" t="str">
        <f t="shared" si="43"/>
        <v/>
      </c>
    </row>
    <row r="148" spans="2:141" x14ac:dyDescent="0.25">
      <c r="B148" s="261">
        <v>145</v>
      </c>
      <c r="C148" s="44"/>
      <c r="D148" s="45">
        <f t="shared" si="41"/>
        <v>0</v>
      </c>
      <c r="E148" s="269"/>
      <c r="EH148" s="313">
        <v>145</v>
      </c>
      <c r="EI148" s="314"/>
      <c r="EJ148" s="247" t="str">
        <f t="shared" si="42"/>
        <v/>
      </c>
      <c r="EK148" t="str">
        <f t="shared" si="43"/>
        <v/>
      </c>
    </row>
    <row r="149" spans="2:141" x14ac:dyDescent="0.25">
      <c r="B149" s="261">
        <v>146</v>
      </c>
      <c r="C149" s="44"/>
      <c r="D149" s="45">
        <f t="shared" si="41"/>
        <v>0</v>
      </c>
      <c r="EH149" s="313">
        <v>146</v>
      </c>
      <c r="EI149" s="314"/>
      <c r="EJ149" s="247" t="str">
        <f t="shared" si="42"/>
        <v/>
      </c>
      <c r="EK149" t="str">
        <f t="shared" si="43"/>
        <v/>
      </c>
    </row>
    <row r="150" spans="2:141" x14ac:dyDescent="0.25">
      <c r="B150" s="261">
        <v>147</v>
      </c>
      <c r="C150" s="44"/>
      <c r="D150" s="45">
        <f t="shared" si="41"/>
        <v>0</v>
      </c>
      <c r="EH150" s="313">
        <v>147</v>
      </c>
      <c r="EI150" s="314"/>
      <c r="EJ150" s="247" t="str">
        <f t="shared" si="42"/>
        <v/>
      </c>
      <c r="EK150" t="str">
        <f t="shared" si="43"/>
        <v/>
      </c>
    </row>
    <row r="151" spans="2:141" x14ac:dyDescent="0.25">
      <c r="B151" s="261">
        <v>148</v>
      </c>
      <c r="C151" s="44"/>
      <c r="D151" s="45">
        <f t="shared" si="41"/>
        <v>0</v>
      </c>
      <c r="EH151" s="313">
        <v>148</v>
      </c>
      <c r="EI151" s="314"/>
      <c r="EJ151" s="247" t="str">
        <f t="shared" si="42"/>
        <v/>
      </c>
      <c r="EK151" t="str">
        <f t="shared" si="43"/>
        <v/>
      </c>
    </row>
    <row r="152" spans="2:141" x14ac:dyDescent="0.25">
      <c r="B152" s="261">
        <v>149</v>
      </c>
      <c r="C152" s="44"/>
      <c r="D152" s="45">
        <f t="shared" si="41"/>
        <v>0</v>
      </c>
      <c r="EH152" s="313">
        <v>149</v>
      </c>
      <c r="EI152" s="314"/>
      <c r="EJ152" s="247" t="str">
        <f t="shared" si="42"/>
        <v/>
      </c>
      <c r="EK152" t="str">
        <f t="shared" si="43"/>
        <v/>
      </c>
    </row>
    <row r="153" spans="2:141" x14ac:dyDescent="0.25">
      <c r="B153" s="261">
        <v>150</v>
      </c>
      <c r="C153" s="44"/>
      <c r="D153" s="45">
        <f t="shared" si="41"/>
        <v>0</v>
      </c>
      <c r="EH153" s="313">
        <v>150</v>
      </c>
      <c r="EI153" s="314">
        <v>1.7942</v>
      </c>
      <c r="EJ153" s="247">
        <f t="shared" si="42"/>
        <v>1</v>
      </c>
      <c r="EK153">
        <f t="shared" si="43"/>
        <v>0.18308163265306121</v>
      </c>
    </row>
    <row r="154" spans="2:141" x14ac:dyDescent="0.25">
      <c r="B154" s="43">
        <v>151</v>
      </c>
      <c r="C154" s="44"/>
      <c r="D154" s="45">
        <f t="shared" si="41"/>
        <v>0</v>
      </c>
      <c r="EH154" s="313">
        <v>151</v>
      </c>
      <c r="EI154" s="314"/>
      <c r="EJ154" s="247" t="str">
        <f t="shared" si="42"/>
        <v/>
      </c>
      <c r="EK154" t="str">
        <f t="shared" si="43"/>
        <v/>
      </c>
    </row>
    <row r="155" spans="2:141" x14ac:dyDescent="0.25">
      <c r="B155" s="43">
        <v>152</v>
      </c>
      <c r="C155" s="44"/>
      <c r="D155" s="45">
        <f t="shared" si="41"/>
        <v>0</v>
      </c>
      <c r="EH155" s="313">
        <v>152</v>
      </c>
      <c r="EI155" s="314"/>
      <c r="EJ155" s="247" t="str">
        <f t="shared" si="42"/>
        <v/>
      </c>
      <c r="EK155" t="str">
        <f t="shared" si="43"/>
        <v/>
      </c>
    </row>
    <row r="156" spans="2:141" x14ac:dyDescent="0.25">
      <c r="B156" s="43">
        <v>153</v>
      </c>
      <c r="C156" s="44"/>
      <c r="D156" s="45">
        <f t="shared" si="41"/>
        <v>0</v>
      </c>
      <c r="EH156" s="313">
        <v>153</v>
      </c>
      <c r="EI156" s="314"/>
      <c r="EJ156" s="247" t="str">
        <f t="shared" si="42"/>
        <v/>
      </c>
      <c r="EK156" t="str">
        <f t="shared" si="43"/>
        <v/>
      </c>
    </row>
    <row r="157" spans="2:141" x14ac:dyDescent="0.25">
      <c r="B157" s="43">
        <v>154</v>
      </c>
      <c r="C157" s="44"/>
      <c r="D157" s="45">
        <f t="shared" si="41"/>
        <v>0</v>
      </c>
      <c r="EH157" s="313">
        <v>154</v>
      </c>
      <c r="EI157" s="314"/>
      <c r="EJ157" s="247" t="str">
        <f t="shared" si="42"/>
        <v/>
      </c>
      <c r="EK157" t="str">
        <f t="shared" si="43"/>
        <v/>
      </c>
    </row>
    <row r="158" spans="2:141" x14ac:dyDescent="0.25">
      <c r="B158" s="43">
        <v>155</v>
      </c>
      <c r="C158" s="44"/>
      <c r="D158" s="45">
        <f t="shared" si="41"/>
        <v>0</v>
      </c>
      <c r="EH158" s="313">
        <v>155</v>
      </c>
      <c r="EI158" s="314"/>
      <c r="EJ158" s="247" t="str">
        <f t="shared" si="42"/>
        <v/>
      </c>
      <c r="EK158" t="str">
        <f t="shared" si="43"/>
        <v/>
      </c>
    </row>
    <row r="159" spans="2:141" x14ac:dyDescent="0.25">
      <c r="B159" s="43">
        <v>156</v>
      </c>
      <c r="C159" s="44"/>
      <c r="D159" s="45">
        <f t="shared" si="41"/>
        <v>0</v>
      </c>
      <c r="EH159" s="313">
        <v>156</v>
      </c>
      <c r="EI159" s="314"/>
      <c r="EJ159" s="247" t="str">
        <f t="shared" si="42"/>
        <v/>
      </c>
      <c r="EK159" t="str">
        <f t="shared" si="43"/>
        <v/>
      </c>
    </row>
    <row r="160" spans="2:141" x14ac:dyDescent="0.25">
      <c r="B160" s="43">
        <v>157</v>
      </c>
      <c r="C160" s="44"/>
      <c r="D160" s="45">
        <f t="shared" si="41"/>
        <v>0</v>
      </c>
      <c r="EH160" s="313">
        <v>157</v>
      </c>
      <c r="EI160" s="314"/>
      <c r="EJ160" s="247" t="str">
        <f t="shared" si="42"/>
        <v/>
      </c>
      <c r="EK160" t="str">
        <f t="shared" si="43"/>
        <v/>
      </c>
    </row>
    <row r="161" spans="2:141" x14ac:dyDescent="0.25">
      <c r="B161" s="43">
        <v>158</v>
      </c>
      <c r="C161" s="44"/>
      <c r="D161" s="45">
        <f t="shared" si="41"/>
        <v>0</v>
      </c>
      <c r="EH161" s="313">
        <v>158</v>
      </c>
      <c r="EI161" s="314"/>
      <c r="EJ161" s="247" t="str">
        <f t="shared" si="42"/>
        <v/>
      </c>
      <c r="EK161" t="str">
        <f t="shared" si="43"/>
        <v/>
      </c>
    </row>
    <row r="162" spans="2:141" x14ac:dyDescent="0.25">
      <c r="B162" s="43">
        <v>159</v>
      </c>
      <c r="C162" s="44"/>
      <c r="D162" s="45">
        <f t="shared" si="41"/>
        <v>0</v>
      </c>
      <c r="EH162" s="313">
        <v>159</v>
      </c>
      <c r="EI162" s="314"/>
      <c r="EJ162" s="247" t="str">
        <f t="shared" si="42"/>
        <v/>
      </c>
      <c r="EK162" t="str">
        <f t="shared" si="43"/>
        <v/>
      </c>
    </row>
    <row r="163" spans="2:141" x14ac:dyDescent="0.25">
      <c r="B163" s="43">
        <v>160</v>
      </c>
      <c r="C163" s="44"/>
      <c r="D163" s="45">
        <f t="shared" si="41"/>
        <v>0</v>
      </c>
      <c r="EH163" s="313">
        <v>160</v>
      </c>
      <c r="EI163" s="314">
        <v>1.9137999999999999</v>
      </c>
      <c r="EJ163" s="247">
        <f t="shared" si="42"/>
        <v>1</v>
      </c>
      <c r="EK163">
        <f t="shared" si="43"/>
        <v>0.19528571428571426</v>
      </c>
    </row>
    <row r="164" spans="2:141" x14ac:dyDescent="0.25">
      <c r="B164" s="43">
        <v>161</v>
      </c>
      <c r="C164" s="44"/>
      <c r="D164" s="45">
        <f t="shared" si="41"/>
        <v>0</v>
      </c>
      <c r="EH164" s="313">
        <v>161</v>
      </c>
      <c r="EI164" s="314"/>
      <c r="EJ164" s="247" t="str">
        <f t="shared" si="42"/>
        <v/>
      </c>
      <c r="EK164" t="str">
        <f t="shared" si="43"/>
        <v/>
      </c>
    </row>
    <row r="165" spans="2:141" x14ac:dyDescent="0.25">
      <c r="B165" s="43">
        <v>162</v>
      </c>
      <c r="C165" s="44"/>
      <c r="D165" s="45">
        <f t="shared" si="41"/>
        <v>0</v>
      </c>
      <c r="EH165" s="313">
        <v>162</v>
      </c>
      <c r="EI165" s="314"/>
      <c r="EJ165" s="247" t="str">
        <f t="shared" si="42"/>
        <v/>
      </c>
      <c r="EK165" t="str">
        <f t="shared" si="43"/>
        <v/>
      </c>
    </row>
    <row r="166" spans="2:141" x14ac:dyDescent="0.25">
      <c r="B166" s="43">
        <v>163</v>
      </c>
      <c r="C166" s="44"/>
      <c r="D166" s="45">
        <f t="shared" si="41"/>
        <v>0</v>
      </c>
      <c r="EH166" s="313">
        <v>163</v>
      </c>
      <c r="EI166" s="314"/>
      <c r="EJ166" s="247" t="str">
        <f t="shared" si="42"/>
        <v/>
      </c>
      <c r="EK166" t="str">
        <f t="shared" si="43"/>
        <v/>
      </c>
    </row>
    <row r="167" spans="2:141" x14ac:dyDescent="0.25">
      <c r="B167" s="43">
        <v>164</v>
      </c>
      <c r="C167" s="44"/>
      <c r="D167" s="45">
        <f t="shared" si="41"/>
        <v>0</v>
      </c>
      <c r="EH167" s="313">
        <v>164</v>
      </c>
      <c r="EI167" s="314"/>
      <c r="EJ167" s="247" t="str">
        <f t="shared" si="42"/>
        <v/>
      </c>
      <c r="EK167" t="str">
        <f t="shared" si="43"/>
        <v/>
      </c>
    </row>
    <row r="168" spans="2:141" x14ac:dyDescent="0.25">
      <c r="B168" s="43">
        <v>165</v>
      </c>
      <c r="C168" s="44"/>
      <c r="D168" s="45">
        <f t="shared" si="41"/>
        <v>0</v>
      </c>
      <c r="E168" s="318"/>
      <c r="EH168" s="313">
        <v>165</v>
      </c>
      <c r="EI168" s="314"/>
      <c r="EJ168" s="247" t="str">
        <f t="shared" si="42"/>
        <v/>
      </c>
      <c r="EK168" t="str">
        <f t="shared" si="43"/>
        <v/>
      </c>
    </row>
    <row r="169" spans="2:141" x14ac:dyDescent="0.25">
      <c r="B169" s="43">
        <v>166</v>
      </c>
      <c r="C169" s="44"/>
      <c r="D169" s="45">
        <f t="shared" si="41"/>
        <v>0</v>
      </c>
      <c r="E169" s="251"/>
      <c r="EH169" s="313">
        <v>166</v>
      </c>
      <c r="EI169" s="314"/>
      <c r="EJ169" s="247" t="str">
        <f t="shared" si="42"/>
        <v/>
      </c>
      <c r="EK169" t="str">
        <f t="shared" si="43"/>
        <v/>
      </c>
    </row>
    <row r="170" spans="2:141" x14ac:dyDescent="0.25">
      <c r="B170" s="43">
        <v>167</v>
      </c>
      <c r="C170" s="44"/>
      <c r="D170" s="45">
        <f t="shared" si="41"/>
        <v>0</v>
      </c>
      <c r="E170" s="262"/>
      <c r="EH170" s="313">
        <v>167</v>
      </c>
      <c r="EI170" s="314"/>
      <c r="EJ170" s="247" t="str">
        <f t="shared" si="42"/>
        <v/>
      </c>
      <c r="EK170" t="str">
        <f t="shared" si="43"/>
        <v/>
      </c>
    </row>
    <row r="171" spans="2:141" x14ac:dyDescent="0.25">
      <c r="B171" s="43">
        <v>168</v>
      </c>
      <c r="C171" s="44"/>
      <c r="D171" s="45">
        <f t="shared" si="41"/>
        <v>0</v>
      </c>
      <c r="E171" s="265"/>
      <c r="EH171" s="313">
        <v>168</v>
      </c>
      <c r="EI171" s="314"/>
      <c r="EJ171" s="247" t="str">
        <f t="shared" si="42"/>
        <v/>
      </c>
      <c r="EK171" t="str">
        <f t="shared" si="43"/>
        <v/>
      </c>
    </row>
    <row r="172" spans="2:141" x14ac:dyDescent="0.25">
      <c r="B172" s="43">
        <v>169</v>
      </c>
      <c r="C172" s="44"/>
      <c r="D172" s="45">
        <f t="shared" si="41"/>
        <v>0</v>
      </c>
      <c r="E172" s="269"/>
      <c r="EH172" s="313">
        <v>169</v>
      </c>
      <c r="EI172" s="314"/>
      <c r="EJ172" s="247" t="str">
        <f t="shared" si="42"/>
        <v/>
      </c>
      <c r="EK172" t="str">
        <f t="shared" si="43"/>
        <v/>
      </c>
    </row>
    <row r="173" spans="2:141" x14ac:dyDescent="0.25">
      <c r="B173" s="43">
        <v>170</v>
      </c>
      <c r="C173" s="44"/>
      <c r="D173" s="45">
        <f t="shared" si="41"/>
        <v>0</v>
      </c>
      <c r="EH173" s="313">
        <v>170</v>
      </c>
      <c r="EI173" s="314">
        <v>2.0333999999999999</v>
      </c>
      <c r="EJ173" s="247">
        <f t="shared" si="42"/>
        <v>1</v>
      </c>
      <c r="EK173">
        <f t="shared" si="43"/>
        <v>0.20748979591836733</v>
      </c>
    </row>
    <row r="174" spans="2:141" x14ac:dyDescent="0.25">
      <c r="B174" s="43">
        <v>171</v>
      </c>
      <c r="C174" s="44"/>
      <c r="D174" s="45">
        <f t="shared" si="41"/>
        <v>0</v>
      </c>
      <c r="EH174" s="313">
        <v>171</v>
      </c>
      <c r="EI174" s="314"/>
      <c r="EJ174" s="247" t="str">
        <f t="shared" si="42"/>
        <v/>
      </c>
      <c r="EK174" t="str">
        <f t="shared" si="43"/>
        <v/>
      </c>
    </row>
    <row r="175" spans="2:141" x14ac:dyDescent="0.25">
      <c r="B175" s="43">
        <v>172</v>
      </c>
      <c r="C175" s="44"/>
      <c r="D175" s="45">
        <f t="shared" si="41"/>
        <v>0</v>
      </c>
      <c r="EH175" s="313">
        <v>172</v>
      </c>
      <c r="EI175" s="314"/>
      <c r="EJ175" s="247" t="str">
        <f t="shared" si="42"/>
        <v/>
      </c>
      <c r="EK175" t="str">
        <f t="shared" si="43"/>
        <v/>
      </c>
    </row>
    <row r="176" spans="2:141" x14ac:dyDescent="0.25">
      <c r="B176" s="43">
        <v>173</v>
      </c>
      <c r="C176" s="44"/>
      <c r="D176" s="45">
        <f t="shared" si="41"/>
        <v>0</v>
      </c>
      <c r="EH176" s="313">
        <v>173</v>
      </c>
      <c r="EI176" s="314"/>
      <c r="EJ176" s="247" t="str">
        <f t="shared" si="42"/>
        <v/>
      </c>
      <c r="EK176" t="str">
        <f t="shared" si="43"/>
        <v/>
      </c>
    </row>
    <row r="177" spans="2:141" x14ac:dyDescent="0.25">
      <c r="B177" s="43">
        <v>174</v>
      </c>
      <c r="C177" s="44"/>
      <c r="D177" s="45">
        <f t="shared" si="41"/>
        <v>0</v>
      </c>
      <c r="EH177" s="313">
        <v>174</v>
      </c>
      <c r="EI177" s="314"/>
      <c r="EJ177" s="247" t="str">
        <f t="shared" si="42"/>
        <v/>
      </c>
      <c r="EK177" t="str">
        <f t="shared" si="43"/>
        <v/>
      </c>
    </row>
    <row r="178" spans="2:141" x14ac:dyDescent="0.25">
      <c r="B178" s="43">
        <v>175</v>
      </c>
      <c r="C178" s="44"/>
      <c r="D178" s="45">
        <f t="shared" si="41"/>
        <v>0</v>
      </c>
      <c r="EH178" s="313">
        <v>175</v>
      </c>
      <c r="EI178" s="314"/>
      <c r="EJ178" s="247" t="str">
        <f t="shared" si="42"/>
        <v/>
      </c>
      <c r="EK178" t="str">
        <f t="shared" si="43"/>
        <v/>
      </c>
    </row>
    <row r="179" spans="2:141" x14ac:dyDescent="0.25">
      <c r="B179" s="43">
        <v>176</v>
      </c>
      <c r="C179" s="44"/>
      <c r="D179" s="45">
        <f t="shared" si="41"/>
        <v>0</v>
      </c>
      <c r="EH179" s="313">
        <v>176</v>
      </c>
      <c r="EI179" s="314"/>
      <c r="EJ179" s="247" t="str">
        <f t="shared" si="42"/>
        <v/>
      </c>
      <c r="EK179" t="str">
        <f t="shared" si="43"/>
        <v/>
      </c>
    </row>
    <row r="180" spans="2:141" x14ac:dyDescent="0.25">
      <c r="B180" s="43">
        <v>177</v>
      </c>
      <c r="C180" s="44"/>
      <c r="D180" s="45">
        <f t="shared" si="41"/>
        <v>0</v>
      </c>
      <c r="EH180" s="313">
        <v>177</v>
      </c>
      <c r="EI180" s="314"/>
      <c r="EJ180" s="247" t="str">
        <f t="shared" si="42"/>
        <v/>
      </c>
      <c r="EK180" t="str">
        <f t="shared" si="43"/>
        <v/>
      </c>
    </row>
    <row r="181" spans="2:141" x14ac:dyDescent="0.25">
      <c r="B181" s="43">
        <v>178</v>
      </c>
      <c r="C181" s="44"/>
      <c r="D181" s="45">
        <f t="shared" si="41"/>
        <v>0</v>
      </c>
      <c r="EH181" s="313">
        <v>178</v>
      </c>
      <c r="EI181" s="314"/>
      <c r="EJ181" s="247" t="str">
        <f t="shared" si="42"/>
        <v/>
      </c>
      <c r="EK181" t="str">
        <f t="shared" si="43"/>
        <v/>
      </c>
    </row>
    <row r="182" spans="2:141" x14ac:dyDescent="0.25">
      <c r="B182" s="43">
        <v>179</v>
      </c>
      <c r="C182" s="44"/>
      <c r="D182" s="45">
        <f t="shared" si="41"/>
        <v>0</v>
      </c>
      <c r="EH182" s="313">
        <v>179</v>
      </c>
      <c r="EI182" s="314"/>
      <c r="EJ182" s="247" t="str">
        <f t="shared" si="42"/>
        <v/>
      </c>
      <c r="EK182" t="str">
        <f t="shared" si="43"/>
        <v/>
      </c>
    </row>
    <row r="183" spans="2:141" x14ac:dyDescent="0.25">
      <c r="B183" s="43">
        <v>180</v>
      </c>
      <c r="C183" s="44"/>
      <c r="D183" s="45">
        <f t="shared" si="41"/>
        <v>0</v>
      </c>
      <c r="EH183" s="313">
        <v>180</v>
      </c>
      <c r="EI183" s="314">
        <v>2.1530999999999998</v>
      </c>
      <c r="EJ183" s="247">
        <f t="shared" si="42"/>
        <v>1</v>
      </c>
      <c r="EK183">
        <f t="shared" si="43"/>
        <v>0.21970408163265304</v>
      </c>
    </row>
    <row r="184" spans="2:141" x14ac:dyDescent="0.25">
      <c r="B184" s="43">
        <v>181</v>
      </c>
      <c r="C184" s="44"/>
      <c r="D184" s="45">
        <f t="shared" si="41"/>
        <v>0</v>
      </c>
      <c r="EH184" s="313">
        <v>181</v>
      </c>
      <c r="EI184" s="314"/>
      <c r="EJ184" s="247" t="str">
        <f t="shared" si="42"/>
        <v/>
      </c>
      <c r="EK184" t="str">
        <f t="shared" si="43"/>
        <v/>
      </c>
    </row>
    <row r="185" spans="2:141" x14ac:dyDescent="0.25">
      <c r="B185" s="43">
        <v>182</v>
      </c>
      <c r="C185" s="44"/>
      <c r="D185" s="45">
        <f t="shared" si="41"/>
        <v>0</v>
      </c>
      <c r="EH185" s="313">
        <v>182</v>
      </c>
      <c r="EI185" s="314"/>
      <c r="EJ185" s="247" t="str">
        <f t="shared" si="42"/>
        <v/>
      </c>
      <c r="EK185" t="str">
        <f t="shared" si="43"/>
        <v/>
      </c>
    </row>
    <row r="186" spans="2:141" x14ac:dyDescent="0.25">
      <c r="B186" s="43">
        <v>183</v>
      </c>
      <c r="C186" s="44"/>
      <c r="D186" s="45">
        <f t="shared" si="41"/>
        <v>0</v>
      </c>
      <c r="EH186" s="313">
        <v>183</v>
      </c>
      <c r="EI186" s="314"/>
      <c r="EJ186" s="247" t="str">
        <f t="shared" si="42"/>
        <v/>
      </c>
      <c r="EK186" t="str">
        <f t="shared" si="43"/>
        <v/>
      </c>
    </row>
    <row r="187" spans="2:141" x14ac:dyDescent="0.25">
      <c r="B187" s="43">
        <v>184</v>
      </c>
      <c r="C187" s="44"/>
      <c r="D187" s="45">
        <f t="shared" si="41"/>
        <v>0</v>
      </c>
      <c r="EH187" s="313">
        <v>184</v>
      </c>
      <c r="EI187" s="314"/>
      <c r="EJ187" s="247" t="str">
        <f t="shared" si="42"/>
        <v/>
      </c>
      <c r="EK187" t="str">
        <f t="shared" si="43"/>
        <v/>
      </c>
    </row>
    <row r="188" spans="2:141" x14ac:dyDescent="0.25">
      <c r="B188" s="43">
        <v>185</v>
      </c>
      <c r="C188" s="44"/>
      <c r="D188" s="45">
        <f t="shared" si="41"/>
        <v>0</v>
      </c>
      <c r="EH188" s="313">
        <v>185</v>
      </c>
      <c r="EI188" s="314"/>
      <c r="EJ188" s="247" t="str">
        <f t="shared" si="42"/>
        <v/>
      </c>
      <c r="EK188" t="str">
        <f t="shared" si="43"/>
        <v/>
      </c>
    </row>
    <row r="189" spans="2:141" x14ac:dyDescent="0.25">
      <c r="B189" s="43">
        <v>186</v>
      </c>
      <c r="C189" s="44"/>
      <c r="D189" s="45">
        <f t="shared" si="41"/>
        <v>0</v>
      </c>
      <c r="EH189" s="313">
        <v>186</v>
      </c>
      <c r="EI189" s="314"/>
      <c r="EJ189" s="247" t="str">
        <f t="shared" si="42"/>
        <v/>
      </c>
      <c r="EK189" t="str">
        <f t="shared" si="43"/>
        <v/>
      </c>
    </row>
    <row r="190" spans="2:141" x14ac:dyDescent="0.25">
      <c r="B190" s="43">
        <v>187</v>
      </c>
      <c r="C190" s="44"/>
      <c r="D190" s="45">
        <f t="shared" si="41"/>
        <v>0</v>
      </c>
      <c r="EH190" s="313">
        <v>187</v>
      </c>
      <c r="EI190" s="314"/>
      <c r="EJ190" s="247" t="str">
        <f t="shared" si="42"/>
        <v/>
      </c>
      <c r="EK190" t="str">
        <f t="shared" si="43"/>
        <v/>
      </c>
    </row>
    <row r="191" spans="2:141" x14ac:dyDescent="0.25">
      <c r="B191" s="43">
        <v>188</v>
      </c>
      <c r="C191" s="44"/>
      <c r="D191" s="45">
        <f t="shared" si="41"/>
        <v>0</v>
      </c>
      <c r="EH191" s="313">
        <v>188</v>
      </c>
      <c r="EI191" s="314"/>
      <c r="EJ191" s="247" t="str">
        <f t="shared" si="42"/>
        <v/>
      </c>
      <c r="EK191" t="str">
        <f t="shared" si="43"/>
        <v/>
      </c>
    </row>
    <row r="192" spans="2:141" x14ac:dyDescent="0.25">
      <c r="B192" s="43">
        <v>189</v>
      </c>
      <c r="C192" s="44"/>
      <c r="D192" s="45">
        <f t="shared" si="41"/>
        <v>0</v>
      </c>
      <c r="E192" s="318"/>
      <c r="EH192" s="313">
        <v>189</v>
      </c>
      <c r="EI192" s="314"/>
      <c r="EJ192" s="247" t="str">
        <f t="shared" si="42"/>
        <v/>
      </c>
      <c r="EK192" t="str">
        <f t="shared" si="43"/>
        <v/>
      </c>
    </row>
    <row r="193" spans="2:141" x14ac:dyDescent="0.25">
      <c r="B193" s="43">
        <v>190</v>
      </c>
      <c r="C193" s="44"/>
      <c r="D193" s="45">
        <f t="shared" si="41"/>
        <v>0</v>
      </c>
      <c r="E193" s="251"/>
      <c r="EH193" s="313">
        <v>190</v>
      </c>
      <c r="EI193" s="314">
        <v>2.2726999999999999</v>
      </c>
      <c r="EJ193" s="247">
        <f t="shared" si="42"/>
        <v>1</v>
      </c>
      <c r="EK193">
        <f t="shared" si="43"/>
        <v>0.23190816326530611</v>
      </c>
    </row>
    <row r="194" spans="2:141" x14ac:dyDescent="0.25">
      <c r="B194" s="43">
        <v>191</v>
      </c>
      <c r="C194" s="44"/>
      <c r="D194" s="45">
        <f t="shared" si="41"/>
        <v>0</v>
      </c>
      <c r="E194" s="262"/>
      <c r="EH194" s="313">
        <v>191</v>
      </c>
      <c r="EI194" s="314"/>
      <c r="EJ194" s="247" t="str">
        <f t="shared" si="42"/>
        <v/>
      </c>
      <c r="EK194" t="str">
        <f t="shared" si="43"/>
        <v/>
      </c>
    </row>
    <row r="195" spans="2:141" x14ac:dyDescent="0.25">
      <c r="B195" s="43">
        <v>192</v>
      </c>
      <c r="C195" s="44"/>
      <c r="D195" s="45">
        <f t="shared" si="41"/>
        <v>0</v>
      </c>
      <c r="E195" s="265"/>
      <c r="EH195" s="313">
        <v>192</v>
      </c>
      <c r="EI195" s="314"/>
      <c r="EJ195" s="247" t="str">
        <f t="shared" si="42"/>
        <v/>
      </c>
      <c r="EK195" t="str">
        <f t="shared" si="43"/>
        <v/>
      </c>
    </row>
    <row r="196" spans="2:141" x14ac:dyDescent="0.25">
      <c r="B196" s="43">
        <v>193</v>
      </c>
      <c r="C196" s="44"/>
      <c r="D196" s="45">
        <f t="shared" si="41"/>
        <v>0</v>
      </c>
      <c r="E196" s="269"/>
      <c r="EH196" s="313">
        <v>193</v>
      </c>
      <c r="EI196" s="314"/>
      <c r="EJ196" s="247" t="str">
        <f t="shared" si="42"/>
        <v/>
      </c>
      <c r="EK196" t="str">
        <f t="shared" si="43"/>
        <v/>
      </c>
    </row>
    <row r="197" spans="2:141" x14ac:dyDescent="0.25">
      <c r="B197" s="43">
        <v>194</v>
      </c>
      <c r="C197" s="44"/>
      <c r="D197" s="45">
        <f t="shared" ref="D197:D260" si="44">C197</f>
        <v>0</v>
      </c>
      <c r="EH197" s="313">
        <v>194</v>
      </c>
      <c r="EI197" s="314"/>
      <c r="EJ197" s="247" t="str">
        <f t="shared" ref="EJ197:EJ260" si="45">IF(EI197="","",1)</f>
        <v/>
      </c>
      <c r="EK197" t="str">
        <f t="shared" ref="EK197:EK260" si="46">IF(EI197="","",EI197/9.8)</f>
        <v/>
      </c>
    </row>
    <row r="198" spans="2:141" x14ac:dyDescent="0.25">
      <c r="B198" s="43">
        <v>195</v>
      </c>
      <c r="C198" s="44"/>
      <c r="D198" s="45">
        <f t="shared" si="44"/>
        <v>0</v>
      </c>
      <c r="EH198" s="313">
        <v>195</v>
      </c>
      <c r="EI198" s="314"/>
      <c r="EJ198" s="247" t="str">
        <f t="shared" si="45"/>
        <v/>
      </c>
      <c r="EK198" t="str">
        <f t="shared" si="46"/>
        <v/>
      </c>
    </row>
    <row r="199" spans="2:141" x14ac:dyDescent="0.25">
      <c r="B199" s="43">
        <v>196</v>
      </c>
      <c r="C199" s="44"/>
      <c r="D199" s="45">
        <f t="shared" si="44"/>
        <v>0</v>
      </c>
      <c r="EH199" s="313">
        <v>196</v>
      </c>
      <c r="EI199" s="314"/>
      <c r="EJ199" s="247" t="str">
        <f t="shared" si="45"/>
        <v/>
      </c>
      <c r="EK199" t="str">
        <f t="shared" si="46"/>
        <v/>
      </c>
    </row>
    <row r="200" spans="2:141" x14ac:dyDescent="0.25">
      <c r="B200" s="43">
        <v>197</v>
      </c>
      <c r="C200" s="44"/>
      <c r="D200" s="45">
        <f t="shared" si="44"/>
        <v>0</v>
      </c>
      <c r="EH200" s="313">
        <v>197</v>
      </c>
      <c r="EI200" s="314"/>
      <c r="EJ200" s="247" t="str">
        <f t="shared" si="45"/>
        <v/>
      </c>
      <c r="EK200" t="str">
        <f t="shared" si="46"/>
        <v/>
      </c>
    </row>
    <row r="201" spans="2:141" x14ac:dyDescent="0.25">
      <c r="B201" s="43">
        <v>198</v>
      </c>
      <c r="C201" s="44"/>
      <c r="D201" s="45">
        <f t="shared" si="44"/>
        <v>0</v>
      </c>
      <c r="EH201" s="313">
        <v>198</v>
      </c>
      <c r="EI201" s="314"/>
      <c r="EJ201" s="247" t="str">
        <f t="shared" si="45"/>
        <v/>
      </c>
      <c r="EK201" t="str">
        <f t="shared" si="46"/>
        <v/>
      </c>
    </row>
    <row r="202" spans="2:141" x14ac:dyDescent="0.25">
      <c r="B202" s="43">
        <v>199</v>
      </c>
      <c r="C202" s="44"/>
      <c r="D202" s="45">
        <f t="shared" si="44"/>
        <v>0</v>
      </c>
      <c r="EH202" s="313">
        <v>199</v>
      </c>
      <c r="EI202" s="314"/>
      <c r="EJ202" s="247" t="str">
        <f t="shared" si="45"/>
        <v/>
      </c>
      <c r="EK202" t="str">
        <f t="shared" si="46"/>
        <v/>
      </c>
    </row>
    <row r="203" spans="2:141" x14ac:dyDescent="0.25">
      <c r="B203" s="43">
        <v>200</v>
      </c>
      <c r="C203">
        <v>125.5</v>
      </c>
      <c r="D203" s="45">
        <f t="shared" si="44"/>
        <v>125.5</v>
      </c>
      <c r="EH203" s="313">
        <v>200</v>
      </c>
      <c r="EI203" s="314">
        <v>2.3923000000000001</v>
      </c>
      <c r="EJ203" s="247">
        <f t="shared" si="45"/>
        <v>1</v>
      </c>
      <c r="EK203">
        <f t="shared" si="46"/>
        <v>0.24411224489795919</v>
      </c>
    </row>
    <row r="204" spans="2:141" x14ac:dyDescent="0.25">
      <c r="B204" s="43">
        <v>201</v>
      </c>
      <c r="C204">
        <v>138.5</v>
      </c>
      <c r="D204" s="45">
        <f t="shared" si="44"/>
        <v>138.5</v>
      </c>
      <c r="EH204" s="313">
        <v>201</v>
      </c>
      <c r="EI204" s="314"/>
      <c r="EJ204" s="247" t="str">
        <f t="shared" si="45"/>
        <v/>
      </c>
      <c r="EK204" t="str">
        <f t="shared" si="46"/>
        <v/>
      </c>
    </row>
    <row r="205" spans="2:141" x14ac:dyDescent="0.25">
      <c r="B205" s="43">
        <v>202</v>
      </c>
      <c r="C205">
        <v>110</v>
      </c>
      <c r="D205" s="45">
        <f t="shared" si="44"/>
        <v>110</v>
      </c>
      <c r="EH205" s="313">
        <v>202</v>
      </c>
      <c r="EI205" s="314"/>
      <c r="EJ205" s="247" t="str">
        <f t="shared" si="45"/>
        <v/>
      </c>
      <c r="EK205" t="str">
        <f t="shared" si="46"/>
        <v/>
      </c>
    </row>
    <row r="206" spans="2:141" x14ac:dyDescent="0.25">
      <c r="B206" s="43">
        <v>203</v>
      </c>
      <c r="C206">
        <v>102.1</v>
      </c>
      <c r="D206" s="45">
        <f t="shared" si="44"/>
        <v>102.1</v>
      </c>
      <c r="EH206" s="313">
        <v>203</v>
      </c>
      <c r="EI206" s="314"/>
      <c r="EJ206" s="247" t="str">
        <f t="shared" si="45"/>
        <v/>
      </c>
      <c r="EK206" t="str">
        <f t="shared" si="46"/>
        <v/>
      </c>
    </row>
    <row r="207" spans="2:141" x14ac:dyDescent="0.25">
      <c r="B207" s="43">
        <v>204</v>
      </c>
      <c r="C207">
        <v>106.4</v>
      </c>
      <c r="D207" s="45">
        <f t="shared" si="44"/>
        <v>106.4</v>
      </c>
      <c r="EH207" s="313">
        <v>204</v>
      </c>
      <c r="EI207" s="314"/>
      <c r="EJ207" s="247" t="str">
        <f t="shared" si="45"/>
        <v/>
      </c>
      <c r="EK207" t="str">
        <f t="shared" si="46"/>
        <v/>
      </c>
    </row>
    <row r="208" spans="2:141" x14ac:dyDescent="0.25">
      <c r="B208" s="43">
        <v>205</v>
      </c>
      <c r="C208">
        <v>135</v>
      </c>
      <c r="D208" s="45">
        <f t="shared" si="44"/>
        <v>135</v>
      </c>
      <c r="EH208" s="313">
        <v>205</v>
      </c>
      <c r="EI208" s="314"/>
      <c r="EJ208" s="247" t="str">
        <f t="shared" si="45"/>
        <v/>
      </c>
      <c r="EK208" t="str">
        <f t="shared" si="46"/>
        <v/>
      </c>
    </row>
    <row r="209" spans="2:141" x14ac:dyDescent="0.25">
      <c r="B209" s="43">
        <v>206</v>
      </c>
      <c r="C209">
        <v>97.2</v>
      </c>
      <c r="D209" s="45">
        <f t="shared" si="44"/>
        <v>97.2</v>
      </c>
      <c r="EH209" s="313">
        <v>206</v>
      </c>
      <c r="EI209" s="314"/>
      <c r="EJ209" s="247" t="str">
        <f t="shared" si="45"/>
        <v/>
      </c>
      <c r="EK209" t="str">
        <f t="shared" si="46"/>
        <v/>
      </c>
    </row>
    <row r="210" spans="2:141" x14ac:dyDescent="0.25">
      <c r="B210" s="43">
        <v>207</v>
      </c>
      <c r="C210">
        <v>96.6</v>
      </c>
      <c r="D210" s="45">
        <f t="shared" si="44"/>
        <v>96.6</v>
      </c>
      <c r="EH210" s="313">
        <v>207</v>
      </c>
      <c r="EI210" s="314"/>
      <c r="EJ210" s="247" t="str">
        <f t="shared" si="45"/>
        <v/>
      </c>
      <c r="EK210" t="str">
        <f t="shared" si="46"/>
        <v/>
      </c>
    </row>
    <row r="211" spans="2:141" x14ac:dyDescent="0.25">
      <c r="B211" s="43">
        <v>208</v>
      </c>
      <c r="C211">
        <v>125.3</v>
      </c>
      <c r="D211" s="45">
        <f t="shared" si="44"/>
        <v>125.3</v>
      </c>
      <c r="EH211" s="313">
        <v>208</v>
      </c>
      <c r="EI211" s="314"/>
      <c r="EJ211" s="247" t="str">
        <f t="shared" si="45"/>
        <v/>
      </c>
      <c r="EK211" t="str">
        <f t="shared" si="46"/>
        <v/>
      </c>
    </row>
    <row r="212" spans="2:141" x14ac:dyDescent="0.25">
      <c r="B212" s="43">
        <v>209</v>
      </c>
      <c r="C212">
        <v>125.6</v>
      </c>
      <c r="D212" s="45">
        <f t="shared" si="44"/>
        <v>125.6</v>
      </c>
      <c r="EH212" s="313">
        <v>209</v>
      </c>
      <c r="EI212" s="314"/>
      <c r="EJ212" s="247" t="str">
        <f t="shared" si="45"/>
        <v/>
      </c>
      <c r="EK212" t="str">
        <f t="shared" si="46"/>
        <v/>
      </c>
    </row>
    <row r="213" spans="2:141" x14ac:dyDescent="0.25">
      <c r="B213" s="43">
        <v>210</v>
      </c>
      <c r="C213">
        <v>133.5</v>
      </c>
      <c r="D213" s="45">
        <f t="shared" si="44"/>
        <v>133.5</v>
      </c>
      <c r="EH213" s="313">
        <v>210</v>
      </c>
      <c r="EI213" s="314">
        <v>2.5118999999999998</v>
      </c>
      <c r="EJ213" s="247">
        <f t="shared" si="45"/>
        <v>1</v>
      </c>
      <c r="EK213">
        <f t="shared" si="46"/>
        <v>0.2563163265306122</v>
      </c>
    </row>
    <row r="214" spans="2:141" x14ac:dyDescent="0.25">
      <c r="B214" s="43">
        <v>211</v>
      </c>
      <c r="C214">
        <v>97.1</v>
      </c>
      <c r="D214" s="45">
        <f t="shared" si="44"/>
        <v>97.1</v>
      </c>
      <c r="EH214" s="313">
        <v>211</v>
      </c>
      <c r="EI214" s="314"/>
      <c r="EJ214" s="247" t="str">
        <f t="shared" si="45"/>
        <v/>
      </c>
      <c r="EK214" t="str">
        <f t="shared" si="46"/>
        <v/>
      </c>
    </row>
    <row r="215" spans="2:141" x14ac:dyDescent="0.25">
      <c r="B215" s="43">
        <v>212</v>
      </c>
      <c r="C215">
        <v>121.9</v>
      </c>
      <c r="D215" s="45">
        <f t="shared" si="44"/>
        <v>121.9</v>
      </c>
      <c r="EH215" s="313">
        <v>212</v>
      </c>
      <c r="EI215" s="314"/>
      <c r="EJ215" s="247" t="str">
        <f t="shared" si="45"/>
        <v/>
      </c>
      <c r="EK215" t="str">
        <f t="shared" si="46"/>
        <v/>
      </c>
    </row>
    <row r="216" spans="2:141" x14ac:dyDescent="0.25">
      <c r="B216" s="43">
        <v>213</v>
      </c>
      <c r="C216">
        <v>132.6</v>
      </c>
      <c r="D216" s="45">
        <f t="shared" si="44"/>
        <v>132.6</v>
      </c>
      <c r="E216" s="318"/>
      <c r="EH216" s="313">
        <v>213</v>
      </c>
      <c r="EI216" s="314"/>
      <c r="EJ216" s="247" t="str">
        <f t="shared" si="45"/>
        <v/>
      </c>
      <c r="EK216" t="str">
        <f t="shared" si="46"/>
        <v/>
      </c>
    </row>
    <row r="217" spans="2:141" x14ac:dyDescent="0.25">
      <c r="B217" s="43">
        <v>214</v>
      </c>
      <c r="C217">
        <v>138.9</v>
      </c>
      <c r="D217" s="45">
        <f t="shared" si="44"/>
        <v>138.9</v>
      </c>
      <c r="E217" s="251"/>
      <c r="EH217" s="313">
        <v>214</v>
      </c>
      <c r="EI217" s="314"/>
      <c r="EJ217" s="247" t="str">
        <f t="shared" si="45"/>
        <v/>
      </c>
      <c r="EK217" t="str">
        <f t="shared" si="46"/>
        <v/>
      </c>
    </row>
    <row r="218" spans="2:141" x14ac:dyDescent="0.25">
      <c r="B218" s="43">
        <v>215</v>
      </c>
      <c r="C218">
        <v>107</v>
      </c>
      <c r="D218" s="45">
        <f t="shared" si="44"/>
        <v>107</v>
      </c>
      <c r="E218" s="262"/>
      <c r="EH218" s="313">
        <v>215</v>
      </c>
      <c r="EI218" s="314"/>
      <c r="EJ218" s="247" t="str">
        <f t="shared" si="45"/>
        <v/>
      </c>
      <c r="EK218" t="str">
        <f t="shared" si="46"/>
        <v/>
      </c>
    </row>
    <row r="219" spans="2:141" x14ac:dyDescent="0.25">
      <c r="B219" s="43">
        <v>216</v>
      </c>
      <c r="C219">
        <v>121.7</v>
      </c>
      <c r="D219" s="45">
        <f t="shared" si="44"/>
        <v>121.7</v>
      </c>
      <c r="E219" s="265"/>
      <c r="EH219" s="313">
        <v>216</v>
      </c>
      <c r="EI219" s="314"/>
      <c r="EJ219" s="247" t="str">
        <f t="shared" si="45"/>
        <v/>
      </c>
      <c r="EK219" t="str">
        <f t="shared" si="46"/>
        <v/>
      </c>
    </row>
    <row r="220" spans="2:141" x14ac:dyDescent="0.25">
      <c r="B220" s="43">
        <v>217</v>
      </c>
      <c r="C220">
        <v>106.4</v>
      </c>
      <c r="D220" s="45">
        <f t="shared" si="44"/>
        <v>106.4</v>
      </c>
      <c r="E220" s="269"/>
      <c r="EH220" s="313">
        <v>217</v>
      </c>
      <c r="EI220" s="314"/>
      <c r="EJ220" s="247" t="str">
        <f t="shared" si="45"/>
        <v/>
      </c>
      <c r="EK220" t="str">
        <f t="shared" si="46"/>
        <v/>
      </c>
    </row>
    <row r="221" spans="2:141" x14ac:dyDescent="0.25">
      <c r="B221" s="43">
        <v>218</v>
      </c>
      <c r="C221">
        <v>103.8</v>
      </c>
      <c r="D221" s="45">
        <f t="shared" si="44"/>
        <v>103.8</v>
      </c>
      <c r="EH221" s="313">
        <v>218</v>
      </c>
      <c r="EI221" s="314"/>
      <c r="EJ221" s="247" t="str">
        <f t="shared" si="45"/>
        <v/>
      </c>
      <c r="EK221" t="str">
        <f t="shared" si="46"/>
        <v/>
      </c>
    </row>
    <row r="222" spans="2:141" x14ac:dyDescent="0.25">
      <c r="B222" s="43">
        <v>219</v>
      </c>
      <c r="C222">
        <v>105.3</v>
      </c>
      <c r="D222" s="45">
        <f t="shared" si="44"/>
        <v>105.3</v>
      </c>
      <c r="EH222" s="313">
        <v>219</v>
      </c>
      <c r="EI222" s="314"/>
      <c r="EJ222" s="247" t="str">
        <f t="shared" si="45"/>
        <v/>
      </c>
      <c r="EK222" t="str">
        <f t="shared" si="46"/>
        <v/>
      </c>
    </row>
    <row r="223" spans="2:141" x14ac:dyDescent="0.25">
      <c r="B223" s="43">
        <v>220</v>
      </c>
      <c r="C223">
        <v>104.5</v>
      </c>
      <c r="D223" s="45">
        <f t="shared" si="44"/>
        <v>104.5</v>
      </c>
      <c r="EH223" s="313">
        <v>220</v>
      </c>
      <c r="EI223" s="314">
        <v>2.6309</v>
      </c>
      <c r="EJ223" s="247">
        <f t="shared" si="45"/>
        <v>1</v>
      </c>
      <c r="EK223">
        <f t="shared" si="46"/>
        <v>0.26845918367346938</v>
      </c>
    </row>
    <row r="224" spans="2:141" x14ac:dyDescent="0.25">
      <c r="B224" s="43">
        <v>221</v>
      </c>
      <c r="C224">
        <v>104.4</v>
      </c>
      <c r="D224" s="45">
        <f t="shared" si="44"/>
        <v>104.4</v>
      </c>
      <c r="EH224" s="313">
        <v>221</v>
      </c>
      <c r="EI224" s="314"/>
      <c r="EJ224" s="247" t="str">
        <f t="shared" si="45"/>
        <v/>
      </c>
      <c r="EK224" t="str">
        <f t="shared" si="46"/>
        <v/>
      </c>
    </row>
    <row r="225" spans="2:141" x14ac:dyDescent="0.25">
      <c r="B225" s="43">
        <v>222</v>
      </c>
      <c r="C225">
        <v>108</v>
      </c>
      <c r="D225" s="45">
        <f t="shared" si="44"/>
        <v>108</v>
      </c>
      <c r="EH225" s="313">
        <v>222</v>
      </c>
      <c r="EI225" s="314"/>
      <c r="EJ225" s="247" t="str">
        <f t="shared" si="45"/>
        <v/>
      </c>
      <c r="EK225" t="str">
        <f t="shared" si="46"/>
        <v/>
      </c>
    </row>
    <row r="226" spans="2:141" x14ac:dyDescent="0.25">
      <c r="B226" s="43">
        <v>223</v>
      </c>
      <c r="C226">
        <v>105.8</v>
      </c>
      <c r="D226" s="45">
        <f t="shared" si="44"/>
        <v>105.8</v>
      </c>
      <c r="EH226" s="313">
        <v>223</v>
      </c>
      <c r="EI226" s="314"/>
      <c r="EJ226" s="247" t="str">
        <f t="shared" si="45"/>
        <v/>
      </c>
      <c r="EK226" t="str">
        <f t="shared" si="46"/>
        <v/>
      </c>
    </row>
    <row r="227" spans="2:141" x14ac:dyDescent="0.25">
      <c r="B227" s="43">
        <v>224</v>
      </c>
      <c r="C227">
        <v>102.2</v>
      </c>
      <c r="D227" s="45">
        <f t="shared" si="44"/>
        <v>102.2</v>
      </c>
      <c r="EH227" s="313">
        <v>224</v>
      </c>
      <c r="EI227" s="314"/>
      <c r="EJ227" s="247" t="str">
        <f t="shared" si="45"/>
        <v/>
      </c>
      <c r="EK227" t="str">
        <f t="shared" si="46"/>
        <v/>
      </c>
    </row>
    <row r="228" spans="2:141" x14ac:dyDescent="0.25">
      <c r="B228" s="43">
        <v>225</v>
      </c>
      <c r="C228">
        <v>104.6</v>
      </c>
      <c r="D228" s="45">
        <f t="shared" si="44"/>
        <v>104.6</v>
      </c>
      <c r="EH228" s="313">
        <v>225</v>
      </c>
      <c r="EI228" s="314"/>
      <c r="EJ228" s="247" t="str">
        <f t="shared" si="45"/>
        <v/>
      </c>
      <c r="EK228" t="str">
        <f t="shared" si="46"/>
        <v/>
      </c>
    </row>
    <row r="229" spans="2:141" x14ac:dyDescent="0.25">
      <c r="B229" s="43">
        <v>226</v>
      </c>
      <c r="C229">
        <v>103.4</v>
      </c>
      <c r="D229" s="45">
        <f t="shared" si="44"/>
        <v>103.4</v>
      </c>
      <c r="EH229" s="313">
        <v>226</v>
      </c>
      <c r="EI229" s="314"/>
      <c r="EJ229" s="247" t="str">
        <f t="shared" si="45"/>
        <v/>
      </c>
      <c r="EK229" t="str">
        <f t="shared" si="46"/>
        <v/>
      </c>
    </row>
    <row r="230" spans="2:141" x14ac:dyDescent="0.25">
      <c r="B230" s="43">
        <v>227</v>
      </c>
      <c r="C230">
        <v>110</v>
      </c>
      <c r="D230" s="45">
        <f t="shared" si="44"/>
        <v>110</v>
      </c>
      <c r="EH230" s="313">
        <v>227</v>
      </c>
      <c r="EI230" s="314"/>
      <c r="EJ230" s="247" t="str">
        <f t="shared" si="45"/>
        <v/>
      </c>
      <c r="EK230" t="str">
        <f t="shared" si="46"/>
        <v/>
      </c>
    </row>
    <row r="231" spans="2:141" x14ac:dyDescent="0.25">
      <c r="B231" s="43">
        <v>228</v>
      </c>
      <c r="C231">
        <v>100.5</v>
      </c>
      <c r="D231" s="45">
        <f t="shared" si="44"/>
        <v>100.5</v>
      </c>
      <c r="EH231" s="313">
        <v>228</v>
      </c>
      <c r="EI231" s="314"/>
      <c r="EJ231" s="247" t="str">
        <f t="shared" si="45"/>
        <v/>
      </c>
      <c r="EK231" t="str">
        <f t="shared" si="46"/>
        <v/>
      </c>
    </row>
    <row r="232" spans="2:141" x14ac:dyDescent="0.25">
      <c r="B232" s="43">
        <v>229</v>
      </c>
      <c r="C232">
        <v>101.3</v>
      </c>
      <c r="D232" s="45">
        <f t="shared" si="44"/>
        <v>101.3</v>
      </c>
      <c r="EH232" s="313">
        <v>229</v>
      </c>
      <c r="EI232" s="314"/>
      <c r="EJ232" s="247" t="str">
        <f t="shared" si="45"/>
        <v/>
      </c>
      <c r="EK232" t="str">
        <f t="shared" si="46"/>
        <v/>
      </c>
    </row>
    <row r="233" spans="2:141" x14ac:dyDescent="0.25">
      <c r="B233" s="43">
        <v>230</v>
      </c>
      <c r="C233">
        <v>104.3</v>
      </c>
      <c r="D233" s="45">
        <f t="shared" si="44"/>
        <v>104.3</v>
      </c>
      <c r="EH233" s="313">
        <v>230</v>
      </c>
      <c r="EI233" s="314">
        <v>2.75</v>
      </c>
      <c r="EJ233" s="247">
        <f t="shared" si="45"/>
        <v>1</v>
      </c>
      <c r="EK233">
        <f t="shared" si="46"/>
        <v>0.28061224489795916</v>
      </c>
    </row>
    <row r="234" spans="2:141" x14ac:dyDescent="0.25">
      <c r="B234" s="43">
        <v>231</v>
      </c>
      <c r="C234">
        <v>108.8</v>
      </c>
      <c r="D234" s="45">
        <f t="shared" si="44"/>
        <v>108.8</v>
      </c>
      <c r="EH234" s="313">
        <v>231</v>
      </c>
      <c r="EI234" s="314"/>
      <c r="EJ234" s="247" t="str">
        <f t="shared" si="45"/>
        <v/>
      </c>
      <c r="EK234" t="str">
        <f t="shared" si="46"/>
        <v/>
      </c>
    </row>
    <row r="235" spans="2:141" x14ac:dyDescent="0.25">
      <c r="B235" s="43">
        <v>232</v>
      </c>
      <c r="C235">
        <v>104.4</v>
      </c>
      <c r="D235" s="45">
        <f t="shared" si="44"/>
        <v>104.4</v>
      </c>
      <c r="EH235" s="313">
        <v>232</v>
      </c>
      <c r="EI235" s="314"/>
      <c r="EJ235" s="247" t="str">
        <f t="shared" si="45"/>
        <v/>
      </c>
      <c r="EK235" t="str">
        <f t="shared" si="46"/>
        <v/>
      </c>
    </row>
    <row r="236" spans="2:141" x14ac:dyDescent="0.25">
      <c r="B236" s="43">
        <v>233</v>
      </c>
      <c r="C236">
        <v>101.1</v>
      </c>
      <c r="D236" s="45">
        <f t="shared" si="44"/>
        <v>101.1</v>
      </c>
      <c r="EH236" s="313">
        <v>233</v>
      </c>
      <c r="EI236" s="314"/>
      <c r="EJ236" s="247" t="str">
        <f t="shared" si="45"/>
        <v/>
      </c>
      <c r="EK236" t="str">
        <f t="shared" si="46"/>
        <v/>
      </c>
    </row>
    <row r="237" spans="2:141" x14ac:dyDescent="0.25">
      <c r="B237" s="43">
        <v>234</v>
      </c>
      <c r="C237">
        <v>104.3</v>
      </c>
      <c r="D237" s="45">
        <f t="shared" si="44"/>
        <v>104.3</v>
      </c>
      <c r="EH237" s="313">
        <v>234</v>
      </c>
      <c r="EI237" s="314"/>
      <c r="EJ237" s="247" t="str">
        <f t="shared" si="45"/>
        <v/>
      </c>
      <c r="EK237" t="str">
        <f t="shared" si="46"/>
        <v/>
      </c>
    </row>
    <row r="238" spans="2:141" x14ac:dyDescent="0.25">
      <c r="B238" s="43">
        <v>235</v>
      </c>
      <c r="C238">
        <v>120.6</v>
      </c>
      <c r="D238" s="45">
        <f t="shared" si="44"/>
        <v>120.6</v>
      </c>
      <c r="EH238" s="313">
        <v>235</v>
      </c>
      <c r="EI238" s="314"/>
      <c r="EJ238" s="247" t="str">
        <f t="shared" si="45"/>
        <v/>
      </c>
      <c r="EK238" t="str">
        <f t="shared" si="46"/>
        <v/>
      </c>
    </row>
    <row r="239" spans="2:141" x14ac:dyDescent="0.25">
      <c r="B239" s="43">
        <v>236</v>
      </c>
      <c r="C239">
        <v>129.30000000000001</v>
      </c>
      <c r="D239" s="45">
        <f t="shared" si="44"/>
        <v>129.30000000000001</v>
      </c>
      <c r="EH239" s="313">
        <v>236</v>
      </c>
      <c r="EI239" s="314"/>
      <c r="EJ239" s="247" t="str">
        <f t="shared" si="45"/>
        <v/>
      </c>
      <c r="EK239" t="str">
        <f t="shared" si="46"/>
        <v/>
      </c>
    </row>
    <row r="240" spans="2:141" x14ac:dyDescent="0.25">
      <c r="B240" s="43">
        <v>237</v>
      </c>
      <c r="C240">
        <v>128.30000000000001</v>
      </c>
      <c r="D240" s="45">
        <f t="shared" si="44"/>
        <v>128.30000000000001</v>
      </c>
      <c r="E240" s="318"/>
      <c r="EH240" s="313">
        <v>237</v>
      </c>
      <c r="EI240" s="314"/>
      <c r="EJ240" s="247" t="str">
        <f t="shared" si="45"/>
        <v/>
      </c>
      <c r="EK240" t="str">
        <f t="shared" si="46"/>
        <v/>
      </c>
    </row>
    <row r="241" spans="2:141" x14ac:dyDescent="0.25">
      <c r="B241" s="43">
        <v>238</v>
      </c>
      <c r="C241">
        <v>117.9</v>
      </c>
      <c r="D241" s="45">
        <f t="shared" si="44"/>
        <v>117.9</v>
      </c>
      <c r="E241" s="251"/>
      <c r="EH241" s="313">
        <v>238</v>
      </c>
      <c r="EI241" s="314"/>
      <c r="EJ241" s="247" t="str">
        <f t="shared" si="45"/>
        <v/>
      </c>
      <c r="EK241" t="str">
        <f t="shared" si="46"/>
        <v/>
      </c>
    </row>
    <row r="242" spans="2:141" x14ac:dyDescent="0.25">
      <c r="B242" s="43">
        <v>239</v>
      </c>
      <c r="C242">
        <v>110.3</v>
      </c>
      <c r="D242" s="45">
        <f t="shared" si="44"/>
        <v>110.3</v>
      </c>
      <c r="E242" s="262"/>
      <c r="EH242" s="313">
        <v>239</v>
      </c>
      <c r="EI242" s="314"/>
      <c r="EJ242" s="247" t="str">
        <f t="shared" si="45"/>
        <v/>
      </c>
      <c r="EK242" t="str">
        <f t="shared" si="46"/>
        <v/>
      </c>
    </row>
    <row r="243" spans="2:141" x14ac:dyDescent="0.25">
      <c r="B243" s="43">
        <v>240</v>
      </c>
      <c r="C243">
        <v>232.7</v>
      </c>
      <c r="D243" s="45">
        <f t="shared" si="44"/>
        <v>232.7</v>
      </c>
      <c r="E243" s="265"/>
      <c r="EH243" s="313">
        <v>240</v>
      </c>
      <c r="EI243" s="314">
        <v>2.8690000000000002</v>
      </c>
      <c r="EJ243" s="247">
        <f t="shared" si="45"/>
        <v>1</v>
      </c>
      <c r="EK243">
        <f t="shared" si="46"/>
        <v>0.29275510204081634</v>
      </c>
    </row>
    <row r="244" spans="2:141" x14ac:dyDescent="0.25">
      <c r="B244" s="43">
        <v>241</v>
      </c>
      <c r="C244">
        <v>197.5</v>
      </c>
      <c r="D244" s="45">
        <f t="shared" si="44"/>
        <v>197.5</v>
      </c>
      <c r="E244" s="269"/>
      <c r="EH244" s="313">
        <v>241</v>
      </c>
      <c r="EI244" s="314"/>
      <c r="EJ244" s="247" t="str">
        <f t="shared" si="45"/>
        <v/>
      </c>
      <c r="EK244" t="str">
        <f t="shared" si="46"/>
        <v/>
      </c>
    </row>
    <row r="245" spans="2:141" x14ac:dyDescent="0.25">
      <c r="B245" s="43">
        <v>242</v>
      </c>
      <c r="C245">
        <v>219</v>
      </c>
      <c r="D245" s="45">
        <f t="shared" si="44"/>
        <v>219</v>
      </c>
      <c r="EH245" s="313">
        <v>242</v>
      </c>
      <c r="EI245" s="314"/>
      <c r="EJ245" s="247" t="str">
        <f t="shared" si="45"/>
        <v/>
      </c>
      <c r="EK245" t="str">
        <f t="shared" si="46"/>
        <v/>
      </c>
    </row>
    <row r="246" spans="2:141" x14ac:dyDescent="0.25">
      <c r="B246" s="43">
        <v>243</v>
      </c>
      <c r="C246">
        <v>216.3</v>
      </c>
      <c r="D246" s="45">
        <f t="shared" si="44"/>
        <v>216.3</v>
      </c>
      <c r="EH246" s="313">
        <v>243</v>
      </c>
      <c r="EI246" s="314"/>
      <c r="EJ246" s="247" t="str">
        <f t="shared" si="45"/>
        <v/>
      </c>
      <c r="EK246" t="str">
        <f t="shared" si="46"/>
        <v/>
      </c>
    </row>
    <row r="247" spans="2:141" x14ac:dyDescent="0.25">
      <c r="B247" s="43">
        <v>244</v>
      </c>
      <c r="C247">
        <v>221.3</v>
      </c>
      <c r="D247" s="45">
        <f t="shared" si="44"/>
        <v>221.3</v>
      </c>
      <c r="EH247" s="313">
        <v>244</v>
      </c>
      <c r="EI247" s="314"/>
      <c r="EJ247" s="247" t="str">
        <f t="shared" si="45"/>
        <v/>
      </c>
      <c r="EK247" t="str">
        <f t="shared" si="46"/>
        <v/>
      </c>
    </row>
    <row r="248" spans="2:141" x14ac:dyDescent="0.25">
      <c r="B248" s="43">
        <v>245</v>
      </c>
      <c r="C248">
        <v>200.6</v>
      </c>
      <c r="D248" s="45">
        <f t="shared" si="44"/>
        <v>200.6</v>
      </c>
      <c r="EH248" s="313">
        <v>245</v>
      </c>
      <c r="EI248" s="314"/>
      <c r="EJ248" s="247" t="str">
        <f t="shared" si="45"/>
        <v/>
      </c>
      <c r="EK248" t="str">
        <f t="shared" si="46"/>
        <v/>
      </c>
    </row>
    <row r="249" spans="2:141" x14ac:dyDescent="0.25">
      <c r="B249" s="43">
        <v>246</v>
      </c>
      <c r="C249">
        <v>231.7</v>
      </c>
      <c r="D249" s="45">
        <f t="shared" si="44"/>
        <v>231.7</v>
      </c>
      <c r="EH249" s="313">
        <v>246</v>
      </c>
      <c r="EI249" s="314"/>
      <c r="EJ249" s="247" t="str">
        <f t="shared" si="45"/>
        <v/>
      </c>
      <c r="EK249" t="str">
        <f t="shared" si="46"/>
        <v/>
      </c>
    </row>
    <row r="250" spans="2:141" x14ac:dyDescent="0.25">
      <c r="B250" s="43">
        <v>247</v>
      </c>
      <c r="C250">
        <v>217</v>
      </c>
      <c r="D250" s="45">
        <f t="shared" si="44"/>
        <v>217</v>
      </c>
      <c r="EH250" s="313">
        <v>247</v>
      </c>
      <c r="EI250" s="314"/>
      <c r="EJ250" s="247" t="str">
        <f t="shared" si="45"/>
        <v/>
      </c>
      <c r="EK250" t="str">
        <f t="shared" si="46"/>
        <v/>
      </c>
    </row>
    <row r="251" spans="2:141" x14ac:dyDescent="0.25">
      <c r="B251" s="43">
        <v>248</v>
      </c>
      <c r="C251" s="44">
        <v>215.2</v>
      </c>
      <c r="D251" s="45">
        <f t="shared" si="44"/>
        <v>215.2</v>
      </c>
      <c r="EH251" s="313">
        <v>248</v>
      </c>
      <c r="EI251" s="314"/>
      <c r="EJ251" s="247" t="str">
        <f t="shared" si="45"/>
        <v/>
      </c>
      <c r="EK251" t="str">
        <f t="shared" si="46"/>
        <v/>
      </c>
    </row>
    <row r="252" spans="2:141" x14ac:dyDescent="0.25">
      <c r="B252" s="43">
        <v>249</v>
      </c>
      <c r="C252">
        <v>172.3</v>
      </c>
      <c r="D252" s="45">
        <f t="shared" si="44"/>
        <v>172.3</v>
      </c>
      <c r="EH252" s="313">
        <v>249</v>
      </c>
      <c r="EI252" s="314"/>
      <c r="EJ252" s="247" t="str">
        <f t="shared" si="45"/>
        <v/>
      </c>
      <c r="EK252" t="str">
        <f t="shared" si="46"/>
        <v/>
      </c>
    </row>
    <row r="253" spans="2:141" x14ac:dyDescent="0.25">
      <c r="B253" s="43">
        <v>250</v>
      </c>
      <c r="C253">
        <v>145.9</v>
      </c>
      <c r="D253" s="45">
        <f t="shared" si="44"/>
        <v>145.9</v>
      </c>
      <c r="EH253" s="313">
        <v>250</v>
      </c>
      <c r="EI253" s="314">
        <v>2.988</v>
      </c>
      <c r="EJ253" s="247">
        <f t="shared" si="45"/>
        <v>1</v>
      </c>
      <c r="EK253">
        <f t="shared" si="46"/>
        <v>0.30489795918367346</v>
      </c>
    </row>
    <row r="254" spans="2:141" x14ac:dyDescent="0.25">
      <c r="B254" s="43">
        <v>251</v>
      </c>
      <c r="C254">
        <v>159.69999999999999</v>
      </c>
      <c r="D254" s="45">
        <f t="shared" si="44"/>
        <v>159.69999999999999</v>
      </c>
      <c r="EH254" s="313">
        <v>251</v>
      </c>
      <c r="EI254" s="314"/>
      <c r="EJ254" s="247" t="str">
        <f t="shared" si="45"/>
        <v/>
      </c>
      <c r="EK254" t="str">
        <f t="shared" si="46"/>
        <v/>
      </c>
    </row>
    <row r="255" spans="2:141" x14ac:dyDescent="0.25">
      <c r="B255" s="43">
        <v>252</v>
      </c>
      <c r="C255">
        <v>164.6</v>
      </c>
      <c r="D255" s="45">
        <f t="shared" si="44"/>
        <v>164.6</v>
      </c>
      <c r="EH255" s="313">
        <v>252</v>
      </c>
      <c r="EI255" s="314"/>
      <c r="EJ255" s="247" t="str">
        <f t="shared" si="45"/>
        <v/>
      </c>
      <c r="EK255" t="str">
        <f t="shared" si="46"/>
        <v/>
      </c>
    </row>
    <row r="256" spans="2:141" x14ac:dyDescent="0.25">
      <c r="B256" s="43">
        <v>253</v>
      </c>
      <c r="C256">
        <v>132.1</v>
      </c>
      <c r="D256" s="45">
        <f t="shared" si="44"/>
        <v>132.1</v>
      </c>
      <c r="EH256" s="313">
        <v>253</v>
      </c>
      <c r="EI256" s="314"/>
      <c r="EJ256" s="247" t="str">
        <f t="shared" si="45"/>
        <v/>
      </c>
      <c r="EK256" t="str">
        <f t="shared" si="46"/>
        <v/>
      </c>
    </row>
    <row r="257" spans="2:141" x14ac:dyDescent="0.25">
      <c r="B257" s="43">
        <v>254</v>
      </c>
      <c r="C257">
        <v>146.30000000000001</v>
      </c>
      <c r="D257" s="45">
        <f t="shared" si="44"/>
        <v>146.30000000000001</v>
      </c>
      <c r="EH257" s="313">
        <v>254</v>
      </c>
      <c r="EI257" s="314"/>
      <c r="EJ257" s="247" t="str">
        <f t="shared" si="45"/>
        <v/>
      </c>
      <c r="EK257" t="str">
        <f t="shared" si="46"/>
        <v/>
      </c>
    </row>
    <row r="258" spans="2:141" x14ac:dyDescent="0.25">
      <c r="B258" s="43">
        <v>255</v>
      </c>
      <c r="C258">
        <v>137</v>
      </c>
      <c r="D258" s="45">
        <f t="shared" si="44"/>
        <v>137</v>
      </c>
      <c r="EH258" s="313">
        <v>255</v>
      </c>
      <c r="EI258" s="314"/>
      <c r="EJ258" s="247" t="str">
        <f t="shared" si="45"/>
        <v/>
      </c>
      <c r="EK258" t="str">
        <f t="shared" si="46"/>
        <v/>
      </c>
    </row>
    <row r="259" spans="2:141" x14ac:dyDescent="0.25">
      <c r="B259" s="43">
        <v>256</v>
      </c>
      <c r="C259">
        <v>125</v>
      </c>
      <c r="D259" s="45">
        <f t="shared" si="44"/>
        <v>125</v>
      </c>
      <c r="EH259" s="313">
        <v>256</v>
      </c>
      <c r="EI259" s="314"/>
      <c r="EJ259" s="247" t="str">
        <f t="shared" si="45"/>
        <v/>
      </c>
      <c r="EK259" t="str">
        <f t="shared" si="46"/>
        <v/>
      </c>
    </row>
    <row r="260" spans="2:141" x14ac:dyDescent="0.25">
      <c r="B260" s="43">
        <v>257</v>
      </c>
      <c r="C260">
        <v>155.1</v>
      </c>
      <c r="D260" s="45">
        <f t="shared" si="44"/>
        <v>155.1</v>
      </c>
      <c r="EH260" s="313">
        <v>257</v>
      </c>
      <c r="EI260" s="314"/>
      <c r="EJ260" s="247" t="str">
        <f t="shared" si="45"/>
        <v/>
      </c>
      <c r="EK260" t="str">
        <f t="shared" si="46"/>
        <v/>
      </c>
    </row>
    <row r="261" spans="2:141" x14ac:dyDescent="0.25">
      <c r="B261" s="43">
        <v>258</v>
      </c>
      <c r="C261">
        <v>149.5</v>
      </c>
      <c r="D261" s="45">
        <f t="shared" ref="D261:D324" si="47">C261</f>
        <v>149.5</v>
      </c>
      <c r="EH261" s="313">
        <v>258</v>
      </c>
      <c r="EI261" s="314"/>
      <c r="EJ261" s="247" t="str">
        <f t="shared" ref="EJ261:EJ324" si="48">IF(EI261="","",1)</f>
        <v/>
      </c>
      <c r="EK261" t="str">
        <f t="shared" ref="EK261:EK324" si="49">IF(EI261="","",EI261/9.8)</f>
        <v/>
      </c>
    </row>
    <row r="262" spans="2:141" x14ac:dyDescent="0.25">
      <c r="B262" s="43">
        <v>259</v>
      </c>
      <c r="C262">
        <v>157.19999999999999</v>
      </c>
      <c r="D262" s="45">
        <f t="shared" si="47"/>
        <v>157.19999999999999</v>
      </c>
      <c r="EH262" s="313">
        <v>259</v>
      </c>
      <c r="EI262" s="314"/>
      <c r="EJ262" s="247" t="str">
        <f t="shared" si="48"/>
        <v/>
      </c>
      <c r="EK262" t="str">
        <f t="shared" si="49"/>
        <v/>
      </c>
    </row>
    <row r="263" spans="2:141" x14ac:dyDescent="0.25">
      <c r="B263" s="43">
        <v>260</v>
      </c>
      <c r="C263">
        <v>162.30000000000001</v>
      </c>
      <c r="D263" s="45">
        <f t="shared" si="47"/>
        <v>162.30000000000001</v>
      </c>
      <c r="EH263" s="313">
        <v>260</v>
      </c>
      <c r="EI263" s="314">
        <v>3.1071</v>
      </c>
      <c r="EJ263" s="247">
        <f t="shared" si="48"/>
        <v>1</v>
      </c>
      <c r="EK263">
        <f t="shared" si="49"/>
        <v>0.31705102040816324</v>
      </c>
    </row>
    <row r="264" spans="2:141" x14ac:dyDescent="0.25">
      <c r="B264" s="43">
        <v>261</v>
      </c>
      <c r="C264">
        <v>151.1</v>
      </c>
      <c r="D264" s="45">
        <f t="shared" si="47"/>
        <v>151.1</v>
      </c>
      <c r="E264" s="318"/>
      <c r="EH264" s="313">
        <v>261</v>
      </c>
      <c r="EI264" s="314"/>
      <c r="EJ264" s="247" t="str">
        <f t="shared" si="48"/>
        <v/>
      </c>
      <c r="EK264" t="str">
        <f t="shared" si="49"/>
        <v/>
      </c>
    </row>
    <row r="265" spans="2:141" x14ac:dyDescent="0.25">
      <c r="B265" s="43">
        <v>262</v>
      </c>
      <c r="C265">
        <v>148.4</v>
      </c>
      <c r="D265" s="45">
        <f t="shared" si="47"/>
        <v>148.4</v>
      </c>
      <c r="E265" s="251"/>
      <c r="EH265" s="313">
        <v>262</v>
      </c>
      <c r="EI265" s="314"/>
      <c r="EJ265" s="247" t="str">
        <f t="shared" si="48"/>
        <v/>
      </c>
      <c r="EK265" t="str">
        <f t="shared" si="49"/>
        <v/>
      </c>
    </row>
    <row r="266" spans="2:141" x14ac:dyDescent="0.25">
      <c r="B266" s="43">
        <v>263</v>
      </c>
      <c r="C266">
        <v>163.69999999999999</v>
      </c>
      <c r="D266" s="45">
        <f t="shared" si="47"/>
        <v>163.69999999999999</v>
      </c>
      <c r="E266" s="262"/>
      <c r="EH266" s="313">
        <v>263</v>
      </c>
      <c r="EI266" s="314"/>
      <c r="EJ266" s="247" t="str">
        <f t="shared" si="48"/>
        <v/>
      </c>
      <c r="EK266" t="str">
        <f t="shared" si="49"/>
        <v/>
      </c>
    </row>
    <row r="267" spans="2:141" x14ac:dyDescent="0.25">
      <c r="B267" s="43">
        <v>264</v>
      </c>
      <c r="C267">
        <v>152.9</v>
      </c>
      <c r="D267" s="45">
        <f t="shared" si="47"/>
        <v>152.9</v>
      </c>
      <c r="E267" s="265"/>
      <c r="EH267" s="313">
        <v>264</v>
      </c>
      <c r="EI267" s="314"/>
      <c r="EJ267" s="247" t="str">
        <f t="shared" si="48"/>
        <v/>
      </c>
      <c r="EK267" t="str">
        <f t="shared" si="49"/>
        <v/>
      </c>
    </row>
    <row r="268" spans="2:141" x14ac:dyDescent="0.25">
      <c r="B268" s="43">
        <v>265</v>
      </c>
      <c r="C268">
        <v>151.1</v>
      </c>
      <c r="D268" s="45">
        <f t="shared" si="47"/>
        <v>151.1</v>
      </c>
      <c r="E268" s="269"/>
      <c r="EH268" s="313">
        <v>265</v>
      </c>
      <c r="EI268" s="314"/>
      <c r="EJ268" s="247" t="str">
        <f t="shared" si="48"/>
        <v/>
      </c>
      <c r="EK268" t="str">
        <f t="shared" si="49"/>
        <v/>
      </c>
    </row>
    <row r="269" spans="2:141" x14ac:dyDescent="0.25">
      <c r="B269" s="43">
        <v>266</v>
      </c>
      <c r="C269">
        <v>157.19999999999999</v>
      </c>
      <c r="D269" s="45">
        <f t="shared" si="47"/>
        <v>157.19999999999999</v>
      </c>
      <c r="EH269" s="313">
        <v>266</v>
      </c>
      <c r="EI269" s="314"/>
      <c r="EJ269" s="247" t="str">
        <f t="shared" si="48"/>
        <v/>
      </c>
      <c r="EK269" t="str">
        <f t="shared" si="49"/>
        <v/>
      </c>
    </row>
    <row r="270" spans="2:141" x14ac:dyDescent="0.25">
      <c r="B270" s="43">
        <v>267</v>
      </c>
      <c r="C270">
        <v>159.69999999999999</v>
      </c>
      <c r="D270" s="45">
        <f t="shared" si="47"/>
        <v>159.69999999999999</v>
      </c>
      <c r="EH270" s="313">
        <v>267</v>
      </c>
      <c r="EI270" s="314"/>
      <c r="EJ270" s="247" t="str">
        <f t="shared" si="48"/>
        <v/>
      </c>
      <c r="EK270" t="str">
        <f t="shared" si="49"/>
        <v/>
      </c>
    </row>
    <row r="271" spans="2:141" x14ac:dyDescent="0.25">
      <c r="B271" s="43">
        <v>268</v>
      </c>
      <c r="C271">
        <v>163.69999999999999</v>
      </c>
      <c r="D271" s="45">
        <f t="shared" si="47"/>
        <v>163.69999999999999</v>
      </c>
      <c r="EH271" s="313">
        <v>268</v>
      </c>
      <c r="EI271" s="314"/>
      <c r="EJ271" s="247" t="str">
        <f t="shared" si="48"/>
        <v/>
      </c>
      <c r="EK271" t="str">
        <f t="shared" si="49"/>
        <v/>
      </c>
    </row>
    <row r="272" spans="2:141" x14ac:dyDescent="0.25">
      <c r="B272" s="43">
        <v>269</v>
      </c>
      <c r="C272">
        <v>148.6</v>
      </c>
      <c r="D272" s="45">
        <f t="shared" si="47"/>
        <v>148.6</v>
      </c>
      <c r="EH272" s="313">
        <v>269</v>
      </c>
      <c r="EI272" s="314"/>
      <c r="EJ272" s="247" t="str">
        <f t="shared" si="48"/>
        <v/>
      </c>
      <c r="EK272" t="str">
        <f t="shared" si="49"/>
        <v/>
      </c>
    </row>
    <row r="273" spans="2:141" x14ac:dyDescent="0.25">
      <c r="B273" s="43">
        <v>270</v>
      </c>
      <c r="C273">
        <v>159</v>
      </c>
      <c r="D273" s="45">
        <f t="shared" si="47"/>
        <v>159</v>
      </c>
      <c r="EH273" s="313">
        <v>270</v>
      </c>
      <c r="EI273" s="314">
        <v>3.2261000000000002</v>
      </c>
      <c r="EJ273" s="247">
        <f t="shared" si="48"/>
        <v>1</v>
      </c>
      <c r="EK273">
        <f t="shared" si="49"/>
        <v>0.32919387755102042</v>
      </c>
    </row>
    <row r="274" spans="2:141" x14ac:dyDescent="0.25">
      <c r="B274" s="43">
        <v>271</v>
      </c>
      <c r="C274">
        <v>158.5</v>
      </c>
      <c r="D274" s="45">
        <f t="shared" si="47"/>
        <v>158.5</v>
      </c>
      <c r="EH274" s="313">
        <v>271</v>
      </c>
      <c r="EI274" s="314"/>
      <c r="EJ274" s="247" t="str">
        <f t="shared" si="48"/>
        <v/>
      </c>
      <c r="EK274" t="str">
        <f t="shared" si="49"/>
        <v/>
      </c>
    </row>
    <row r="275" spans="2:141" x14ac:dyDescent="0.25">
      <c r="B275" s="43">
        <v>272</v>
      </c>
      <c r="C275">
        <v>73.8</v>
      </c>
      <c r="D275" s="45">
        <f t="shared" si="47"/>
        <v>73.8</v>
      </c>
      <c r="EH275" s="313">
        <v>272</v>
      </c>
      <c r="EI275" s="314"/>
      <c r="EJ275" s="247" t="str">
        <f t="shared" si="48"/>
        <v/>
      </c>
      <c r="EK275" t="str">
        <f t="shared" si="49"/>
        <v/>
      </c>
    </row>
    <row r="276" spans="2:141" x14ac:dyDescent="0.25">
      <c r="B276" s="43">
        <v>273</v>
      </c>
      <c r="C276">
        <v>75</v>
      </c>
      <c r="D276" s="45">
        <f t="shared" si="47"/>
        <v>75</v>
      </c>
      <c r="EH276" s="313">
        <v>273</v>
      </c>
      <c r="EI276" s="314"/>
      <c r="EJ276" s="247" t="str">
        <f t="shared" si="48"/>
        <v/>
      </c>
      <c r="EK276" t="str">
        <f t="shared" si="49"/>
        <v/>
      </c>
    </row>
    <row r="277" spans="2:141" x14ac:dyDescent="0.25">
      <c r="B277" s="43">
        <v>274</v>
      </c>
      <c r="C277">
        <v>67.099999999999994</v>
      </c>
      <c r="D277" s="45">
        <f t="shared" si="47"/>
        <v>67.099999999999994</v>
      </c>
      <c r="EH277" s="313">
        <v>274</v>
      </c>
      <c r="EI277" s="314"/>
      <c r="EJ277" s="247" t="str">
        <f t="shared" si="48"/>
        <v/>
      </c>
      <c r="EK277" t="str">
        <f t="shared" si="49"/>
        <v/>
      </c>
    </row>
    <row r="278" spans="2:141" x14ac:dyDescent="0.25">
      <c r="B278" s="43">
        <v>275</v>
      </c>
      <c r="C278">
        <v>72.599999999999994</v>
      </c>
      <c r="D278" s="45">
        <f t="shared" si="47"/>
        <v>72.599999999999994</v>
      </c>
      <c r="EH278" s="313">
        <v>275</v>
      </c>
      <c r="EI278" s="314"/>
      <c r="EJ278" s="247" t="str">
        <f t="shared" si="48"/>
        <v/>
      </c>
      <c r="EK278" t="str">
        <f t="shared" si="49"/>
        <v/>
      </c>
    </row>
    <row r="279" spans="2:141" x14ac:dyDescent="0.25">
      <c r="B279" s="43">
        <v>276</v>
      </c>
      <c r="C279">
        <v>76</v>
      </c>
      <c r="D279" s="45">
        <f t="shared" si="47"/>
        <v>76</v>
      </c>
      <c r="EH279" s="313">
        <v>276</v>
      </c>
      <c r="EI279" s="314"/>
      <c r="EJ279" s="247" t="str">
        <f t="shared" si="48"/>
        <v/>
      </c>
      <c r="EK279" t="str">
        <f t="shared" si="49"/>
        <v/>
      </c>
    </row>
    <row r="280" spans="2:141" x14ac:dyDescent="0.25">
      <c r="B280" s="43">
        <v>277</v>
      </c>
      <c r="C280">
        <v>71.8</v>
      </c>
      <c r="D280" s="45">
        <f t="shared" si="47"/>
        <v>71.8</v>
      </c>
      <c r="EH280" s="313">
        <v>277</v>
      </c>
      <c r="EI280" s="314"/>
      <c r="EJ280" s="247" t="str">
        <f t="shared" si="48"/>
        <v/>
      </c>
      <c r="EK280" t="str">
        <f t="shared" si="49"/>
        <v/>
      </c>
    </row>
    <row r="281" spans="2:141" x14ac:dyDescent="0.25">
      <c r="B281" s="43">
        <v>278</v>
      </c>
      <c r="C281" s="44"/>
      <c r="D281" s="45">
        <f t="shared" si="47"/>
        <v>0</v>
      </c>
      <c r="EH281" s="313">
        <v>278</v>
      </c>
      <c r="EI281" s="314"/>
      <c r="EJ281" s="247" t="str">
        <f t="shared" si="48"/>
        <v/>
      </c>
      <c r="EK281" t="str">
        <f t="shared" si="49"/>
        <v/>
      </c>
    </row>
    <row r="282" spans="2:141" x14ac:dyDescent="0.25">
      <c r="B282" s="43">
        <v>279</v>
      </c>
      <c r="C282" s="44"/>
      <c r="D282" s="45">
        <f t="shared" si="47"/>
        <v>0</v>
      </c>
      <c r="EH282" s="313">
        <v>279</v>
      </c>
      <c r="EI282" s="314"/>
      <c r="EJ282" s="247" t="str">
        <f t="shared" si="48"/>
        <v/>
      </c>
      <c r="EK282" t="str">
        <f t="shared" si="49"/>
        <v/>
      </c>
    </row>
    <row r="283" spans="2:141" x14ac:dyDescent="0.25">
      <c r="B283" s="43">
        <v>280</v>
      </c>
      <c r="C283" s="44"/>
      <c r="D283" s="45">
        <f t="shared" si="47"/>
        <v>0</v>
      </c>
      <c r="EH283" s="313">
        <v>280</v>
      </c>
      <c r="EI283" s="314">
        <v>3.3452000000000002</v>
      </c>
      <c r="EJ283" s="247">
        <f t="shared" si="48"/>
        <v>1</v>
      </c>
      <c r="EK283">
        <f t="shared" si="49"/>
        <v>0.3413469387755102</v>
      </c>
    </row>
    <row r="284" spans="2:141" x14ac:dyDescent="0.25">
      <c r="B284" s="43">
        <v>281</v>
      </c>
      <c r="C284" s="44"/>
      <c r="D284" s="45">
        <f t="shared" si="47"/>
        <v>0</v>
      </c>
      <c r="EH284" s="313">
        <v>281</v>
      </c>
      <c r="EI284" s="314"/>
      <c r="EJ284" s="247" t="str">
        <f t="shared" si="48"/>
        <v/>
      </c>
      <c r="EK284" t="str">
        <f t="shared" si="49"/>
        <v/>
      </c>
    </row>
    <row r="285" spans="2:141" x14ac:dyDescent="0.25">
      <c r="B285" s="43">
        <v>282</v>
      </c>
      <c r="C285" s="44"/>
      <c r="D285" s="45">
        <f t="shared" si="47"/>
        <v>0</v>
      </c>
      <c r="EH285" s="313">
        <v>282</v>
      </c>
      <c r="EI285" s="314"/>
      <c r="EJ285" s="247" t="str">
        <f t="shared" si="48"/>
        <v/>
      </c>
      <c r="EK285" t="str">
        <f t="shared" si="49"/>
        <v/>
      </c>
    </row>
    <row r="286" spans="2:141" x14ac:dyDescent="0.25">
      <c r="B286" s="43">
        <v>283</v>
      </c>
      <c r="C286" s="44"/>
      <c r="D286" s="45">
        <f t="shared" si="47"/>
        <v>0</v>
      </c>
      <c r="EH286" s="313">
        <v>283</v>
      </c>
      <c r="EI286" s="314"/>
      <c r="EJ286" s="247" t="str">
        <f t="shared" si="48"/>
        <v/>
      </c>
      <c r="EK286" t="str">
        <f t="shared" si="49"/>
        <v/>
      </c>
    </row>
    <row r="287" spans="2:141" x14ac:dyDescent="0.25">
      <c r="B287" s="43">
        <v>284</v>
      </c>
      <c r="C287" s="44"/>
      <c r="D287" s="45">
        <f t="shared" si="47"/>
        <v>0</v>
      </c>
      <c r="EH287" s="313">
        <v>284</v>
      </c>
      <c r="EI287" s="314"/>
      <c r="EJ287" s="247" t="str">
        <f t="shared" si="48"/>
        <v/>
      </c>
      <c r="EK287" t="str">
        <f t="shared" si="49"/>
        <v/>
      </c>
    </row>
    <row r="288" spans="2:141" x14ac:dyDescent="0.25">
      <c r="B288" s="43">
        <v>285</v>
      </c>
      <c r="C288" s="44"/>
      <c r="D288" s="45">
        <f t="shared" si="47"/>
        <v>0</v>
      </c>
      <c r="E288" s="318"/>
      <c r="EH288" s="313">
        <v>285</v>
      </c>
      <c r="EI288" s="314"/>
      <c r="EJ288" s="247" t="str">
        <f t="shared" si="48"/>
        <v/>
      </c>
      <c r="EK288" t="str">
        <f t="shared" si="49"/>
        <v/>
      </c>
    </row>
    <row r="289" spans="2:141" x14ac:dyDescent="0.25">
      <c r="B289" s="43">
        <v>286</v>
      </c>
      <c r="C289" s="44"/>
      <c r="D289" s="45">
        <f t="shared" si="47"/>
        <v>0</v>
      </c>
      <c r="E289" s="251"/>
      <c r="EH289" s="313">
        <v>286</v>
      </c>
      <c r="EI289" s="314"/>
      <c r="EJ289" s="247" t="str">
        <f t="shared" si="48"/>
        <v/>
      </c>
      <c r="EK289" t="str">
        <f t="shared" si="49"/>
        <v/>
      </c>
    </row>
    <row r="290" spans="2:141" x14ac:dyDescent="0.25">
      <c r="B290" s="43">
        <v>287</v>
      </c>
      <c r="C290" s="44"/>
      <c r="D290" s="45">
        <f t="shared" si="47"/>
        <v>0</v>
      </c>
      <c r="E290" s="262"/>
      <c r="EH290" s="313">
        <v>287</v>
      </c>
      <c r="EI290" s="314"/>
      <c r="EJ290" s="247" t="str">
        <f t="shared" si="48"/>
        <v/>
      </c>
      <c r="EK290" t="str">
        <f t="shared" si="49"/>
        <v/>
      </c>
    </row>
    <row r="291" spans="2:141" x14ac:dyDescent="0.25">
      <c r="B291" s="43">
        <v>288</v>
      </c>
      <c r="C291" s="44"/>
      <c r="D291" s="45">
        <f t="shared" si="47"/>
        <v>0</v>
      </c>
      <c r="E291" s="265"/>
      <c r="EH291" s="313">
        <v>288</v>
      </c>
      <c r="EI291" s="314"/>
      <c r="EJ291" s="247" t="str">
        <f t="shared" si="48"/>
        <v/>
      </c>
      <c r="EK291" t="str">
        <f t="shared" si="49"/>
        <v/>
      </c>
    </row>
    <row r="292" spans="2:141" x14ac:dyDescent="0.25">
      <c r="B292" s="43">
        <v>289</v>
      </c>
      <c r="C292" s="44"/>
      <c r="D292" s="45">
        <f t="shared" si="47"/>
        <v>0</v>
      </c>
      <c r="E292" s="269"/>
      <c r="EH292" s="313">
        <v>289</v>
      </c>
      <c r="EI292" s="314"/>
      <c r="EJ292" s="247" t="str">
        <f t="shared" si="48"/>
        <v/>
      </c>
      <c r="EK292" t="str">
        <f t="shared" si="49"/>
        <v/>
      </c>
    </row>
    <row r="293" spans="2:141" x14ac:dyDescent="0.25">
      <c r="B293" s="43">
        <v>290</v>
      </c>
      <c r="C293" s="44"/>
      <c r="D293" s="45">
        <f t="shared" si="47"/>
        <v>0</v>
      </c>
      <c r="EH293" s="313">
        <v>290</v>
      </c>
      <c r="EI293" s="314">
        <v>3.4641999999999999</v>
      </c>
      <c r="EJ293" s="247">
        <f t="shared" si="48"/>
        <v>1</v>
      </c>
      <c r="EK293">
        <f t="shared" si="49"/>
        <v>0.35348979591836732</v>
      </c>
    </row>
    <row r="294" spans="2:141" x14ac:dyDescent="0.25">
      <c r="B294" s="43">
        <v>291</v>
      </c>
      <c r="C294" s="44"/>
      <c r="D294" s="45">
        <f t="shared" si="47"/>
        <v>0</v>
      </c>
      <c r="EH294" s="313">
        <v>291</v>
      </c>
      <c r="EI294" s="314"/>
      <c r="EJ294" s="247" t="str">
        <f t="shared" si="48"/>
        <v/>
      </c>
      <c r="EK294" t="str">
        <f t="shared" si="49"/>
        <v/>
      </c>
    </row>
    <row r="295" spans="2:141" x14ac:dyDescent="0.25">
      <c r="B295" s="43">
        <v>292</v>
      </c>
      <c r="C295" s="44"/>
      <c r="D295" s="45">
        <f t="shared" si="47"/>
        <v>0</v>
      </c>
      <c r="EH295" s="313">
        <v>292</v>
      </c>
      <c r="EI295" s="314"/>
      <c r="EJ295" s="247" t="str">
        <f t="shared" si="48"/>
        <v/>
      </c>
      <c r="EK295" t="str">
        <f t="shared" si="49"/>
        <v/>
      </c>
    </row>
    <row r="296" spans="2:141" x14ac:dyDescent="0.25">
      <c r="B296" s="43">
        <v>293</v>
      </c>
      <c r="C296" s="44"/>
      <c r="D296" s="45">
        <f t="shared" si="47"/>
        <v>0</v>
      </c>
      <c r="EH296" s="313">
        <v>293</v>
      </c>
      <c r="EI296" s="314"/>
      <c r="EJ296" s="247" t="str">
        <f t="shared" si="48"/>
        <v/>
      </c>
      <c r="EK296" t="str">
        <f t="shared" si="49"/>
        <v/>
      </c>
    </row>
    <row r="297" spans="2:141" x14ac:dyDescent="0.25">
      <c r="B297" s="43">
        <v>294</v>
      </c>
      <c r="C297" s="44"/>
      <c r="D297" s="45">
        <f t="shared" si="47"/>
        <v>0</v>
      </c>
      <c r="EH297" s="313">
        <v>294</v>
      </c>
      <c r="EI297" s="314"/>
      <c r="EJ297" s="247" t="str">
        <f t="shared" si="48"/>
        <v/>
      </c>
      <c r="EK297" t="str">
        <f t="shared" si="49"/>
        <v/>
      </c>
    </row>
    <row r="298" spans="2:141" x14ac:dyDescent="0.25">
      <c r="B298" s="43">
        <v>295</v>
      </c>
      <c r="C298" s="44"/>
      <c r="D298" s="45">
        <f t="shared" si="47"/>
        <v>0</v>
      </c>
      <c r="EH298" s="313">
        <v>295</v>
      </c>
      <c r="EI298" s="314"/>
      <c r="EJ298" s="247" t="str">
        <f t="shared" si="48"/>
        <v/>
      </c>
      <c r="EK298" t="str">
        <f t="shared" si="49"/>
        <v/>
      </c>
    </row>
    <row r="299" spans="2:141" x14ac:dyDescent="0.25">
      <c r="B299" s="43">
        <v>296</v>
      </c>
      <c r="C299" s="44"/>
      <c r="D299" s="45">
        <f t="shared" si="47"/>
        <v>0</v>
      </c>
      <c r="EH299" s="313">
        <v>296</v>
      </c>
      <c r="EI299" s="314"/>
      <c r="EJ299" s="247" t="str">
        <f t="shared" si="48"/>
        <v/>
      </c>
      <c r="EK299" t="str">
        <f t="shared" si="49"/>
        <v/>
      </c>
    </row>
    <row r="300" spans="2:141" x14ac:dyDescent="0.25">
      <c r="B300" s="43">
        <v>297</v>
      </c>
      <c r="C300" s="44"/>
      <c r="D300" s="45">
        <f t="shared" si="47"/>
        <v>0</v>
      </c>
      <c r="EH300" s="313">
        <v>297</v>
      </c>
      <c r="EI300" s="314"/>
      <c r="EJ300" s="247" t="str">
        <f t="shared" si="48"/>
        <v/>
      </c>
      <c r="EK300" t="str">
        <f t="shared" si="49"/>
        <v/>
      </c>
    </row>
    <row r="301" spans="2:141" x14ac:dyDescent="0.25">
      <c r="B301" s="43">
        <v>298</v>
      </c>
      <c r="C301" s="44"/>
      <c r="D301" s="45">
        <f t="shared" si="47"/>
        <v>0</v>
      </c>
      <c r="EH301" s="313">
        <v>298</v>
      </c>
      <c r="EI301" s="314"/>
      <c r="EJ301" s="247" t="str">
        <f t="shared" si="48"/>
        <v/>
      </c>
      <c r="EK301" t="str">
        <f t="shared" si="49"/>
        <v/>
      </c>
    </row>
    <row r="302" spans="2:141" x14ac:dyDescent="0.25">
      <c r="B302" s="43">
        <v>299</v>
      </c>
      <c r="C302" s="44"/>
      <c r="D302" s="45">
        <f t="shared" si="47"/>
        <v>0</v>
      </c>
      <c r="EH302" s="313">
        <v>299</v>
      </c>
      <c r="EI302" s="314"/>
      <c r="EJ302" s="247" t="str">
        <f t="shared" si="48"/>
        <v/>
      </c>
      <c r="EK302" t="str">
        <f t="shared" si="49"/>
        <v/>
      </c>
    </row>
    <row r="303" spans="2:141" x14ac:dyDescent="0.25">
      <c r="B303" s="43">
        <v>300</v>
      </c>
      <c r="C303">
        <v>172.3</v>
      </c>
      <c r="D303" s="45">
        <f t="shared" si="47"/>
        <v>172.3</v>
      </c>
      <c r="EH303" s="313">
        <v>300</v>
      </c>
      <c r="EI303" s="314">
        <v>3.5832999999999999</v>
      </c>
      <c r="EJ303" s="247">
        <f t="shared" si="48"/>
        <v>1</v>
      </c>
      <c r="EK303">
        <f t="shared" si="49"/>
        <v>0.3656428571428571</v>
      </c>
    </row>
    <row r="304" spans="2:141" x14ac:dyDescent="0.25">
      <c r="B304" s="43">
        <v>301</v>
      </c>
      <c r="C304">
        <v>145.9</v>
      </c>
      <c r="D304" s="45">
        <f t="shared" si="47"/>
        <v>145.9</v>
      </c>
      <c r="EH304" s="313">
        <v>301</v>
      </c>
      <c r="EI304" s="314"/>
      <c r="EJ304" s="247" t="str">
        <f t="shared" si="48"/>
        <v/>
      </c>
      <c r="EK304" t="str">
        <f t="shared" si="49"/>
        <v/>
      </c>
    </row>
    <row r="305" spans="2:141" x14ac:dyDescent="0.25">
      <c r="B305" s="43">
        <v>302</v>
      </c>
      <c r="C305">
        <v>159.69999999999999</v>
      </c>
      <c r="D305" s="45">
        <f t="shared" si="47"/>
        <v>159.69999999999999</v>
      </c>
      <c r="EH305" s="313">
        <v>302</v>
      </c>
      <c r="EI305" s="314"/>
      <c r="EJ305" s="247" t="str">
        <f t="shared" si="48"/>
        <v/>
      </c>
      <c r="EK305" t="str">
        <f t="shared" si="49"/>
        <v/>
      </c>
    </row>
    <row r="306" spans="2:141" x14ac:dyDescent="0.25">
      <c r="B306" s="43">
        <v>303</v>
      </c>
      <c r="C306">
        <v>164.6</v>
      </c>
      <c r="D306" s="45">
        <f t="shared" si="47"/>
        <v>164.6</v>
      </c>
      <c r="EH306" s="313">
        <v>303</v>
      </c>
      <c r="EI306" s="314"/>
      <c r="EJ306" s="247" t="str">
        <f t="shared" si="48"/>
        <v/>
      </c>
      <c r="EK306" t="str">
        <f t="shared" si="49"/>
        <v/>
      </c>
    </row>
    <row r="307" spans="2:141" x14ac:dyDescent="0.25">
      <c r="B307" s="43">
        <v>304</v>
      </c>
      <c r="C307">
        <v>132.1</v>
      </c>
      <c r="D307" s="45">
        <f t="shared" si="47"/>
        <v>132.1</v>
      </c>
      <c r="EH307" s="313">
        <v>304</v>
      </c>
      <c r="EI307" s="314"/>
      <c r="EJ307" s="247" t="str">
        <f t="shared" si="48"/>
        <v/>
      </c>
      <c r="EK307" t="str">
        <f t="shared" si="49"/>
        <v/>
      </c>
    </row>
    <row r="308" spans="2:141" x14ac:dyDescent="0.25">
      <c r="B308" s="43">
        <v>305</v>
      </c>
      <c r="C308">
        <v>146.30000000000001</v>
      </c>
      <c r="D308" s="45">
        <f t="shared" si="47"/>
        <v>146.30000000000001</v>
      </c>
      <c r="EH308" s="313">
        <v>305</v>
      </c>
      <c r="EI308" s="314"/>
      <c r="EJ308" s="247" t="str">
        <f t="shared" si="48"/>
        <v/>
      </c>
      <c r="EK308" t="str">
        <f t="shared" si="49"/>
        <v/>
      </c>
    </row>
    <row r="309" spans="2:141" x14ac:dyDescent="0.25">
      <c r="B309" s="43">
        <v>306</v>
      </c>
      <c r="C309">
        <v>137</v>
      </c>
      <c r="D309" s="45">
        <f t="shared" si="47"/>
        <v>137</v>
      </c>
      <c r="EH309" s="313">
        <v>306</v>
      </c>
      <c r="EI309" s="314"/>
      <c r="EJ309" s="247" t="str">
        <f t="shared" si="48"/>
        <v/>
      </c>
      <c r="EK309" t="str">
        <f t="shared" si="49"/>
        <v/>
      </c>
    </row>
    <row r="310" spans="2:141" x14ac:dyDescent="0.25">
      <c r="B310" s="43">
        <v>307</v>
      </c>
      <c r="C310">
        <v>125</v>
      </c>
      <c r="D310" s="45">
        <f t="shared" si="47"/>
        <v>125</v>
      </c>
      <c r="EH310" s="313">
        <v>307</v>
      </c>
      <c r="EI310" s="314"/>
      <c r="EJ310" s="247" t="str">
        <f t="shared" si="48"/>
        <v/>
      </c>
      <c r="EK310" t="str">
        <f t="shared" si="49"/>
        <v/>
      </c>
    </row>
    <row r="311" spans="2:141" x14ac:dyDescent="0.25">
      <c r="B311" s="43">
        <v>308</v>
      </c>
      <c r="C311">
        <v>155.1</v>
      </c>
      <c r="D311" s="45">
        <f t="shared" si="47"/>
        <v>155.1</v>
      </c>
      <c r="EH311" s="313">
        <v>308</v>
      </c>
      <c r="EI311" s="314"/>
      <c r="EJ311" s="247" t="str">
        <f t="shared" si="48"/>
        <v/>
      </c>
      <c r="EK311" t="str">
        <f t="shared" si="49"/>
        <v/>
      </c>
    </row>
    <row r="312" spans="2:141" x14ac:dyDescent="0.25">
      <c r="B312" s="43">
        <v>309</v>
      </c>
      <c r="C312">
        <v>149.5</v>
      </c>
      <c r="D312" s="45">
        <f t="shared" si="47"/>
        <v>149.5</v>
      </c>
      <c r="E312" s="318"/>
      <c r="EH312" s="313">
        <v>309</v>
      </c>
      <c r="EI312" s="314"/>
      <c r="EJ312" s="247" t="str">
        <f t="shared" si="48"/>
        <v/>
      </c>
      <c r="EK312" t="str">
        <f t="shared" si="49"/>
        <v/>
      </c>
    </row>
    <row r="313" spans="2:141" x14ac:dyDescent="0.25">
      <c r="B313" s="43">
        <v>310</v>
      </c>
      <c r="C313">
        <v>157.19999999999999</v>
      </c>
      <c r="D313" s="45">
        <f t="shared" si="47"/>
        <v>157.19999999999999</v>
      </c>
      <c r="E313" s="251"/>
      <c r="EH313" s="313">
        <v>310</v>
      </c>
      <c r="EI313" s="314">
        <v>3.7023000000000001</v>
      </c>
      <c r="EJ313" s="247">
        <f t="shared" si="48"/>
        <v>1</v>
      </c>
      <c r="EK313">
        <f t="shared" si="49"/>
        <v>0.37778571428571428</v>
      </c>
    </row>
    <row r="314" spans="2:141" x14ac:dyDescent="0.25">
      <c r="B314" s="43">
        <v>311</v>
      </c>
      <c r="C314">
        <v>162.30000000000001</v>
      </c>
      <c r="D314" s="45">
        <f t="shared" si="47"/>
        <v>162.30000000000001</v>
      </c>
      <c r="E314" s="262"/>
      <c r="EH314" s="313">
        <v>311</v>
      </c>
      <c r="EI314" s="314"/>
      <c r="EJ314" s="247" t="str">
        <f t="shared" si="48"/>
        <v/>
      </c>
      <c r="EK314" t="str">
        <f t="shared" si="49"/>
        <v/>
      </c>
    </row>
    <row r="315" spans="2:141" x14ac:dyDescent="0.25">
      <c r="B315" s="43">
        <v>312</v>
      </c>
      <c r="C315">
        <v>151.1</v>
      </c>
      <c r="D315" s="45">
        <f t="shared" si="47"/>
        <v>151.1</v>
      </c>
      <c r="E315" s="265"/>
      <c r="EH315" s="313">
        <v>312</v>
      </c>
      <c r="EI315" s="314"/>
      <c r="EJ315" s="247" t="str">
        <f t="shared" si="48"/>
        <v/>
      </c>
      <c r="EK315" t="str">
        <f t="shared" si="49"/>
        <v/>
      </c>
    </row>
    <row r="316" spans="2:141" x14ac:dyDescent="0.25">
      <c r="B316" s="43">
        <v>313</v>
      </c>
      <c r="C316">
        <v>148.4</v>
      </c>
      <c r="D316" s="45">
        <f t="shared" si="47"/>
        <v>148.4</v>
      </c>
      <c r="E316" s="269"/>
      <c r="EH316" s="313">
        <v>313</v>
      </c>
      <c r="EI316" s="314"/>
      <c r="EJ316" s="247" t="str">
        <f t="shared" si="48"/>
        <v/>
      </c>
      <c r="EK316" t="str">
        <f t="shared" si="49"/>
        <v/>
      </c>
    </row>
    <row r="317" spans="2:141" x14ac:dyDescent="0.25">
      <c r="B317" s="43">
        <v>314</v>
      </c>
      <c r="C317">
        <v>163.69999999999999</v>
      </c>
      <c r="D317" s="45">
        <f t="shared" si="47"/>
        <v>163.69999999999999</v>
      </c>
      <c r="EH317" s="313">
        <v>314</v>
      </c>
      <c r="EI317" s="314"/>
      <c r="EJ317" s="247" t="str">
        <f t="shared" si="48"/>
        <v/>
      </c>
      <c r="EK317" t="str">
        <f t="shared" si="49"/>
        <v/>
      </c>
    </row>
    <row r="318" spans="2:141" x14ac:dyDescent="0.25">
      <c r="B318" s="43">
        <v>315</v>
      </c>
      <c r="C318">
        <v>152.9</v>
      </c>
      <c r="D318" s="45">
        <f t="shared" si="47"/>
        <v>152.9</v>
      </c>
      <c r="EH318" s="313">
        <v>315</v>
      </c>
      <c r="EI318" s="314"/>
      <c r="EJ318" s="247" t="str">
        <f t="shared" si="48"/>
        <v/>
      </c>
      <c r="EK318" t="str">
        <f t="shared" si="49"/>
        <v/>
      </c>
    </row>
    <row r="319" spans="2:141" x14ac:dyDescent="0.25">
      <c r="B319" s="43">
        <v>316</v>
      </c>
      <c r="C319">
        <v>151.1</v>
      </c>
      <c r="D319" s="45">
        <f t="shared" si="47"/>
        <v>151.1</v>
      </c>
      <c r="EH319" s="313">
        <v>316</v>
      </c>
      <c r="EI319" s="314"/>
      <c r="EJ319" s="247" t="str">
        <f t="shared" si="48"/>
        <v/>
      </c>
      <c r="EK319" t="str">
        <f t="shared" si="49"/>
        <v/>
      </c>
    </row>
    <row r="320" spans="2:141" x14ac:dyDescent="0.25">
      <c r="B320" s="43">
        <v>317</v>
      </c>
      <c r="C320">
        <v>157.19999999999999</v>
      </c>
      <c r="D320" s="45">
        <f t="shared" si="47"/>
        <v>157.19999999999999</v>
      </c>
      <c r="EH320" s="313">
        <v>317</v>
      </c>
      <c r="EI320" s="314"/>
      <c r="EJ320" s="247" t="str">
        <f t="shared" si="48"/>
        <v/>
      </c>
      <c r="EK320" t="str">
        <f t="shared" si="49"/>
        <v/>
      </c>
    </row>
    <row r="321" spans="2:141" x14ac:dyDescent="0.25">
      <c r="B321" s="43">
        <v>318</v>
      </c>
      <c r="C321">
        <v>159.69999999999999</v>
      </c>
      <c r="D321" s="45">
        <f t="shared" si="47"/>
        <v>159.69999999999999</v>
      </c>
      <c r="EH321" s="313">
        <v>318</v>
      </c>
      <c r="EI321" s="314"/>
      <c r="EJ321" s="247" t="str">
        <f t="shared" si="48"/>
        <v/>
      </c>
      <c r="EK321" t="str">
        <f t="shared" si="49"/>
        <v/>
      </c>
    </row>
    <row r="322" spans="2:141" x14ac:dyDescent="0.25">
      <c r="B322" s="43">
        <v>319</v>
      </c>
      <c r="C322">
        <v>163.69999999999999</v>
      </c>
      <c r="D322" s="45">
        <f t="shared" si="47"/>
        <v>163.69999999999999</v>
      </c>
      <c r="EH322" s="313">
        <v>319</v>
      </c>
      <c r="EI322" s="314"/>
      <c r="EJ322" s="247" t="str">
        <f t="shared" si="48"/>
        <v/>
      </c>
      <c r="EK322" t="str">
        <f t="shared" si="49"/>
        <v/>
      </c>
    </row>
    <row r="323" spans="2:141" x14ac:dyDescent="0.25">
      <c r="B323" s="43">
        <v>320</v>
      </c>
      <c r="C323">
        <v>148.6</v>
      </c>
      <c r="D323" s="45">
        <f t="shared" si="47"/>
        <v>148.6</v>
      </c>
      <c r="EH323" s="313">
        <v>320</v>
      </c>
      <c r="EI323" s="314">
        <v>3.8214000000000001</v>
      </c>
      <c r="EJ323" s="247">
        <f t="shared" si="48"/>
        <v>1</v>
      </c>
      <c r="EK323">
        <f t="shared" si="49"/>
        <v>0.38993877551020406</v>
      </c>
    </row>
    <row r="324" spans="2:141" x14ac:dyDescent="0.25">
      <c r="B324" s="43">
        <v>321</v>
      </c>
      <c r="C324">
        <v>159</v>
      </c>
      <c r="D324" s="45">
        <f t="shared" si="47"/>
        <v>159</v>
      </c>
      <c r="EH324" s="313">
        <v>321</v>
      </c>
      <c r="EI324" s="314"/>
      <c r="EJ324" s="247" t="str">
        <f t="shared" si="48"/>
        <v/>
      </c>
      <c r="EK324" t="str">
        <f t="shared" si="49"/>
        <v/>
      </c>
    </row>
    <row r="325" spans="2:141" x14ac:dyDescent="0.25">
      <c r="B325" s="43">
        <v>322</v>
      </c>
      <c r="C325">
        <v>158.5</v>
      </c>
      <c r="D325" s="45">
        <f t="shared" ref="D325:D388" si="50">C325</f>
        <v>158.5</v>
      </c>
      <c r="E325" s="403"/>
      <c r="EH325" s="313">
        <v>322</v>
      </c>
      <c r="EI325" s="314"/>
      <c r="EJ325" s="247" t="str">
        <f t="shared" ref="EJ325:EJ388" si="51">IF(EI325="","",1)</f>
        <v/>
      </c>
      <c r="EK325" t="str">
        <f t="shared" ref="EK325:EK388" si="52">IF(EI325="","",EI325/9.8)</f>
        <v/>
      </c>
    </row>
    <row r="326" spans="2:141" x14ac:dyDescent="0.25">
      <c r="B326" s="43">
        <v>323</v>
      </c>
      <c r="C326" s="44"/>
      <c r="D326" s="45">
        <f t="shared" si="50"/>
        <v>0</v>
      </c>
      <c r="EH326" s="313">
        <v>323</v>
      </c>
      <c r="EI326" s="314"/>
      <c r="EJ326" s="247" t="str">
        <f t="shared" si="51"/>
        <v/>
      </c>
      <c r="EK326" t="str">
        <f t="shared" si="52"/>
        <v/>
      </c>
    </row>
    <row r="327" spans="2:141" x14ac:dyDescent="0.25">
      <c r="B327" s="43">
        <v>324</v>
      </c>
      <c r="C327" s="44"/>
      <c r="D327" s="45">
        <f t="shared" si="50"/>
        <v>0</v>
      </c>
      <c r="EH327" s="313">
        <v>324</v>
      </c>
      <c r="EI327" s="314"/>
      <c r="EJ327" s="247" t="str">
        <f t="shared" si="51"/>
        <v/>
      </c>
      <c r="EK327" t="str">
        <f t="shared" si="52"/>
        <v/>
      </c>
    </row>
    <row r="328" spans="2:141" x14ac:dyDescent="0.25">
      <c r="B328" s="43">
        <v>325</v>
      </c>
      <c r="C328" s="44"/>
      <c r="D328" s="45">
        <f t="shared" si="50"/>
        <v>0</v>
      </c>
      <c r="EH328" s="313">
        <v>325</v>
      </c>
      <c r="EI328" s="314"/>
      <c r="EJ328" s="247" t="str">
        <f t="shared" si="51"/>
        <v/>
      </c>
      <c r="EK328" t="str">
        <f t="shared" si="52"/>
        <v/>
      </c>
    </row>
    <row r="329" spans="2:141" x14ac:dyDescent="0.25">
      <c r="B329" s="43">
        <v>326</v>
      </c>
      <c r="C329" s="44"/>
      <c r="D329" s="45">
        <f t="shared" si="50"/>
        <v>0</v>
      </c>
      <c r="EH329" s="313">
        <v>326</v>
      </c>
      <c r="EI329" s="314"/>
      <c r="EJ329" s="247" t="str">
        <f t="shared" si="51"/>
        <v/>
      </c>
      <c r="EK329" t="str">
        <f t="shared" si="52"/>
        <v/>
      </c>
    </row>
    <row r="330" spans="2:141" x14ac:dyDescent="0.25">
      <c r="B330" s="43">
        <v>327</v>
      </c>
      <c r="C330" s="44"/>
      <c r="D330" s="45">
        <f t="shared" si="50"/>
        <v>0</v>
      </c>
      <c r="EH330" s="313">
        <v>327</v>
      </c>
      <c r="EI330" s="314"/>
      <c r="EJ330" s="247" t="str">
        <f t="shared" si="51"/>
        <v/>
      </c>
      <c r="EK330" t="str">
        <f t="shared" si="52"/>
        <v/>
      </c>
    </row>
    <row r="331" spans="2:141" x14ac:dyDescent="0.25">
      <c r="B331" s="43">
        <v>328</v>
      </c>
      <c r="C331" s="44"/>
      <c r="D331" s="45">
        <f t="shared" si="50"/>
        <v>0</v>
      </c>
      <c r="EH331" s="313">
        <v>328</v>
      </c>
      <c r="EI331" s="314"/>
      <c r="EJ331" s="247" t="str">
        <f t="shared" si="51"/>
        <v/>
      </c>
      <c r="EK331" t="str">
        <f t="shared" si="52"/>
        <v/>
      </c>
    </row>
    <row r="332" spans="2:141" x14ac:dyDescent="0.25">
      <c r="B332" s="43">
        <v>329</v>
      </c>
      <c r="C332" s="44"/>
      <c r="D332" s="45">
        <f t="shared" si="50"/>
        <v>0</v>
      </c>
      <c r="EH332" s="313">
        <v>329</v>
      </c>
      <c r="EI332" s="314"/>
      <c r="EJ332" s="247" t="str">
        <f t="shared" si="51"/>
        <v/>
      </c>
      <c r="EK332" t="str">
        <f t="shared" si="52"/>
        <v/>
      </c>
    </row>
    <row r="333" spans="2:141" x14ac:dyDescent="0.25">
      <c r="B333" s="43">
        <v>330</v>
      </c>
      <c r="C333" s="44"/>
      <c r="D333" s="45">
        <f t="shared" si="50"/>
        <v>0</v>
      </c>
      <c r="EH333" s="313">
        <v>330</v>
      </c>
      <c r="EI333" s="314">
        <v>3.9403999999999999</v>
      </c>
      <c r="EJ333" s="247">
        <f t="shared" si="51"/>
        <v>1</v>
      </c>
      <c r="EK333">
        <f t="shared" si="52"/>
        <v>0.40208163265306118</v>
      </c>
    </row>
    <row r="334" spans="2:141" x14ac:dyDescent="0.25">
      <c r="B334" s="43">
        <v>331</v>
      </c>
      <c r="C334" s="44"/>
      <c r="D334" s="45">
        <f t="shared" si="50"/>
        <v>0</v>
      </c>
      <c r="EH334" s="313">
        <v>331</v>
      </c>
      <c r="EI334" s="314"/>
      <c r="EJ334" s="247" t="str">
        <f t="shared" si="51"/>
        <v/>
      </c>
      <c r="EK334" t="str">
        <f t="shared" si="52"/>
        <v/>
      </c>
    </row>
    <row r="335" spans="2:141" x14ac:dyDescent="0.25">
      <c r="B335" s="43">
        <v>332</v>
      </c>
      <c r="C335" s="44"/>
      <c r="D335" s="45">
        <f t="shared" si="50"/>
        <v>0</v>
      </c>
      <c r="EH335" s="313">
        <v>332</v>
      </c>
      <c r="EI335" s="314"/>
      <c r="EJ335" s="247" t="str">
        <f t="shared" si="51"/>
        <v/>
      </c>
      <c r="EK335" t="str">
        <f t="shared" si="52"/>
        <v/>
      </c>
    </row>
    <row r="336" spans="2:141" x14ac:dyDescent="0.25">
      <c r="B336" s="43">
        <v>333</v>
      </c>
      <c r="C336" s="44"/>
      <c r="D336" s="45">
        <f t="shared" si="50"/>
        <v>0</v>
      </c>
      <c r="E336" s="318"/>
      <c r="EH336" s="313">
        <v>333</v>
      </c>
      <c r="EI336" s="314"/>
      <c r="EJ336" s="247" t="str">
        <f t="shared" si="51"/>
        <v/>
      </c>
      <c r="EK336" t="str">
        <f t="shared" si="52"/>
        <v/>
      </c>
    </row>
    <row r="337" spans="2:141" x14ac:dyDescent="0.25">
      <c r="B337" s="43">
        <v>334</v>
      </c>
      <c r="C337" s="44"/>
      <c r="D337" s="45">
        <f t="shared" si="50"/>
        <v>0</v>
      </c>
      <c r="E337" s="251"/>
      <c r="EH337" s="313">
        <v>334</v>
      </c>
      <c r="EI337" s="314"/>
      <c r="EJ337" s="247" t="str">
        <f t="shared" si="51"/>
        <v/>
      </c>
      <c r="EK337" t="str">
        <f t="shared" si="52"/>
        <v/>
      </c>
    </row>
    <row r="338" spans="2:141" x14ac:dyDescent="0.25">
      <c r="B338" s="43">
        <v>335</v>
      </c>
      <c r="C338" s="44"/>
      <c r="D338" s="45">
        <f t="shared" si="50"/>
        <v>0</v>
      </c>
      <c r="E338" s="262"/>
      <c r="EH338" s="313">
        <v>335</v>
      </c>
      <c r="EI338" s="314"/>
      <c r="EJ338" s="247" t="str">
        <f t="shared" si="51"/>
        <v/>
      </c>
      <c r="EK338" t="str">
        <f t="shared" si="52"/>
        <v/>
      </c>
    </row>
    <row r="339" spans="2:141" x14ac:dyDescent="0.25">
      <c r="B339" s="43">
        <v>336</v>
      </c>
      <c r="C339" s="44"/>
      <c r="D339" s="45">
        <f t="shared" si="50"/>
        <v>0</v>
      </c>
      <c r="E339" s="265"/>
      <c r="EH339" s="313">
        <v>336</v>
      </c>
      <c r="EI339" s="314"/>
      <c r="EJ339" s="247" t="str">
        <f t="shared" si="51"/>
        <v/>
      </c>
      <c r="EK339" t="str">
        <f t="shared" si="52"/>
        <v/>
      </c>
    </row>
    <row r="340" spans="2:141" x14ac:dyDescent="0.25">
      <c r="B340" s="43">
        <v>337</v>
      </c>
      <c r="C340" s="44"/>
      <c r="D340" s="45">
        <f t="shared" si="50"/>
        <v>0</v>
      </c>
      <c r="E340" s="269"/>
      <c r="EH340" s="313">
        <v>337</v>
      </c>
      <c r="EI340" s="314"/>
      <c r="EJ340" s="247" t="str">
        <f t="shared" si="51"/>
        <v/>
      </c>
      <c r="EK340" t="str">
        <f t="shared" si="52"/>
        <v/>
      </c>
    </row>
    <row r="341" spans="2:141" x14ac:dyDescent="0.25">
      <c r="B341" s="43">
        <v>338</v>
      </c>
      <c r="C341" s="44"/>
      <c r="D341" s="45">
        <f t="shared" si="50"/>
        <v>0</v>
      </c>
      <c r="EH341" s="313">
        <v>338</v>
      </c>
      <c r="EI341" s="314"/>
      <c r="EJ341" s="247" t="str">
        <f t="shared" si="51"/>
        <v/>
      </c>
      <c r="EK341" t="str">
        <f t="shared" si="52"/>
        <v/>
      </c>
    </row>
    <row r="342" spans="2:141" x14ac:dyDescent="0.25">
      <c r="B342" s="43">
        <v>339</v>
      </c>
      <c r="C342" s="44"/>
      <c r="D342" s="45">
        <f t="shared" si="50"/>
        <v>0</v>
      </c>
      <c r="EH342" s="313">
        <v>339</v>
      </c>
      <c r="EI342" s="314"/>
      <c r="EJ342" s="247" t="str">
        <f t="shared" si="51"/>
        <v/>
      </c>
      <c r="EK342" t="str">
        <f t="shared" si="52"/>
        <v/>
      </c>
    </row>
    <row r="343" spans="2:141" x14ac:dyDescent="0.25">
      <c r="B343" s="43">
        <v>340</v>
      </c>
      <c r="C343" s="44"/>
      <c r="D343" s="45">
        <f t="shared" si="50"/>
        <v>0</v>
      </c>
      <c r="EH343" s="313">
        <v>340</v>
      </c>
      <c r="EI343" s="314">
        <v>4.0594999999999999</v>
      </c>
      <c r="EJ343" s="247">
        <f t="shared" si="51"/>
        <v>1</v>
      </c>
      <c r="EK343">
        <f t="shared" si="52"/>
        <v>0.41423469387755096</v>
      </c>
    </row>
    <row r="344" spans="2:141" x14ac:dyDescent="0.25">
      <c r="B344" s="43">
        <v>341</v>
      </c>
      <c r="C344" s="44"/>
      <c r="D344" s="45">
        <f t="shared" si="50"/>
        <v>0</v>
      </c>
      <c r="EH344" s="313">
        <v>341</v>
      </c>
      <c r="EI344" s="314"/>
      <c r="EJ344" s="247" t="str">
        <f t="shared" si="51"/>
        <v/>
      </c>
      <c r="EK344" t="str">
        <f t="shared" si="52"/>
        <v/>
      </c>
    </row>
    <row r="345" spans="2:141" x14ac:dyDescent="0.25">
      <c r="B345" s="43">
        <v>342</v>
      </c>
      <c r="C345" s="44"/>
      <c r="D345" s="45">
        <f t="shared" si="50"/>
        <v>0</v>
      </c>
      <c r="EH345" s="313">
        <v>342</v>
      </c>
      <c r="EI345" s="314"/>
      <c r="EJ345" s="247" t="str">
        <f t="shared" si="51"/>
        <v/>
      </c>
      <c r="EK345" t="str">
        <f t="shared" si="52"/>
        <v/>
      </c>
    </row>
    <row r="346" spans="2:141" x14ac:dyDescent="0.25">
      <c r="B346" s="43">
        <v>343</v>
      </c>
      <c r="C346" s="44"/>
      <c r="D346" s="45">
        <f t="shared" si="50"/>
        <v>0</v>
      </c>
      <c r="EH346" s="313">
        <v>343</v>
      </c>
      <c r="EI346" s="314"/>
      <c r="EJ346" s="247" t="str">
        <f t="shared" si="51"/>
        <v/>
      </c>
      <c r="EK346" t="str">
        <f t="shared" si="52"/>
        <v/>
      </c>
    </row>
    <row r="347" spans="2:141" x14ac:dyDescent="0.25">
      <c r="B347" s="43">
        <v>344</v>
      </c>
      <c r="C347" s="44"/>
      <c r="D347" s="45">
        <f t="shared" si="50"/>
        <v>0</v>
      </c>
      <c r="EH347" s="313">
        <v>344</v>
      </c>
      <c r="EI347" s="314"/>
      <c r="EJ347" s="247" t="str">
        <f t="shared" si="51"/>
        <v/>
      </c>
      <c r="EK347" t="str">
        <f t="shared" si="52"/>
        <v/>
      </c>
    </row>
    <row r="348" spans="2:141" x14ac:dyDescent="0.25">
      <c r="B348" s="43">
        <v>345</v>
      </c>
      <c r="C348" s="44"/>
      <c r="D348" s="45">
        <f t="shared" si="50"/>
        <v>0</v>
      </c>
      <c r="EH348" s="313">
        <v>345</v>
      </c>
      <c r="EI348" s="314"/>
      <c r="EJ348" s="247" t="str">
        <f t="shared" si="51"/>
        <v/>
      </c>
      <c r="EK348" t="str">
        <f t="shared" si="52"/>
        <v/>
      </c>
    </row>
    <row r="349" spans="2:141" x14ac:dyDescent="0.25">
      <c r="B349" s="43">
        <v>346</v>
      </c>
      <c r="C349" s="44"/>
      <c r="D349" s="45">
        <f t="shared" si="50"/>
        <v>0</v>
      </c>
      <c r="EH349" s="313">
        <v>346</v>
      </c>
      <c r="EI349" s="314"/>
      <c r="EJ349" s="247" t="str">
        <f t="shared" si="51"/>
        <v/>
      </c>
      <c r="EK349" t="str">
        <f t="shared" si="52"/>
        <v/>
      </c>
    </row>
    <row r="350" spans="2:141" x14ac:dyDescent="0.25">
      <c r="B350" s="43">
        <v>347</v>
      </c>
      <c r="C350" s="44"/>
      <c r="D350" s="45">
        <f t="shared" si="50"/>
        <v>0</v>
      </c>
      <c r="EH350" s="313">
        <v>347</v>
      </c>
      <c r="EI350" s="314"/>
      <c r="EJ350" s="247" t="str">
        <f t="shared" si="51"/>
        <v/>
      </c>
      <c r="EK350" t="str">
        <f t="shared" si="52"/>
        <v/>
      </c>
    </row>
    <row r="351" spans="2:141" x14ac:dyDescent="0.25">
      <c r="B351" s="43">
        <v>348</v>
      </c>
      <c r="C351" s="44"/>
      <c r="D351" s="45">
        <f t="shared" si="50"/>
        <v>0</v>
      </c>
      <c r="EH351" s="313">
        <v>348</v>
      </c>
      <c r="EI351" s="314"/>
      <c r="EJ351" s="247" t="str">
        <f t="shared" si="51"/>
        <v/>
      </c>
      <c r="EK351" t="str">
        <f t="shared" si="52"/>
        <v/>
      </c>
    </row>
    <row r="352" spans="2:141" x14ac:dyDescent="0.25">
      <c r="B352" s="43">
        <v>349</v>
      </c>
      <c r="C352" s="44"/>
      <c r="D352" s="45">
        <f t="shared" si="50"/>
        <v>0</v>
      </c>
      <c r="EH352" s="313">
        <v>349</v>
      </c>
      <c r="EI352" s="314"/>
      <c r="EJ352" s="247" t="str">
        <f t="shared" si="51"/>
        <v/>
      </c>
      <c r="EK352" t="str">
        <f t="shared" si="52"/>
        <v/>
      </c>
    </row>
    <row r="353" spans="2:141" x14ac:dyDescent="0.25">
      <c r="B353" s="43">
        <v>350</v>
      </c>
      <c r="C353" s="44"/>
      <c r="D353" s="45">
        <f t="shared" si="50"/>
        <v>0</v>
      </c>
      <c r="EH353" s="313">
        <v>350</v>
      </c>
      <c r="EI353" s="314">
        <v>4.1784999999999997</v>
      </c>
      <c r="EJ353" s="247">
        <f t="shared" si="51"/>
        <v>1</v>
      </c>
      <c r="EK353">
        <f t="shared" si="52"/>
        <v>0.42637755102040809</v>
      </c>
    </row>
    <row r="354" spans="2:141" x14ac:dyDescent="0.25">
      <c r="B354" s="43">
        <v>351</v>
      </c>
      <c r="C354" s="44"/>
      <c r="D354" s="45">
        <f t="shared" si="50"/>
        <v>0</v>
      </c>
      <c r="EH354" s="313">
        <v>351</v>
      </c>
      <c r="EI354" s="314"/>
      <c r="EJ354" s="247" t="str">
        <f t="shared" si="51"/>
        <v/>
      </c>
      <c r="EK354" t="str">
        <f t="shared" si="52"/>
        <v/>
      </c>
    </row>
    <row r="355" spans="2:141" x14ac:dyDescent="0.25">
      <c r="B355" s="43">
        <v>352</v>
      </c>
      <c r="C355" s="44"/>
      <c r="D355" s="45">
        <f t="shared" si="50"/>
        <v>0</v>
      </c>
      <c r="EH355" s="313">
        <v>352</v>
      </c>
      <c r="EI355" s="314"/>
      <c r="EJ355" s="247" t="str">
        <f t="shared" si="51"/>
        <v/>
      </c>
      <c r="EK355" t="str">
        <f t="shared" si="52"/>
        <v/>
      </c>
    </row>
    <row r="356" spans="2:141" x14ac:dyDescent="0.25">
      <c r="B356" s="43">
        <v>353</v>
      </c>
      <c r="C356" s="44"/>
      <c r="D356" s="45">
        <f t="shared" si="50"/>
        <v>0</v>
      </c>
      <c r="EH356" s="313">
        <v>353</v>
      </c>
      <c r="EI356" s="314"/>
      <c r="EJ356" s="247" t="str">
        <f t="shared" si="51"/>
        <v/>
      </c>
      <c r="EK356" t="str">
        <f t="shared" si="52"/>
        <v/>
      </c>
    </row>
    <row r="357" spans="2:141" x14ac:dyDescent="0.25">
      <c r="B357" s="43">
        <v>354</v>
      </c>
      <c r="C357" s="44"/>
      <c r="D357" s="45">
        <f t="shared" si="50"/>
        <v>0</v>
      </c>
      <c r="EH357" s="313">
        <v>354</v>
      </c>
      <c r="EI357" s="314"/>
      <c r="EJ357" s="247" t="str">
        <f t="shared" si="51"/>
        <v/>
      </c>
      <c r="EK357" t="str">
        <f t="shared" si="52"/>
        <v/>
      </c>
    </row>
    <row r="358" spans="2:141" x14ac:dyDescent="0.25">
      <c r="B358" s="43">
        <v>355</v>
      </c>
      <c r="C358" s="44"/>
      <c r="D358" s="45">
        <f t="shared" si="50"/>
        <v>0</v>
      </c>
      <c r="EH358" s="313">
        <v>355</v>
      </c>
      <c r="EI358" s="314"/>
      <c r="EJ358" s="247" t="str">
        <f t="shared" si="51"/>
        <v/>
      </c>
      <c r="EK358" t="str">
        <f t="shared" si="52"/>
        <v/>
      </c>
    </row>
    <row r="359" spans="2:141" x14ac:dyDescent="0.25">
      <c r="B359" s="43">
        <v>356</v>
      </c>
      <c r="C359" s="44"/>
      <c r="D359" s="45">
        <f t="shared" si="50"/>
        <v>0</v>
      </c>
      <c r="EH359" s="313">
        <v>356</v>
      </c>
      <c r="EI359" s="314"/>
      <c r="EJ359" s="247" t="str">
        <f t="shared" si="51"/>
        <v/>
      </c>
      <c r="EK359" t="str">
        <f t="shared" si="52"/>
        <v/>
      </c>
    </row>
    <row r="360" spans="2:141" x14ac:dyDescent="0.25">
      <c r="B360" s="43">
        <v>357</v>
      </c>
      <c r="C360" s="44"/>
      <c r="D360" s="45">
        <f t="shared" si="50"/>
        <v>0</v>
      </c>
      <c r="E360" s="318"/>
      <c r="EH360" s="313">
        <v>357</v>
      </c>
      <c r="EI360" s="314"/>
      <c r="EJ360" s="247" t="str">
        <f t="shared" si="51"/>
        <v/>
      </c>
      <c r="EK360" t="str">
        <f t="shared" si="52"/>
        <v/>
      </c>
    </row>
    <row r="361" spans="2:141" x14ac:dyDescent="0.25">
      <c r="B361" s="43">
        <v>358</v>
      </c>
      <c r="C361" s="44"/>
      <c r="D361" s="45">
        <f t="shared" si="50"/>
        <v>0</v>
      </c>
      <c r="E361" s="251"/>
      <c r="EH361" s="313">
        <v>358</v>
      </c>
      <c r="EI361" s="314"/>
      <c r="EJ361" s="247" t="str">
        <f t="shared" si="51"/>
        <v/>
      </c>
      <c r="EK361" t="str">
        <f t="shared" si="52"/>
        <v/>
      </c>
    </row>
    <row r="362" spans="2:141" x14ac:dyDescent="0.25">
      <c r="B362" s="43">
        <v>359</v>
      </c>
      <c r="C362" s="44"/>
      <c r="D362" s="45">
        <f t="shared" si="50"/>
        <v>0</v>
      </c>
      <c r="E362" s="262"/>
      <c r="EH362" s="313">
        <v>359</v>
      </c>
      <c r="EI362" s="314"/>
      <c r="EJ362" s="247" t="str">
        <f t="shared" si="51"/>
        <v/>
      </c>
      <c r="EK362" t="str">
        <f t="shared" si="52"/>
        <v/>
      </c>
    </row>
    <row r="363" spans="2:141" x14ac:dyDescent="0.25">
      <c r="B363" s="43">
        <v>360</v>
      </c>
      <c r="C363" s="44"/>
      <c r="D363" s="45">
        <f t="shared" si="50"/>
        <v>0</v>
      </c>
      <c r="E363" s="265"/>
      <c r="EH363" s="313">
        <v>360</v>
      </c>
      <c r="EI363" s="314">
        <v>4.2976000000000001</v>
      </c>
      <c r="EJ363" s="247">
        <f t="shared" si="51"/>
        <v>1</v>
      </c>
      <c r="EK363">
        <f t="shared" si="52"/>
        <v>0.43853061224489792</v>
      </c>
    </row>
    <row r="364" spans="2:141" x14ac:dyDescent="0.25">
      <c r="B364" s="43">
        <v>361</v>
      </c>
      <c r="C364" s="44"/>
      <c r="D364" s="45">
        <f t="shared" si="50"/>
        <v>0</v>
      </c>
      <c r="E364" s="269"/>
      <c r="EH364" s="313">
        <v>361</v>
      </c>
      <c r="EI364" s="314"/>
      <c r="EJ364" s="247" t="str">
        <f t="shared" si="51"/>
        <v/>
      </c>
      <c r="EK364" t="str">
        <f t="shared" si="52"/>
        <v/>
      </c>
    </row>
    <row r="365" spans="2:141" x14ac:dyDescent="0.25">
      <c r="B365" s="43">
        <v>362</v>
      </c>
      <c r="C365" s="44"/>
      <c r="D365" s="45">
        <f t="shared" si="50"/>
        <v>0</v>
      </c>
      <c r="EH365" s="313">
        <v>362</v>
      </c>
      <c r="EI365" s="314"/>
      <c r="EJ365" s="247" t="str">
        <f t="shared" si="51"/>
        <v/>
      </c>
      <c r="EK365" t="str">
        <f t="shared" si="52"/>
        <v/>
      </c>
    </row>
    <row r="366" spans="2:141" x14ac:dyDescent="0.25">
      <c r="B366" s="43">
        <v>363</v>
      </c>
      <c r="C366" s="44"/>
      <c r="D366" s="45">
        <f t="shared" si="50"/>
        <v>0</v>
      </c>
      <c r="EH366" s="313">
        <v>363</v>
      </c>
      <c r="EI366" s="314"/>
      <c r="EJ366" s="247" t="str">
        <f t="shared" si="51"/>
        <v/>
      </c>
      <c r="EK366" t="str">
        <f t="shared" si="52"/>
        <v/>
      </c>
    </row>
    <row r="367" spans="2:141" x14ac:dyDescent="0.25">
      <c r="B367" s="43">
        <v>364</v>
      </c>
      <c r="C367" s="44"/>
      <c r="D367" s="45">
        <f t="shared" si="50"/>
        <v>0</v>
      </c>
      <c r="EH367" s="313">
        <v>364</v>
      </c>
      <c r="EI367" s="314"/>
      <c r="EJ367" s="247" t="str">
        <f t="shared" si="51"/>
        <v/>
      </c>
      <c r="EK367" t="str">
        <f t="shared" si="52"/>
        <v/>
      </c>
    </row>
    <row r="368" spans="2:141" x14ac:dyDescent="0.25">
      <c r="B368" s="43">
        <v>365</v>
      </c>
      <c r="C368" s="44"/>
      <c r="D368" s="45">
        <f t="shared" si="50"/>
        <v>0</v>
      </c>
      <c r="EH368" s="313">
        <v>365</v>
      </c>
      <c r="EI368" s="314"/>
      <c r="EJ368" s="247" t="str">
        <f t="shared" si="51"/>
        <v/>
      </c>
      <c r="EK368" t="str">
        <f t="shared" si="52"/>
        <v/>
      </c>
    </row>
    <row r="369" spans="2:141" x14ac:dyDescent="0.25">
      <c r="B369" s="43">
        <v>366</v>
      </c>
      <c r="C369" s="44"/>
      <c r="D369" s="45">
        <f t="shared" si="50"/>
        <v>0</v>
      </c>
      <c r="EH369" s="313">
        <v>366</v>
      </c>
      <c r="EI369" s="314"/>
      <c r="EJ369" s="247" t="str">
        <f t="shared" si="51"/>
        <v/>
      </c>
      <c r="EK369" t="str">
        <f t="shared" si="52"/>
        <v/>
      </c>
    </row>
    <row r="370" spans="2:141" x14ac:dyDescent="0.25">
      <c r="B370" s="43">
        <v>367</v>
      </c>
      <c r="C370" s="44"/>
      <c r="D370" s="45">
        <f t="shared" si="50"/>
        <v>0</v>
      </c>
      <c r="EH370" s="313">
        <v>367</v>
      </c>
      <c r="EI370" s="314"/>
      <c r="EJ370" s="247" t="str">
        <f t="shared" si="51"/>
        <v/>
      </c>
      <c r="EK370" t="str">
        <f t="shared" si="52"/>
        <v/>
      </c>
    </row>
    <row r="371" spans="2:141" x14ac:dyDescent="0.25">
      <c r="B371" s="43">
        <v>368</v>
      </c>
      <c r="C371" s="44"/>
      <c r="D371" s="45">
        <f t="shared" si="50"/>
        <v>0</v>
      </c>
      <c r="EH371" s="313">
        <v>368</v>
      </c>
      <c r="EI371" s="314"/>
      <c r="EJ371" s="247" t="str">
        <f t="shared" si="51"/>
        <v/>
      </c>
      <c r="EK371" t="str">
        <f t="shared" si="52"/>
        <v/>
      </c>
    </row>
    <row r="372" spans="2:141" x14ac:dyDescent="0.25">
      <c r="B372" s="43">
        <v>369</v>
      </c>
      <c r="C372" s="44"/>
      <c r="D372" s="45">
        <f t="shared" si="50"/>
        <v>0</v>
      </c>
      <c r="EH372" s="313">
        <v>369</v>
      </c>
      <c r="EI372" s="314"/>
      <c r="EJ372" s="247" t="str">
        <f t="shared" si="51"/>
        <v/>
      </c>
      <c r="EK372" t="str">
        <f t="shared" si="52"/>
        <v/>
      </c>
    </row>
    <row r="373" spans="2:141" x14ac:dyDescent="0.25">
      <c r="B373" s="43">
        <v>370</v>
      </c>
      <c r="C373" s="44"/>
      <c r="D373" s="45">
        <f t="shared" si="50"/>
        <v>0</v>
      </c>
      <c r="EH373" s="313">
        <v>370</v>
      </c>
      <c r="EI373" s="314">
        <v>4.4165999999999999</v>
      </c>
      <c r="EJ373" s="247">
        <f t="shared" si="51"/>
        <v>1</v>
      </c>
      <c r="EK373">
        <f t="shared" si="52"/>
        <v>0.45067346938775504</v>
      </c>
    </row>
    <row r="374" spans="2:141" x14ac:dyDescent="0.25">
      <c r="B374" s="43">
        <v>371</v>
      </c>
      <c r="C374" s="44"/>
      <c r="D374" s="45">
        <f t="shared" si="50"/>
        <v>0</v>
      </c>
      <c r="EH374" s="313">
        <v>371</v>
      </c>
      <c r="EI374" s="314"/>
      <c r="EJ374" s="247" t="str">
        <f t="shared" si="51"/>
        <v/>
      </c>
      <c r="EK374" t="str">
        <f t="shared" si="52"/>
        <v/>
      </c>
    </row>
    <row r="375" spans="2:141" x14ac:dyDescent="0.25">
      <c r="B375" s="43">
        <v>372</v>
      </c>
      <c r="C375" s="44"/>
      <c r="D375" s="45">
        <f t="shared" si="50"/>
        <v>0</v>
      </c>
      <c r="EH375" s="313">
        <v>372</v>
      </c>
      <c r="EI375" s="314"/>
      <c r="EJ375" s="247" t="str">
        <f t="shared" si="51"/>
        <v/>
      </c>
      <c r="EK375" t="str">
        <f t="shared" si="52"/>
        <v/>
      </c>
    </row>
    <row r="376" spans="2:141" x14ac:dyDescent="0.25">
      <c r="B376" s="43">
        <v>373</v>
      </c>
      <c r="C376" s="44"/>
      <c r="D376" s="45">
        <f t="shared" si="50"/>
        <v>0</v>
      </c>
      <c r="EH376" s="313">
        <v>373</v>
      </c>
      <c r="EI376" s="314"/>
      <c r="EJ376" s="247" t="str">
        <f t="shared" si="51"/>
        <v/>
      </c>
      <c r="EK376" t="str">
        <f t="shared" si="52"/>
        <v/>
      </c>
    </row>
    <row r="377" spans="2:141" x14ac:dyDescent="0.25">
      <c r="B377" s="43">
        <v>374</v>
      </c>
      <c r="C377" s="44"/>
      <c r="D377" s="45">
        <f t="shared" si="50"/>
        <v>0</v>
      </c>
      <c r="EH377" s="313">
        <v>374</v>
      </c>
      <c r="EI377" s="314"/>
      <c r="EJ377" s="247" t="str">
        <f t="shared" si="51"/>
        <v/>
      </c>
      <c r="EK377" t="str">
        <f t="shared" si="52"/>
        <v/>
      </c>
    </row>
    <row r="378" spans="2:141" x14ac:dyDescent="0.25">
      <c r="B378" s="43">
        <v>375</v>
      </c>
      <c r="C378" s="44"/>
      <c r="D378" s="45">
        <f t="shared" si="50"/>
        <v>0</v>
      </c>
      <c r="EH378" s="313">
        <v>375</v>
      </c>
      <c r="EI378" s="314"/>
      <c r="EJ378" s="247" t="str">
        <f t="shared" si="51"/>
        <v/>
      </c>
      <c r="EK378" t="str">
        <f t="shared" si="52"/>
        <v/>
      </c>
    </row>
    <row r="379" spans="2:141" x14ac:dyDescent="0.25">
      <c r="B379" s="43">
        <v>376</v>
      </c>
      <c r="C379" s="44"/>
      <c r="D379" s="45">
        <f t="shared" si="50"/>
        <v>0</v>
      </c>
      <c r="EH379" s="313">
        <v>376</v>
      </c>
      <c r="EI379" s="314"/>
      <c r="EJ379" s="247" t="str">
        <f t="shared" si="51"/>
        <v/>
      </c>
      <c r="EK379" t="str">
        <f t="shared" si="52"/>
        <v/>
      </c>
    </row>
    <row r="380" spans="2:141" x14ac:dyDescent="0.25">
      <c r="B380" s="43">
        <v>377</v>
      </c>
      <c r="C380" s="44"/>
      <c r="D380" s="45">
        <f t="shared" si="50"/>
        <v>0</v>
      </c>
      <c r="EH380" s="313">
        <v>377</v>
      </c>
      <c r="EI380" s="314"/>
      <c r="EJ380" s="247" t="str">
        <f t="shared" si="51"/>
        <v/>
      </c>
      <c r="EK380" t="str">
        <f t="shared" si="52"/>
        <v/>
      </c>
    </row>
    <row r="381" spans="2:141" x14ac:dyDescent="0.25">
      <c r="B381" s="43">
        <v>378</v>
      </c>
      <c r="C381" s="44"/>
      <c r="D381" s="45">
        <f t="shared" si="50"/>
        <v>0</v>
      </c>
      <c r="EH381" s="313">
        <v>378</v>
      </c>
      <c r="EI381" s="314"/>
      <c r="EJ381" s="247" t="str">
        <f t="shared" si="51"/>
        <v/>
      </c>
      <c r="EK381" t="str">
        <f t="shared" si="52"/>
        <v/>
      </c>
    </row>
    <row r="382" spans="2:141" x14ac:dyDescent="0.25">
      <c r="B382" s="43">
        <v>379</v>
      </c>
      <c r="C382" s="44"/>
      <c r="D382" s="45">
        <f t="shared" si="50"/>
        <v>0</v>
      </c>
      <c r="EH382" s="313">
        <v>379</v>
      </c>
      <c r="EI382" s="314"/>
      <c r="EJ382" s="247" t="str">
        <f t="shared" si="51"/>
        <v/>
      </c>
      <c r="EK382" t="str">
        <f t="shared" si="52"/>
        <v/>
      </c>
    </row>
    <row r="383" spans="2:141" x14ac:dyDescent="0.25">
      <c r="B383" s="43">
        <v>380</v>
      </c>
      <c r="C383" s="44"/>
      <c r="D383" s="45">
        <f t="shared" si="50"/>
        <v>0</v>
      </c>
      <c r="EH383" s="313">
        <v>380</v>
      </c>
      <c r="EI383" s="314">
        <v>4.5357000000000003</v>
      </c>
      <c r="EJ383" s="247">
        <f t="shared" si="51"/>
        <v>1</v>
      </c>
      <c r="EK383">
        <f t="shared" si="52"/>
        <v>0.46282653061224488</v>
      </c>
    </row>
    <row r="384" spans="2:141" x14ac:dyDescent="0.25">
      <c r="B384" s="43">
        <v>381</v>
      </c>
      <c r="C384" s="44"/>
      <c r="D384" s="45">
        <f t="shared" si="50"/>
        <v>0</v>
      </c>
      <c r="E384" s="318"/>
      <c r="EH384" s="313">
        <v>381</v>
      </c>
      <c r="EI384" s="314"/>
      <c r="EJ384" s="247" t="str">
        <f t="shared" si="51"/>
        <v/>
      </c>
      <c r="EK384" t="str">
        <f t="shared" si="52"/>
        <v/>
      </c>
    </row>
    <row r="385" spans="2:141" x14ac:dyDescent="0.25">
      <c r="B385" s="43">
        <v>382</v>
      </c>
      <c r="C385" s="44"/>
      <c r="D385" s="45">
        <f t="shared" si="50"/>
        <v>0</v>
      </c>
      <c r="E385" s="251"/>
      <c r="EH385" s="313">
        <v>382</v>
      </c>
      <c r="EI385" s="314"/>
      <c r="EJ385" s="247" t="str">
        <f t="shared" si="51"/>
        <v/>
      </c>
      <c r="EK385" t="str">
        <f t="shared" si="52"/>
        <v/>
      </c>
    </row>
    <row r="386" spans="2:141" x14ac:dyDescent="0.25">
      <c r="B386" s="43">
        <v>383</v>
      </c>
      <c r="C386" s="44"/>
      <c r="D386" s="45">
        <f t="shared" si="50"/>
        <v>0</v>
      </c>
      <c r="E386" s="262"/>
      <c r="EH386" s="313">
        <v>383</v>
      </c>
      <c r="EI386" s="314"/>
      <c r="EJ386" s="247" t="str">
        <f t="shared" si="51"/>
        <v/>
      </c>
      <c r="EK386" t="str">
        <f t="shared" si="52"/>
        <v/>
      </c>
    </row>
    <row r="387" spans="2:141" x14ac:dyDescent="0.25">
      <c r="B387" s="43">
        <v>384</v>
      </c>
      <c r="C387" s="44"/>
      <c r="D387" s="45">
        <f t="shared" si="50"/>
        <v>0</v>
      </c>
      <c r="E387" s="265"/>
      <c r="EH387" s="313">
        <v>384</v>
      </c>
      <c r="EI387" s="314"/>
      <c r="EJ387" s="247" t="str">
        <f t="shared" si="51"/>
        <v/>
      </c>
      <c r="EK387" t="str">
        <f t="shared" si="52"/>
        <v/>
      </c>
    </row>
    <row r="388" spans="2:141" x14ac:dyDescent="0.25">
      <c r="B388" s="43">
        <v>385</v>
      </c>
      <c r="C388" s="44"/>
      <c r="D388" s="45">
        <f t="shared" si="50"/>
        <v>0</v>
      </c>
      <c r="E388" s="269"/>
      <c r="EH388" s="313">
        <v>385</v>
      </c>
      <c r="EI388" s="314"/>
      <c r="EJ388" s="247" t="str">
        <f t="shared" si="51"/>
        <v/>
      </c>
      <c r="EK388" t="str">
        <f t="shared" si="52"/>
        <v/>
      </c>
    </row>
    <row r="389" spans="2:141" x14ac:dyDescent="0.25">
      <c r="B389" s="43">
        <v>386</v>
      </c>
      <c r="C389" s="44"/>
      <c r="D389" s="45">
        <f t="shared" ref="D389:D452" si="53">C389</f>
        <v>0</v>
      </c>
      <c r="EH389" s="313">
        <v>386</v>
      </c>
      <c r="EI389" s="314"/>
      <c r="EJ389" s="247" t="str">
        <f t="shared" ref="EJ389:EJ452" si="54">IF(EI389="","",1)</f>
        <v/>
      </c>
      <c r="EK389" t="str">
        <f t="shared" ref="EK389:EK452" si="55">IF(EI389="","",EI389/9.8)</f>
        <v/>
      </c>
    </row>
    <row r="390" spans="2:141" x14ac:dyDescent="0.25">
      <c r="B390" s="43">
        <v>387</v>
      </c>
      <c r="C390" s="44"/>
      <c r="D390" s="45">
        <f t="shared" si="53"/>
        <v>0</v>
      </c>
      <c r="EH390" s="313">
        <v>387</v>
      </c>
      <c r="EI390" s="314"/>
      <c r="EJ390" s="247" t="str">
        <f t="shared" si="54"/>
        <v/>
      </c>
      <c r="EK390" t="str">
        <f t="shared" si="55"/>
        <v/>
      </c>
    </row>
    <row r="391" spans="2:141" x14ac:dyDescent="0.25">
      <c r="B391" s="43">
        <v>388</v>
      </c>
      <c r="C391" s="44"/>
      <c r="D391" s="45">
        <f t="shared" si="53"/>
        <v>0</v>
      </c>
      <c r="EH391" s="313">
        <v>388</v>
      </c>
      <c r="EI391" s="314"/>
      <c r="EJ391" s="247" t="str">
        <f t="shared" si="54"/>
        <v/>
      </c>
      <c r="EK391" t="str">
        <f t="shared" si="55"/>
        <v/>
      </c>
    </row>
    <row r="392" spans="2:141" x14ac:dyDescent="0.25">
      <c r="B392" s="43">
        <v>389</v>
      </c>
      <c r="C392" s="44"/>
      <c r="D392" s="45">
        <f t="shared" si="53"/>
        <v>0</v>
      </c>
      <c r="EH392" s="313">
        <v>389</v>
      </c>
      <c r="EI392" s="314"/>
      <c r="EJ392" s="247" t="str">
        <f t="shared" si="54"/>
        <v/>
      </c>
      <c r="EK392" t="str">
        <f t="shared" si="55"/>
        <v/>
      </c>
    </row>
    <row r="393" spans="2:141" x14ac:dyDescent="0.25">
      <c r="B393" s="43">
        <v>390</v>
      </c>
      <c r="C393" s="44"/>
      <c r="D393" s="45">
        <f t="shared" si="53"/>
        <v>0</v>
      </c>
      <c r="EH393" s="313">
        <v>390</v>
      </c>
      <c r="EI393" s="314">
        <v>4.6547000000000001</v>
      </c>
      <c r="EJ393" s="247">
        <f t="shared" si="54"/>
        <v>1</v>
      </c>
      <c r="EK393">
        <f t="shared" si="55"/>
        <v>0.474969387755102</v>
      </c>
    </row>
    <row r="394" spans="2:141" x14ac:dyDescent="0.25">
      <c r="B394" s="43">
        <v>391</v>
      </c>
      <c r="C394" s="44"/>
      <c r="D394" s="45">
        <f t="shared" si="53"/>
        <v>0</v>
      </c>
      <c r="EH394" s="313">
        <v>391</v>
      </c>
      <c r="EI394" s="314"/>
      <c r="EJ394" s="247" t="str">
        <f t="shared" si="54"/>
        <v/>
      </c>
      <c r="EK394" t="str">
        <f t="shared" si="55"/>
        <v/>
      </c>
    </row>
    <row r="395" spans="2:141" x14ac:dyDescent="0.25">
      <c r="B395" s="43">
        <v>392</v>
      </c>
      <c r="C395" s="44"/>
      <c r="D395" s="45">
        <f t="shared" si="53"/>
        <v>0</v>
      </c>
      <c r="EH395" s="313">
        <v>392</v>
      </c>
      <c r="EI395" s="314"/>
      <c r="EJ395" s="247" t="str">
        <f t="shared" si="54"/>
        <v/>
      </c>
      <c r="EK395" t="str">
        <f t="shared" si="55"/>
        <v/>
      </c>
    </row>
    <row r="396" spans="2:141" x14ac:dyDescent="0.25">
      <c r="B396" s="43">
        <v>393</v>
      </c>
      <c r="C396" s="44"/>
      <c r="D396" s="45">
        <f t="shared" si="53"/>
        <v>0</v>
      </c>
      <c r="EH396" s="313">
        <v>393</v>
      </c>
      <c r="EI396" s="314"/>
      <c r="EJ396" s="247" t="str">
        <f t="shared" si="54"/>
        <v/>
      </c>
      <c r="EK396" t="str">
        <f t="shared" si="55"/>
        <v/>
      </c>
    </row>
    <row r="397" spans="2:141" x14ac:dyDescent="0.25">
      <c r="B397" s="43">
        <v>394</v>
      </c>
      <c r="C397" s="44"/>
      <c r="D397" s="45">
        <f t="shared" si="53"/>
        <v>0</v>
      </c>
      <c r="EH397" s="313">
        <v>394</v>
      </c>
      <c r="EI397" s="314"/>
      <c r="EJ397" s="247" t="str">
        <f t="shared" si="54"/>
        <v/>
      </c>
      <c r="EK397" t="str">
        <f t="shared" si="55"/>
        <v/>
      </c>
    </row>
    <row r="398" spans="2:141" x14ac:dyDescent="0.25">
      <c r="B398" s="43">
        <v>395</v>
      </c>
      <c r="C398" s="44"/>
      <c r="D398" s="45">
        <f t="shared" si="53"/>
        <v>0</v>
      </c>
      <c r="EH398" s="313">
        <v>395</v>
      </c>
      <c r="EI398" s="314"/>
      <c r="EJ398" s="247" t="str">
        <f t="shared" si="54"/>
        <v/>
      </c>
      <c r="EK398" t="str">
        <f t="shared" si="55"/>
        <v/>
      </c>
    </row>
    <row r="399" spans="2:141" x14ac:dyDescent="0.25">
      <c r="B399" s="43">
        <v>396</v>
      </c>
      <c r="C399" s="44"/>
      <c r="D399" s="45">
        <f t="shared" si="53"/>
        <v>0</v>
      </c>
      <c r="EH399" s="313">
        <v>396</v>
      </c>
      <c r="EI399" s="314"/>
      <c r="EJ399" s="247" t="str">
        <f t="shared" si="54"/>
        <v/>
      </c>
      <c r="EK399" t="str">
        <f t="shared" si="55"/>
        <v/>
      </c>
    </row>
    <row r="400" spans="2:141" x14ac:dyDescent="0.25">
      <c r="B400" s="43">
        <v>397</v>
      </c>
      <c r="C400" s="44"/>
      <c r="D400" s="45">
        <f t="shared" si="53"/>
        <v>0</v>
      </c>
      <c r="EH400" s="313">
        <v>397</v>
      </c>
      <c r="EI400" s="314"/>
      <c r="EJ400" s="247" t="str">
        <f t="shared" si="54"/>
        <v/>
      </c>
      <c r="EK400" t="str">
        <f t="shared" si="55"/>
        <v/>
      </c>
    </row>
    <row r="401" spans="2:141" x14ac:dyDescent="0.25">
      <c r="B401" s="43">
        <v>398</v>
      </c>
      <c r="C401" s="44"/>
      <c r="D401" s="45">
        <f t="shared" si="53"/>
        <v>0</v>
      </c>
      <c r="EH401" s="313">
        <v>398</v>
      </c>
      <c r="EI401" s="314"/>
      <c r="EJ401" s="247" t="str">
        <f t="shared" si="54"/>
        <v/>
      </c>
      <c r="EK401" t="str">
        <f t="shared" si="55"/>
        <v/>
      </c>
    </row>
    <row r="402" spans="2:141" x14ac:dyDescent="0.25">
      <c r="B402" s="43">
        <v>399</v>
      </c>
      <c r="C402" s="44"/>
      <c r="D402" s="45">
        <f t="shared" si="53"/>
        <v>0</v>
      </c>
      <c r="EH402" s="313">
        <v>399</v>
      </c>
      <c r="EI402" s="314"/>
      <c r="EJ402" s="247" t="str">
        <f t="shared" si="54"/>
        <v/>
      </c>
      <c r="EK402" t="str">
        <f t="shared" si="55"/>
        <v/>
      </c>
    </row>
    <row r="403" spans="2:141" x14ac:dyDescent="0.25">
      <c r="B403" s="43">
        <v>400</v>
      </c>
      <c r="C403">
        <v>232.7</v>
      </c>
      <c r="D403" s="45">
        <f t="shared" si="53"/>
        <v>232.7</v>
      </c>
      <c r="EH403" s="313">
        <v>400</v>
      </c>
      <c r="EI403" s="314">
        <v>4.7737999999999996</v>
      </c>
      <c r="EJ403" s="247">
        <f t="shared" si="54"/>
        <v>1</v>
      </c>
      <c r="EK403">
        <f t="shared" si="55"/>
        <v>0.48712244897959178</v>
      </c>
    </row>
    <row r="404" spans="2:141" x14ac:dyDescent="0.25">
      <c r="B404" s="43">
        <v>401</v>
      </c>
      <c r="C404">
        <v>197.5</v>
      </c>
      <c r="D404" s="45">
        <f t="shared" si="53"/>
        <v>197.5</v>
      </c>
      <c r="EH404" s="313">
        <v>401</v>
      </c>
      <c r="EI404" s="314"/>
      <c r="EJ404" s="247" t="str">
        <f t="shared" si="54"/>
        <v/>
      </c>
      <c r="EK404" t="str">
        <f t="shared" si="55"/>
        <v/>
      </c>
    </row>
    <row r="405" spans="2:141" x14ac:dyDescent="0.25">
      <c r="B405" s="43">
        <v>402</v>
      </c>
      <c r="C405">
        <v>219</v>
      </c>
      <c r="D405" s="45">
        <f t="shared" si="53"/>
        <v>219</v>
      </c>
      <c r="EH405" s="313">
        <v>402</v>
      </c>
      <c r="EI405" s="314"/>
      <c r="EJ405" s="247" t="str">
        <f t="shared" si="54"/>
        <v/>
      </c>
      <c r="EK405" t="str">
        <f t="shared" si="55"/>
        <v/>
      </c>
    </row>
    <row r="406" spans="2:141" x14ac:dyDescent="0.25">
      <c r="B406" s="43">
        <v>403</v>
      </c>
      <c r="C406">
        <v>216.3</v>
      </c>
      <c r="D406" s="45">
        <f t="shared" si="53"/>
        <v>216.3</v>
      </c>
      <c r="EH406" s="313">
        <v>403</v>
      </c>
      <c r="EI406" s="314"/>
      <c r="EJ406" s="247" t="str">
        <f t="shared" si="54"/>
        <v/>
      </c>
      <c r="EK406" t="str">
        <f t="shared" si="55"/>
        <v/>
      </c>
    </row>
    <row r="407" spans="2:141" x14ac:dyDescent="0.25">
      <c r="B407" s="43">
        <v>404</v>
      </c>
      <c r="C407">
        <v>221.3</v>
      </c>
      <c r="D407" s="45">
        <f t="shared" si="53"/>
        <v>221.3</v>
      </c>
      <c r="EH407" s="313">
        <v>404</v>
      </c>
      <c r="EI407" s="314"/>
      <c r="EJ407" s="247" t="str">
        <f t="shared" si="54"/>
        <v/>
      </c>
      <c r="EK407" t="str">
        <f t="shared" si="55"/>
        <v/>
      </c>
    </row>
    <row r="408" spans="2:141" x14ac:dyDescent="0.25">
      <c r="B408" s="43">
        <v>405</v>
      </c>
      <c r="C408">
        <v>200.6</v>
      </c>
      <c r="D408" s="45">
        <f t="shared" si="53"/>
        <v>200.6</v>
      </c>
      <c r="E408" s="318"/>
      <c r="EH408" s="313">
        <v>405</v>
      </c>
      <c r="EI408" s="314"/>
      <c r="EJ408" s="247" t="str">
        <f t="shared" si="54"/>
        <v/>
      </c>
      <c r="EK408" t="str">
        <f t="shared" si="55"/>
        <v/>
      </c>
    </row>
    <row r="409" spans="2:141" x14ac:dyDescent="0.25">
      <c r="B409" s="43">
        <v>406</v>
      </c>
      <c r="C409">
        <v>231.7</v>
      </c>
      <c r="D409" s="45">
        <f t="shared" si="53"/>
        <v>231.7</v>
      </c>
      <c r="E409" s="251"/>
      <c r="EH409" s="313">
        <v>406</v>
      </c>
      <c r="EI409" s="314"/>
      <c r="EJ409" s="247" t="str">
        <f t="shared" si="54"/>
        <v/>
      </c>
      <c r="EK409" t="str">
        <f t="shared" si="55"/>
        <v/>
      </c>
    </row>
    <row r="410" spans="2:141" x14ac:dyDescent="0.25">
      <c r="B410" s="43">
        <v>407</v>
      </c>
      <c r="C410">
        <v>217</v>
      </c>
      <c r="D410" s="45">
        <f t="shared" si="53"/>
        <v>217</v>
      </c>
      <c r="E410" s="262"/>
      <c r="EH410" s="313">
        <v>407</v>
      </c>
      <c r="EI410" s="314"/>
      <c r="EJ410" s="247" t="str">
        <f t="shared" si="54"/>
        <v/>
      </c>
      <c r="EK410" t="str">
        <f t="shared" si="55"/>
        <v/>
      </c>
    </row>
    <row r="411" spans="2:141" x14ac:dyDescent="0.25">
      <c r="B411" s="43">
        <v>408</v>
      </c>
      <c r="C411" s="44">
        <v>215.2</v>
      </c>
      <c r="D411" s="45">
        <v>166</v>
      </c>
      <c r="E411" s="265"/>
      <c r="EH411" s="313">
        <v>408</v>
      </c>
      <c r="EI411" s="314"/>
      <c r="EJ411" s="247" t="str">
        <f t="shared" si="54"/>
        <v/>
      </c>
      <c r="EK411" t="str">
        <f t="shared" si="55"/>
        <v/>
      </c>
    </row>
    <row r="412" spans="2:141" x14ac:dyDescent="0.25">
      <c r="B412" s="43">
        <v>409</v>
      </c>
      <c r="C412" s="44"/>
      <c r="D412" s="45">
        <f t="shared" si="53"/>
        <v>0</v>
      </c>
      <c r="E412" s="269"/>
      <c r="EH412" s="313">
        <v>409</v>
      </c>
      <c r="EI412" s="314"/>
      <c r="EJ412" s="247" t="str">
        <f t="shared" si="54"/>
        <v/>
      </c>
      <c r="EK412" t="str">
        <f t="shared" si="55"/>
        <v/>
      </c>
    </row>
    <row r="413" spans="2:141" x14ac:dyDescent="0.25">
      <c r="B413" s="43">
        <v>410</v>
      </c>
      <c r="C413" s="44"/>
      <c r="D413" s="45">
        <f t="shared" si="53"/>
        <v>0</v>
      </c>
      <c r="EH413" s="313">
        <v>410</v>
      </c>
      <c r="EI413" s="314">
        <v>4.8928000000000003</v>
      </c>
      <c r="EJ413" s="247">
        <f t="shared" si="54"/>
        <v>1</v>
      </c>
      <c r="EK413">
        <f t="shared" si="55"/>
        <v>0.49926530612244896</v>
      </c>
    </row>
    <row r="414" spans="2:141" x14ac:dyDescent="0.25">
      <c r="B414" s="43">
        <v>411</v>
      </c>
      <c r="C414" s="44"/>
      <c r="D414" s="45">
        <f t="shared" si="53"/>
        <v>0</v>
      </c>
      <c r="EH414" s="313">
        <v>411</v>
      </c>
      <c r="EI414" s="314"/>
      <c r="EJ414" s="247" t="str">
        <f t="shared" si="54"/>
        <v/>
      </c>
      <c r="EK414" t="str">
        <f t="shared" si="55"/>
        <v/>
      </c>
    </row>
    <row r="415" spans="2:141" x14ac:dyDescent="0.25">
      <c r="B415" s="43">
        <v>412</v>
      </c>
      <c r="C415" s="44"/>
      <c r="D415" s="45">
        <f t="shared" si="53"/>
        <v>0</v>
      </c>
      <c r="EH415" s="313">
        <v>412</v>
      </c>
      <c r="EI415" s="314"/>
      <c r="EJ415" s="247" t="str">
        <f t="shared" si="54"/>
        <v/>
      </c>
      <c r="EK415" t="str">
        <f t="shared" si="55"/>
        <v/>
      </c>
    </row>
    <row r="416" spans="2:141" x14ac:dyDescent="0.25">
      <c r="B416" s="43">
        <v>413</v>
      </c>
      <c r="C416" s="44"/>
      <c r="D416" s="45">
        <f t="shared" si="53"/>
        <v>0</v>
      </c>
      <c r="EH416" s="313">
        <v>413</v>
      </c>
      <c r="EI416" s="314"/>
      <c r="EJ416" s="247" t="str">
        <f t="shared" si="54"/>
        <v/>
      </c>
      <c r="EK416" t="str">
        <f t="shared" si="55"/>
        <v/>
      </c>
    </row>
    <row r="417" spans="2:141" x14ac:dyDescent="0.25">
      <c r="B417" s="43">
        <v>414</v>
      </c>
      <c r="C417" s="44"/>
      <c r="D417" s="45">
        <f t="shared" si="53"/>
        <v>0</v>
      </c>
      <c r="EH417" s="313">
        <v>414</v>
      </c>
      <c r="EI417" s="314"/>
      <c r="EJ417" s="247" t="str">
        <f t="shared" si="54"/>
        <v/>
      </c>
      <c r="EK417" t="str">
        <f t="shared" si="55"/>
        <v/>
      </c>
    </row>
    <row r="418" spans="2:141" x14ac:dyDescent="0.25">
      <c r="B418" s="43">
        <v>415</v>
      </c>
      <c r="C418" s="44"/>
      <c r="D418" s="45">
        <f t="shared" si="53"/>
        <v>0</v>
      </c>
      <c r="EH418" s="313">
        <v>415</v>
      </c>
      <c r="EI418" s="314"/>
      <c r="EJ418" s="247" t="str">
        <f t="shared" si="54"/>
        <v/>
      </c>
      <c r="EK418" t="str">
        <f t="shared" si="55"/>
        <v/>
      </c>
    </row>
    <row r="419" spans="2:141" x14ac:dyDescent="0.25">
      <c r="B419" s="43">
        <v>416</v>
      </c>
      <c r="C419" s="44"/>
      <c r="D419" s="45">
        <f t="shared" si="53"/>
        <v>0</v>
      </c>
      <c r="EH419" s="313">
        <v>416</v>
      </c>
      <c r="EI419" s="314"/>
      <c r="EJ419" s="247" t="str">
        <f t="shared" si="54"/>
        <v/>
      </c>
      <c r="EK419" t="str">
        <f t="shared" si="55"/>
        <v/>
      </c>
    </row>
    <row r="420" spans="2:141" x14ac:dyDescent="0.25">
      <c r="B420" s="43">
        <v>417</v>
      </c>
      <c r="C420" s="44"/>
      <c r="D420" s="45">
        <f t="shared" si="53"/>
        <v>0</v>
      </c>
      <c r="EH420" s="313">
        <v>417</v>
      </c>
      <c r="EI420" s="314"/>
      <c r="EJ420" s="247" t="str">
        <f t="shared" si="54"/>
        <v/>
      </c>
      <c r="EK420" t="str">
        <f t="shared" si="55"/>
        <v/>
      </c>
    </row>
    <row r="421" spans="2:141" x14ac:dyDescent="0.25">
      <c r="B421" s="43">
        <v>418</v>
      </c>
      <c r="C421" s="44"/>
      <c r="D421" s="45">
        <f t="shared" si="53"/>
        <v>0</v>
      </c>
      <c r="EH421" s="313">
        <v>418</v>
      </c>
      <c r="EI421" s="314"/>
      <c r="EJ421" s="247" t="str">
        <f t="shared" si="54"/>
        <v/>
      </c>
      <c r="EK421" t="str">
        <f t="shared" si="55"/>
        <v/>
      </c>
    </row>
    <row r="422" spans="2:141" x14ac:dyDescent="0.25">
      <c r="B422" s="43">
        <v>419</v>
      </c>
      <c r="C422" s="44"/>
      <c r="D422" s="45">
        <f t="shared" si="53"/>
        <v>0</v>
      </c>
      <c r="EH422" s="313">
        <v>419</v>
      </c>
      <c r="EI422" s="314"/>
      <c r="EJ422" s="247" t="str">
        <f t="shared" si="54"/>
        <v/>
      </c>
      <c r="EK422" t="str">
        <f t="shared" si="55"/>
        <v/>
      </c>
    </row>
    <row r="423" spans="2:141" x14ac:dyDescent="0.25">
      <c r="B423" s="43">
        <v>420</v>
      </c>
      <c r="C423" s="44"/>
      <c r="D423" s="45">
        <f t="shared" si="53"/>
        <v>0</v>
      </c>
      <c r="EH423" s="313">
        <v>420</v>
      </c>
      <c r="EI423" s="314">
        <v>5.0118999999999998</v>
      </c>
      <c r="EJ423" s="247">
        <f t="shared" si="54"/>
        <v>1</v>
      </c>
      <c r="EK423">
        <f t="shared" si="55"/>
        <v>0.51141836734693868</v>
      </c>
    </row>
    <row r="424" spans="2:141" x14ac:dyDescent="0.25">
      <c r="B424" s="43">
        <v>421</v>
      </c>
      <c r="C424" s="44"/>
      <c r="D424" s="45">
        <f t="shared" si="53"/>
        <v>0</v>
      </c>
      <c r="EH424" s="313">
        <v>421</v>
      </c>
      <c r="EI424" s="314"/>
      <c r="EJ424" s="247" t="str">
        <f t="shared" si="54"/>
        <v/>
      </c>
      <c r="EK424" t="str">
        <f t="shared" si="55"/>
        <v/>
      </c>
    </row>
    <row r="425" spans="2:141" x14ac:dyDescent="0.25">
      <c r="B425" s="43">
        <v>422</v>
      </c>
      <c r="C425" s="44"/>
      <c r="D425" s="45">
        <f t="shared" si="53"/>
        <v>0</v>
      </c>
      <c r="EH425" s="313">
        <v>422</v>
      </c>
      <c r="EI425" s="314"/>
      <c r="EJ425" s="247" t="str">
        <f t="shared" si="54"/>
        <v/>
      </c>
      <c r="EK425" t="str">
        <f t="shared" si="55"/>
        <v/>
      </c>
    </row>
    <row r="426" spans="2:141" x14ac:dyDescent="0.25">
      <c r="B426" s="43">
        <v>423</v>
      </c>
      <c r="C426" s="44"/>
      <c r="D426" s="45">
        <f t="shared" si="53"/>
        <v>0</v>
      </c>
      <c r="EH426" s="313">
        <v>423</v>
      </c>
      <c r="EI426" s="314"/>
      <c r="EJ426" s="247" t="str">
        <f t="shared" si="54"/>
        <v/>
      </c>
      <c r="EK426" t="str">
        <f t="shared" si="55"/>
        <v/>
      </c>
    </row>
    <row r="427" spans="2:141" x14ac:dyDescent="0.25">
      <c r="B427" s="43">
        <v>424</v>
      </c>
      <c r="C427" s="44"/>
      <c r="D427" s="45">
        <f t="shared" si="53"/>
        <v>0</v>
      </c>
      <c r="EH427" s="313">
        <v>424</v>
      </c>
      <c r="EI427" s="314"/>
      <c r="EJ427" s="247" t="str">
        <f t="shared" si="54"/>
        <v/>
      </c>
      <c r="EK427" t="str">
        <f t="shared" si="55"/>
        <v/>
      </c>
    </row>
    <row r="428" spans="2:141" x14ac:dyDescent="0.25">
      <c r="B428" s="43">
        <v>425</v>
      </c>
      <c r="C428" s="44"/>
      <c r="D428" s="45">
        <f t="shared" si="53"/>
        <v>0</v>
      </c>
      <c r="EH428" s="313">
        <v>425</v>
      </c>
      <c r="EI428" s="314"/>
      <c r="EJ428" s="247" t="str">
        <f t="shared" si="54"/>
        <v/>
      </c>
      <c r="EK428" t="str">
        <f t="shared" si="55"/>
        <v/>
      </c>
    </row>
    <row r="429" spans="2:141" x14ac:dyDescent="0.25">
      <c r="B429" s="43">
        <v>426</v>
      </c>
      <c r="C429" s="44"/>
      <c r="D429" s="45">
        <f t="shared" si="53"/>
        <v>0</v>
      </c>
      <c r="EH429" s="313">
        <v>426</v>
      </c>
      <c r="EI429" s="314"/>
      <c r="EJ429" s="247" t="str">
        <f t="shared" si="54"/>
        <v/>
      </c>
      <c r="EK429" t="str">
        <f t="shared" si="55"/>
        <v/>
      </c>
    </row>
    <row r="430" spans="2:141" x14ac:dyDescent="0.25">
      <c r="B430" s="43">
        <v>427</v>
      </c>
      <c r="C430" s="44"/>
      <c r="D430" s="45">
        <f t="shared" si="53"/>
        <v>0</v>
      </c>
      <c r="EH430" s="313">
        <v>427</v>
      </c>
      <c r="EI430" s="314"/>
      <c r="EJ430" s="247" t="str">
        <f t="shared" si="54"/>
        <v/>
      </c>
      <c r="EK430" t="str">
        <f t="shared" si="55"/>
        <v/>
      </c>
    </row>
    <row r="431" spans="2:141" x14ac:dyDescent="0.25">
      <c r="B431" s="43">
        <v>428</v>
      </c>
      <c r="C431" s="44"/>
      <c r="D431" s="45">
        <f t="shared" si="53"/>
        <v>0</v>
      </c>
      <c r="EH431" s="313">
        <v>428</v>
      </c>
      <c r="EI431" s="314"/>
      <c r="EJ431" s="247" t="str">
        <f t="shared" si="54"/>
        <v/>
      </c>
      <c r="EK431" t="str">
        <f t="shared" si="55"/>
        <v/>
      </c>
    </row>
    <row r="432" spans="2:141" x14ac:dyDescent="0.25">
      <c r="B432" s="43">
        <v>429</v>
      </c>
      <c r="C432" s="44"/>
      <c r="D432" s="45">
        <f t="shared" si="53"/>
        <v>0</v>
      </c>
      <c r="EH432" s="313">
        <v>429</v>
      </c>
      <c r="EI432" s="314"/>
      <c r="EJ432" s="247" t="str">
        <f t="shared" si="54"/>
        <v/>
      </c>
      <c r="EK432" t="str">
        <f t="shared" si="55"/>
        <v/>
      </c>
    </row>
    <row r="433" spans="2:141" x14ac:dyDescent="0.25">
      <c r="B433" s="43">
        <v>430</v>
      </c>
      <c r="C433" s="44"/>
      <c r="D433" s="45">
        <f t="shared" si="53"/>
        <v>0</v>
      </c>
      <c r="EH433" s="313">
        <v>430</v>
      </c>
      <c r="EI433" s="314">
        <v>5.1308999999999996</v>
      </c>
      <c r="EJ433" s="247">
        <f t="shared" si="54"/>
        <v>1</v>
      </c>
      <c r="EK433">
        <f t="shared" si="55"/>
        <v>0.52356122448979581</v>
      </c>
    </row>
    <row r="434" spans="2:141" x14ac:dyDescent="0.25">
      <c r="B434" s="43">
        <v>431</v>
      </c>
      <c r="C434" s="44"/>
      <c r="D434" s="45">
        <f t="shared" si="53"/>
        <v>0</v>
      </c>
      <c r="EH434" s="313">
        <v>431</v>
      </c>
      <c r="EI434" s="314"/>
      <c r="EJ434" s="247" t="str">
        <f t="shared" si="54"/>
        <v/>
      </c>
      <c r="EK434" t="str">
        <f t="shared" si="55"/>
        <v/>
      </c>
    </row>
    <row r="435" spans="2:141" x14ac:dyDescent="0.25">
      <c r="B435" s="43">
        <v>432</v>
      </c>
      <c r="C435" s="44"/>
      <c r="D435" s="45">
        <f t="shared" si="53"/>
        <v>0</v>
      </c>
      <c r="EH435" s="313">
        <v>432</v>
      </c>
      <c r="EI435" s="314"/>
      <c r="EJ435" s="247" t="str">
        <f t="shared" si="54"/>
        <v/>
      </c>
      <c r="EK435" t="str">
        <f t="shared" si="55"/>
        <v/>
      </c>
    </row>
    <row r="436" spans="2:141" x14ac:dyDescent="0.25">
      <c r="B436" s="43">
        <v>433</v>
      </c>
      <c r="C436" s="44"/>
      <c r="D436" s="45">
        <f t="shared" si="53"/>
        <v>0</v>
      </c>
      <c r="EH436" s="313">
        <v>433</v>
      </c>
      <c r="EI436" s="314"/>
      <c r="EJ436" s="247" t="str">
        <f t="shared" si="54"/>
        <v/>
      </c>
      <c r="EK436" t="str">
        <f t="shared" si="55"/>
        <v/>
      </c>
    </row>
    <row r="437" spans="2:141" x14ac:dyDescent="0.25">
      <c r="B437" s="43">
        <v>434</v>
      </c>
      <c r="C437" s="44"/>
      <c r="D437" s="45">
        <f t="shared" si="53"/>
        <v>0</v>
      </c>
      <c r="EH437" s="313">
        <v>434</v>
      </c>
      <c r="EI437" s="314"/>
      <c r="EJ437" s="247" t="str">
        <f t="shared" si="54"/>
        <v/>
      </c>
      <c r="EK437" t="str">
        <f t="shared" si="55"/>
        <v/>
      </c>
    </row>
    <row r="438" spans="2:141" x14ac:dyDescent="0.25">
      <c r="B438" s="43">
        <v>435</v>
      </c>
      <c r="C438" s="44"/>
      <c r="D438" s="45">
        <f t="shared" si="53"/>
        <v>0</v>
      </c>
      <c r="EH438" s="313">
        <v>435</v>
      </c>
      <c r="EI438" s="314"/>
      <c r="EJ438" s="247" t="str">
        <f t="shared" si="54"/>
        <v/>
      </c>
      <c r="EK438" t="str">
        <f t="shared" si="55"/>
        <v/>
      </c>
    </row>
    <row r="439" spans="2:141" x14ac:dyDescent="0.25">
      <c r="B439" s="43">
        <v>436</v>
      </c>
      <c r="C439" s="44"/>
      <c r="D439" s="45">
        <f t="shared" si="53"/>
        <v>0</v>
      </c>
      <c r="EH439" s="313">
        <v>436</v>
      </c>
      <c r="EI439" s="314"/>
      <c r="EJ439" s="247" t="str">
        <f t="shared" si="54"/>
        <v/>
      </c>
      <c r="EK439" t="str">
        <f t="shared" si="55"/>
        <v/>
      </c>
    </row>
    <row r="440" spans="2:141" x14ac:dyDescent="0.25">
      <c r="B440" s="43">
        <v>437</v>
      </c>
      <c r="C440" s="44"/>
      <c r="D440" s="45">
        <f t="shared" si="53"/>
        <v>0</v>
      </c>
      <c r="EH440" s="313">
        <v>437</v>
      </c>
      <c r="EI440" s="314"/>
      <c r="EJ440" s="247" t="str">
        <f t="shared" si="54"/>
        <v/>
      </c>
      <c r="EK440" t="str">
        <f t="shared" si="55"/>
        <v/>
      </c>
    </row>
    <row r="441" spans="2:141" x14ac:dyDescent="0.25">
      <c r="B441" s="43">
        <v>438</v>
      </c>
      <c r="C441" s="44"/>
      <c r="D441" s="45">
        <f t="shared" si="53"/>
        <v>0</v>
      </c>
      <c r="EH441" s="313">
        <v>438</v>
      </c>
      <c r="EI441" s="314"/>
      <c r="EJ441" s="247" t="str">
        <f t="shared" si="54"/>
        <v/>
      </c>
      <c r="EK441" t="str">
        <f t="shared" si="55"/>
        <v/>
      </c>
    </row>
    <row r="442" spans="2:141" x14ac:dyDescent="0.25">
      <c r="B442" s="43">
        <v>439</v>
      </c>
      <c r="C442" s="44"/>
      <c r="D442" s="45">
        <f t="shared" si="53"/>
        <v>0</v>
      </c>
      <c r="EH442" s="313">
        <v>439</v>
      </c>
      <c r="EI442" s="314"/>
      <c r="EJ442" s="247" t="str">
        <f t="shared" si="54"/>
        <v/>
      </c>
      <c r="EK442" t="str">
        <f t="shared" si="55"/>
        <v/>
      </c>
    </row>
    <row r="443" spans="2:141" x14ac:dyDescent="0.25">
      <c r="B443" s="43">
        <v>440</v>
      </c>
      <c r="C443" s="44"/>
      <c r="D443" s="45">
        <f t="shared" si="53"/>
        <v>0</v>
      </c>
      <c r="EH443" s="313">
        <v>440</v>
      </c>
      <c r="EI443" s="314">
        <v>5.25</v>
      </c>
      <c r="EJ443" s="247">
        <f t="shared" si="54"/>
        <v>1</v>
      </c>
      <c r="EK443">
        <f t="shared" si="55"/>
        <v>0.5357142857142857</v>
      </c>
    </row>
    <row r="444" spans="2:141" x14ac:dyDescent="0.25">
      <c r="B444" s="43">
        <v>441</v>
      </c>
      <c r="C444" s="44"/>
      <c r="D444" s="45">
        <f t="shared" si="53"/>
        <v>0</v>
      </c>
      <c r="E444" s="318"/>
      <c r="EH444" s="313">
        <v>441</v>
      </c>
      <c r="EI444" s="314"/>
      <c r="EJ444" s="247" t="str">
        <f t="shared" si="54"/>
        <v/>
      </c>
      <c r="EK444" t="str">
        <f t="shared" si="55"/>
        <v/>
      </c>
    </row>
    <row r="445" spans="2:141" x14ac:dyDescent="0.25">
      <c r="B445" s="43">
        <v>442</v>
      </c>
      <c r="C445" s="44"/>
      <c r="D445" s="45">
        <f t="shared" si="53"/>
        <v>0</v>
      </c>
      <c r="E445" s="251"/>
      <c r="EH445" s="313">
        <v>442</v>
      </c>
      <c r="EI445" s="314"/>
      <c r="EJ445" s="247" t="str">
        <f t="shared" si="54"/>
        <v/>
      </c>
      <c r="EK445" t="str">
        <f t="shared" si="55"/>
        <v/>
      </c>
    </row>
    <row r="446" spans="2:141" x14ac:dyDescent="0.25">
      <c r="B446" s="43">
        <v>443</v>
      </c>
      <c r="C446" s="44"/>
      <c r="D446" s="45">
        <f t="shared" si="53"/>
        <v>0</v>
      </c>
      <c r="E446" s="262"/>
      <c r="EH446" s="313">
        <v>443</v>
      </c>
      <c r="EI446" s="314"/>
      <c r="EJ446" s="247" t="str">
        <f t="shared" si="54"/>
        <v/>
      </c>
      <c r="EK446" t="str">
        <f t="shared" si="55"/>
        <v/>
      </c>
    </row>
    <row r="447" spans="2:141" x14ac:dyDescent="0.25">
      <c r="B447" s="43">
        <v>444</v>
      </c>
      <c r="C447" s="44"/>
      <c r="D447" s="45">
        <f t="shared" si="53"/>
        <v>0</v>
      </c>
      <c r="E447" s="265"/>
      <c r="EH447" s="313">
        <v>444</v>
      </c>
      <c r="EI447" s="314"/>
      <c r="EJ447" s="247" t="str">
        <f t="shared" si="54"/>
        <v/>
      </c>
      <c r="EK447" t="str">
        <f t="shared" si="55"/>
        <v/>
      </c>
    </row>
    <row r="448" spans="2:141" x14ac:dyDescent="0.25">
      <c r="B448" s="43">
        <v>445</v>
      </c>
      <c r="C448" s="44"/>
      <c r="D448" s="45">
        <f t="shared" si="53"/>
        <v>0</v>
      </c>
      <c r="E448" s="269"/>
      <c r="EH448" s="313">
        <v>445</v>
      </c>
      <c r="EI448" s="314"/>
      <c r="EJ448" s="247" t="str">
        <f t="shared" si="54"/>
        <v/>
      </c>
      <c r="EK448" t="str">
        <f t="shared" si="55"/>
        <v/>
      </c>
    </row>
    <row r="449" spans="2:141" x14ac:dyDescent="0.25">
      <c r="B449" s="43">
        <v>446</v>
      </c>
      <c r="C449" s="44"/>
      <c r="D449" s="45">
        <f t="shared" si="53"/>
        <v>0</v>
      </c>
      <c r="EH449" s="313">
        <v>446</v>
      </c>
      <c r="EI449" s="314"/>
      <c r="EJ449" s="247" t="str">
        <f t="shared" si="54"/>
        <v/>
      </c>
      <c r="EK449" t="str">
        <f t="shared" si="55"/>
        <v/>
      </c>
    </row>
    <row r="450" spans="2:141" x14ac:dyDescent="0.25">
      <c r="B450" s="43">
        <v>447</v>
      </c>
      <c r="C450" s="44"/>
      <c r="D450" s="45">
        <f t="shared" si="53"/>
        <v>0</v>
      </c>
      <c r="EH450" s="313">
        <v>447</v>
      </c>
      <c r="EI450" s="314"/>
      <c r="EJ450" s="247" t="str">
        <f t="shared" si="54"/>
        <v/>
      </c>
      <c r="EK450" t="str">
        <f t="shared" si="55"/>
        <v/>
      </c>
    </row>
    <row r="451" spans="2:141" x14ac:dyDescent="0.25">
      <c r="B451" s="43">
        <v>448</v>
      </c>
      <c r="C451" s="44"/>
      <c r="D451" s="45">
        <f t="shared" si="53"/>
        <v>0</v>
      </c>
      <c r="EH451" s="313">
        <v>448</v>
      </c>
      <c r="EI451" s="314"/>
      <c r="EJ451" s="247" t="str">
        <f t="shared" si="54"/>
        <v/>
      </c>
      <c r="EK451" t="str">
        <f t="shared" si="55"/>
        <v/>
      </c>
    </row>
    <row r="452" spans="2:141" x14ac:dyDescent="0.25">
      <c r="B452" s="43">
        <v>449</v>
      </c>
      <c r="C452" s="44"/>
      <c r="D452" s="45">
        <f t="shared" si="53"/>
        <v>0</v>
      </c>
      <c r="EH452" s="313">
        <v>449</v>
      </c>
      <c r="EI452" s="314"/>
      <c r="EJ452" s="247" t="str">
        <f t="shared" si="54"/>
        <v/>
      </c>
      <c r="EK452" t="str">
        <f t="shared" si="55"/>
        <v/>
      </c>
    </row>
    <row r="453" spans="2:141" x14ac:dyDescent="0.25">
      <c r="B453" s="43">
        <v>450</v>
      </c>
      <c r="C453" s="44"/>
      <c r="D453" s="45">
        <f t="shared" ref="D453:D516" si="56">C453</f>
        <v>0</v>
      </c>
      <c r="EH453" s="313">
        <v>450</v>
      </c>
      <c r="EI453" s="314">
        <v>5.3689999999999998</v>
      </c>
      <c r="EJ453" s="247">
        <f t="shared" ref="EJ453:EJ516" si="57">IF(EI453="","",1)</f>
        <v>1</v>
      </c>
      <c r="EK453">
        <f t="shared" ref="EK453:EK516" si="58">IF(EI453="","",EI453/9.8)</f>
        <v>0.54785714285714282</v>
      </c>
    </row>
    <row r="454" spans="2:141" x14ac:dyDescent="0.25">
      <c r="B454" s="43">
        <v>451</v>
      </c>
      <c r="C454" s="44"/>
      <c r="D454" s="45">
        <f t="shared" si="56"/>
        <v>0</v>
      </c>
      <c r="EH454" s="313">
        <v>451</v>
      </c>
      <c r="EI454" s="314"/>
      <c r="EJ454" s="247" t="str">
        <f t="shared" si="57"/>
        <v/>
      </c>
      <c r="EK454" t="str">
        <f t="shared" si="58"/>
        <v/>
      </c>
    </row>
    <row r="455" spans="2:141" x14ac:dyDescent="0.25">
      <c r="B455" s="43">
        <v>452</v>
      </c>
      <c r="C455" s="44"/>
      <c r="D455" s="45">
        <f t="shared" si="56"/>
        <v>0</v>
      </c>
      <c r="EH455" s="313">
        <v>452</v>
      </c>
      <c r="EI455" s="314"/>
      <c r="EJ455" s="247" t="str">
        <f t="shared" si="57"/>
        <v/>
      </c>
      <c r="EK455" t="str">
        <f t="shared" si="58"/>
        <v/>
      </c>
    </row>
    <row r="456" spans="2:141" x14ac:dyDescent="0.25">
      <c r="B456" s="43">
        <v>453</v>
      </c>
      <c r="C456" s="44"/>
      <c r="D456" s="45">
        <f t="shared" si="56"/>
        <v>0</v>
      </c>
      <c r="EH456" s="313">
        <v>453</v>
      </c>
      <c r="EI456" s="314"/>
      <c r="EJ456" s="247" t="str">
        <f t="shared" si="57"/>
        <v/>
      </c>
      <c r="EK456" t="str">
        <f t="shared" si="58"/>
        <v/>
      </c>
    </row>
    <row r="457" spans="2:141" x14ac:dyDescent="0.25">
      <c r="B457" s="43">
        <v>454</v>
      </c>
      <c r="C457" s="44"/>
      <c r="D457" s="45">
        <f t="shared" si="56"/>
        <v>0</v>
      </c>
      <c r="EH457" s="313">
        <v>454</v>
      </c>
      <c r="EI457" s="314"/>
      <c r="EJ457" s="247" t="str">
        <f t="shared" si="57"/>
        <v/>
      </c>
      <c r="EK457" t="str">
        <f t="shared" si="58"/>
        <v/>
      </c>
    </row>
    <row r="458" spans="2:141" x14ac:dyDescent="0.25">
      <c r="B458" s="43">
        <v>455</v>
      </c>
      <c r="C458" s="44"/>
      <c r="D458" s="45">
        <f t="shared" si="56"/>
        <v>0</v>
      </c>
      <c r="EH458" s="313">
        <v>455</v>
      </c>
      <c r="EI458" s="314"/>
      <c r="EJ458" s="247" t="str">
        <f t="shared" si="57"/>
        <v/>
      </c>
      <c r="EK458" t="str">
        <f t="shared" si="58"/>
        <v/>
      </c>
    </row>
    <row r="459" spans="2:141" x14ac:dyDescent="0.25">
      <c r="B459" s="43">
        <v>456</v>
      </c>
      <c r="C459" s="44"/>
      <c r="D459" s="45">
        <f t="shared" si="56"/>
        <v>0</v>
      </c>
      <c r="EH459" s="313">
        <v>456</v>
      </c>
      <c r="EI459" s="314"/>
      <c r="EJ459" s="247" t="str">
        <f t="shared" si="57"/>
        <v/>
      </c>
      <c r="EK459" t="str">
        <f t="shared" si="58"/>
        <v/>
      </c>
    </row>
    <row r="460" spans="2:141" x14ac:dyDescent="0.25">
      <c r="B460" s="43">
        <v>457</v>
      </c>
      <c r="C460" s="44"/>
      <c r="D460" s="45">
        <f t="shared" si="56"/>
        <v>0</v>
      </c>
      <c r="EH460" s="313">
        <v>457</v>
      </c>
      <c r="EI460" s="314"/>
      <c r="EJ460" s="247" t="str">
        <f t="shared" si="57"/>
        <v/>
      </c>
      <c r="EK460" t="str">
        <f t="shared" si="58"/>
        <v/>
      </c>
    </row>
    <row r="461" spans="2:141" x14ac:dyDescent="0.25">
      <c r="B461" s="43">
        <v>458</v>
      </c>
      <c r="C461" s="44"/>
      <c r="D461" s="45">
        <f t="shared" si="56"/>
        <v>0</v>
      </c>
      <c r="EH461" s="313">
        <v>458</v>
      </c>
      <c r="EI461" s="314"/>
      <c r="EJ461" s="247" t="str">
        <f t="shared" si="57"/>
        <v/>
      </c>
      <c r="EK461" t="str">
        <f t="shared" si="58"/>
        <v/>
      </c>
    </row>
    <row r="462" spans="2:141" x14ac:dyDescent="0.25">
      <c r="B462" s="43">
        <v>459</v>
      </c>
      <c r="C462" s="44"/>
      <c r="D462" s="45">
        <f t="shared" si="56"/>
        <v>0</v>
      </c>
      <c r="EH462" s="313">
        <v>459</v>
      </c>
      <c r="EI462" s="314"/>
      <c r="EJ462" s="247" t="str">
        <f t="shared" si="57"/>
        <v/>
      </c>
      <c r="EK462" t="str">
        <f t="shared" si="58"/>
        <v/>
      </c>
    </row>
    <row r="463" spans="2:141" x14ac:dyDescent="0.25">
      <c r="B463" s="43">
        <v>460</v>
      </c>
      <c r="C463" s="44"/>
      <c r="D463" s="45">
        <f t="shared" si="56"/>
        <v>0</v>
      </c>
      <c r="EH463" s="313">
        <v>460</v>
      </c>
      <c r="EI463" s="314">
        <v>5.4880000000000004</v>
      </c>
      <c r="EJ463" s="247">
        <f t="shared" si="57"/>
        <v>1</v>
      </c>
      <c r="EK463">
        <f t="shared" si="58"/>
        <v>0.56000000000000005</v>
      </c>
    </row>
    <row r="464" spans="2:141" x14ac:dyDescent="0.25">
      <c r="B464" s="43">
        <v>461</v>
      </c>
      <c r="C464" s="44"/>
      <c r="D464" s="45">
        <f t="shared" si="56"/>
        <v>0</v>
      </c>
      <c r="EH464" s="313">
        <v>461</v>
      </c>
      <c r="EI464" s="314"/>
      <c r="EJ464" s="247" t="str">
        <f t="shared" si="57"/>
        <v/>
      </c>
      <c r="EK464" t="str">
        <f t="shared" si="58"/>
        <v/>
      </c>
    </row>
    <row r="465" spans="2:141" x14ac:dyDescent="0.25">
      <c r="B465" s="43">
        <v>462</v>
      </c>
      <c r="C465" s="44"/>
      <c r="D465" s="45">
        <f t="shared" si="56"/>
        <v>0</v>
      </c>
      <c r="EH465" s="313">
        <v>462</v>
      </c>
      <c r="EI465" s="314"/>
      <c r="EJ465" s="247" t="str">
        <f t="shared" si="57"/>
        <v/>
      </c>
      <c r="EK465" t="str">
        <f t="shared" si="58"/>
        <v/>
      </c>
    </row>
    <row r="466" spans="2:141" x14ac:dyDescent="0.25">
      <c r="B466" s="43">
        <v>463</v>
      </c>
      <c r="C466" s="44"/>
      <c r="D466" s="45">
        <f t="shared" si="56"/>
        <v>0</v>
      </c>
      <c r="EH466" s="313">
        <v>463</v>
      </c>
      <c r="EI466" s="314"/>
      <c r="EJ466" s="247" t="str">
        <f t="shared" si="57"/>
        <v/>
      </c>
      <c r="EK466" t="str">
        <f t="shared" si="58"/>
        <v/>
      </c>
    </row>
    <row r="467" spans="2:141" x14ac:dyDescent="0.25">
      <c r="B467" s="43">
        <v>464</v>
      </c>
      <c r="C467" s="44"/>
      <c r="D467" s="45">
        <f t="shared" si="56"/>
        <v>0</v>
      </c>
      <c r="EH467" s="313">
        <v>464</v>
      </c>
      <c r="EI467" s="314"/>
      <c r="EJ467" s="247" t="str">
        <f t="shared" si="57"/>
        <v/>
      </c>
      <c r="EK467" t="str">
        <f t="shared" si="58"/>
        <v/>
      </c>
    </row>
    <row r="468" spans="2:141" x14ac:dyDescent="0.25">
      <c r="B468" s="43">
        <v>465</v>
      </c>
      <c r="C468" s="44"/>
      <c r="D468" s="45">
        <f t="shared" si="56"/>
        <v>0</v>
      </c>
      <c r="E468" s="318"/>
      <c r="EH468" s="313">
        <v>465</v>
      </c>
      <c r="EI468" s="314"/>
      <c r="EJ468" s="247" t="str">
        <f t="shared" si="57"/>
        <v/>
      </c>
      <c r="EK468" t="str">
        <f t="shared" si="58"/>
        <v/>
      </c>
    </row>
    <row r="469" spans="2:141" x14ac:dyDescent="0.25">
      <c r="B469" s="43">
        <v>466</v>
      </c>
      <c r="C469" s="44"/>
      <c r="D469" s="45">
        <f t="shared" si="56"/>
        <v>0</v>
      </c>
      <c r="E469" s="251"/>
      <c r="EH469" s="313">
        <v>466</v>
      </c>
      <c r="EI469" s="314"/>
      <c r="EJ469" s="247" t="str">
        <f t="shared" si="57"/>
        <v/>
      </c>
      <c r="EK469" t="str">
        <f t="shared" si="58"/>
        <v/>
      </c>
    </row>
    <row r="470" spans="2:141" x14ac:dyDescent="0.25">
      <c r="B470" s="43">
        <v>467</v>
      </c>
      <c r="C470" s="44"/>
      <c r="D470" s="45">
        <f t="shared" si="56"/>
        <v>0</v>
      </c>
      <c r="E470" s="262"/>
      <c r="EH470" s="313">
        <v>467</v>
      </c>
      <c r="EI470" s="314"/>
      <c r="EJ470" s="247" t="str">
        <f t="shared" si="57"/>
        <v/>
      </c>
      <c r="EK470" t="str">
        <f t="shared" si="58"/>
        <v/>
      </c>
    </row>
    <row r="471" spans="2:141" x14ac:dyDescent="0.25">
      <c r="B471" s="43">
        <v>468</v>
      </c>
      <c r="C471" s="44"/>
      <c r="D471" s="45">
        <f t="shared" si="56"/>
        <v>0</v>
      </c>
      <c r="E471" s="265"/>
      <c r="EH471" s="313">
        <v>468</v>
      </c>
      <c r="EI471" s="314"/>
      <c r="EJ471" s="247" t="str">
        <f t="shared" si="57"/>
        <v/>
      </c>
      <c r="EK471" t="str">
        <f t="shared" si="58"/>
        <v/>
      </c>
    </row>
    <row r="472" spans="2:141" x14ac:dyDescent="0.25">
      <c r="B472" s="43">
        <v>469</v>
      </c>
      <c r="C472" s="44"/>
      <c r="D472" s="45">
        <f t="shared" si="56"/>
        <v>0</v>
      </c>
      <c r="E472" s="269"/>
      <c r="EH472" s="313">
        <v>469</v>
      </c>
      <c r="EI472" s="314"/>
      <c r="EJ472" s="247" t="str">
        <f t="shared" si="57"/>
        <v/>
      </c>
      <c r="EK472" t="str">
        <f t="shared" si="58"/>
        <v/>
      </c>
    </row>
    <row r="473" spans="2:141" x14ac:dyDescent="0.25">
      <c r="B473" s="43">
        <v>470</v>
      </c>
      <c r="C473" s="44"/>
      <c r="D473" s="45">
        <f t="shared" si="56"/>
        <v>0</v>
      </c>
      <c r="EH473" s="313">
        <v>470</v>
      </c>
      <c r="EI473" s="314">
        <v>5.6071</v>
      </c>
      <c r="EJ473" s="247">
        <f t="shared" si="57"/>
        <v>1</v>
      </c>
      <c r="EK473">
        <f t="shared" si="58"/>
        <v>0.57215306122448972</v>
      </c>
    </row>
    <row r="474" spans="2:141" x14ac:dyDescent="0.25">
      <c r="B474" s="43">
        <v>471</v>
      </c>
      <c r="C474" s="44"/>
      <c r="D474" s="45">
        <f t="shared" si="56"/>
        <v>0</v>
      </c>
      <c r="EH474" s="313">
        <v>471</v>
      </c>
      <c r="EI474" s="314"/>
      <c r="EJ474" s="247" t="str">
        <f t="shared" si="57"/>
        <v/>
      </c>
      <c r="EK474" t="str">
        <f t="shared" si="58"/>
        <v/>
      </c>
    </row>
    <row r="475" spans="2:141" x14ac:dyDescent="0.25">
      <c r="B475" s="43">
        <v>472</v>
      </c>
      <c r="C475" s="44"/>
      <c r="D475" s="45">
        <f t="shared" si="56"/>
        <v>0</v>
      </c>
      <c r="EH475" s="313">
        <v>472</v>
      </c>
      <c r="EI475" s="314"/>
      <c r="EJ475" s="247" t="str">
        <f t="shared" si="57"/>
        <v/>
      </c>
      <c r="EK475" t="str">
        <f t="shared" si="58"/>
        <v/>
      </c>
    </row>
    <row r="476" spans="2:141" x14ac:dyDescent="0.25">
      <c r="B476" s="43">
        <v>473</v>
      </c>
      <c r="C476" s="44"/>
      <c r="D476" s="45">
        <f t="shared" si="56"/>
        <v>0</v>
      </c>
      <c r="EH476" s="313">
        <v>473</v>
      </c>
      <c r="EI476" s="314"/>
      <c r="EJ476" s="247" t="str">
        <f t="shared" si="57"/>
        <v/>
      </c>
      <c r="EK476" t="str">
        <f t="shared" si="58"/>
        <v/>
      </c>
    </row>
    <row r="477" spans="2:141" x14ac:dyDescent="0.25">
      <c r="B477" s="43">
        <v>474</v>
      </c>
      <c r="C477" s="44"/>
      <c r="D477" s="45">
        <f t="shared" si="56"/>
        <v>0</v>
      </c>
      <c r="EH477" s="313">
        <v>474</v>
      </c>
      <c r="EI477" s="314"/>
      <c r="EJ477" s="247" t="str">
        <f t="shared" si="57"/>
        <v/>
      </c>
      <c r="EK477" t="str">
        <f t="shared" si="58"/>
        <v/>
      </c>
    </row>
    <row r="478" spans="2:141" x14ac:dyDescent="0.25">
      <c r="B478" s="43">
        <v>475</v>
      </c>
      <c r="C478" s="44"/>
      <c r="D478" s="45">
        <f t="shared" si="56"/>
        <v>0</v>
      </c>
      <c r="EH478" s="313">
        <v>475</v>
      </c>
      <c r="EI478" s="314"/>
      <c r="EJ478" s="247" t="str">
        <f t="shared" si="57"/>
        <v/>
      </c>
      <c r="EK478" t="str">
        <f t="shared" si="58"/>
        <v/>
      </c>
    </row>
    <row r="479" spans="2:141" x14ac:dyDescent="0.25">
      <c r="B479" s="43">
        <v>476</v>
      </c>
      <c r="C479" s="44"/>
      <c r="D479" s="45">
        <f t="shared" si="56"/>
        <v>0</v>
      </c>
      <c r="EH479" s="313">
        <v>476</v>
      </c>
      <c r="EI479" s="314"/>
      <c r="EJ479" s="247" t="str">
        <f t="shared" si="57"/>
        <v/>
      </c>
      <c r="EK479" t="str">
        <f t="shared" si="58"/>
        <v/>
      </c>
    </row>
    <row r="480" spans="2:141" x14ac:dyDescent="0.25">
      <c r="B480" s="43">
        <v>477</v>
      </c>
      <c r="C480" s="44"/>
      <c r="D480" s="45">
        <f t="shared" si="56"/>
        <v>0</v>
      </c>
      <c r="EH480" s="313">
        <v>477</v>
      </c>
      <c r="EI480" s="314"/>
      <c r="EJ480" s="247" t="str">
        <f t="shared" si="57"/>
        <v/>
      </c>
      <c r="EK480" t="str">
        <f t="shared" si="58"/>
        <v/>
      </c>
    </row>
    <row r="481" spans="2:141" x14ac:dyDescent="0.25">
      <c r="B481" s="43">
        <v>478</v>
      </c>
      <c r="C481" s="44"/>
      <c r="D481" s="45">
        <f t="shared" si="56"/>
        <v>0</v>
      </c>
      <c r="EH481" s="313">
        <v>478</v>
      </c>
      <c r="EI481" s="314"/>
      <c r="EJ481" s="247" t="str">
        <f t="shared" si="57"/>
        <v/>
      </c>
      <c r="EK481" t="str">
        <f t="shared" si="58"/>
        <v/>
      </c>
    </row>
    <row r="482" spans="2:141" x14ac:dyDescent="0.25">
      <c r="B482" s="43">
        <v>479</v>
      </c>
      <c r="C482" s="44"/>
      <c r="D482" s="45">
        <f t="shared" si="56"/>
        <v>0</v>
      </c>
      <c r="EH482" s="313">
        <v>479</v>
      </c>
      <c r="EI482" s="314"/>
      <c r="EJ482" s="247" t="str">
        <f t="shared" si="57"/>
        <v/>
      </c>
      <c r="EK482" t="str">
        <f t="shared" si="58"/>
        <v/>
      </c>
    </row>
    <row r="483" spans="2:141" x14ac:dyDescent="0.25">
      <c r="B483" s="43">
        <v>480</v>
      </c>
      <c r="C483" s="44"/>
      <c r="D483" s="45">
        <f t="shared" si="56"/>
        <v>0</v>
      </c>
      <c r="EH483" s="313">
        <v>480</v>
      </c>
      <c r="EI483" s="314">
        <v>5.7260999999999997</v>
      </c>
      <c r="EJ483" s="247">
        <f t="shared" si="57"/>
        <v>1</v>
      </c>
      <c r="EK483">
        <f t="shared" si="58"/>
        <v>0.58429591836734684</v>
      </c>
    </row>
    <row r="484" spans="2:141" x14ac:dyDescent="0.25">
      <c r="B484" s="43">
        <v>481</v>
      </c>
      <c r="C484" s="44"/>
      <c r="D484" s="45">
        <f t="shared" si="56"/>
        <v>0</v>
      </c>
      <c r="EH484" s="313">
        <v>481</v>
      </c>
      <c r="EI484" s="314"/>
      <c r="EJ484" s="247" t="str">
        <f t="shared" si="57"/>
        <v/>
      </c>
      <c r="EK484" t="str">
        <f t="shared" si="58"/>
        <v/>
      </c>
    </row>
    <row r="485" spans="2:141" x14ac:dyDescent="0.25">
      <c r="B485" s="43">
        <v>482</v>
      </c>
      <c r="C485" s="44"/>
      <c r="D485" s="45">
        <f t="shared" si="56"/>
        <v>0</v>
      </c>
      <c r="EH485" s="313">
        <v>482</v>
      </c>
      <c r="EI485" s="314"/>
      <c r="EJ485" s="247" t="str">
        <f t="shared" si="57"/>
        <v/>
      </c>
      <c r="EK485" t="str">
        <f t="shared" si="58"/>
        <v/>
      </c>
    </row>
    <row r="486" spans="2:141" x14ac:dyDescent="0.25">
      <c r="B486" s="43">
        <v>483</v>
      </c>
      <c r="C486" s="44"/>
      <c r="D486" s="45">
        <f t="shared" si="56"/>
        <v>0</v>
      </c>
      <c r="EH486" s="313">
        <v>483</v>
      </c>
      <c r="EI486" s="314"/>
      <c r="EJ486" s="247" t="str">
        <f t="shared" si="57"/>
        <v/>
      </c>
      <c r="EK486" t="str">
        <f t="shared" si="58"/>
        <v/>
      </c>
    </row>
    <row r="487" spans="2:141" x14ac:dyDescent="0.25">
      <c r="B487" s="43">
        <v>484</v>
      </c>
      <c r="C487" s="44"/>
      <c r="D487" s="45">
        <f t="shared" si="56"/>
        <v>0</v>
      </c>
      <c r="EH487" s="313">
        <v>484</v>
      </c>
      <c r="EI487" s="314"/>
      <c r="EJ487" s="247" t="str">
        <f t="shared" si="57"/>
        <v/>
      </c>
      <c r="EK487" t="str">
        <f t="shared" si="58"/>
        <v/>
      </c>
    </row>
    <row r="488" spans="2:141" x14ac:dyDescent="0.25">
      <c r="B488" s="43">
        <v>485</v>
      </c>
      <c r="C488" s="44"/>
      <c r="D488" s="45">
        <f t="shared" si="56"/>
        <v>0</v>
      </c>
      <c r="EH488" s="313">
        <v>485</v>
      </c>
      <c r="EI488" s="314"/>
      <c r="EJ488" s="247" t="str">
        <f t="shared" si="57"/>
        <v/>
      </c>
      <c r="EK488" t="str">
        <f t="shared" si="58"/>
        <v/>
      </c>
    </row>
    <row r="489" spans="2:141" x14ac:dyDescent="0.25">
      <c r="B489" s="43">
        <v>486</v>
      </c>
      <c r="C489" s="44"/>
      <c r="D489" s="45">
        <f t="shared" si="56"/>
        <v>0</v>
      </c>
      <c r="EH489" s="313">
        <v>486</v>
      </c>
      <c r="EI489" s="314"/>
      <c r="EJ489" s="247" t="str">
        <f t="shared" si="57"/>
        <v/>
      </c>
      <c r="EK489" t="str">
        <f t="shared" si="58"/>
        <v/>
      </c>
    </row>
    <row r="490" spans="2:141" x14ac:dyDescent="0.25">
      <c r="B490" s="43">
        <v>487</v>
      </c>
      <c r="C490" s="44"/>
      <c r="D490" s="45">
        <f t="shared" si="56"/>
        <v>0</v>
      </c>
      <c r="EH490" s="313">
        <v>487</v>
      </c>
      <c r="EI490" s="314"/>
      <c r="EJ490" s="247" t="str">
        <f t="shared" si="57"/>
        <v/>
      </c>
      <c r="EK490" t="str">
        <f t="shared" si="58"/>
        <v/>
      </c>
    </row>
    <row r="491" spans="2:141" x14ac:dyDescent="0.25">
      <c r="B491" s="43">
        <v>488</v>
      </c>
      <c r="C491" s="44"/>
      <c r="D491" s="45">
        <f t="shared" si="56"/>
        <v>0</v>
      </c>
      <c r="EH491" s="313">
        <v>488</v>
      </c>
      <c r="EI491" s="314"/>
      <c r="EJ491" s="247" t="str">
        <f t="shared" si="57"/>
        <v/>
      </c>
      <c r="EK491" t="str">
        <f t="shared" si="58"/>
        <v/>
      </c>
    </row>
    <row r="492" spans="2:141" x14ac:dyDescent="0.25">
      <c r="B492" s="43">
        <v>489</v>
      </c>
      <c r="C492" s="44"/>
      <c r="D492" s="45">
        <f t="shared" si="56"/>
        <v>0</v>
      </c>
      <c r="EH492" s="313">
        <v>489</v>
      </c>
      <c r="EI492" s="314"/>
      <c r="EJ492" s="247" t="str">
        <f t="shared" si="57"/>
        <v/>
      </c>
      <c r="EK492" t="str">
        <f t="shared" si="58"/>
        <v/>
      </c>
    </row>
    <row r="493" spans="2:141" x14ac:dyDescent="0.25">
      <c r="B493" s="43">
        <v>490</v>
      </c>
      <c r="C493" s="44"/>
      <c r="D493" s="45">
        <f t="shared" si="56"/>
        <v>0</v>
      </c>
      <c r="EH493" s="313">
        <v>490</v>
      </c>
      <c r="EI493" s="314">
        <v>5.8452000000000002</v>
      </c>
      <c r="EJ493" s="247">
        <f t="shared" si="57"/>
        <v>1</v>
      </c>
      <c r="EK493">
        <f t="shared" si="58"/>
        <v>0.59644897959183674</v>
      </c>
    </row>
    <row r="494" spans="2:141" x14ac:dyDescent="0.25">
      <c r="B494" s="43">
        <v>491</v>
      </c>
      <c r="C494" s="44"/>
      <c r="D494" s="45">
        <f t="shared" si="56"/>
        <v>0</v>
      </c>
      <c r="EH494" s="313">
        <v>491</v>
      </c>
      <c r="EI494" s="314"/>
      <c r="EJ494" s="247" t="str">
        <f t="shared" si="57"/>
        <v/>
      </c>
      <c r="EK494" t="str">
        <f t="shared" si="58"/>
        <v/>
      </c>
    </row>
    <row r="495" spans="2:141" x14ac:dyDescent="0.25">
      <c r="B495" s="43">
        <v>492</v>
      </c>
      <c r="C495" s="44"/>
      <c r="D495" s="45">
        <f t="shared" si="56"/>
        <v>0</v>
      </c>
      <c r="EH495" s="313">
        <v>492</v>
      </c>
      <c r="EI495" s="314"/>
      <c r="EJ495" s="247" t="str">
        <f t="shared" si="57"/>
        <v/>
      </c>
      <c r="EK495" t="str">
        <f t="shared" si="58"/>
        <v/>
      </c>
    </row>
    <row r="496" spans="2:141" x14ac:dyDescent="0.25">
      <c r="B496" s="43">
        <v>493</v>
      </c>
      <c r="C496" s="44"/>
      <c r="D496" s="45">
        <f t="shared" si="56"/>
        <v>0</v>
      </c>
      <c r="EH496" s="313">
        <v>493</v>
      </c>
      <c r="EI496" s="314"/>
      <c r="EJ496" s="247" t="str">
        <f t="shared" si="57"/>
        <v/>
      </c>
      <c r="EK496" t="str">
        <f t="shared" si="58"/>
        <v/>
      </c>
    </row>
    <row r="497" spans="2:141" x14ac:dyDescent="0.25">
      <c r="B497" s="43">
        <v>494</v>
      </c>
      <c r="C497" s="44"/>
      <c r="D497" s="45">
        <f t="shared" si="56"/>
        <v>0</v>
      </c>
      <c r="EH497" s="313">
        <v>494</v>
      </c>
      <c r="EI497" s="314"/>
      <c r="EJ497" s="247" t="str">
        <f t="shared" si="57"/>
        <v/>
      </c>
      <c r="EK497" t="str">
        <f t="shared" si="58"/>
        <v/>
      </c>
    </row>
    <row r="498" spans="2:141" x14ac:dyDescent="0.25">
      <c r="B498" s="43">
        <v>495</v>
      </c>
      <c r="C498" s="44"/>
      <c r="D498" s="45">
        <f t="shared" si="56"/>
        <v>0</v>
      </c>
      <c r="EH498" s="313">
        <v>495</v>
      </c>
      <c r="EI498" s="314"/>
      <c r="EJ498" s="247" t="str">
        <f t="shared" si="57"/>
        <v/>
      </c>
      <c r="EK498" t="str">
        <f t="shared" si="58"/>
        <v/>
      </c>
    </row>
    <row r="499" spans="2:141" x14ac:dyDescent="0.25">
      <c r="B499" s="43">
        <v>496</v>
      </c>
      <c r="C499" s="44"/>
      <c r="D499" s="45">
        <f t="shared" si="56"/>
        <v>0</v>
      </c>
      <c r="EH499" s="313">
        <v>496</v>
      </c>
      <c r="EI499" s="314"/>
      <c r="EJ499" s="247" t="str">
        <f t="shared" si="57"/>
        <v/>
      </c>
      <c r="EK499" t="str">
        <f t="shared" si="58"/>
        <v/>
      </c>
    </row>
    <row r="500" spans="2:141" x14ac:dyDescent="0.25">
      <c r="B500" s="43">
        <v>497</v>
      </c>
      <c r="C500" s="44"/>
      <c r="D500" s="45">
        <f t="shared" si="56"/>
        <v>0</v>
      </c>
      <c r="EH500" s="313">
        <v>497</v>
      </c>
      <c r="EI500" s="314"/>
      <c r="EJ500" s="247" t="str">
        <f t="shared" si="57"/>
        <v/>
      </c>
      <c r="EK500" t="str">
        <f t="shared" si="58"/>
        <v/>
      </c>
    </row>
    <row r="501" spans="2:141" x14ac:dyDescent="0.25">
      <c r="B501" s="43">
        <v>498</v>
      </c>
      <c r="C501" s="44"/>
      <c r="D501" s="45">
        <f t="shared" si="56"/>
        <v>0</v>
      </c>
      <c r="EH501" s="313">
        <v>498</v>
      </c>
      <c r="EI501" s="314"/>
      <c r="EJ501" s="247" t="str">
        <f t="shared" si="57"/>
        <v/>
      </c>
      <c r="EK501" t="str">
        <f t="shared" si="58"/>
        <v/>
      </c>
    </row>
    <row r="502" spans="2:141" x14ac:dyDescent="0.25">
      <c r="B502" s="43">
        <v>499</v>
      </c>
      <c r="C502" s="44"/>
      <c r="D502" s="45">
        <f t="shared" si="56"/>
        <v>0</v>
      </c>
      <c r="EH502" s="313">
        <v>499</v>
      </c>
      <c r="EI502" s="314"/>
      <c r="EJ502" s="247" t="str">
        <f t="shared" si="57"/>
        <v/>
      </c>
      <c r="EK502" t="str">
        <f t="shared" si="58"/>
        <v/>
      </c>
    </row>
    <row r="503" spans="2:141" x14ac:dyDescent="0.25">
      <c r="B503" s="266">
        <v>500</v>
      </c>
      <c r="D503" s="45">
        <f t="shared" si="56"/>
        <v>0</v>
      </c>
      <c r="EH503" s="313">
        <v>500</v>
      </c>
      <c r="EI503" s="314">
        <v>5.9641999999999999</v>
      </c>
      <c r="EJ503" s="247">
        <f t="shared" si="57"/>
        <v>1</v>
      </c>
      <c r="EK503">
        <f t="shared" si="58"/>
        <v>0.60859183673469386</v>
      </c>
    </row>
    <row r="504" spans="2:141" x14ac:dyDescent="0.25">
      <c r="B504" s="266">
        <v>501</v>
      </c>
      <c r="D504" s="45">
        <f t="shared" si="56"/>
        <v>0</v>
      </c>
      <c r="E504" s="318"/>
      <c r="EH504" s="313">
        <v>501</v>
      </c>
      <c r="EI504" s="314"/>
      <c r="EJ504" s="247" t="str">
        <f t="shared" si="57"/>
        <v/>
      </c>
      <c r="EK504" t="str">
        <f t="shared" si="58"/>
        <v/>
      </c>
    </row>
    <row r="505" spans="2:141" x14ac:dyDescent="0.25">
      <c r="B505" s="266">
        <v>502</v>
      </c>
      <c r="D505" s="45">
        <f t="shared" si="56"/>
        <v>0</v>
      </c>
      <c r="E505" s="251"/>
      <c r="EH505" s="313">
        <v>502</v>
      </c>
      <c r="EI505" s="314"/>
      <c r="EJ505" s="247" t="str">
        <f t="shared" si="57"/>
        <v/>
      </c>
      <c r="EK505" t="str">
        <f t="shared" si="58"/>
        <v/>
      </c>
    </row>
    <row r="506" spans="2:141" x14ac:dyDescent="0.25">
      <c r="B506" s="266">
        <v>503</v>
      </c>
      <c r="D506" s="45">
        <f t="shared" si="56"/>
        <v>0</v>
      </c>
      <c r="E506" s="262"/>
      <c r="EH506" s="313">
        <v>503</v>
      </c>
      <c r="EI506" s="314"/>
      <c r="EJ506" s="247" t="str">
        <f t="shared" si="57"/>
        <v/>
      </c>
      <c r="EK506" t="str">
        <f t="shared" si="58"/>
        <v/>
      </c>
    </row>
    <row r="507" spans="2:141" x14ac:dyDescent="0.25">
      <c r="B507" s="266">
        <v>504</v>
      </c>
      <c r="C507" s="44"/>
      <c r="D507" s="45">
        <f t="shared" si="56"/>
        <v>0</v>
      </c>
      <c r="E507" s="265"/>
      <c r="EH507" s="313">
        <v>504</v>
      </c>
      <c r="EI507" s="314"/>
      <c r="EJ507" s="247" t="str">
        <f t="shared" si="57"/>
        <v/>
      </c>
      <c r="EK507" t="str">
        <f t="shared" si="58"/>
        <v/>
      </c>
    </row>
    <row r="508" spans="2:141" x14ac:dyDescent="0.25">
      <c r="B508" s="266">
        <v>505</v>
      </c>
      <c r="C508" s="44"/>
      <c r="D508" s="45">
        <f t="shared" si="56"/>
        <v>0</v>
      </c>
      <c r="E508" s="269"/>
      <c r="EH508" s="313">
        <v>505</v>
      </c>
      <c r="EI508" s="314"/>
      <c r="EJ508" s="247" t="str">
        <f t="shared" si="57"/>
        <v/>
      </c>
      <c r="EK508" t="str">
        <f t="shared" si="58"/>
        <v/>
      </c>
    </row>
    <row r="509" spans="2:141" x14ac:dyDescent="0.25">
      <c r="B509" s="266">
        <v>506</v>
      </c>
      <c r="C509" s="44"/>
      <c r="D509" s="45">
        <f t="shared" si="56"/>
        <v>0</v>
      </c>
      <c r="EH509" s="313">
        <v>506</v>
      </c>
      <c r="EI509" s="314"/>
      <c r="EJ509" s="247" t="str">
        <f t="shared" si="57"/>
        <v/>
      </c>
      <c r="EK509" t="str">
        <f t="shared" si="58"/>
        <v/>
      </c>
    </row>
    <row r="510" spans="2:141" x14ac:dyDescent="0.25">
      <c r="B510" s="266">
        <v>507</v>
      </c>
      <c r="C510" s="44"/>
      <c r="D510" s="45">
        <f t="shared" si="56"/>
        <v>0</v>
      </c>
      <c r="EH510" s="313">
        <v>507</v>
      </c>
      <c r="EI510" s="314"/>
      <c r="EJ510" s="247" t="str">
        <f t="shared" si="57"/>
        <v/>
      </c>
      <c r="EK510" t="str">
        <f t="shared" si="58"/>
        <v/>
      </c>
    </row>
    <row r="511" spans="2:141" x14ac:dyDescent="0.25">
      <c r="B511" s="266">
        <v>508</v>
      </c>
      <c r="C511" s="44"/>
      <c r="D511" s="45">
        <f t="shared" si="56"/>
        <v>0</v>
      </c>
      <c r="EH511" s="313">
        <v>508</v>
      </c>
      <c r="EI511" s="314"/>
      <c r="EJ511" s="247" t="str">
        <f t="shared" si="57"/>
        <v/>
      </c>
      <c r="EK511" t="str">
        <f t="shared" si="58"/>
        <v/>
      </c>
    </row>
    <row r="512" spans="2:141" x14ac:dyDescent="0.25">
      <c r="B512" s="266">
        <v>509</v>
      </c>
      <c r="C512" s="44"/>
      <c r="D512" s="45">
        <f t="shared" si="56"/>
        <v>0</v>
      </c>
      <c r="EH512" s="313">
        <v>509</v>
      </c>
      <c r="EI512" s="314"/>
      <c r="EJ512" s="247" t="str">
        <f t="shared" si="57"/>
        <v/>
      </c>
      <c r="EK512" t="str">
        <f t="shared" si="58"/>
        <v/>
      </c>
    </row>
    <row r="513" spans="2:141" x14ac:dyDescent="0.25">
      <c r="B513" s="266">
        <v>510</v>
      </c>
      <c r="C513" s="44"/>
      <c r="D513" s="45">
        <f t="shared" si="56"/>
        <v>0</v>
      </c>
      <c r="EH513" s="313">
        <v>510</v>
      </c>
      <c r="EI513" s="314">
        <v>6.0833000000000004</v>
      </c>
      <c r="EJ513" s="247">
        <f t="shared" si="57"/>
        <v>1</v>
      </c>
      <c r="EK513">
        <f t="shared" si="58"/>
        <v>0.62074489795918364</v>
      </c>
    </row>
    <row r="514" spans="2:141" x14ac:dyDescent="0.25">
      <c r="B514" s="266">
        <v>511</v>
      </c>
      <c r="C514">
        <v>1317</v>
      </c>
      <c r="D514" s="45">
        <f t="shared" si="56"/>
        <v>1317</v>
      </c>
      <c r="EH514" s="313">
        <v>511</v>
      </c>
      <c r="EI514" s="314"/>
      <c r="EJ514" s="247" t="str">
        <f t="shared" si="57"/>
        <v/>
      </c>
      <c r="EK514" t="str">
        <f t="shared" si="58"/>
        <v/>
      </c>
    </row>
    <row r="515" spans="2:141" x14ac:dyDescent="0.25">
      <c r="B515" s="266">
        <v>512</v>
      </c>
      <c r="C515">
        <v>1285.8</v>
      </c>
      <c r="D515" s="45">
        <f t="shared" si="56"/>
        <v>1285.8</v>
      </c>
      <c r="EH515" s="313">
        <v>512</v>
      </c>
      <c r="EI515" s="314"/>
      <c r="EJ515" s="247" t="str">
        <f t="shared" si="57"/>
        <v/>
      </c>
      <c r="EK515" t="str">
        <f t="shared" si="58"/>
        <v/>
      </c>
    </row>
    <row r="516" spans="2:141" x14ac:dyDescent="0.25">
      <c r="B516" s="266">
        <v>513</v>
      </c>
      <c r="C516">
        <v>1305.4000000000001</v>
      </c>
      <c r="D516" s="45">
        <f t="shared" si="56"/>
        <v>1305.4000000000001</v>
      </c>
      <c r="EH516" s="313">
        <v>513</v>
      </c>
      <c r="EI516" s="314"/>
      <c r="EJ516" s="247" t="str">
        <f t="shared" si="57"/>
        <v/>
      </c>
      <c r="EK516" t="str">
        <f t="shared" si="58"/>
        <v/>
      </c>
    </row>
    <row r="517" spans="2:141" x14ac:dyDescent="0.25">
      <c r="B517" s="266">
        <v>514</v>
      </c>
      <c r="C517">
        <v>1311.3</v>
      </c>
      <c r="D517" s="45">
        <f t="shared" ref="D517:D580" si="59">C517</f>
        <v>1311.3</v>
      </c>
      <c r="EH517" s="313">
        <v>514</v>
      </c>
      <c r="EI517" s="314"/>
      <c r="EJ517" s="247" t="str">
        <f t="shared" ref="EJ517:EJ580" si="60">IF(EI517="","",1)</f>
        <v/>
      </c>
      <c r="EK517" t="str">
        <f t="shared" ref="EK517:EK580" si="61">IF(EI517="","",EI517/9.8)</f>
        <v/>
      </c>
    </row>
    <row r="518" spans="2:141" x14ac:dyDescent="0.25">
      <c r="B518" s="266">
        <v>515</v>
      </c>
      <c r="C518" s="44"/>
      <c r="D518" s="45">
        <f t="shared" si="59"/>
        <v>0</v>
      </c>
      <c r="EH518" s="313">
        <v>515</v>
      </c>
      <c r="EI518" s="314"/>
      <c r="EJ518" s="247" t="str">
        <f t="shared" si="60"/>
        <v/>
      </c>
      <c r="EK518" t="str">
        <f t="shared" si="61"/>
        <v/>
      </c>
    </row>
    <row r="519" spans="2:141" x14ac:dyDescent="0.25">
      <c r="B519" s="266">
        <v>516</v>
      </c>
      <c r="C519" s="44"/>
      <c r="D519" s="45">
        <f t="shared" si="59"/>
        <v>0</v>
      </c>
      <c r="EH519" s="313">
        <v>516</v>
      </c>
      <c r="EI519" s="314"/>
      <c r="EJ519" s="247" t="str">
        <f t="shared" si="60"/>
        <v/>
      </c>
      <c r="EK519" t="str">
        <f t="shared" si="61"/>
        <v/>
      </c>
    </row>
    <row r="520" spans="2:141" x14ac:dyDescent="0.25">
      <c r="B520" s="266">
        <v>517</v>
      </c>
      <c r="C520" s="44"/>
      <c r="D520" s="45">
        <f t="shared" si="59"/>
        <v>0</v>
      </c>
      <c r="EH520" s="313">
        <v>517</v>
      </c>
      <c r="EI520" s="314"/>
      <c r="EJ520" s="247" t="str">
        <f t="shared" si="60"/>
        <v/>
      </c>
      <c r="EK520" t="str">
        <f t="shared" si="61"/>
        <v/>
      </c>
    </row>
    <row r="521" spans="2:141" x14ac:dyDescent="0.25">
      <c r="B521" s="266">
        <v>518</v>
      </c>
      <c r="C521" s="44"/>
      <c r="D521" s="45">
        <f t="shared" si="59"/>
        <v>0</v>
      </c>
      <c r="EH521" s="313">
        <v>518</v>
      </c>
      <c r="EI521" s="314"/>
      <c r="EJ521" s="247" t="str">
        <f t="shared" si="60"/>
        <v/>
      </c>
      <c r="EK521" t="str">
        <f t="shared" si="61"/>
        <v/>
      </c>
    </row>
    <row r="522" spans="2:141" x14ac:dyDescent="0.25">
      <c r="B522" s="266">
        <v>519</v>
      </c>
      <c r="C522" s="44"/>
      <c r="D522" s="45">
        <f t="shared" si="59"/>
        <v>0</v>
      </c>
      <c r="EH522" s="313">
        <v>519</v>
      </c>
      <c r="EI522" s="314"/>
      <c r="EJ522" s="247" t="str">
        <f t="shared" si="60"/>
        <v/>
      </c>
      <c r="EK522" t="str">
        <f t="shared" si="61"/>
        <v/>
      </c>
    </row>
    <row r="523" spans="2:141" x14ac:dyDescent="0.25">
      <c r="B523" s="266">
        <v>520</v>
      </c>
      <c r="C523" s="44"/>
      <c r="D523" s="45">
        <f t="shared" si="59"/>
        <v>0</v>
      </c>
      <c r="EH523" s="313">
        <v>520</v>
      </c>
      <c r="EI523" s="314">
        <v>6.2023000000000001</v>
      </c>
      <c r="EJ523" s="247">
        <f t="shared" si="60"/>
        <v>1</v>
      </c>
      <c r="EK523">
        <f t="shared" si="61"/>
        <v>0.63288775510204076</v>
      </c>
    </row>
    <row r="524" spans="2:141" x14ac:dyDescent="0.25">
      <c r="B524" s="266">
        <v>521</v>
      </c>
      <c r="C524" s="44"/>
      <c r="D524" s="45">
        <f t="shared" si="59"/>
        <v>0</v>
      </c>
      <c r="EH524" s="313">
        <v>521</v>
      </c>
      <c r="EI524" s="314"/>
      <c r="EJ524" s="247" t="str">
        <f t="shared" si="60"/>
        <v/>
      </c>
      <c r="EK524" t="str">
        <f t="shared" si="61"/>
        <v/>
      </c>
    </row>
    <row r="525" spans="2:141" x14ac:dyDescent="0.25">
      <c r="B525" s="266">
        <v>522</v>
      </c>
      <c r="C525" s="44"/>
      <c r="D525" s="45">
        <f t="shared" si="59"/>
        <v>0</v>
      </c>
      <c r="EH525" s="313">
        <v>522</v>
      </c>
      <c r="EI525" s="314"/>
      <c r="EJ525" s="247" t="str">
        <f t="shared" si="60"/>
        <v/>
      </c>
      <c r="EK525" t="str">
        <f t="shared" si="61"/>
        <v/>
      </c>
    </row>
    <row r="526" spans="2:141" x14ac:dyDescent="0.25">
      <c r="B526" s="266">
        <v>523</v>
      </c>
      <c r="C526" s="44"/>
      <c r="D526" s="45">
        <f t="shared" si="59"/>
        <v>0</v>
      </c>
      <c r="EH526" s="313">
        <v>523</v>
      </c>
      <c r="EI526" s="314"/>
      <c r="EJ526" s="247" t="str">
        <f t="shared" si="60"/>
        <v/>
      </c>
      <c r="EK526" t="str">
        <f t="shared" si="61"/>
        <v/>
      </c>
    </row>
    <row r="527" spans="2:141" x14ac:dyDescent="0.25">
      <c r="B527" s="266">
        <v>524</v>
      </c>
      <c r="C527" s="44"/>
      <c r="D527" s="45">
        <f t="shared" si="59"/>
        <v>0</v>
      </c>
      <c r="EH527" s="313">
        <v>524</v>
      </c>
      <c r="EI527" s="314"/>
      <c r="EJ527" s="247" t="str">
        <f t="shared" si="60"/>
        <v/>
      </c>
      <c r="EK527" t="str">
        <f t="shared" si="61"/>
        <v/>
      </c>
    </row>
    <row r="528" spans="2:141" x14ac:dyDescent="0.25">
      <c r="B528" s="266">
        <v>525</v>
      </c>
      <c r="C528" s="44"/>
      <c r="D528" s="45">
        <f t="shared" si="59"/>
        <v>0</v>
      </c>
      <c r="E528" s="318"/>
      <c r="EH528" s="313">
        <v>525</v>
      </c>
      <c r="EI528" s="314"/>
      <c r="EJ528" s="247" t="str">
        <f t="shared" si="60"/>
        <v/>
      </c>
      <c r="EK528" t="str">
        <f t="shared" si="61"/>
        <v/>
      </c>
    </row>
    <row r="529" spans="2:141" x14ac:dyDescent="0.25">
      <c r="B529" s="266">
        <v>526</v>
      </c>
      <c r="C529" s="44"/>
      <c r="D529" s="45">
        <f t="shared" si="59"/>
        <v>0</v>
      </c>
      <c r="E529" s="251"/>
      <c r="EH529" s="313">
        <v>526</v>
      </c>
      <c r="EI529" s="314"/>
      <c r="EJ529" s="247" t="str">
        <f t="shared" si="60"/>
        <v/>
      </c>
      <c r="EK529" t="str">
        <f t="shared" si="61"/>
        <v/>
      </c>
    </row>
    <row r="530" spans="2:141" x14ac:dyDescent="0.25">
      <c r="B530" s="266">
        <v>527</v>
      </c>
      <c r="C530" s="44"/>
      <c r="D530" s="45">
        <f t="shared" si="59"/>
        <v>0</v>
      </c>
      <c r="E530" s="262"/>
      <c r="EH530" s="313">
        <v>527</v>
      </c>
      <c r="EI530" s="314"/>
      <c r="EJ530" s="247" t="str">
        <f t="shared" si="60"/>
        <v/>
      </c>
      <c r="EK530" t="str">
        <f t="shared" si="61"/>
        <v/>
      </c>
    </row>
    <row r="531" spans="2:141" x14ac:dyDescent="0.25">
      <c r="B531" s="266">
        <v>528</v>
      </c>
      <c r="C531" s="44"/>
      <c r="D531" s="45">
        <f t="shared" si="59"/>
        <v>0</v>
      </c>
      <c r="E531" s="265"/>
      <c r="EH531" s="313">
        <v>528</v>
      </c>
      <c r="EI531" s="314"/>
      <c r="EJ531" s="247" t="str">
        <f t="shared" si="60"/>
        <v/>
      </c>
      <c r="EK531" t="str">
        <f t="shared" si="61"/>
        <v/>
      </c>
    </row>
    <row r="532" spans="2:141" x14ac:dyDescent="0.25">
      <c r="B532" s="266">
        <v>529</v>
      </c>
      <c r="C532" s="44"/>
      <c r="D532" s="45">
        <f t="shared" si="59"/>
        <v>0</v>
      </c>
      <c r="E532" s="269"/>
      <c r="EH532" s="313">
        <v>529</v>
      </c>
      <c r="EI532" s="314"/>
      <c r="EJ532" s="247" t="str">
        <f t="shared" si="60"/>
        <v/>
      </c>
      <c r="EK532" t="str">
        <f t="shared" si="61"/>
        <v/>
      </c>
    </row>
    <row r="533" spans="2:141" x14ac:dyDescent="0.25">
      <c r="B533" s="266">
        <v>530</v>
      </c>
      <c r="C533" s="44"/>
      <c r="D533" s="45">
        <f t="shared" si="59"/>
        <v>0</v>
      </c>
      <c r="EH533" s="313">
        <v>530</v>
      </c>
      <c r="EI533" s="314">
        <v>6.3213999999999997</v>
      </c>
      <c r="EJ533" s="247">
        <f t="shared" si="60"/>
        <v>1</v>
      </c>
      <c r="EK533">
        <f t="shared" si="61"/>
        <v>0.64504081632653054</v>
      </c>
    </row>
    <row r="534" spans="2:141" x14ac:dyDescent="0.25">
      <c r="B534" s="266">
        <v>531</v>
      </c>
      <c r="C534" s="44"/>
      <c r="D534" s="45">
        <f t="shared" si="59"/>
        <v>0</v>
      </c>
      <c r="EH534" s="313">
        <v>531</v>
      </c>
      <c r="EI534" s="314"/>
      <c r="EJ534" s="247" t="str">
        <f t="shared" si="60"/>
        <v/>
      </c>
      <c r="EK534" t="str">
        <f t="shared" si="61"/>
        <v/>
      </c>
    </row>
    <row r="535" spans="2:141" x14ac:dyDescent="0.25">
      <c r="B535" s="266">
        <v>532</v>
      </c>
      <c r="C535" s="44"/>
      <c r="D535" s="45">
        <f t="shared" si="59"/>
        <v>0</v>
      </c>
      <c r="EH535" s="313">
        <v>532</v>
      </c>
      <c r="EI535" s="314"/>
      <c r="EJ535" s="247" t="str">
        <f t="shared" si="60"/>
        <v/>
      </c>
      <c r="EK535" t="str">
        <f t="shared" si="61"/>
        <v/>
      </c>
    </row>
    <row r="536" spans="2:141" x14ac:dyDescent="0.25">
      <c r="B536" s="266">
        <v>533</v>
      </c>
      <c r="C536" s="44"/>
      <c r="D536" s="45">
        <f t="shared" si="59"/>
        <v>0</v>
      </c>
      <c r="EH536" s="313">
        <v>533</v>
      </c>
      <c r="EI536" s="314"/>
      <c r="EJ536" s="247" t="str">
        <f t="shared" si="60"/>
        <v/>
      </c>
      <c r="EK536" t="str">
        <f t="shared" si="61"/>
        <v/>
      </c>
    </row>
    <row r="537" spans="2:141" x14ac:dyDescent="0.25">
      <c r="B537" s="266">
        <v>534</v>
      </c>
      <c r="C537" s="44"/>
      <c r="D537" s="45">
        <f t="shared" si="59"/>
        <v>0</v>
      </c>
      <c r="EH537" s="313">
        <v>534</v>
      </c>
      <c r="EI537" s="314"/>
      <c r="EJ537" s="247" t="str">
        <f t="shared" si="60"/>
        <v/>
      </c>
      <c r="EK537" t="str">
        <f t="shared" si="61"/>
        <v/>
      </c>
    </row>
    <row r="538" spans="2:141" x14ac:dyDescent="0.25">
      <c r="B538" s="266">
        <v>535</v>
      </c>
      <c r="C538" s="44"/>
      <c r="D538" s="45">
        <f t="shared" si="59"/>
        <v>0</v>
      </c>
      <c r="EH538" s="313">
        <v>535</v>
      </c>
      <c r="EI538" s="314"/>
      <c r="EJ538" s="247" t="str">
        <f t="shared" si="60"/>
        <v/>
      </c>
      <c r="EK538" t="str">
        <f t="shared" si="61"/>
        <v/>
      </c>
    </row>
    <row r="539" spans="2:141" x14ac:dyDescent="0.25">
      <c r="B539" s="266">
        <v>536</v>
      </c>
      <c r="C539" s="44"/>
      <c r="D539" s="45">
        <f t="shared" si="59"/>
        <v>0</v>
      </c>
      <c r="EH539" s="313">
        <v>536</v>
      </c>
      <c r="EI539" s="314"/>
      <c r="EJ539" s="247" t="str">
        <f t="shared" si="60"/>
        <v/>
      </c>
      <c r="EK539" t="str">
        <f t="shared" si="61"/>
        <v/>
      </c>
    </row>
    <row r="540" spans="2:141" x14ac:dyDescent="0.25">
      <c r="B540" s="266">
        <v>537</v>
      </c>
      <c r="C540" s="44"/>
      <c r="D540" s="45">
        <f t="shared" si="59"/>
        <v>0</v>
      </c>
      <c r="EH540" s="313">
        <v>537</v>
      </c>
      <c r="EI540" s="314"/>
      <c r="EJ540" s="247" t="str">
        <f t="shared" si="60"/>
        <v/>
      </c>
      <c r="EK540" t="str">
        <f t="shared" si="61"/>
        <v/>
      </c>
    </row>
    <row r="541" spans="2:141" x14ac:dyDescent="0.25">
      <c r="B541" s="266">
        <v>538</v>
      </c>
      <c r="C541" s="44"/>
      <c r="D541" s="45">
        <f t="shared" si="59"/>
        <v>0</v>
      </c>
      <c r="EH541" s="313">
        <v>538</v>
      </c>
      <c r="EI541" s="314"/>
      <c r="EJ541" s="247" t="str">
        <f t="shared" si="60"/>
        <v/>
      </c>
      <c r="EK541" t="str">
        <f t="shared" si="61"/>
        <v/>
      </c>
    </row>
    <row r="542" spans="2:141" x14ac:dyDescent="0.25">
      <c r="B542" s="266">
        <v>539</v>
      </c>
      <c r="C542" s="44"/>
      <c r="D542" s="45">
        <f t="shared" si="59"/>
        <v>0</v>
      </c>
      <c r="EH542" s="313">
        <v>539</v>
      </c>
      <c r="EI542" s="314"/>
      <c r="EJ542" s="247" t="str">
        <f t="shared" si="60"/>
        <v/>
      </c>
      <c r="EK542" t="str">
        <f t="shared" si="61"/>
        <v/>
      </c>
    </row>
    <row r="543" spans="2:141" x14ac:dyDescent="0.25">
      <c r="B543" s="266">
        <v>540</v>
      </c>
      <c r="C543" s="44"/>
      <c r="D543" s="45">
        <f t="shared" si="59"/>
        <v>0</v>
      </c>
      <c r="EH543" s="313">
        <v>540</v>
      </c>
      <c r="EI543" s="314">
        <v>6.4404000000000003</v>
      </c>
      <c r="EJ543" s="247">
        <f t="shared" si="60"/>
        <v>1</v>
      </c>
      <c r="EK543">
        <f t="shared" si="61"/>
        <v>0.65718367346938777</v>
      </c>
    </row>
    <row r="544" spans="2:141" x14ac:dyDescent="0.25">
      <c r="B544" s="266">
        <v>541</v>
      </c>
      <c r="C544" s="44"/>
      <c r="D544" s="45">
        <f t="shared" si="59"/>
        <v>0</v>
      </c>
      <c r="EH544" s="313">
        <v>541</v>
      </c>
      <c r="EI544" s="314"/>
      <c r="EJ544" s="247" t="str">
        <f t="shared" si="60"/>
        <v/>
      </c>
      <c r="EK544" t="str">
        <f t="shared" si="61"/>
        <v/>
      </c>
    </row>
    <row r="545" spans="2:141" x14ac:dyDescent="0.25">
      <c r="B545" s="266">
        <v>542</v>
      </c>
      <c r="C545" s="44"/>
      <c r="D545" s="45">
        <f t="shared" si="59"/>
        <v>0</v>
      </c>
      <c r="EH545" s="313">
        <v>542</v>
      </c>
      <c r="EI545" s="314"/>
      <c r="EJ545" s="247" t="str">
        <f t="shared" si="60"/>
        <v/>
      </c>
      <c r="EK545" t="str">
        <f t="shared" si="61"/>
        <v/>
      </c>
    </row>
    <row r="546" spans="2:141" x14ac:dyDescent="0.25">
      <c r="B546" s="266">
        <v>543</v>
      </c>
      <c r="C546" s="44"/>
      <c r="D546" s="45">
        <f t="shared" si="59"/>
        <v>0</v>
      </c>
      <c r="EH546" s="313">
        <v>543</v>
      </c>
      <c r="EI546" s="314"/>
      <c r="EJ546" s="247" t="str">
        <f t="shared" si="60"/>
        <v/>
      </c>
      <c r="EK546" t="str">
        <f t="shared" si="61"/>
        <v/>
      </c>
    </row>
    <row r="547" spans="2:141" x14ac:dyDescent="0.25">
      <c r="B547" s="266">
        <v>544</v>
      </c>
      <c r="C547" s="44"/>
      <c r="D547" s="45">
        <f t="shared" si="59"/>
        <v>0</v>
      </c>
      <c r="EH547" s="313">
        <v>544</v>
      </c>
      <c r="EI547" s="314"/>
      <c r="EJ547" s="247" t="str">
        <f t="shared" si="60"/>
        <v/>
      </c>
      <c r="EK547" t="str">
        <f t="shared" si="61"/>
        <v/>
      </c>
    </row>
    <row r="548" spans="2:141" x14ac:dyDescent="0.25">
      <c r="B548" s="266">
        <v>545</v>
      </c>
      <c r="C548" s="44"/>
      <c r="D548" s="45">
        <f t="shared" si="59"/>
        <v>0</v>
      </c>
      <c r="EH548" s="313">
        <v>545</v>
      </c>
      <c r="EI548" s="314"/>
      <c r="EJ548" s="247" t="str">
        <f t="shared" si="60"/>
        <v/>
      </c>
      <c r="EK548" t="str">
        <f t="shared" si="61"/>
        <v/>
      </c>
    </row>
    <row r="549" spans="2:141" x14ac:dyDescent="0.25">
      <c r="B549" s="266">
        <v>546</v>
      </c>
      <c r="C549" s="44"/>
      <c r="D549" s="45">
        <f t="shared" si="59"/>
        <v>0</v>
      </c>
      <c r="EH549" s="313">
        <v>546</v>
      </c>
      <c r="EI549" s="314"/>
      <c r="EJ549" s="247" t="str">
        <f t="shared" si="60"/>
        <v/>
      </c>
      <c r="EK549" t="str">
        <f t="shared" si="61"/>
        <v/>
      </c>
    </row>
    <row r="550" spans="2:141" x14ac:dyDescent="0.25">
      <c r="B550" s="266">
        <v>547</v>
      </c>
      <c r="C550" s="44"/>
      <c r="D550" s="45">
        <f t="shared" si="59"/>
        <v>0</v>
      </c>
      <c r="EH550" s="313">
        <v>547</v>
      </c>
      <c r="EI550" s="314"/>
      <c r="EJ550" s="247" t="str">
        <f t="shared" si="60"/>
        <v/>
      </c>
      <c r="EK550" t="str">
        <f t="shared" si="61"/>
        <v/>
      </c>
    </row>
    <row r="551" spans="2:141" x14ac:dyDescent="0.25">
      <c r="B551" s="266">
        <v>548</v>
      </c>
      <c r="C551" s="44"/>
      <c r="D551" s="45">
        <f t="shared" si="59"/>
        <v>0</v>
      </c>
      <c r="EH551" s="313">
        <v>548</v>
      </c>
      <c r="EI551" s="314"/>
      <c r="EJ551" s="247" t="str">
        <f t="shared" si="60"/>
        <v/>
      </c>
      <c r="EK551" t="str">
        <f t="shared" si="61"/>
        <v/>
      </c>
    </row>
    <row r="552" spans="2:141" x14ac:dyDescent="0.25">
      <c r="B552" s="266">
        <v>549</v>
      </c>
      <c r="C552" s="44"/>
      <c r="D552" s="45">
        <f t="shared" si="59"/>
        <v>0</v>
      </c>
      <c r="EH552" s="313">
        <v>549</v>
      </c>
      <c r="EI552" s="314"/>
      <c r="EJ552" s="247" t="str">
        <f t="shared" si="60"/>
        <v/>
      </c>
      <c r="EK552" t="str">
        <f t="shared" si="61"/>
        <v/>
      </c>
    </row>
    <row r="553" spans="2:141" x14ac:dyDescent="0.25">
      <c r="B553" s="266">
        <v>550</v>
      </c>
      <c r="C553" s="44"/>
      <c r="D553" s="45">
        <f t="shared" si="59"/>
        <v>0</v>
      </c>
      <c r="EH553" s="313">
        <v>550</v>
      </c>
      <c r="EI553" s="314">
        <v>6.5594999999999999</v>
      </c>
      <c r="EJ553" s="247">
        <f t="shared" si="60"/>
        <v>1</v>
      </c>
      <c r="EK553">
        <f t="shared" si="61"/>
        <v>0.66933673469387744</v>
      </c>
    </row>
    <row r="554" spans="2:141" x14ac:dyDescent="0.25">
      <c r="B554" s="266">
        <v>551</v>
      </c>
      <c r="C554" s="44"/>
      <c r="D554" s="45">
        <f t="shared" si="59"/>
        <v>0</v>
      </c>
      <c r="EH554" s="313">
        <v>551</v>
      </c>
      <c r="EI554" s="314"/>
      <c r="EJ554" s="247" t="str">
        <f t="shared" si="60"/>
        <v/>
      </c>
      <c r="EK554" t="str">
        <f t="shared" si="61"/>
        <v/>
      </c>
    </row>
    <row r="555" spans="2:141" x14ac:dyDescent="0.25">
      <c r="B555" s="266">
        <v>552</v>
      </c>
      <c r="C555" s="44"/>
      <c r="D555" s="45">
        <f t="shared" si="59"/>
        <v>0</v>
      </c>
      <c r="EH555" s="313">
        <v>552</v>
      </c>
      <c r="EI555" s="314"/>
      <c r="EJ555" s="247" t="str">
        <f t="shared" si="60"/>
        <v/>
      </c>
      <c r="EK555" t="str">
        <f t="shared" si="61"/>
        <v/>
      </c>
    </row>
    <row r="556" spans="2:141" x14ac:dyDescent="0.25">
      <c r="B556" s="266">
        <v>553</v>
      </c>
      <c r="C556" s="44"/>
      <c r="D556" s="45">
        <f t="shared" si="59"/>
        <v>0</v>
      </c>
      <c r="EH556" s="313">
        <v>553</v>
      </c>
      <c r="EI556" s="314"/>
      <c r="EJ556" s="247" t="str">
        <f t="shared" si="60"/>
        <v/>
      </c>
      <c r="EK556" t="str">
        <f t="shared" si="61"/>
        <v/>
      </c>
    </row>
    <row r="557" spans="2:141" x14ac:dyDescent="0.25">
      <c r="B557" s="266">
        <v>554</v>
      </c>
      <c r="C557" s="44"/>
      <c r="D557" s="45">
        <f t="shared" si="59"/>
        <v>0</v>
      </c>
      <c r="EH557" s="313">
        <v>554</v>
      </c>
      <c r="EI557" s="314"/>
      <c r="EJ557" s="247" t="str">
        <f t="shared" si="60"/>
        <v/>
      </c>
      <c r="EK557" t="str">
        <f t="shared" si="61"/>
        <v/>
      </c>
    </row>
    <row r="558" spans="2:141" x14ac:dyDescent="0.25">
      <c r="B558" s="43">
        <v>555</v>
      </c>
      <c r="C558" s="44"/>
      <c r="D558" s="45">
        <f t="shared" si="59"/>
        <v>0</v>
      </c>
      <c r="EH558" s="313">
        <v>555</v>
      </c>
      <c r="EI558" s="314"/>
      <c r="EJ558" s="247" t="str">
        <f t="shared" si="60"/>
        <v/>
      </c>
      <c r="EK558" t="str">
        <f t="shared" si="61"/>
        <v/>
      </c>
    </row>
    <row r="559" spans="2:141" x14ac:dyDescent="0.25">
      <c r="B559" s="43">
        <v>556</v>
      </c>
      <c r="C559" s="44"/>
      <c r="D559" s="45">
        <f t="shared" si="59"/>
        <v>0</v>
      </c>
      <c r="EH559" s="313">
        <v>556</v>
      </c>
      <c r="EI559" s="314"/>
      <c r="EJ559" s="247" t="str">
        <f t="shared" si="60"/>
        <v/>
      </c>
      <c r="EK559" t="str">
        <f t="shared" si="61"/>
        <v/>
      </c>
    </row>
    <row r="560" spans="2:141" x14ac:dyDescent="0.25">
      <c r="B560" s="43">
        <v>557</v>
      </c>
      <c r="C560" s="44"/>
      <c r="D560" s="45">
        <f t="shared" si="59"/>
        <v>0</v>
      </c>
      <c r="EH560" s="313">
        <v>557</v>
      </c>
      <c r="EI560" s="314"/>
      <c r="EJ560" s="247" t="str">
        <f t="shared" si="60"/>
        <v/>
      </c>
      <c r="EK560" t="str">
        <f t="shared" si="61"/>
        <v/>
      </c>
    </row>
    <row r="561" spans="2:141" x14ac:dyDescent="0.25">
      <c r="B561" s="43">
        <v>558</v>
      </c>
      <c r="C561" s="44"/>
      <c r="D561" s="45">
        <f t="shared" si="59"/>
        <v>0</v>
      </c>
      <c r="EH561" s="313">
        <v>558</v>
      </c>
      <c r="EI561" s="314"/>
      <c r="EJ561" s="247" t="str">
        <f t="shared" si="60"/>
        <v/>
      </c>
      <c r="EK561" t="str">
        <f t="shared" si="61"/>
        <v/>
      </c>
    </row>
    <row r="562" spans="2:141" x14ac:dyDescent="0.25">
      <c r="B562" s="43">
        <v>559</v>
      </c>
      <c r="C562" s="44"/>
      <c r="D562" s="45">
        <f t="shared" si="59"/>
        <v>0</v>
      </c>
      <c r="EH562" s="313">
        <v>559</v>
      </c>
      <c r="EI562" s="314"/>
      <c r="EJ562" s="247" t="str">
        <f t="shared" si="60"/>
        <v/>
      </c>
      <c r="EK562" t="str">
        <f t="shared" si="61"/>
        <v/>
      </c>
    </row>
    <row r="563" spans="2:141" x14ac:dyDescent="0.25">
      <c r="B563" s="43">
        <v>560</v>
      </c>
      <c r="C563" s="44"/>
      <c r="D563" s="45">
        <f t="shared" si="59"/>
        <v>0</v>
      </c>
      <c r="EH563" s="313">
        <v>560</v>
      </c>
      <c r="EI563" s="314">
        <v>6.6784999999999997</v>
      </c>
      <c r="EJ563" s="247">
        <f t="shared" si="60"/>
        <v>1</v>
      </c>
      <c r="EK563">
        <f t="shared" si="61"/>
        <v>0.68147959183673457</v>
      </c>
    </row>
    <row r="564" spans="2:141" x14ac:dyDescent="0.25">
      <c r="B564" s="43">
        <v>561</v>
      </c>
      <c r="C564" s="44"/>
      <c r="D564" s="45">
        <f t="shared" si="59"/>
        <v>0</v>
      </c>
      <c r="E564" s="318"/>
      <c r="EH564" s="313">
        <v>561</v>
      </c>
      <c r="EI564" s="314"/>
      <c r="EJ564" s="247" t="str">
        <f t="shared" si="60"/>
        <v/>
      </c>
      <c r="EK564" t="str">
        <f t="shared" si="61"/>
        <v/>
      </c>
    </row>
    <row r="565" spans="2:141" x14ac:dyDescent="0.25">
      <c r="B565" s="43">
        <v>562</v>
      </c>
      <c r="C565" s="44"/>
      <c r="D565" s="45">
        <f t="shared" si="59"/>
        <v>0</v>
      </c>
      <c r="E565" s="251"/>
      <c r="EH565" s="313">
        <v>562</v>
      </c>
      <c r="EI565" s="314"/>
      <c r="EJ565" s="247" t="str">
        <f t="shared" si="60"/>
        <v/>
      </c>
      <c r="EK565" t="str">
        <f t="shared" si="61"/>
        <v/>
      </c>
    </row>
    <row r="566" spans="2:141" x14ac:dyDescent="0.25">
      <c r="B566" s="43">
        <v>563</v>
      </c>
      <c r="C566" s="44"/>
      <c r="D566" s="45">
        <f t="shared" si="59"/>
        <v>0</v>
      </c>
      <c r="E566" s="262"/>
      <c r="EH566" s="313">
        <v>563</v>
      </c>
      <c r="EI566" s="314"/>
      <c r="EJ566" s="247" t="str">
        <f t="shared" si="60"/>
        <v/>
      </c>
      <c r="EK566" t="str">
        <f t="shared" si="61"/>
        <v/>
      </c>
    </row>
    <row r="567" spans="2:141" x14ac:dyDescent="0.25">
      <c r="B567" s="43">
        <v>564</v>
      </c>
      <c r="C567" s="44"/>
      <c r="D567" s="45">
        <f t="shared" si="59"/>
        <v>0</v>
      </c>
      <c r="E567" s="265"/>
      <c r="EH567" s="313">
        <v>564</v>
      </c>
      <c r="EI567" s="314"/>
      <c r="EJ567" s="247" t="str">
        <f t="shared" si="60"/>
        <v/>
      </c>
      <c r="EK567" t="str">
        <f t="shared" si="61"/>
        <v/>
      </c>
    </row>
    <row r="568" spans="2:141" x14ac:dyDescent="0.25">
      <c r="B568" s="43">
        <v>565</v>
      </c>
      <c r="C568" s="44"/>
      <c r="D568" s="45">
        <f t="shared" si="59"/>
        <v>0</v>
      </c>
      <c r="E568" s="269"/>
      <c r="EH568" s="313">
        <v>565</v>
      </c>
      <c r="EI568" s="314"/>
      <c r="EJ568" s="247" t="str">
        <f t="shared" si="60"/>
        <v/>
      </c>
      <c r="EK568" t="str">
        <f t="shared" si="61"/>
        <v/>
      </c>
    </row>
    <row r="569" spans="2:141" x14ac:dyDescent="0.25">
      <c r="B569" s="43">
        <v>566</v>
      </c>
      <c r="C569" s="44"/>
      <c r="D569" s="45">
        <f t="shared" si="59"/>
        <v>0</v>
      </c>
      <c r="EH569" s="313">
        <v>566</v>
      </c>
      <c r="EI569" s="314"/>
      <c r="EJ569" s="247" t="str">
        <f t="shared" si="60"/>
        <v/>
      </c>
      <c r="EK569" t="str">
        <f t="shared" si="61"/>
        <v/>
      </c>
    </row>
    <row r="570" spans="2:141" x14ac:dyDescent="0.25">
      <c r="B570" s="43">
        <v>567</v>
      </c>
      <c r="C570" s="44"/>
      <c r="D570" s="45">
        <f t="shared" si="59"/>
        <v>0</v>
      </c>
      <c r="EH570" s="313">
        <v>567</v>
      </c>
      <c r="EI570" s="314"/>
      <c r="EJ570" s="247" t="str">
        <f t="shared" si="60"/>
        <v/>
      </c>
      <c r="EK570" t="str">
        <f t="shared" si="61"/>
        <v/>
      </c>
    </row>
    <row r="571" spans="2:141" x14ac:dyDescent="0.25">
      <c r="B571" s="43">
        <v>568</v>
      </c>
      <c r="C571" s="44"/>
      <c r="D571" s="45">
        <f t="shared" si="59"/>
        <v>0</v>
      </c>
      <c r="EH571" s="313">
        <v>568</v>
      </c>
      <c r="EI571" s="314"/>
      <c r="EJ571" s="247" t="str">
        <f t="shared" si="60"/>
        <v/>
      </c>
      <c r="EK571" t="str">
        <f t="shared" si="61"/>
        <v/>
      </c>
    </row>
    <row r="572" spans="2:141" x14ac:dyDescent="0.25">
      <c r="B572" s="43">
        <v>569</v>
      </c>
      <c r="C572" s="44"/>
      <c r="D572" s="45">
        <f t="shared" si="59"/>
        <v>0</v>
      </c>
      <c r="EH572" s="313">
        <v>569</v>
      </c>
      <c r="EI572" s="314"/>
      <c r="EJ572" s="247" t="str">
        <f t="shared" si="60"/>
        <v/>
      </c>
      <c r="EK572" t="str">
        <f t="shared" si="61"/>
        <v/>
      </c>
    </row>
    <row r="573" spans="2:141" x14ac:dyDescent="0.25">
      <c r="B573" s="43">
        <v>570</v>
      </c>
      <c r="C573" s="44"/>
      <c r="D573" s="45">
        <f t="shared" si="59"/>
        <v>0</v>
      </c>
      <c r="EH573" s="313">
        <v>570</v>
      </c>
      <c r="EI573" s="314">
        <v>6.7976000000000001</v>
      </c>
      <c r="EJ573" s="247">
        <f t="shared" si="60"/>
        <v>1</v>
      </c>
      <c r="EK573">
        <f t="shared" si="61"/>
        <v>0.69363265306122446</v>
      </c>
    </row>
    <row r="574" spans="2:141" x14ac:dyDescent="0.25">
      <c r="B574" s="43">
        <v>571</v>
      </c>
      <c r="C574" s="44"/>
      <c r="D574" s="45">
        <f t="shared" si="59"/>
        <v>0</v>
      </c>
      <c r="EH574" s="313">
        <v>571</v>
      </c>
      <c r="EI574" s="314"/>
      <c r="EJ574" s="247" t="str">
        <f t="shared" si="60"/>
        <v/>
      </c>
      <c r="EK574" t="str">
        <f t="shared" si="61"/>
        <v/>
      </c>
    </row>
    <row r="575" spans="2:141" x14ac:dyDescent="0.25">
      <c r="B575" s="43">
        <v>572</v>
      </c>
      <c r="C575" s="44"/>
      <c r="D575" s="45">
        <f t="shared" si="59"/>
        <v>0</v>
      </c>
      <c r="EH575" s="313">
        <v>572</v>
      </c>
      <c r="EI575" s="314"/>
      <c r="EJ575" s="247" t="str">
        <f t="shared" si="60"/>
        <v/>
      </c>
      <c r="EK575" t="str">
        <f t="shared" si="61"/>
        <v/>
      </c>
    </row>
    <row r="576" spans="2:141" x14ac:dyDescent="0.25">
      <c r="B576" s="43">
        <v>573</v>
      </c>
      <c r="C576" s="44"/>
      <c r="D576" s="45">
        <f t="shared" si="59"/>
        <v>0</v>
      </c>
      <c r="EH576" s="313">
        <v>573</v>
      </c>
      <c r="EI576" s="314"/>
      <c r="EJ576" s="247" t="str">
        <f t="shared" si="60"/>
        <v/>
      </c>
      <c r="EK576" t="str">
        <f t="shared" si="61"/>
        <v/>
      </c>
    </row>
    <row r="577" spans="2:141" x14ac:dyDescent="0.25">
      <c r="B577" s="43">
        <v>574</v>
      </c>
      <c r="C577" s="44"/>
      <c r="D577" s="45">
        <f t="shared" si="59"/>
        <v>0</v>
      </c>
      <c r="EH577" s="313">
        <v>574</v>
      </c>
      <c r="EI577" s="314"/>
      <c r="EJ577" s="247" t="str">
        <f t="shared" si="60"/>
        <v/>
      </c>
      <c r="EK577" t="str">
        <f t="shared" si="61"/>
        <v/>
      </c>
    </row>
    <row r="578" spans="2:141" x14ac:dyDescent="0.25">
      <c r="B578" s="43">
        <v>575</v>
      </c>
      <c r="C578" s="44"/>
      <c r="D578" s="45">
        <f t="shared" si="59"/>
        <v>0</v>
      </c>
      <c r="EH578" s="313">
        <v>575</v>
      </c>
      <c r="EI578" s="314"/>
      <c r="EJ578" s="247" t="str">
        <f t="shared" si="60"/>
        <v/>
      </c>
      <c r="EK578" t="str">
        <f t="shared" si="61"/>
        <v/>
      </c>
    </row>
    <row r="579" spans="2:141" x14ac:dyDescent="0.25">
      <c r="B579" s="43">
        <v>576</v>
      </c>
      <c r="C579" s="44"/>
      <c r="D579" s="45">
        <f t="shared" si="59"/>
        <v>0</v>
      </c>
      <c r="EH579" s="313">
        <v>576</v>
      </c>
      <c r="EI579" s="314"/>
      <c r="EJ579" s="247" t="str">
        <f t="shared" si="60"/>
        <v/>
      </c>
      <c r="EK579" t="str">
        <f t="shared" si="61"/>
        <v/>
      </c>
    </row>
    <row r="580" spans="2:141" x14ac:dyDescent="0.25">
      <c r="B580" s="43">
        <v>577</v>
      </c>
      <c r="C580" s="44"/>
      <c r="D580" s="45">
        <f t="shared" si="59"/>
        <v>0</v>
      </c>
      <c r="EH580" s="313">
        <v>577</v>
      </c>
      <c r="EI580" s="314"/>
      <c r="EJ580" s="247" t="str">
        <f t="shared" si="60"/>
        <v/>
      </c>
      <c r="EK580" t="str">
        <f t="shared" si="61"/>
        <v/>
      </c>
    </row>
    <row r="581" spans="2:141" x14ac:dyDescent="0.25">
      <c r="B581" s="250">
        <v>578</v>
      </c>
      <c r="C581" s="44"/>
      <c r="D581" s="45">
        <f t="shared" ref="D581:D644" si="62">C581</f>
        <v>0</v>
      </c>
      <c r="EH581" s="313">
        <v>578</v>
      </c>
      <c r="EI581" s="314"/>
      <c r="EJ581" s="247" t="str">
        <f t="shared" ref="EJ581:EJ644" si="63">IF(EI581="","",1)</f>
        <v/>
      </c>
      <c r="EK581" t="str">
        <f t="shared" ref="EK581:EK644" si="64">IF(EI581="","",EI581/9.8)</f>
        <v/>
      </c>
    </row>
    <row r="582" spans="2:141" x14ac:dyDescent="0.25">
      <c r="B582" s="250">
        <v>579</v>
      </c>
      <c r="C582" s="44"/>
      <c r="D582" s="45">
        <f t="shared" si="62"/>
        <v>0</v>
      </c>
      <c r="EH582" s="313">
        <v>579</v>
      </c>
      <c r="EI582" s="314"/>
      <c r="EJ582" s="247" t="str">
        <f t="shared" si="63"/>
        <v/>
      </c>
      <c r="EK582" t="str">
        <f t="shared" si="64"/>
        <v/>
      </c>
    </row>
    <row r="583" spans="2:141" x14ac:dyDescent="0.25">
      <c r="B583" s="250">
        <v>580</v>
      </c>
      <c r="C583" s="44"/>
      <c r="D583" s="45">
        <f t="shared" si="62"/>
        <v>0</v>
      </c>
      <c r="EH583" s="313">
        <v>580</v>
      </c>
      <c r="EI583" s="314">
        <v>6.9165999999999999</v>
      </c>
      <c r="EJ583" s="247">
        <f t="shared" si="63"/>
        <v>1</v>
      </c>
      <c r="EK583">
        <f t="shared" si="64"/>
        <v>0.70577551020408158</v>
      </c>
    </row>
    <row r="584" spans="2:141" x14ac:dyDescent="0.25">
      <c r="B584" s="250">
        <v>581</v>
      </c>
      <c r="C584" s="44"/>
      <c r="D584" s="45">
        <f t="shared" si="62"/>
        <v>0</v>
      </c>
      <c r="EH584" s="313">
        <v>581</v>
      </c>
      <c r="EI584" s="314"/>
      <c r="EJ584" s="247" t="str">
        <f t="shared" si="63"/>
        <v/>
      </c>
      <c r="EK584" t="str">
        <f t="shared" si="64"/>
        <v/>
      </c>
    </row>
    <row r="585" spans="2:141" x14ac:dyDescent="0.25">
      <c r="B585" s="250">
        <v>582</v>
      </c>
      <c r="C585" s="44"/>
      <c r="D585" s="45">
        <f t="shared" si="62"/>
        <v>0</v>
      </c>
      <c r="EH585" s="313">
        <v>582</v>
      </c>
      <c r="EI585" s="314"/>
      <c r="EJ585" s="247" t="str">
        <f t="shared" si="63"/>
        <v/>
      </c>
      <c r="EK585" t="str">
        <f t="shared" si="64"/>
        <v/>
      </c>
    </row>
    <row r="586" spans="2:141" x14ac:dyDescent="0.25">
      <c r="B586" s="250">
        <v>583</v>
      </c>
      <c r="C586" s="44"/>
      <c r="D586" s="45">
        <f t="shared" si="62"/>
        <v>0</v>
      </c>
      <c r="EH586" s="313">
        <v>583</v>
      </c>
      <c r="EI586" s="314"/>
      <c r="EJ586" s="247" t="str">
        <f t="shared" si="63"/>
        <v/>
      </c>
      <c r="EK586" t="str">
        <f t="shared" si="64"/>
        <v/>
      </c>
    </row>
    <row r="587" spans="2:141" x14ac:dyDescent="0.25">
      <c r="B587" s="250">
        <v>584</v>
      </c>
      <c r="C587" s="44"/>
      <c r="D587" s="45">
        <f t="shared" si="62"/>
        <v>0</v>
      </c>
      <c r="EH587" s="313">
        <v>584</v>
      </c>
      <c r="EI587" s="314"/>
      <c r="EJ587" s="247" t="str">
        <f t="shared" si="63"/>
        <v/>
      </c>
      <c r="EK587" t="str">
        <f t="shared" si="64"/>
        <v/>
      </c>
    </row>
    <row r="588" spans="2:141" x14ac:dyDescent="0.25">
      <c r="B588" s="250">
        <v>585</v>
      </c>
      <c r="C588" s="44"/>
      <c r="D588" s="45">
        <f t="shared" si="62"/>
        <v>0</v>
      </c>
      <c r="EH588" s="313">
        <v>585</v>
      </c>
      <c r="EI588" s="314"/>
      <c r="EJ588" s="247" t="str">
        <f t="shared" si="63"/>
        <v/>
      </c>
      <c r="EK588" t="str">
        <f t="shared" si="64"/>
        <v/>
      </c>
    </row>
    <row r="589" spans="2:141" x14ac:dyDescent="0.25">
      <c r="B589" s="250">
        <v>586</v>
      </c>
      <c r="C589" s="44"/>
      <c r="D589" s="45">
        <f t="shared" si="62"/>
        <v>0</v>
      </c>
      <c r="EH589" s="313">
        <v>586</v>
      </c>
      <c r="EI589" s="314"/>
      <c r="EJ589" s="247" t="str">
        <f t="shared" si="63"/>
        <v/>
      </c>
      <c r="EK589" t="str">
        <f t="shared" si="64"/>
        <v/>
      </c>
    </row>
    <row r="590" spans="2:141" x14ac:dyDescent="0.25">
      <c r="B590" s="250">
        <v>587</v>
      </c>
      <c r="C590" s="44"/>
      <c r="D590" s="45">
        <f t="shared" si="62"/>
        <v>0</v>
      </c>
      <c r="EH590" s="313">
        <v>587</v>
      </c>
      <c r="EI590" s="314"/>
      <c r="EJ590" s="247" t="str">
        <f t="shared" si="63"/>
        <v/>
      </c>
      <c r="EK590" t="str">
        <f t="shared" si="64"/>
        <v/>
      </c>
    </row>
    <row r="591" spans="2:141" x14ac:dyDescent="0.25">
      <c r="B591" s="250">
        <v>588</v>
      </c>
      <c r="C591" s="44"/>
      <c r="D591" s="45">
        <f t="shared" si="62"/>
        <v>0</v>
      </c>
      <c r="EH591" s="313">
        <v>588</v>
      </c>
      <c r="EI591" s="314"/>
      <c r="EJ591" s="247" t="str">
        <f t="shared" si="63"/>
        <v/>
      </c>
      <c r="EK591" t="str">
        <f t="shared" si="64"/>
        <v/>
      </c>
    </row>
    <row r="592" spans="2:141" x14ac:dyDescent="0.25">
      <c r="B592" s="250">
        <v>589</v>
      </c>
      <c r="C592" s="44"/>
      <c r="D592" s="45">
        <f t="shared" si="62"/>
        <v>0</v>
      </c>
      <c r="EH592" s="313">
        <v>589</v>
      </c>
      <c r="EI592" s="314"/>
      <c r="EJ592" s="247" t="str">
        <f t="shared" si="63"/>
        <v/>
      </c>
      <c r="EK592" t="str">
        <f t="shared" si="64"/>
        <v/>
      </c>
    </row>
    <row r="593" spans="2:141" x14ac:dyDescent="0.25">
      <c r="B593" s="250">
        <v>590</v>
      </c>
      <c r="C593" s="44"/>
      <c r="D593" s="45">
        <f t="shared" si="62"/>
        <v>0</v>
      </c>
      <c r="EH593" s="313">
        <v>590</v>
      </c>
      <c r="EI593" s="314">
        <v>7.0357000000000003</v>
      </c>
      <c r="EJ593" s="247">
        <f t="shared" si="63"/>
        <v>1</v>
      </c>
      <c r="EK593">
        <f t="shared" si="64"/>
        <v>0.71792857142857136</v>
      </c>
    </row>
    <row r="594" spans="2:141" x14ac:dyDescent="0.25">
      <c r="B594" s="250">
        <v>591</v>
      </c>
      <c r="C594" s="44"/>
      <c r="D594" s="45">
        <f t="shared" si="62"/>
        <v>0</v>
      </c>
      <c r="EH594" s="313">
        <v>591</v>
      </c>
      <c r="EI594" s="314"/>
      <c r="EJ594" s="247" t="str">
        <f t="shared" si="63"/>
        <v/>
      </c>
      <c r="EK594" t="str">
        <f t="shared" si="64"/>
        <v/>
      </c>
    </row>
    <row r="595" spans="2:141" x14ac:dyDescent="0.25">
      <c r="B595" s="250">
        <v>592</v>
      </c>
      <c r="C595" s="44"/>
      <c r="D595" s="45">
        <f t="shared" si="62"/>
        <v>0</v>
      </c>
      <c r="EH595" s="313">
        <v>592</v>
      </c>
      <c r="EI595" s="314"/>
      <c r="EJ595" s="247" t="str">
        <f t="shared" si="63"/>
        <v/>
      </c>
      <c r="EK595" t="str">
        <f t="shared" si="64"/>
        <v/>
      </c>
    </row>
    <row r="596" spans="2:141" x14ac:dyDescent="0.25">
      <c r="B596" s="250">
        <v>593</v>
      </c>
      <c r="C596" s="44"/>
      <c r="D596" s="45">
        <f t="shared" si="62"/>
        <v>0</v>
      </c>
      <c r="EH596" s="313">
        <v>593</v>
      </c>
      <c r="EI596" s="314"/>
      <c r="EJ596" s="247" t="str">
        <f t="shared" si="63"/>
        <v/>
      </c>
      <c r="EK596" t="str">
        <f t="shared" si="64"/>
        <v/>
      </c>
    </row>
    <row r="597" spans="2:141" x14ac:dyDescent="0.25">
      <c r="B597" s="250">
        <v>594</v>
      </c>
      <c r="C597" s="44"/>
      <c r="D597" s="45">
        <f t="shared" si="62"/>
        <v>0</v>
      </c>
      <c r="EH597" s="313">
        <v>594</v>
      </c>
      <c r="EI597" s="314"/>
      <c r="EJ597" s="247" t="str">
        <f t="shared" si="63"/>
        <v/>
      </c>
      <c r="EK597" t="str">
        <f t="shared" si="64"/>
        <v/>
      </c>
    </row>
    <row r="598" spans="2:141" x14ac:dyDescent="0.25">
      <c r="B598" s="250">
        <v>595</v>
      </c>
      <c r="C598" s="44"/>
      <c r="D598" s="45">
        <f t="shared" si="62"/>
        <v>0</v>
      </c>
      <c r="EH598" s="313">
        <v>595</v>
      </c>
      <c r="EI598" s="314"/>
      <c r="EJ598" s="247" t="str">
        <f t="shared" si="63"/>
        <v/>
      </c>
      <c r="EK598" t="str">
        <f t="shared" si="64"/>
        <v/>
      </c>
    </row>
    <row r="599" spans="2:141" x14ac:dyDescent="0.25">
      <c r="B599" s="250">
        <v>596</v>
      </c>
      <c r="C599" s="44"/>
      <c r="D599" s="45">
        <f t="shared" si="62"/>
        <v>0</v>
      </c>
      <c r="EH599" s="313">
        <v>596</v>
      </c>
      <c r="EI599" s="314"/>
      <c r="EJ599" s="247" t="str">
        <f t="shared" si="63"/>
        <v/>
      </c>
      <c r="EK599" t="str">
        <f t="shared" si="64"/>
        <v/>
      </c>
    </row>
    <row r="600" spans="2:141" x14ac:dyDescent="0.25">
      <c r="B600" s="250">
        <v>597</v>
      </c>
      <c r="C600" s="44"/>
      <c r="D600" s="45">
        <f t="shared" si="62"/>
        <v>0</v>
      </c>
      <c r="E600" s="318"/>
      <c r="EH600" s="313">
        <v>597</v>
      </c>
      <c r="EI600" s="314"/>
      <c r="EJ600" s="247" t="str">
        <f t="shared" si="63"/>
        <v/>
      </c>
      <c r="EK600" t="str">
        <f t="shared" si="64"/>
        <v/>
      </c>
    </row>
    <row r="601" spans="2:141" x14ac:dyDescent="0.25">
      <c r="B601" s="250">
        <v>598</v>
      </c>
      <c r="C601" s="44"/>
      <c r="D601" s="45">
        <f t="shared" si="62"/>
        <v>0</v>
      </c>
      <c r="E601" s="251"/>
      <c r="EH601" s="313">
        <v>598</v>
      </c>
      <c r="EI601" s="314"/>
      <c r="EJ601" s="247" t="str">
        <f t="shared" si="63"/>
        <v/>
      </c>
      <c r="EK601" t="str">
        <f t="shared" si="64"/>
        <v/>
      </c>
    </row>
    <row r="602" spans="2:141" x14ac:dyDescent="0.25">
      <c r="B602" s="250">
        <v>599</v>
      </c>
      <c r="C602" s="44"/>
      <c r="D602" s="45">
        <f t="shared" si="62"/>
        <v>0</v>
      </c>
      <c r="E602" s="262"/>
      <c r="EH602" s="313">
        <v>599</v>
      </c>
      <c r="EI602" s="314"/>
      <c r="EJ602" s="247" t="str">
        <f t="shared" si="63"/>
        <v/>
      </c>
      <c r="EK602" t="str">
        <f t="shared" si="64"/>
        <v/>
      </c>
    </row>
    <row r="603" spans="2:141" x14ac:dyDescent="0.25">
      <c r="B603" s="250">
        <v>600</v>
      </c>
      <c r="C603" s="44"/>
      <c r="D603" s="45">
        <f t="shared" si="62"/>
        <v>0</v>
      </c>
      <c r="E603" s="265"/>
      <c r="EH603" s="313">
        <v>600</v>
      </c>
      <c r="EI603" s="314">
        <v>7.1547000000000001</v>
      </c>
      <c r="EJ603" s="247">
        <f t="shared" si="63"/>
        <v>1</v>
      </c>
      <c r="EK603">
        <f t="shared" si="64"/>
        <v>0.73007142857142848</v>
      </c>
    </row>
    <row r="604" spans="2:141" x14ac:dyDescent="0.25">
      <c r="B604" s="250">
        <v>601</v>
      </c>
      <c r="C604">
        <v>3209.9</v>
      </c>
      <c r="D604" s="45">
        <f t="shared" si="62"/>
        <v>3209.9</v>
      </c>
      <c r="E604" s="269"/>
      <c r="EH604" s="313">
        <v>601</v>
      </c>
      <c r="EI604" s="314"/>
      <c r="EJ604" s="247" t="str">
        <f t="shared" si="63"/>
        <v/>
      </c>
      <c r="EK604" t="str">
        <f t="shared" si="64"/>
        <v/>
      </c>
    </row>
    <row r="605" spans="2:141" x14ac:dyDescent="0.25">
      <c r="B605" s="250">
        <v>602</v>
      </c>
      <c r="C605">
        <v>3214.7</v>
      </c>
      <c r="D605" s="45">
        <f t="shared" si="62"/>
        <v>3214.7</v>
      </c>
      <c r="EH605" s="313">
        <v>602</v>
      </c>
      <c r="EI605" s="314"/>
      <c r="EJ605" s="247" t="str">
        <f t="shared" si="63"/>
        <v/>
      </c>
      <c r="EK605" t="str">
        <f t="shared" si="64"/>
        <v/>
      </c>
    </row>
    <row r="606" spans="2:141" x14ac:dyDescent="0.25">
      <c r="B606" s="250">
        <v>603</v>
      </c>
      <c r="C606">
        <v>3212.9</v>
      </c>
      <c r="D606" s="45">
        <f t="shared" si="62"/>
        <v>3212.9</v>
      </c>
      <c r="EH606" s="313">
        <v>603</v>
      </c>
      <c r="EI606" s="314"/>
      <c r="EJ606" s="247" t="str">
        <f t="shared" si="63"/>
        <v/>
      </c>
      <c r="EK606" t="str">
        <f t="shared" si="64"/>
        <v/>
      </c>
    </row>
    <row r="607" spans="2:141" x14ac:dyDescent="0.25">
      <c r="B607" s="250">
        <v>604</v>
      </c>
      <c r="C607">
        <v>3199.6</v>
      </c>
      <c r="D607" s="45">
        <f t="shared" si="62"/>
        <v>3199.6</v>
      </c>
      <c r="EH607" s="313">
        <v>604</v>
      </c>
      <c r="EI607" s="314"/>
      <c r="EJ607" s="247" t="str">
        <f t="shared" si="63"/>
        <v/>
      </c>
      <c r="EK607" t="str">
        <f t="shared" si="64"/>
        <v/>
      </c>
    </row>
    <row r="608" spans="2:141" x14ac:dyDescent="0.25">
      <c r="B608" s="250">
        <v>605</v>
      </c>
      <c r="C608" s="44"/>
      <c r="D608" s="45">
        <f t="shared" si="62"/>
        <v>0</v>
      </c>
      <c r="EH608" s="313">
        <v>605</v>
      </c>
      <c r="EI608" s="314"/>
      <c r="EJ608" s="247" t="str">
        <f t="shared" si="63"/>
        <v/>
      </c>
      <c r="EK608" t="str">
        <f t="shared" si="64"/>
        <v/>
      </c>
    </row>
    <row r="609" spans="2:141" x14ac:dyDescent="0.25">
      <c r="B609" s="250">
        <v>606</v>
      </c>
      <c r="C609" s="44"/>
      <c r="D609" s="45">
        <f t="shared" si="62"/>
        <v>0</v>
      </c>
      <c r="EH609" s="313">
        <v>606</v>
      </c>
      <c r="EI609" s="314"/>
      <c r="EJ609" s="247" t="str">
        <f t="shared" si="63"/>
        <v/>
      </c>
      <c r="EK609" t="str">
        <f t="shared" si="64"/>
        <v/>
      </c>
    </row>
    <row r="610" spans="2:141" x14ac:dyDescent="0.25">
      <c r="B610" s="250">
        <v>607</v>
      </c>
      <c r="C610" s="44"/>
      <c r="D610" s="45">
        <f t="shared" si="62"/>
        <v>0</v>
      </c>
      <c r="EH610" s="313">
        <v>607</v>
      </c>
      <c r="EI610" s="314"/>
      <c r="EJ610" s="247" t="str">
        <f t="shared" si="63"/>
        <v/>
      </c>
      <c r="EK610" t="str">
        <f t="shared" si="64"/>
        <v/>
      </c>
    </row>
    <row r="611" spans="2:141" x14ac:dyDescent="0.25">
      <c r="B611" s="250">
        <v>608</v>
      </c>
      <c r="C611" s="44"/>
      <c r="D611" s="45">
        <f t="shared" si="62"/>
        <v>0</v>
      </c>
      <c r="EH611" s="313">
        <v>608</v>
      </c>
      <c r="EI611" s="314"/>
      <c r="EJ611" s="247" t="str">
        <f t="shared" si="63"/>
        <v/>
      </c>
      <c r="EK611" t="str">
        <f t="shared" si="64"/>
        <v/>
      </c>
    </row>
    <row r="612" spans="2:141" x14ac:dyDescent="0.25">
      <c r="B612" s="250">
        <v>609</v>
      </c>
      <c r="C612" s="44"/>
      <c r="D612" s="45">
        <f t="shared" si="62"/>
        <v>0</v>
      </c>
      <c r="EH612" s="313">
        <v>609</v>
      </c>
      <c r="EI612" s="314"/>
      <c r="EJ612" s="247" t="str">
        <f t="shared" si="63"/>
        <v/>
      </c>
      <c r="EK612" t="str">
        <f t="shared" si="64"/>
        <v/>
      </c>
    </row>
    <row r="613" spans="2:141" x14ac:dyDescent="0.25">
      <c r="B613" s="250">
        <v>610</v>
      </c>
      <c r="C613" s="44"/>
      <c r="D613" s="45">
        <f t="shared" si="62"/>
        <v>0</v>
      </c>
      <c r="EH613" s="313">
        <v>610</v>
      </c>
      <c r="EI613" s="314">
        <v>7.2737999999999996</v>
      </c>
      <c r="EJ613" s="247">
        <f t="shared" si="63"/>
        <v>1</v>
      </c>
      <c r="EK613">
        <f t="shared" si="64"/>
        <v>0.74222448979591826</v>
      </c>
    </row>
    <row r="614" spans="2:141" x14ac:dyDescent="0.25">
      <c r="B614" s="250">
        <v>611</v>
      </c>
      <c r="C614" s="44"/>
      <c r="D614" s="45">
        <f t="shared" si="62"/>
        <v>0</v>
      </c>
      <c r="EH614" s="313">
        <v>611</v>
      </c>
      <c r="EI614" s="314"/>
      <c r="EJ614" s="247" t="str">
        <f t="shared" si="63"/>
        <v/>
      </c>
      <c r="EK614" t="str">
        <f t="shared" si="64"/>
        <v/>
      </c>
    </row>
    <row r="615" spans="2:141" x14ac:dyDescent="0.25">
      <c r="B615" s="250">
        <v>612</v>
      </c>
      <c r="C615" s="44"/>
      <c r="D615" s="45">
        <f t="shared" si="62"/>
        <v>0</v>
      </c>
      <c r="EH615" s="313">
        <v>612</v>
      </c>
      <c r="EI615" s="314"/>
      <c r="EJ615" s="247" t="str">
        <f t="shared" si="63"/>
        <v/>
      </c>
      <c r="EK615" t="str">
        <f t="shared" si="64"/>
        <v/>
      </c>
    </row>
    <row r="616" spans="2:141" x14ac:dyDescent="0.25">
      <c r="B616" s="250">
        <v>613</v>
      </c>
      <c r="C616" s="44"/>
      <c r="D616" s="45">
        <f t="shared" si="62"/>
        <v>0</v>
      </c>
      <c r="EH616" s="313">
        <v>613</v>
      </c>
      <c r="EI616" s="314"/>
      <c r="EJ616" s="247" t="str">
        <f t="shared" si="63"/>
        <v/>
      </c>
      <c r="EK616" t="str">
        <f t="shared" si="64"/>
        <v/>
      </c>
    </row>
    <row r="617" spans="2:141" x14ac:dyDescent="0.25">
      <c r="B617" s="250">
        <v>614</v>
      </c>
      <c r="C617" s="44"/>
      <c r="D617" s="45">
        <f t="shared" si="62"/>
        <v>0</v>
      </c>
      <c r="EH617" s="313">
        <v>614</v>
      </c>
      <c r="EI617" s="314"/>
      <c r="EJ617" s="247" t="str">
        <f t="shared" si="63"/>
        <v/>
      </c>
      <c r="EK617" t="str">
        <f t="shared" si="64"/>
        <v/>
      </c>
    </row>
    <row r="618" spans="2:141" x14ac:dyDescent="0.25">
      <c r="B618" s="250">
        <v>615</v>
      </c>
      <c r="C618" s="44"/>
      <c r="D618" s="45">
        <f t="shared" si="62"/>
        <v>0</v>
      </c>
      <c r="EH618" s="313">
        <v>615</v>
      </c>
      <c r="EI618" s="314"/>
      <c r="EJ618" s="247" t="str">
        <f t="shared" si="63"/>
        <v/>
      </c>
      <c r="EK618" t="str">
        <f t="shared" si="64"/>
        <v/>
      </c>
    </row>
    <row r="619" spans="2:141" x14ac:dyDescent="0.25">
      <c r="B619" s="250">
        <v>616</v>
      </c>
      <c r="C619" s="44"/>
      <c r="D619" s="45">
        <f t="shared" si="62"/>
        <v>0</v>
      </c>
      <c r="EH619" s="313">
        <v>616</v>
      </c>
      <c r="EI619" s="314"/>
      <c r="EJ619" s="247" t="str">
        <f t="shared" si="63"/>
        <v/>
      </c>
      <c r="EK619" t="str">
        <f t="shared" si="64"/>
        <v/>
      </c>
    </row>
    <row r="620" spans="2:141" x14ac:dyDescent="0.25">
      <c r="B620" s="250">
        <v>617</v>
      </c>
      <c r="C620" s="44"/>
      <c r="D620" s="45">
        <f t="shared" si="62"/>
        <v>0</v>
      </c>
      <c r="EH620" s="313">
        <v>617</v>
      </c>
      <c r="EI620" s="314"/>
      <c r="EJ620" s="247" t="str">
        <f t="shared" si="63"/>
        <v/>
      </c>
      <c r="EK620" t="str">
        <f t="shared" si="64"/>
        <v/>
      </c>
    </row>
    <row r="621" spans="2:141" x14ac:dyDescent="0.25">
      <c r="B621" s="250">
        <v>618</v>
      </c>
      <c r="C621" s="44"/>
      <c r="D621" s="45">
        <f t="shared" si="62"/>
        <v>0</v>
      </c>
      <c r="EH621" s="313">
        <v>618</v>
      </c>
      <c r="EI621" s="314"/>
      <c r="EJ621" s="247" t="str">
        <f t="shared" si="63"/>
        <v/>
      </c>
      <c r="EK621" t="str">
        <f t="shared" si="64"/>
        <v/>
      </c>
    </row>
    <row r="622" spans="2:141" x14ac:dyDescent="0.25">
      <c r="B622" s="250">
        <v>619</v>
      </c>
      <c r="C622" s="44"/>
      <c r="D622" s="45">
        <f t="shared" si="62"/>
        <v>0</v>
      </c>
      <c r="EH622" s="313">
        <v>619</v>
      </c>
      <c r="EI622" s="314"/>
      <c r="EJ622" s="247" t="str">
        <f t="shared" si="63"/>
        <v/>
      </c>
      <c r="EK622" t="str">
        <f t="shared" si="64"/>
        <v/>
      </c>
    </row>
    <row r="623" spans="2:141" x14ac:dyDescent="0.25">
      <c r="B623" s="250">
        <v>620</v>
      </c>
      <c r="C623" s="44"/>
      <c r="D623" s="45">
        <f t="shared" si="62"/>
        <v>0</v>
      </c>
      <c r="EH623" s="313">
        <v>620</v>
      </c>
      <c r="EI623" s="314">
        <v>7.3928000000000003</v>
      </c>
      <c r="EJ623" s="247">
        <f t="shared" si="63"/>
        <v>1</v>
      </c>
      <c r="EK623">
        <f t="shared" si="64"/>
        <v>0.7543673469387755</v>
      </c>
    </row>
    <row r="624" spans="2:141" x14ac:dyDescent="0.25">
      <c r="B624" s="250">
        <v>621</v>
      </c>
      <c r="C624" s="44"/>
      <c r="D624" s="45">
        <f t="shared" si="62"/>
        <v>0</v>
      </c>
      <c r="E624" s="318"/>
      <c r="EH624" s="313">
        <v>621</v>
      </c>
      <c r="EI624" s="314"/>
      <c r="EJ624" s="247" t="str">
        <f t="shared" si="63"/>
        <v/>
      </c>
      <c r="EK624" t="str">
        <f t="shared" si="64"/>
        <v/>
      </c>
    </row>
    <row r="625" spans="2:141" x14ac:dyDescent="0.25">
      <c r="B625" s="250">
        <v>622</v>
      </c>
      <c r="C625" s="44"/>
      <c r="D625" s="45">
        <f t="shared" si="62"/>
        <v>0</v>
      </c>
      <c r="E625" s="251"/>
      <c r="EH625" s="313">
        <v>622</v>
      </c>
      <c r="EI625" s="314"/>
      <c r="EJ625" s="247" t="str">
        <f t="shared" si="63"/>
        <v/>
      </c>
      <c r="EK625" t="str">
        <f t="shared" si="64"/>
        <v/>
      </c>
    </row>
    <row r="626" spans="2:141" x14ac:dyDescent="0.25">
      <c r="B626" s="250">
        <v>623</v>
      </c>
      <c r="C626" s="44"/>
      <c r="D626" s="45">
        <f t="shared" si="62"/>
        <v>0</v>
      </c>
      <c r="E626" s="262"/>
      <c r="EH626" s="313">
        <v>623</v>
      </c>
      <c r="EI626" s="314"/>
      <c r="EJ626" s="247" t="str">
        <f t="shared" si="63"/>
        <v/>
      </c>
      <c r="EK626" t="str">
        <f t="shared" si="64"/>
        <v/>
      </c>
    </row>
    <row r="627" spans="2:141" x14ac:dyDescent="0.25">
      <c r="B627" s="250">
        <v>624</v>
      </c>
      <c r="C627" s="44"/>
      <c r="D627" s="45">
        <f t="shared" si="62"/>
        <v>0</v>
      </c>
      <c r="E627" s="265"/>
      <c r="EH627" s="313">
        <v>624</v>
      </c>
      <c r="EI627" s="314"/>
      <c r="EJ627" s="247" t="str">
        <f t="shared" si="63"/>
        <v/>
      </c>
      <c r="EK627" t="str">
        <f t="shared" si="64"/>
        <v/>
      </c>
    </row>
    <row r="628" spans="2:141" x14ac:dyDescent="0.25">
      <c r="B628" s="250">
        <v>625</v>
      </c>
      <c r="C628" s="44"/>
      <c r="D628" s="45">
        <f t="shared" si="62"/>
        <v>0</v>
      </c>
      <c r="E628" s="269"/>
      <c r="EH628" s="313">
        <v>625</v>
      </c>
      <c r="EI628" s="314"/>
      <c r="EJ628" s="247" t="str">
        <f t="shared" si="63"/>
        <v/>
      </c>
      <c r="EK628" t="str">
        <f t="shared" si="64"/>
        <v/>
      </c>
    </row>
    <row r="629" spans="2:141" x14ac:dyDescent="0.25">
      <c r="B629" s="250">
        <v>626</v>
      </c>
      <c r="C629" s="44"/>
      <c r="D629" s="45">
        <f t="shared" si="62"/>
        <v>0</v>
      </c>
      <c r="EH629" s="313">
        <v>626</v>
      </c>
      <c r="EI629" s="314"/>
      <c r="EJ629" s="247" t="str">
        <f t="shared" si="63"/>
        <v/>
      </c>
      <c r="EK629" t="str">
        <f t="shared" si="64"/>
        <v/>
      </c>
    </row>
    <row r="630" spans="2:141" x14ac:dyDescent="0.25">
      <c r="B630" s="250">
        <v>627</v>
      </c>
      <c r="C630" s="44"/>
      <c r="D630" s="45">
        <f t="shared" si="62"/>
        <v>0</v>
      </c>
      <c r="EH630" s="313">
        <v>627</v>
      </c>
      <c r="EI630" s="314"/>
      <c r="EJ630" s="247" t="str">
        <f t="shared" si="63"/>
        <v/>
      </c>
      <c r="EK630" t="str">
        <f t="shared" si="64"/>
        <v/>
      </c>
    </row>
    <row r="631" spans="2:141" x14ac:dyDescent="0.25">
      <c r="B631" s="250">
        <v>628</v>
      </c>
      <c r="C631" s="44"/>
      <c r="D631" s="45">
        <f t="shared" si="62"/>
        <v>0</v>
      </c>
      <c r="EH631" s="313">
        <v>628</v>
      </c>
      <c r="EI631" s="314"/>
      <c r="EJ631" s="247" t="str">
        <f t="shared" si="63"/>
        <v/>
      </c>
      <c r="EK631" t="str">
        <f t="shared" si="64"/>
        <v/>
      </c>
    </row>
    <row r="632" spans="2:141" x14ac:dyDescent="0.25">
      <c r="B632" s="250">
        <v>629</v>
      </c>
      <c r="C632" s="44"/>
      <c r="D632" s="45">
        <f t="shared" si="62"/>
        <v>0</v>
      </c>
      <c r="EH632" s="313">
        <v>629</v>
      </c>
      <c r="EI632" s="314"/>
      <c r="EJ632" s="247" t="str">
        <f t="shared" si="63"/>
        <v/>
      </c>
      <c r="EK632" t="str">
        <f t="shared" si="64"/>
        <v/>
      </c>
    </row>
    <row r="633" spans="2:141" x14ac:dyDescent="0.25">
      <c r="B633" s="250">
        <v>630</v>
      </c>
      <c r="C633" s="44"/>
      <c r="D633" s="45">
        <f t="shared" si="62"/>
        <v>0</v>
      </c>
      <c r="EH633" s="313">
        <v>630</v>
      </c>
      <c r="EI633" s="314">
        <v>7.5118999999999998</v>
      </c>
      <c r="EJ633" s="247">
        <f t="shared" si="63"/>
        <v>1</v>
      </c>
      <c r="EK633">
        <f t="shared" si="64"/>
        <v>0.76652040816326528</v>
      </c>
    </row>
    <row r="634" spans="2:141" x14ac:dyDescent="0.25">
      <c r="B634" s="250">
        <v>631</v>
      </c>
      <c r="C634" s="44"/>
      <c r="D634" s="45">
        <f t="shared" si="62"/>
        <v>0</v>
      </c>
      <c r="EH634" s="313">
        <v>631</v>
      </c>
      <c r="EI634" s="314"/>
      <c r="EJ634" s="247" t="str">
        <f t="shared" si="63"/>
        <v/>
      </c>
      <c r="EK634" t="str">
        <f t="shared" si="64"/>
        <v/>
      </c>
    </row>
    <row r="635" spans="2:141" x14ac:dyDescent="0.25">
      <c r="B635" s="250">
        <v>632</v>
      </c>
      <c r="C635" s="44"/>
      <c r="D635" s="45">
        <f t="shared" si="62"/>
        <v>0</v>
      </c>
      <c r="EH635" s="313">
        <v>632</v>
      </c>
      <c r="EI635" s="314"/>
      <c r="EJ635" s="247" t="str">
        <f t="shared" si="63"/>
        <v/>
      </c>
      <c r="EK635" t="str">
        <f t="shared" si="64"/>
        <v/>
      </c>
    </row>
    <row r="636" spans="2:141" x14ac:dyDescent="0.25">
      <c r="B636" s="250">
        <v>633</v>
      </c>
      <c r="C636" s="44"/>
      <c r="D636" s="45">
        <f t="shared" si="62"/>
        <v>0</v>
      </c>
      <c r="EH636" s="313">
        <v>633</v>
      </c>
      <c r="EI636" s="314"/>
      <c r="EJ636" s="247" t="str">
        <f t="shared" si="63"/>
        <v/>
      </c>
      <c r="EK636" t="str">
        <f t="shared" si="64"/>
        <v/>
      </c>
    </row>
    <row r="637" spans="2:141" x14ac:dyDescent="0.25">
      <c r="B637" s="250">
        <v>634</v>
      </c>
      <c r="C637" s="44"/>
      <c r="D637" s="45">
        <f t="shared" si="62"/>
        <v>0</v>
      </c>
      <c r="EH637" s="313">
        <v>634</v>
      </c>
      <c r="EI637" s="314"/>
      <c r="EJ637" s="247" t="str">
        <f t="shared" si="63"/>
        <v/>
      </c>
      <c r="EK637" t="str">
        <f t="shared" si="64"/>
        <v/>
      </c>
    </row>
    <row r="638" spans="2:141" x14ac:dyDescent="0.25">
      <c r="B638" s="250">
        <v>635</v>
      </c>
      <c r="C638" s="44"/>
      <c r="D638" s="45">
        <f t="shared" si="62"/>
        <v>0</v>
      </c>
      <c r="EH638" s="313">
        <v>635</v>
      </c>
      <c r="EI638" s="314"/>
      <c r="EJ638" s="247" t="str">
        <f t="shared" si="63"/>
        <v/>
      </c>
      <c r="EK638" t="str">
        <f t="shared" si="64"/>
        <v/>
      </c>
    </row>
    <row r="639" spans="2:141" x14ac:dyDescent="0.25">
      <c r="B639" s="250">
        <v>636</v>
      </c>
      <c r="C639" s="44"/>
      <c r="D639" s="45">
        <f t="shared" si="62"/>
        <v>0</v>
      </c>
      <c r="EH639" s="313">
        <v>636</v>
      </c>
      <c r="EI639" s="314"/>
      <c r="EJ639" s="247" t="str">
        <f t="shared" si="63"/>
        <v/>
      </c>
      <c r="EK639" t="str">
        <f t="shared" si="64"/>
        <v/>
      </c>
    </row>
    <row r="640" spans="2:141" x14ac:dyDescent="0.25">
      <c r="B640" s="261">
        <v>637</v>
      </c>
      <c r="C640" s="44"/>
      <c r="D640" s="45">
        <f t="shared" si="62"/>
        <v>0</v>
      </c>
      <c r="EH640" s="313">
        <v>637</v>
      </c>
      <c r="EI640" s="314"/>
      <c r="EJ640" s="247" t="str">
        <f t="shared" si="63"/>
        <v/>
      </c>
      <c r="EK640" t="str">
        <f t="shared" si="64"/>
        <v/>
      </c>
    </row>
    <row r="641" spans="2:141" x14ac:dyDescent="0.25">
      <c r="B641" s="261">
        <v>638</v>
      </c>
      <c r="C641" s="44"/>
      <c r="D641" s="45">
        <f t="shared" si="62"/>
        <v>0</v>
      </c>
      <c r="EH641" s="313">
        <v>638</v>
      </c>
      <c r="EI641" s="314"/>
      <c r="EJ641" s="247" t="str">
        <f t="shared" si="63"/>
        <v/>
      </c>
      <c r="EK641" t="str">
        <f t="shared" si="64"/>
        <v/>
      </c>
    </row>
    <row r="642" spans="2:141" x14ac:dyDescent="0.25">
      <c r="B642" s="261">
        <v>639</v>
      </c>
      <c r="C642" s="44"/>
      <c r="D642" s="45">
        <f t="shared" si="62"/>
        <v>0</v>
      </c>
      <c r="EH642" s="313">
        <v>639</v>
      </c>
      <c r="EI642" s="314"/>
      <c r="EJ642" s="247" t="str">
        <f t="shared" si="63"/>
        <v/>
      </c>
      <c r="EK642" t="str">
        <f t="shared" si="64"/>
        <v/>
      </c>
    </row>
    <row r="643" spans="2:141" x14ac:dyDescent="0.25">
      <c r="B643" s="261">
        <v>640</v>
      </c>
      <c r="C643" s="44"/>
      <c r="D643" s="45">
        <f t="shared" si="62"/>
        <v>0</v>
      </c>
      <c r="EH643" s="313">
        <v>640</v>
      </c>
      <c r="EI643" s="314">
        <v>7.6315</v>
      </c>
      <c r="EJ643" s="247">
        <f t="shared" si="63"/>
        <v>1</v>
      </c>
      <c r="EK643">
        <f t="shared" si="64"/>
        <v>0.77872448979591835</v>
      </c>
    </row>
    <row r="644" spans="2:141" x14ac:dyDescent="0.25">
      <c r="B644" s="261">
        <v>641</v>
      </c>
      <c r="C644" s="44"/>
      <c r="D644" s="45">
        <f t="shared" si="62"/>
        <v>0</v>
      </c>
      <c r="EH644" s="313">
        <v>641</v>
      </c>
      <c r="EI644" s="314"/>
      <c r="EJ644" s="247" t="str">
        <f t="shared" si="63"/>
        <v/>
      </c>
      <c r="EK644" t="str">
        <f t="shared" si="64"/>
        <v/>
      </c>
    </row>
    <row r="645" spans="2:141" x14ac:dyDescent="0.25">
      <c r="B645" s="261">
        <v>642</v>
      </c>
      <c r="C645" s="44"/>
      <c r="D645" s="45">
        <f t="shared" ref="D645:D708" si="65">C645</f>
        <v>0</v>
      </c>
      <c r="EH645" s="313">
        <v>642</v>
      </c>
      <c r="EI645" s="314"/>
      <c r="EJ645" s="247" t="str">
        <f t="shared" ref="EJ645:EJ708" si="66">IF(EI645="","",1)</f>
        <v/>
      </c>
      <c r="EK645" t="str">
        <f t="shared" ref="EK645:EK708" si="67">IF(EI645="","",EI645/9.8)</f>
        <v/>
      </c>
    </row>
    <row r="646" spans="2:141" x14ac:dyDescent="0.25">
      <c r="B646" s="261">
        <v>643</v>
      </c>
      <c r="C646" s="44"/>
      <c r="D646" s="45">
        <f t="shared" si="65"/>
        <v>0</v>
      </c>
      <c r="EH646" s="313">
        <v>643</v>
      </c>
      <c r="EI646" s="314"/>
      <c r="EJ646" s="247" t="str">
        <f t="shared" si="66"/>
        <v/>
      </c>
      <c r="EK646" t="str">
        <f t="shared" si="67"/>
        <v/>
      </c>
    </row>
    <row r="647" spans="2:141" x14ac:dyDescent="0.25">
      <c r="B647" s="261">
        <v>644</v>
      </c>
      <c r="C647" s="44"/>
      <c r="D647" s="45">
        <f t="shared" si="65"/>
        <v>0</v>
      </c>
      <c r="EH647" s="313">
        <v>644</v>
      </c>
      <c r="EI647" s="314"/>
      <c r="EJ647" s="247" t="str">
        <f t="shared" si="66"/>
        <v/>
      </c>
      <c r="EK647" t="str">
        <f t="shared" si="67"/>
        <v/>
      </c>
    </row>
    <row r="648" spans="2:141" x14ac:dyDescent="0.25">
      <c r="B648" s="261">
        <v>645</v>
      </c>
      <c r="C648" s="44"/>
      <c r="D648" s="45">
        <f t="shared" si="65"/>
        <v>0</v>
      </c>
      <c r="E648" s="318"/>
      <c r="EH648" s="313">
        <v>645</v>
      </c>
      <c r="EI648" s="314"/>
      <c r="EJ648" s="247" t="str">
        <f t="shared" si="66"/>
        <v/>
      </c>
      <c r="EK648" t="str">
        <f t="shared" si="67"/>
        <v/>
      </c>
    </row>
    <row r="649" spans="2:141" x14ac:dyDescent="0.25">
      <c r="B649" s="261">
        <v>646</v>
      </c>
      <c r="C649" s="44"/>
      <c r="D649" s="45">
        <f t="shared" si="65"/>
        <v>0</v>
      </c>
      <c r="E649" s="251"/>
      <c r="EH649" s="313">
        <v>646</v>
      </c>
      <c r="EI649" s="314"/>
      <c r="EJ649" s="247" t="str">
        <f t="shared" si="66"/>
        <v/>
      </c>
      <c r="EK649" t="str">
        <f t="shared" si="67"/>
        <v/>
      </c>
    </row>
    <row r="650" spans="2:141" x14ac:dyDescent="0.25">
      <c r="B650" s="261">
        <v>647</v>
      </c>
      <c r="C650" s="44"/>
      <c r="D650" s="45">
        <f t="shared" si="65"/>
        <v>0</v>
      </c>
      <c r="E650" s="262"/>
      <c r="EH650" s="313">
        <v>647</v>
      </c>
      <c r="EI650" s="314"/>
      <c r="EJ650" s="247" t="str">
        <f t="shared" si="66"/>
        <v/>
      </c>
      <c r="EK650" t="str">
        <f t="shared" si="67"/>
        <v/>
      </c>
    </row>
    <row r="651" spans="2:141" x14ac:dyDescent="0.25">
      <c r="B651" s="261">
        <v>648</v>
      </c>
      <c r="C651" s="44"/>
      <c r="D651" s="45">
        <f t="shared" si="65"/>
        <v>0</v>
      </c>
      <c r="E651" s="265"/>
      <c r="EH651" s="313">
        <v>648</v>
      </c>
      <c r="EI651" s="314"/>
      <c r="EJ651" s="247" t="str">
        <f t="shared" si="66"/>
        <v/>
      </c>
      <c r="EK651" t="str">
        <f t="shared" si="67"/>
        <v/>
      </c>
    </row>
    <row r="652" spans="2:141" x14ac:dyDescent="0.25">
      <c r="B652" s="261">
        <v>649</v>
      </c>
      <c r="C652" s="44"/>
      <c r="D652" s="45">
        <f t="shared" si="65"/>
        <v>0</v>
      </c>
      <c r="E652" s="269"/>
      <c r="EH652" s="313">
        <v>649</v>
      </c>
      <c r="EI652" s="314"/>
      <c r="EJ652" s="247" t="str">
        <f t="shared" si="66"/>
        <v/>
      </c>
      <c r="EK652" t="str">
        <f t="shared" si="67"/>
        <v/>
      </c>
    </row>
    <row r="653" spans="2:141" x14ac:dyDescent="0.25">
      <c r="B653" s="261">
        <v>650</v>
      </c>
      <c r="C653" s="44"/>
      <c r="D653" s="45">
        <f t="shared" si="65"/>
        <v>0</v>
      </c>
      <c r="EH653" s="313">
        <v>650</v>
      </c>
      <c r="EI653" s="314">
        <v>7.7511000000000001</v>
      </c>
      <c r="EJ653" s="247">
        <f t="shared" si="66"/>
        <v>1</v>
      </c>
      <c r="EK653">
        <f t="shared" si="67"/>
        <v>0.79092857142857143</v>
      </c>
    </row>
    <row r="654" spans="2:141" x14ac:dyDescent="0.25">
      <c r="B654" s="261">
        <v>651</v>
      </c>
      <c r="C654" s="44"/>
      <c r="D654" s="45">
        <f t="shared" si="65"/>
        <v>0</v>
      </c>
      <c r="EH654" s="313">
        <v>651</v>
      </c>
      <c r="EI654" s="314"/>
      <c r="EJ654" s="247" t="str">
        <f t="shared" si="66"/>
        <v/>
      </c>
      <c r="EK654" t="str">
        <f t="shared" si="67"/>
        <v/>
      </c>
    </row>
    <row r="655" spans="2:141" x14ac:dyDescent="0.25">
      <c r="B655" s="261">
        <v>652</v>
      </c>
      <c r="C655" s="44"/>
      <c r="D655" s="45">
        <f t="shared" si="65"/>
        <v>0</v>
      </c>
      <c r="EH655" s="313">
        <v>652</v>
      </c>
      <c r="EI655" s="314"/>
      <c r="EJ655" s="247" t="str">
        <f t="shared" si="66"/>
        <v/>
      </c>
      <c r="EK655" t="str">
        <f t="shared" si="67"/>
        <v/>
      </c>
    </row>
    <row r="656" spans="2:141" x14ac:dyDescent="0.25">
      <c r="B656" s="261">
        <v>653</v>
      </c>
      <c r="C656" s="44"/>
      <c r="D656" s="45">
        <f t="shared" si="65"/>
        <v>0</v>
      </c>
      <c r="EH656" s="313">
        <v>653</v>
      </c>
      <c r="EI656" s="314"/>
      <c r="EJ656" s="247" t="str">
        <f t="shared" si="66"/>
        <v/>
      </c>
      <c r="EK656" t="str">
        <f t="shared" si="67"/>
        <v/>
      </c>
    </row>
    <row r="657" spans="2:141" x14ac:dyDescent="0.25">
      <c r="B657" s="261">
        <v>654</v>
      </c>
      <c r="C657" s="44"/>
      <c r="D657" s="45">
        <f t="shared" si="65"/>
        <v>0</v>
      </c>
      <c r="EH657" s="313">
        <v>654</v>
      </c>
      <c r="EI657" s="314"/>
      <c r="EJ657" s="247" t="str">
        <f t="shared" si="66"/>
        <v/>
      </c>
      <c r="EK657" t="str">
        <f t="shared" si="67"/>
        <v/>
      </c>
    </row>
    <row r="658" spans="2:141" x14ac:dyDescent="0.25">
      <c r="B658" s="261">
        <v>655</v>
      </c>
      <c r="C658" s="44"/>
      <c r="D658" s="45">
        <f t="shared" si="65"/>
        <v>0</v>
      </c>
      <c r="EH658" s="313">
        <v>655</v>
      </c>
      <c r="EI658" s="314"/>
      <c r="EJ658" s="247" t="str">
        <f t="shared" si="66"/>
        <v/>
      </c>
      <c r="EK658" t="str">
        <f t="shared" si="67"/>
        <v/>
      </c>
    </row>
    <row r="659" spans="2:141" x14ac:dyDescent="0.25">
      <c r="B659" s="261">
        <v>656</v>
      </c>
      <c r="C659" s="44"/>
      <c r="D659" s="45">
        <f t="shared" si="65"/>
        <v>0</v>
      </c>
      <c r="EH659" s="313">
        <v>656</v>
      </c>
      <c r="EI659" s="314"/>
      <c r="EJ659" s="247" t="str">
        <f t="shared" si="66"/>
        <v/>
      </c>
      <c r="EK659" t="str">
        <f t="shared" si="67"/>
        <v/>
      </c>
    </row>
    <row r="660" spans="2:141" x14ac:dyDescent="0.25">
      <c r="B660" s="261">
        <v>657</v>
      </c>
      <c r="C660" s="44"/>
      <c r="D660" s="45">
        <f t="shared" si="65"/>
        <v>0</v>
      </c>
      <c r="EH660" s="313">
        <v>657</v>
      </c>
      <c r="EI660" s="314"/>
      <c r="EJ660" s="247" t="str">
        <f t="shared" si="66"/>
        <v/>
      </c>
      <c r="EK660" t="str">
        <f t="shared" si="67"/>
        <v/>
      </c>
    </row>
    <row r="661" spans="2:141" x14ac:dyDescent="0.25">
      <c r="B661" s="261">
        <v>658</v>
      </c>
      <c r="C661" s="44"/>
      <c r="D661" s="45">
        <f t="shared" si="65"/>
        <v>0</v>
      </c>
      <c r="EH661" s="313">
        <v>658</v>
      </c>
      <c r="EI661" s="314"/>
      <c r="EJ661" s="247" t="str">
        <f t="shared" si="66"/>
        <v/>
      </c>
      <c r="EK661" t="str">
        <f t="shared" si="67"/>
        <v/>
      </c>
    </row>
    <row r="662" spans="2:141" x14ac:dyDescent="0.25">
      <c r="B662" s="261">
        <v>659</v>
      </c>
      <c r="C662" s="44"/>
      <c r="D662" s="45">
        <f t="shared" si="65"/>
        <v>0</v>
      </c>
      <c r="EH662" s="313">
        <v>659</v>
      </c>
      <c r="EI662" s="314"/>
      <c r="EJ662" s="247" t="str">
        <f t="shared" si="66"/>
        <v/>
      </c>
      <c r="EK662" t="str">
        <f t="shared" si="67"/>
        <v/>
      </c>
    </row>
    <row r="663" spans="2:141" x14ac:dyDescent="0.25">
      <c r="B663" s="261">
        <v>660</v>
      </c>
      <c r="C663" s="44"/>
      <c r="D663" s="45">
        <f t="shared" si="65"/>
        <v>0</v>
      </c>
      <c r="EH663" s="313">
        <v>660</v>
      </c>
      <c r="EI663" s="314">
        <v>7.8708</v>
      </c>
      <c r="EJ663" s="247">
        <f t="shared" si="66"/>
        <v>1</v>
      </c>
      <c r="EK663">
        <f t="shared" si="67"/>
        <v>0.80314285714285705</v>
      </c>
    </row>
    <row r="664" spans="2:141" x14ac:dyDescent="0.25">
      <c r="B664" s="261">
        <v>661</v>
      </c>
      <c r="C664" s="44"/>
      <c r="D664" s="45">
        <f t="shared" si="65"/>
        <v>0</v>
      </c>
      <c r="EH664" s="313">
        <v>661</v>
      </c>
      <c r="EI664" s="314"/>
      <c r="EJ664" s="247" t="str">
        <f t="shared" si="66"/>
        <v/>
      </c>
      <c r="EK664" t="str">
        <f t="shared" si="67"/>
        <v/>
      </c>
    </row>
    <row r="665" spans="2:141" x14ac:dyDescent="0.25">
      <c r="B665" s="261">
        <v>662</v>
      </c>
      <c r="C665" s="44"/>
      <c r="D665" s="45">
        <f t="shared" si="65"/>
        <v>0</v>
      </c>
      <c r="EH665" s="313">
        <v>662</v>
      </c>
      <c r="EI665" s="314"/>
      <c r="EJ665" s="247" t="str">
        <f t="shared" si="66"/>
        <v/>
      </c>
      <c r="EK665" t="str">
        <f t="shared" si="67"/>
        <v/>
      </c>
    </row>
    <row r="666" spans="2:141" x14ac:dyDescent="0.25">
      <c r="B666" s="261">
        <v>663</v>
      </c>
      <c r="C666" s="44"/>
      <c r="D666" s="45">
        <f t="shared" si="65"/>
        <v>0</v>
      </c>
      <c r="EH666" s="313">
        <v>663</v>
      </c>
      <c r="EI666" s="314"/>
      <c r="EJ666" s="247" t="str">
        <f t="shared" si="66"/>
        <v/>
      </c>
      <c r="EK666" t="str">
        <f t="shared" si="67"/>
        <v/>
      </c>
    </row>
    <row r="667" spans="2:141" x14ac:dyDescent="0.25">
      <c r="B667" s="261">
        <v>664</v>
      </c>
      <c r="C667" s="44"/>
      <c r="D667" s="45">
        <f t="shared" si="65"/>
        <v>0</v>
      </c>
      <c r="EH667" s="313">
        <v>664</v>
      </c>
      <c r="EI667" s="314"/>
      <c r="EJ667" s="247" t="str">
        <f t="shared" si="66"/>
        <v/>
      </c>
      <c r="EK667" t="str">
        <f t="shared" si="67"/>
        <v/>
      </c>
    </row>
    <row r="668" spans="2:141" x14ac:dyDescent="0.25">
      <c r="B668" s="261">
        <v>665</v>
      </c>
      <c r="C668" s="44"/>
      <c r="D668" s="45">
        <f t="shared" si="65"/>
        <v>0</v>
      </c>
      <c r="EH668" s="313">
        <v>665</v>
      </c>
      <c r="EI668" s="314"/>
      <c r="EJ668" s="247" t="str">
        <f t="shared" si="66"/>
        <v/>
      </c>
      <c r="EK668" t="str">
        <f t="shared" si="67"/>
        <v/>
      </c>
    </row>
    <row r="669" spans="2:141" x14ac:dyDescent="0.25">
      <c r="B669" s="261">
        <v>666</v>
      </c>
      <c r="C669" s="44"/>
      <c r="D669" s="45">
        <f t="shared" si="65"/>
        <v>0</v>
      </c>
      <c r="EH669" s="313">
        <v>666</v>
      </c>
      <c r="EI669" s="314"/>
      <c r="EJ669" s="247" t="str">
        <f t="shared" si="66"/>
        <v/>
      </c>
      <c r="EK669" t="str">
        <f t="shared" si="67"/>
        <v/>
      </c>
    </row>
    <row r="670" spans="2:141" x14ac:dyDescent="0.25">
      <c r="B670" s="261">
        <v>667</v>
      </c>
      <c r="C670" s="44"/>
      <c r="D670" s="45">
        <f t="shared" si="65"/>
        <v>0</v>
      </c>
      <c r="EH670" s="313">
        <v>667</v>
      </c>
      <c r="EI670" s="314"/>
      <c r="EJ670" s="247" t="str">
        <f t="shared" si="66"/>
        <v/>
      </c>
      <c r="EK670" t="str">
        <f t="shared" si="67"/>
        <v/>
      </c>
    </row>
    <row r="671" spans="2:141" x14ac:dyDescent="0.25">
      <c r="B671" s="261">
        <v>668</v>
      </c>
      <c r="C671" s="44"/>
      <c r="D671" s="45">
        <f t="shared" si="65"/>
        <v>0</v>
      </c>
      <c r="EH671" s="313">
        <v>668</v>
      </c>
      <c r="EI671" s="314"/>
      <c r="EJ671" s="247" t="str">
        <f t="shared" si="66"/>
        <v/>
      </c>
      <c r="EK671" t="str">
        <f t="shared" si="67"/>
        <v/>
      </c>
    </row>
    <row r="672" spans="2:141" x14ac:dyDescent="0.25">
      <c r="B672" s="261">
        <v>669</v>
      </c>
      <c r="C672" s="44"/>
      <c r="D672" s="45">
        <f t="shared" si="65"/>
        <v>0</v>
      </c>
      <c r="E672" s="318"/>
      <c r="EH672" s="313">
        <v>669</v>
      </c>
      <c r="EI672" s="314"/>
      <c r="EJ672" s="247" t="str">
        <f t="shared" si="66"/>
        <v/>
      </c>
      <c r="EK672" t="str">
        <f t="shared" si="67"/>
        <v/>
      </c>
    </row>
    <row r="673" spans="2:141" x14ac:dyDescent="0.25">
      <c r="B673" s="261">
        <v>670</v>
      </c>
      <c r="C673" s="44"/>
      <c r="D673" s="45">
        <f t="shared" si="65"/>
        <v>0</v>
      </c>
      <c r="E673" s="251"/>
      <c r="EH673" s="313">
        <v>670</v>
      </c>
      <c r="EI673" s="314">
        <v>7.9904000000000002</v>
      </c>
      <c r="EJ673" s="247">
        <f t="shared" si="66"/>
        <v>1</v>
      </c>
      <c r="EK673">
        <f t="shared" si="67"/>
        <v>0.81534693877551012</v>
      </c>
    </row>
    <row r="674" spans="2:141" x14ac:dyDescent="0.25">
      <c r="B674" s="261">
        <v>671</v>
      </c>
      <c r="C674" s="44"/>
      <c r="D674" s="45">
        <f t="shared" si="65"/>
        <v>0</v>
      </c>
      <c r="E674" s="262"/>
      <c r="EH674" s="313">
        <v>671</v>
      </c>
      <c r="EI674" s="314"/>
      <c r="EJ674" s="247" t="str">
        <f t="shared" si="66"/>
        <v/>
      </c>
      <c r="EK674" t="str">
        <f t="shared" si="67"/>
        <v/>
      </c>
    </row>
    <row r="675" spans="2:141" x14ac:dyDescent="0.25">
      <c r="B675" s="261">
        <v>672</v>
      </c>
      <c r="C675" s="44"/>
      <c r="D675" s="45">
        <f t="shared" si="65"/>
        <v>0</v>
      </c>
      <c r="E675" s="265"/>
      <c r="EH675" s="313">
        <v>672</v>
      </c>
      <c r="EI675" s="314"/>
      <c r="EJ675" s="247" t="str">
        <f t="shared" si="66"/>
        <v/>
      </c>
      <c r="EK675" t="str">
        <f t="shared" si="67"/>
        <v/>
      </c>
    </row>
    <row r="676" spans="2:141" x14ac:dyDescent="0.25">
      <c r="B676" s="261">
        <v>673</v>
      </c>
      <c r="C676" s="44"/>
      <c r="D676" s="45">
        <f t="shared" si="65"/>
        <v>0</v>
      </c>
      <c r="E676" s="269"/>
      <c r="EH676" s="313">
        <v>673</v>
      </c>
      <c r="EI676" s="314"/>
      <c r="EJ676" s="247" t="str">
        <f t="shared" si="66"/>
        <v/>
      </c>
      <c r="EK676" t="str">
        <f t="shared" si="67"/>
        <v/>
      </c>
    </row>
    <row r="677" spans="2:141" x14ac:dyDescent="0.25">
      <c r="B677" s="261">
        <v>674</v>
      </c>
      <c r="C677" s="44"/>
      <c r="D677" s="45">
        <f t="shared" si="65"/>
        <v>0</v>
      </c>
      <c r="EH677" s="313">
        <v>674</v>
      </c>
      <c r="EI677" s="314"/>
      <c r="EJ677" s="247" t="str">
        <f t="shared" si="66"/>
        <v/>
      </c>
      <c r="EK677" t="str">
        <f t="shared" si="67"/>
        <v/>
      </c>
    </row>
    <row r="678" spans="2:141" x14ac:dyDescent="0.25">
      <c r="B678" s="261">
        <v>675</v>
      </c>
      <c r="C678" s="44"/>
      <c r="D678" s="45">
        <f t="shared" si="65"/>
        <v>0</v>
      </c>
      <c r="EH678" s="313">
        <v>675</v>
      </c>
      <c r="EI678" s="314"/>
      <c r="EJ678" s="247" t="str">
        <f t="shared" si="66"/>
        <v/>
      </c>
      <c r="EK678" t="str">
        <f t="shared" si="67"/>
        <v/>
      </c>
    </row>
    <row r="679" spans="2:141" x14ac:dyDescent="0.25">
      <c r="B679" s="261">
        <v>676</v>
      </c>
      <c r="C679" s="44"/>
      <c r="D679" s="45">
        <f t="shared" si="65"/>
        <v>0</v>
      </c>
      <c r="EH679" s="313">
        <v>676</v>
      </c>
      <c r="EI679" s="314"/>
      <c r="EJ679" s="247" t="str">
        <f t="shared" si="66"/>
        <v/>
      </c>
      <c r="EK679" t="str">
        <f t="shared" si="67"/>
        <v/>
      </c>
    </row>
    <row r="680" spans="2:141" x14ac:dyDescent="0.25">
      <c r="B680" s="261">
        <v>677</v>
      </c>
      <c r="C680" s="44"/>
      <c r="D680" s="45">
        <f t="shared" si="65"/>
        <v>0</v>
      </c>
      <c r="EH680" s="313">
        <v>677</v>
      </c>
      <c r="EI680" s="314"/>
      <c r="EJ680" s="247" t="str">
        <f t="shared" si="66"/>
        <v/>
      </c>
      <c r="EK680" t="str">
        <f t="shared" si="67"/>
        <v/>
      </c>
    </row>
    <row r="681" spans="2:141" x14ac:dyDescent="0.25">
      <c r="B681" s="261">
        <v>678</v>
      </c>
      <c r="C681" s="44"/>
      <c r="D681" s="45">
        <f t="shared" si="65"/>
        <v>0</v>
      </c>
      <c r="EH681" s="313">
        <v>678</v>
      </c>
      <c r="EI681" s="314"/>
      <c r="EJ681" s="247" t="str">
        <f t="shared" si="66"/>
        <v/>
      </c>
      <c r="EK681" t="str">
        <f t="shared" si="67"/>
        <v/>
      </c>
    </row>
    <row r="682" spans="2:141" x14ac:dyDescent="0.25">
      <c r="B682" s="261">
        <v>679</v>
      </c>
      <c r="C682" s="44"/>
      <c r="D682" s="45">
        <f t="shared" si="65"/>
        <v>0</v>
      </c>
      <c r="EH682" s="313">
        <v>679</v>
      </c>
      <c r="EI682" s="314"/>
      <c r="EJ682" s="247" t="str">
        <f t="shared" si="66"/>
        <v/>
      </c>
      <c r="EK682" t="str">
        <f t="shared" si="67"/>
        <v/>
      </c>
    </row>
    <row r="683" spans="2:141" x14ac:dyDescent="0.25">
      <c r="B683" s="261">
        <v>680</v>
      </c>
      <c r="C683" s="44"/>
      <c r="D683" s="45">
        <f t="shared" si="65"/>
        <v>0</v>
      </c>
      <c r="EH683" s="313">
        <v>680</v>
      </c>
      <c r="EI683" s="314">
        <v>8.11</v>
      </c>
      <c r="EJ683" s="247">
        <f t="shared" si="66"/>
        <v>1</v>
      </c>
      <c r="EK683">
        <f t="shared" si="67"/>
        <v>0.8275510204081632</v>
      </c>
    </row>
    <row r="684" spans="2:141" x14ac:dyDescent="0.25">
      <c r="B684" s="261">
        <v>681</v>
      </c>
      <c r="C684" s="44"/>
      <c r="D684" s="45">
        <f t="shared" si="65"/>
        <v>0</v>
      </c>
      <c r="EH684" s="313">
        <v>681</v>
      </c>
      <c r="EI684" s="314"/>
      <c r="EJ684" s="247" t="str">
        <f t="shared" si="66"/>
        <v/>
      </c>
      <c r="EK684" t="str">
        <f t="shared" si="67"/>
        <v/>
      </c>
    </row>
    <row r="685" spans="2:141" x14ac:dyDescent="0.25">
      <c r="B685" s="261">
        <v>682</v>
      </c>
      <c r="C685" s="44"/>
      <c r="D685" s="45">
        <f t="shared" si="65"/>
        <v>0</v>
      </c>
      <c r="EH685" s="313">
        <v>682</v>
      </c>
      <c r="EI685" s="314"/>
      <c r="EJ685" s="247" t="str">
        <f t="shared" si="66"/>
        <v/>
      </c>
      <c r="EK685" t="str">
        <f t="shared" si="67"/>
        <v/>
      </c>
    </row>
    <row r="686" spans="2:141" x14ac:dyDescent="0.25">
      <c r="B686" s="261">
        <v>683</v>
      </c>
      <c r="C686" s="44"/>
      <c r="D686" s="45">
        <f t="shared" si="65"/>
        <v>0</v>
      </c>
      <c r="EH686" s="313">
        <v>683</v>
      </c>
      <c r="EI686" s="314"/>
      <c r="EJ686" s="247" t="str">
        <f t="shared" si="66"/>
        <v/>
      </c>
      <c r="EK686" t="str">
        <f t="shared" si="67"/>
        <v/>
      </c>
    </row>
    <row r="687" spans="2:141" x14ac:dyDescent="0.25">
      <c r="B687" s="261">
        <v>684</v>
      </c>
      <c r="C687" s="44"/>
      <c r="D687" s="45">
        <f t="shared" si="65"/>
        <v>0</v>
      </c>
      <c r="EH687" s="313">
        <v>684</v>
      </c>
      <c r="EI687" s="314"/>
      <c r="EJ687" s="247" t="str">
        <f t="shared" si="66"/>
        <v/>
      </c>
      <c r="EK687" t="str">
        <f t="shared" si="67"/>
        <v/>
      </c>
    </row>
    <row r="688" spans="2:141" x14ac:dyDescent="0.25">
      <c r="B688" s="261">
        <v>685</v>
      </c>
      <c r="C688" s="44"/>
      <c r="D688" s="45">
        <f t="shared" si="65"/>
        <v>0</v>
      </c>
      <c r="EH688" s="313">
        <v>685</v>
      </c>
      <c r="EI688" s="314"/>
      <c r="EJ688" s="247" t="str">
        <f t="shared" si="66"/>
        <v/>
      </c>
      <c r="EK688" t="str">
        <f t="shared" si="67"/>
        <v/>
      </c>
    </row>
    <row r="689" spans="2:141" x14ac:dyDescent="0.25">
      <c r="B689" s="261">
        <v>686</v>
      </c>
      <c r="C689" s="44"/>
      <c r="D689" s="45">
        <f t="shared" si="65"/>
        <v>0</v>
      </c>
      <c r="EH689" s="313">
        <v>686</v>
      </c>
      <c r="EI689" s="314"/>
      <c r="EJ689" s="247" t="str">
        <f t="shared" si="66"/>
        <v/>
      </c>
      <c r="EK689" t="str">
        <f t="shared" si="67"/>
        <v/>
      </c>
    </row>
    <row r="690" spans="2:141" x14ac:dyDescent="0.25">
      <c r="B690" s="261">
        <v>687</v>
      </c>
      <c r="C690" s="44"/>
      <c r="D690" s="45">
        <f t="shared" si="65"/>
        <v>0</v>
      </c>
      <c r="EH690" s="313">
        <v>687</v>
      </c>
      <c r="EI690" s="314"/>
      <c r="EJ690" s="247" t="str">
        <f t="shared" si="66"/>
        <v/>
      </c>
      <c r="EK690" t="str">
        <f t="shared" si="67"/>
        <v/>
      </c>
    </row>
    <row r="691" spans="2:141" x14ac:dyDescent="0.25">
      <c r="B691" s="261">
        <v>688</v>
      </c>
      <c r="C691" s="44"/>
      <c r="D691" s="45">
        <f t="shared" si="65"/>
        <v>0</v>
      </c>
      <c r="EH691" s="313">
        <v>688</v>
      </c>
      <c r="EI691" s="314"/>
      <c r="EJ691" s="247" t="str">
        <f t="shared" si="66"/>
        <v/>
      </c>
      <c r="EK691" t="str">
        <f t="shared" si="67"/>
        <v/>
      </c>
    </row>
    <row r="692" spans="2:141" x14ac:dyDescent="0.25">
      <c r="B692" s="261">
        <v>689</v>
      </c>
      <c r="C692" s="44"/>
      <c r="D692" s="45">
        <f t="shared" si="65"/>
        <v>0</v>
      </c>
      <c r="EH692" s="313">
        <v>689</v>
      </c>
      <c r="EI692" s="314"/>
      <c r="EJ692" s="247" t="str">
        <f t="shared" si="66"/>
        <v/>
      </c>
      <c r="EK692" t="str">
        <f t="shared" si="67"/>
        <v/>
      </c>
    </row>
    <row r="693" spans="2:141" x14ac:dyDescent="0.25">
      <c r="B693" s="261">
        <v>690</v>
      </c>
      <c r="C693" s="44"/>
      <c r="D693" s="45">
        <f t="shared" si="65"/>
        <v>0</v>
      </c>
      <c r="EH693" s="313">
        <v>690</v>
      </c>
      <c r="EI693" s="314">
        <v>8.2295999999999996</v>
      </c>
      <c r="EJ693" s="247">
        <f t="shared" si="66"/>
        <v>1</v>
      </c>
      <c r="EK693">
        <f t="shared" si="67"/>
        <v>0.83975510204081627</v>
      </c>
    </row>
    <row r="694" spans="2:141" x14ac:dyDescent="0.25">
      <c r="B694" s="261">
        <v>691</v>
      </c>
      <c r="C694" s="44"/>
      <c r="D694" s="45">
        <f t="shared" si="65"/>
        <v>0</v>
      </c>
      <c r="EH694" s="313">
        <v>691</v>
      </c>
      <c r="EI694" s="314"/>
      <c r="EJ694" s="247" t="str">
        <f t="shared" si="66"/>
        <v/>
      </c>
      <c r="EK694" t="str">
        <f t="shared" si="67"/>
        <v/>
      </c>
    </row>
    <row r="695" spans="2:141" x14ac:dyDescent="0.25">
      <c r="B695" s="43">
        <v>692</v>
      </c>
      <c r="C695" s="44"/>
      <c r="D695" s="45">
        <f t="shared" si="65"/>
        <v>0</v>
      </c>
      <c r="EH695" s="313">
        <v>692</v>
      </c>
      <c r="EI695" s="314"/>
      <c r="EJ695" s="247" t="str">
        <f t="shared" si="66"/>
        <v/>
      </c>
      <c r="EK695" t="str">
        <f t="shared" si="67"/>
        <v/>
      </c>
    </row>
    <row r="696" spans="2:141" x14ac:dyDescent="0.25">
      <c r="B696" s="43">
        <v>693</v>
      </c>
      <c r="C696" s="44"/>
      <c r="D696" s="45">
        <f t="shared" si="65"/>
        <v>0</v>
      </c>
      <c r="E696" s="318"/>
      <c r="EH696" s="313">
        <v>693</v>
      </c>
      <c r="EI696" s="314"/>
      <c r="EJ696" s="247" t="str">
        <f t="shared" si="66"/>
        <v/>
      </c>
      <c r="EK696" t="str">
        <f t="shared" si="67"/>
        <v/>
      </c>
    </row>
    <row r="697" spans="2:141" x14ac:dyDescent="0.25">
      <c r="B697" s="261">
        <v>694</v>
      </c>
      <c r="C697" s="44"/>
      <c r="D697" s="45">
        <f t="shared" si="65"/>
        <v>0</v>
      </c>
      <c r="E697" s="251"/>
      <c r="EH697" s="313">
        <v>694</v>
      </c>
      <c r="EI697" s="314"/>
      <c r="EJ697" s="247" t="str">
        <f t="shared" si="66"/>
        <v/>
      </c>
      <c r="EK697" t="str">
        <f t="shared" si="67"/>
        <v/>
      </c>
    </row>
    <row r="698" spans="2:141" x14ac:dyDescent="0.25">
      <c r="B698" s="261">
        <v>695</v>
      </c>
      <c r="C698" s="44"/>
      <c r="D698" s="45">
        <f t="shared" si="65"/>
        <v>0</v>
      </c>
      <c r="E698" s="262"/>
      <c r="EH698" s="313">
        <v>695</v>
      </c>
      <c r="EI698" s="314"/>
      <c r="EJ698" s="247" t="str">
        <f t="shared" si="66"/>
        <v/>
      </c>
      <c r="EK698" t="str">
        <f t="shared" si="67"/>
        <v/>
      </c>
    </row>
    <row r="699" spans="2:141" x14ac:dyDescent="0.25">
      <c r="B699" s="261">
        <v>696</v>
      </c>
      <c r="C699" s="44"/>
      <c r="D699" s="45">
        <f t="shared" si="65"/>
        <v>0</v>
      </c>
      <c r="E699" s="265"/>
      <c r="EH699" s="313">
        <v>696</v>
      </c>
      <c r="EI699" s="314"/>
      <c r="EJ699" s="247" t="str">
        <f t="shared" si="66"/>
        <v/>
      </c>
      <c r="EK699" t="str">
        <f t="shared" si="67"/>
        <v/>
      </c>
    </row>
    <row r="700" spans="2:141" x14ac:dyDescent="0.25">
      <c r="B700" s="261">
        <v>697</v>
      </c>
      <c r="C700" s="44"/>
      <c r="D700" s="45">
        <f t="shared" si="65"/>
        <v>0</v>
      </c>
      <c r="E700" s="269"/>
      <c r="EH700" s="313">
        <v>697</v>
      </c>
      <c r="EI700" s="314"/>
      <c r="EJ700" s="247" t="str">
        <f t="shared" si="66"/>
        <v/>
      </c>
      <c r="EK700" t="str">
        <f t="shared" si="67"/>
        <v/>
      </c>
    </row>
    <row r="701" spans="2:141" x14ac:dyDescent="0.25">
      <c r="B701" s="261">
        <v>698</v>
      </c>
      <c r="C701" s="44"/>
      <c r="D701" s="45">
        <f t="shared" si="65"/>
        <v>0</v>
      </c>
      <c r="EH701" s="313">
        <v>698</v>
      </c>
      <c r="EI701" s="314"/>
      <c r="EJ701" s="247" t="str">
        <f t="shared" si="66"/>
        <v/>
      </c>
      <c r="EK701" t="str">
        <f t="shared" si="67"/>
        <v/>
      </c>
    </row>
    <row r="702" spans="2:141" x14ac:dyDescent="0.25">
      <c r="B702" s="261">
        <v>699</v>
      </c>
      <c r="C702" s="44"/>
      <c r="D702" s="45">
        <f t="shared" si="65"/>
        <v>0</v>
      </c>
      <c r="EH702" s="313">
        <v>699</v>
      </c>
      <c r="EI702" s="314"/>
      <c r="EJ702" s="247" t="str">
        <f t="shared" si="66"/>
        <v/>
      </c>
      <c r="EK702" t="str">
        <f t="shared" si="67"/>
        <v/>
      </c>
    </row>
    <row r="703" spans="2:141" x14ac:dyDescent="0.25">
      <c r="B703" s="261">
        <v>700</v>
      </c>
      <c r="C703" s="44"/>
      <c r="D703" s="45">
        <f t="shared" si="65"/>
        <v>0</v>
      </c>
      <c r="EH703" s="313">
        <v>700</v>
      </c>
      <c r="EI703" s="314">
        <v>8.3491999999999997</v>
      </c>
      <c r="EJ703" s="247">
        <f t="shared" si="66"/>
        <v>1</v>
      </c>
      <c r="EK703">
        <f t="shared" si="67"/>
        <v>0.85195918367346934</v>
      </c>
    </row>
    <row r="704" spans="2:141" x14ac:dyDescent="0.25">
      <c r="B704" s="261">
        <v>701</v>
      </c>
      <c r="C704">
        <v>832.2</v>
      </c>
      <c r="D704" s="45">
        <f t="shared" si="65"/>
        <v>832.2</v>
      </c>
      <c r="EH704" s="313">
        <v>701</v>
      </c>
      <c r="EI704" s="314"/>
      <c r="EJ704" s="247" t="str">
        <f t="shared" si="66"/>
        <v/>
      </c>
      <c r="EK704" t="str">
        <f t="shared" si="67"/>
        <v/>
      </c>
    </row>
    <row r="705" spans="2:141" x14ac:dyDescent="0.25">
      <c r="B705" s="317">
        <v>702</v>
      </c>
      <c r="C705">
        <v>618.1</v>
      </c>
      <c r="D705" s="45">
        <f t="shared" si="65"/>
        <v>618.1</v>
      </c>
      <c r="EH705" s="313">
        <v>702</v>
      </c>
      <c r="EI705" s="314"/>
      <c r="EJ705" s="247" t="str">
        <f t="shared" si="66"/>
        <v/>
      </c>
      <c r="EK705" t="str">
        <f t="shared" si="67"/>
        <v/>
      </c>
    </row>
    <row r="706" spans="2:141" x14ac:dyDescent="0.25">
      <c r="B706" s="317">
        <v>703</v>
      </c>
      <c r="C706">
        <v>627.9</v>
      </c>
      <c r="D706" s="45">
        <f t="shared" si="65"/>
        <v>627.9</v>
      </c>
      <c r="EH706" s="313">
        <v>703</v>
      </c>
      <c r="EI706" s="314"/>
      <c r="EJ706" s="247" t="str">
        <f t="shared" si="66"/>
        <v/>
      </c>
      <c r="EK706" t="str">
        <f t="shared" si="67"/>
        <v/>
      </c>
    </row>
    <row r="707" spans="2:141" x14ac:dyDescent="0.25">
      <c r="B707" s="317">
        <v>704</v>
      </c>
      <c r="C707" s="44"/>
      <c r="D707" s="45">
        <f t="shared" si="65"/>
        <v>0</v>
      </c>
      <c r="EH707" s="313">
        <v>704</v>
      </c>
      <c r="EI707" s="314"/>
      <c r="EJ707" s="247" t="str">
        <f t="shared" si="66"/>
        <v/>
      </c>
      <c r="EK707" t="str">
        <f t="shared" si="67"/>
        <v/>
      </c>
    </row>
    <row r="708" spans="2:141" x14ac:dyDescent="0.25">
      <c r="B708" s="317">
        <v>705</v>
      </c>
      <c r="C708" s="44"/>
      <c r="D708" s="45">
        <f t="shared" si="65"/>
        <v>0</v>
      </c>
      <c r="EH708" s="313">
        <v>705</v>
      </c>
      <c r="EI708" s="314"/>
      <c r="EJ708" s="247" t="str">
        <f t="shared" si="66"/>
        <v/>
      </c>
      <c r="EK708" t="str">
        <f t="shared" si="67"/>
        <v/>
      </c>
    </row>
    <row r="709" spans="2:141" x14ac:dyDescent="0.25">
      <c r="B709" s="317">
        <v>706</v>
      </c>
      <c r="C709" s="44"/>
      <c r="D709" s="45">
        <f t="shared" ref="D709:D772" si="68">C709</f>
        <v>0</v>
      </c>
      <c r="EH709" s="313">
        <v>706</v>
      </c>
      <c r="EI709" s="314"/>
      <c r="EJ709" s="247" t="str">
        <f t="shared" ref="EJ709:EJ772" si="69">IF(EI709="","",1)</f>
        <v/>
      </c>
      <c r="EK709" t="str">
        <f t="shared" ref="EK709:EK772" si="70">IF(EI709="","",EI709/9.8)</f>
        <v/>
      </c>
    </row>
    <row r="710" spans="2:141" x14ac:dyDescent="0.25">
      <c r="B710" s="317">
        <v>707</v>
      </c>
      <c r="C710" s="44"/>
      <c r="D710" s="45">
        <f t="shared" si="68"/>
        <v>0</v>
      </c>
      <c r="EH710" s="313">
        <v>707</v>
      </c>
      <c r="EI710" s="314"/>
      <c r="EJ710" s="247" t="str">
        <f t="shared" si="69"/>
        <v/>
      </c>
      <c r="EK710" t="str">
        <f t="shared" si="70"/>
        <v/>
      </c>
    </row>
    <row r="711" spans="2:141" x14ac:dyDescent="0.25">
      <c r="B711" s="317">
        <v>708</v>
      </c>
      <c r="C711" s="44"/>
      <c r="D711" s="45">
        <f t="shared" si="68"/>
        <v>0</v>
      </c>
      <c r="EH711" s="313">
        <v>708</v>
      </c>
      <c r="EI711" s="314"/>
      <c r="EJ711" s="247" t="str">
        <f t="shared" si="69"/>
        <v/>
      </c>
      <c r="EK711" t="str">
        <f t="shared" si="70"/>
        <v/>
      </c>
    </row>
    <row r="712" spans="2:141" x14ac:dyDescent="0.25">
      <c r="B712" s="317">
        <v>709</v>
      </c>
      <c r="C712" s="44"/>
      <c r="D712" s="45">
        <f t="shared" si="68"/>
        <v>0</v>
      </c>
      <c r="EH712" s="313">
        <v>709</v>
      </c>
      <c r="EI712" s="314"/>
      <c r="EJ712" s="247" t="str">
        <f t="shared" si="69"/>
        <v/>
      </c>
      <c r="EK712" t="str">
        <f t="shared" si="70"/>
        <v/>
      </c>
    </row>
    <row r="713" spans="2:141" x14ac:dyDescent="0.25">
      <c r="B713" s="317">
        <v>710</v>
      </c>
      <c r="C713" s="44"/>
      <c r="D713" s="45">
        <f t="shared" si="68"/>
        <v>0</v>
      </c>
      <c r="EH713" s="313">
        <v>710</v>
      </c>
      <c r="EI713" s="314">
        <v>8.4687999999999999</v>
      </c>
      <c r="EJ713" s="247">
        <f t="shared" si="69"/>
        <v>1</v>
      </c>
      <c r="EK713">
        <f t="shared" si="70"/>
        <v>0.86416326530612242</v>
      </c>
    </row>
    <row r="714" spans="2:141" x14ac:dyDescent="0.25">
      <c r="B714" s="317">
        <v>711</v>
      </c>
      <c r="C714" s="44"/>
      <c r="D714" s="45">
        <f t="shared" si="68"/>
        <v>0</v>
      </c>
      <c r="EH714" s="313">
        <v>711</v>
      </c>
      <c r="EI714" s="314"/>
      <c r="EJ714" s="247" t="str">
        <f t="shared" si="69"/>
        <v/>
      </c>
      <c r="EK714" t="str">
        <f t="shared" si="70"/>
        <v/>
      </c>
    </row>
    <row r="715" spans="2:141" x14ac:dyDescent="0.25">
      <c r="B715" s="317">
        <v>712</v>
      </c>
      <c r="C715" s="44"/>
      <c r="D715" s="45">
        <f t="shared" si="68"/>
        <v>0</v>
      </c>
      <c r="EH715" s="313">
        <v>712</v>
      </c>
      <c r="EI715" s="314"/>
      <c r="EJ715" s="247" t="str">
        <f t="shared" si="69"/>
        <v/>
      </c>
      <c r="EK715" t="str">
        <f t="shared" si="70"/>
        <v/>
      </c>
    </row>
    <row r="716" spans="2:141" x14ac:dyDescent="0.25">
      <c r="B716" s="317">
        <v>713</v>
      </c>
      <c r="C716" s="44"/>
      <c r="D716" s="45">
        <f t="shared" si="68"/>
        <v>0</v>
      </c>
      <c r="EH716" s="313">
        <v>713</v>
      </c>
      <c r="EI716" s="314"/>
      <c r="EJ716" s="247" t="str">
        <f t="shared" si="69"/>
        <v/>
      </c>
      <c r="EK716" t="str">
        <f t="shared" si="70"/>
        <v/>
      </c>
    </row>
    <row r="717" spans="2:141" x14ac:dyDescent="0.25">
      <c r="B717" s="317">
        <v>714</v>
      </c>
      <c r="C717" s="44"/>
      <c r="D717" s="45">
        <f t="shared" si="68"/>
        <v>0</v>
      </c>
      <c r="EH717" s="313">
        <v>714</v>
      </c>
      <c r="EI717" s="314"/>
      <c r="EJ717" s="247" t="str">
        <f t="shared" si="69"/>
        <v/>
      </c>
      <c r="EK717" t="str">
        <f t="shared" si="70"/>
        <v/>
      </c>
    </row>
    <row r="718" spans="2:141" x14ac:dyDescent="0.25">
      <c r="B718" s="317">
        <v>715</v>
      </c>
      <c r="C718" s="44"/>
      <c r="D718" s="45">
        <f t="shared" si="68"/>
        <v>0</v>
      </c>
      <c r="EH718" s="313">
        <v>715</v>
      </c>
      <c r="EI718" s="314"/>
      <c r="EJ718" s="247" t="str">
        <f t="shared" si="69"/>
        <v/>
      </c>
      <c r="EK718" t="str">
        <f t="shared" si="70"/>
        <v/>
      </c>
    </row>
    <row r="719" spans="2:141" x14ac:dyDescent="0.25">
      <c r="B719" s="317">
        <v>716</v>
      </c>
      <c r="C719" s="44"/>
      <c r="D719" s="45">
        <f t="shared" si="68"/>
        <v>0</v>
      </c>
      <c r="EH719" s="313">
        <v>716</v>
      </c>
      <c r="EI719" s="314"/>
      <c r="EJ719" s="247" t="str">
        <f t="shared" si="69"/>
        <v/>
      </c>
      <c r="EK719" t="str">
        <f t="shared" si="70"/>
        <v/>
      </c>
    </row>
    <row r="720" spans="2:141" x14ac:dyDescent="0.25">
      <c r="B720" s="317">
        <v>717</v>
      </c>
      <c r="C720" s="44"/>
      <c r="D720" s="45">
        <f t="shared" si="68"/>
        <v>0</v>
      </c>
      <c r="E720" s="318"/>
      <c r="EH720" s="313">
        <v>717</v>
      </c>
      <c r="EI720" s="314"/>
      <c r="EJ720" s="247" t="str">
        <f t="shared" si="69"/>
        <v/>
      </c>
      <c r="EK720" t="str">
        <f t="shared" si="70"/>
        <v/>
      </c>
    </row>
    <row r="721" spans="2:141" x14ac:dyDescent="0.25">
      <c r="B721" s="317">
        <v>718</v>
      </c>
      <c r="C721" s="44"/>
      <c r="D721" s="45">
        <f t="shared" si="68"/>
        <v>0</v>
      </c>
      <c r="E721" s="251"/>
      <c r="EH721" s="313">
        <v>718</v>
      </c>
      <c r="EI721" s="314"/>
      <c r="EJ721" s="247" t="str">
        <f t="shared" si="69"/>
        <v/>
      </c>
      <c r="EK721" t="str">
        <f t="shared" si="70"/>
        <v/>
      </c>
    </row>
    <row r="722" spans="2:141" x14ac:dyDescent="0.25">
      <c r="B722" s="317">
        <v>719</v>
      </c>
      <c r="C722" s="44"/>
      <c r="D722" s="45">
        <f t="shared" si="68"/>
        <v>0</v>
      </c>
      <c r="E722" s="262"/>
      <c r="EH722" s="313">
        <v>719</v>
      </c>
      <c r="EI722" s="314"/>
      <c r="EJ722" s="247" t="str">
        <f t="shared" si="69"/>
        <v/>
      </c>
      <c r="EK722" t="str">
        <f t="shared" si="70"/>
        <v/>
      </c>
    </row>
    <row r="723" spans="2:141" x14ac:dyDescent="0.25">
      <c r="B723" s="317">
        <v>720</v>
      </c>
      <c r="C723" s="44"/>
      <c r="D723" s="45">
        <f t="shared" si="68"/>
        <v>0</v>
      </c>
      <c r="E723" s="265"/>
      <c r="EH723" s="313">
        <v>720</v>
      </c>
      <c r="EI723" s="314">
        <v>8.5884999999999998</v>
      </c>
      <c r="EJ723" s="247">
        <f t="shared" si="69"/>
        <v>1</v>
      </c>
      <c r="EK723">
        <f t="shared" si="70"/>
        <v>0.87637755102040804</v>
      </c>
    </row>
    <row r="724" spans="2:141" x14ac:dyDescent="0.25">
      <c r="B724" s="317">
        <v>721</v>
      </c>
      <c r="C724" s="44"/>
      <c r="D724" s="45">
        <f t="shared" si="68"/>
        <v>0</v>
      </c>
      <c r="E724" s="269"/>
      <c r="EH724" s="313">
        <v>721</v>
      </c>
      <c r="EI724" s="314"/>
      <c r="EJ724" s="247" t="str">
        <f t="shared" si="69"/>
        <v/>
      </c>
      <c r="EK724" t="str">
        <f t="shared" si="70"/>
        <v/>
      </c>
    </row>
    <row r="725" spans="2:141" x14ac:dyDescent="0.25">
      <c r="B725" s="317">
        <v>722</v>
      </c>
      <c r="C725" s="44"/>
      <c r="D725" s="45">
        <f t="shared" si="68"/>
        <v>0</v>
      </c>
      <c r="EH725" s="313">
        <v>722</v>
      </c>
      <c r="EI725" s="314"/>
      <c r="EJ725" s="247" t="str">
        <f t="shared" si="69"/>
        <v/>
      </c>
      <c r="EK725" t="str">
        <f t="shared" si="70"/>
        <v/>
      </c>
    </row>
    <row r="726" spans="2:141" x14ac:dyDescent="0.25">
      <c r="B726" s="317">
        <v>723</v>
      </c>
      <c r="C726" s="44"/>
      <c r="D726" s="45">
        <f t="shared" si="68"/>
        <v>0</v>
      </c>
      <c r="EH726" s="313">
        <v>723</v>
      </c>
      <c r="EI726" s="314"/>
      <c r="EJ726" s="247" t="str">
        <f t="shared" si="69"/>
        <v/>
      </c>
      <c r="EK726" t="str">
        <f t="shared" si="70"/>
        <v/>
      </c>
    </row>
    <row r="727" spans="2:141" x14ac:dyDescent="0.25">
      <c r="B727" s="317">
        <v>724</v>
      </c>
      <c r="C727" s="44"/>
      <c r="D727" s="45">
        <f t="shared" si="68"/>
        <v>0</v>
      </c>
      <c r="EH727" s="313">
        <v>724</v>
      </c>
      <c r="EI727" s="314"/>
      <c r="EJ727" s="247" t="str">
        <f t="shared" si="69"/>
        <v/>
      </c>
      <c r="EK727" t="str">
        <f t="shared" si="70"/>
        <v/>
      </c>
    </row>
    <row r="728" spans="2:141" x14ac:dyDescent="0.25">
      <c r="B728" s="317">
        <v>725</v>
      </c>
      <c r="C728" s="44"/>
      <c r="D728" s="45">
        <f t="shared" si="68"/>
        <v>0</v>
      </c>
      <c r="EH728" s="313">
        <v>725</v>
      </c>
      <c r="EI728" s="314"/>
      <c r="EJ728" s="247" t="str">
        <f t="shared" si="69"/>
        <v/>
      </c>
      <c r="EK728" t="str">
        <f t="shared" si="70"/>
        <v/>
      </c>
    </row>
    <row r="729" spans="2:141" x14ac:dyDescent="0.25">
      <c r="B729" s="261">
        <v>726</v>
      </c>
      <c r="C729" s="44"/>
      <c r="D729" s="45">
        <f t="shared" si="68"/>
        <v>0</v>
      </c>
      <c r="EH729" s="313">
        <v>726</v>
      </c>
      <c r="EI729" s="314"/>
      <c r="EJ729" s="247" t="str">
        <f t="shared" si="69"/>
        <v/>
      </c>
      <c r="EK729" t="str">
        <f t="shared" si="70"/>
        <v/>
      </c>
    </row>
    <row r="730" spans="2:141" x14ac:dyDescent="0.25">
      <c r="B730" s="261">
        <v>727</v>
      </c>
      <c r="C730" s="44"/>
      <c r="D730" s="45">
        <f t="shared" si="68"/>
        <v>0</v>
      </c>
      <c r="EH730" s="313">
        <v>727</v>
      </c>
      <c r="EI730" s="314"/>
      <c r="EJ730" s="247" t="str">
        <f t="shared" si="69"/>
        <v/>
      </c>
      <c r="EK730" t="str">
        <f t="shared" si="70"/>
        <v/>
      </c>
    </row>
    <row r="731" spans="2:141" x14ac:dyDescent="0.25">
      <c r="B731" s="261">
        <v>728</v>
      </c>
      <c r="C731" s="44"/>
      <c r="D731" s="45">
        <f t="shared" si="68"/>
        <v>0</v>
      </c>
      <c r="EH731" s="313">
        <v>728</v>
      </c>
      <c r="EI731" s="314"/>
      <c r="EJ731" s="247" t="str">
        <f t="shared" si="69"/>
        <v/>
      </c>
      <c r="EK731" t="str">
        <f t="shared" si="70"/>
        <v/>
      </c>
    </row>
    <row r="732" spans="2:141" x14ac:dyDescent="0.25">
      <c r="B732" s="261">
        <v>729</v>
      </c>
      <c r="C732" s="44"/>
      <c r="D732" s="45">
        <f t="shared" si="68"/>
        <v>0</v>
      </c>
      <c r="EH732" s="313">
        <v>729</v>
      </c>
      <c r="EI732" s="314"/>
      <c r="EJ732" s="247" t="str">
        <f t="shared" si="69"/>
        <v/>
      </c>
      <c r="EK732" t="str">
        <f t="shared" si="70"/>
        <v/>
      </c>
    </row>
    <row r="733" spans="2:141" x14ac:dyDescent="0.25">
      <c r="B733" s="261">
        <v>730</v>
      </c>
      <c r="C733" s="44"/>
      <c r="D733" s="45">
        <f t="shared" si="68"/>
        <v>0</v>
      </c>
      <c r="EH733" s="313">
        <v>730</v>
      </c>
      <c r="EI733" s="314">
        <v>8.7081</v>
      </c>
      <c r="EJ733" s="247">
        <f t="shared" si="69"/>
        <v>1</v>
      </c>
      <c r="EK733">
        <f t="shared" si="70"/>
        <v>0.88858163265306112</v>
      </c>
    </row>
    <row r="734" spans="2:141" x14ac:dyDescent="0.25">
      <c r="B734" s="261">
        <v>731</v>
      </c>
      <c r="C734" s="44"/>
      <c r="D734" s="45">
        <f t="shared" si="68"/>
        <v>0</v>
      </c>
      <c r="EH734" s="313">
        <v>731</v>
      </c>
      <c r="EI734" s="314"/>
      <c r="EJ734" s="247" t="str">
        <f t="shared" si="69"/>
        <v/>
      </c>
      <c r="EK734" t="str">
        <f t="shared" si="70"/>
        <v/>
      </c>
    </row>
    <row r="735" spans="2:141" x14ac:dyDescent="0.25">
      <c r="B735" s="261">
        <v>732</v>
      </c>
      <c r="C735" s="44"/>
      <c r="D735" s="45">
        <f t="shared" si="68"/>
        <v>0</v>
      </c>
      <c r="EH735" s="313">
        <v>732</v>
      </c>
      <c r="EI735" s="314"/>
      <c r="EJ735" s="247" t="str">
        <f t="shared" si="69"/>
        <v/>
      </c>
      <c r="EK735" t="str">
        <f t="shared" si="70"/>
        <v/>
      </c>
    </row>
    <row r="736" spans="2:141" x14ac:dyDescent="0.25">
      <c r="B736" s="261">
        <v>733</v>
      </c>
      <c r="C736" s="44"/>
      <c r="D736" s="45">
        <f t="shared" si="68"/>
        <v>0</v>
      </c>
      <c r="EH736" s="313">
        <v>733</v>
      </c>
      <c r="EI736" s="314"/>
      <c r="EJ736" s="247" t="str">
        <f t="shared" si="69"/>
        <v/>
      </c>
      <c r="EK736" t="str">
        <f t="shared" si="70"/>
        <v/>
      </c>
    </row>
    <row r="737" spans="2:141" x14ac:dyDescent="0.25">
      <c r="B737" s="261">
        <v>734</v>
      </c>
      <c r="C737" s="44"/>
      <c r="D737" s="45">
        <f t="shared" si="68"/>
        <v>0</v>
      </c>
      <c r="EH737" s="313">
        <v>734</v>
      </c>
      <c r="EI737" s="314"/>
      <c r="EJ737" s="247" t="str">
        <f t="shared" si="69"/>
        <v/>
      </c>
      <c r="EK737" t="str">
        <f t="shared" si="70"/>
        <v/>
      </c>
    </row>
    <row r="738" spans="2:141" x14ac:dyDescent="0.25">
      <c r="B738" s="261">
        <v>735</v>
      </c>
      <c r="C738" s="44"/>
      <c r="D738" s="45">
        <f t="shared" si="68"/>
        <v>0</v>
      </c>
      <c r="EH738" s="313">
        <v>735</v>
      </c>
      <c r="EI738" s="314"/>
      <c r="EJ738" s="247" t="str">
        <f t="shared" si="69"/>
        <v/>
      </c>
      <c r="EK738" t="str">
        <f t="shared" si="70"/>
        <v/>
      </c>
    </row>
    <row r="739" spans="2:141" x14ac:dyDescent="0.25">
      <c r="B739" s="261">
        <v>736</v>
      </c>
      <c r="C739" s="44"/>
      <c r="D739" s="45">
        <f t="shared" si="68"/>
        <v>0</v>
      </c>
      <c r="EH739" s="313">
        <v>736</v>
      </c>
      <c r="EI739" s="314"/>
      <c r="EJ739" s="247" t="str">
        <f t="shared" si="69"/>
        <v/>
      </c>
      <c r="EK739" t="str">
        <f t="shared" si="70"/>
        <v/>
      </c>
    </row>
    <row r="740" spans="2:141" x14ac:dyDescent="0.25">
      <c r="B740" s="261">
        <v>737</v>
      </c>
      <c r="C740" s="44"/>
      <c r="D740" s="45">
        <f t="shared" si="68"/>
        <v>0</v>
      </c>
      <c r="EH740" s="313">
        <v>737</v>
      </c>
      <c r="EI740" s="314"/>
      <c r="EJ740" s="247" t="str">
        <f t="shared" si="69"/>
        <v/>
      </c>
      <c r="EK740" t="str">
        <f t="shared" si="70"/>
        <v/>
      </c>
    </row>
    <row r="741" spans="2:141" x14ac:dyDescent="0.25">
      <c r="B741" s="261">
        <v>738</v>
      </c>
      <c r="C741" s="44"/>
      <c r="D741" s="45">
        <f t="shared" si="68"/>
        <v>0</v>
      </c>
      <c r="EH741" s="313">
        <v>738</v>
      </c>
      <c r="EI741" s="314"/>
      <c r="EJ741" s="247" t="str">
        <f t="shared" si="69"/>
        <v/>
      </c>
      <c r="EK741" t="str">
        <f t="shared" si="70"/>
        <v/>
      </c>
    </row>
    <row r="742" spans="2:141" x14ac:dyDescent="0.25">
      <c r="B742" s="261">
        <v>739</v>
      </c>
      <c r="C742" s="44"/>
      <c r="D742" s="45">
        <f t="shared" si="68"/>
        <v>0</v>
      </c>
      <c r="EH742" s="313">
        <v>739</v>
      </c>
      <c r="EI742" s="314"/>
      <c r="EJ742" s="247" t="str">
        <f t="shared" si="69"/>
        <v/>
      </c>
      <c r="EK742" t="str">
        <f t="shared" si="70"/>
        <v/>
      </c>
    </row>
    <row r="743" spans="2:141" x14ac:dyDescent="0.25">
      <c r="B743" s="261">
        <v>740</v>
      </c>
      <c r="C743" s="44"/>
      <c r="D743" s="45">
        <f t="shared" si="68"/>
        <v>0</v>
      </c>
      <c r="EH743" s="313">
        <v>740</v>
      </c>
      <c r="EI743" s="314">
        <v>8.8277000000000001</v>
      </c>
      <c r="EJ743" s="247">
        <f t="shared" si="69"/>
        <v>1</v>
      </c>
      <c r="EK743">
        <f t="shared" si="70"/>
        <v>0.90078571428571419</v>
      </c>
    </row>
    <row r="744" spans="2:141" x14ac:dyDescent="0.25">
      <c r="B744" s="261">
        <v>741</v>
      </c>
      <c r="C744" s="44"/>
      <c r="D744" s="45">
        <f t="shared" si="68"/>
        <v>0</v>
      </c>
      <c r="E744" s="318"/>
      <c r="EH744" s="313">
        <v>741</v>
      </c>
      <c r="EI744" s="314"/>
      <c r="EJ744" s="247" t="str">
        <f t="shared" si="69"/>
        <v/>
      </c>
      <c r="EK744" t="str">
        <f t="shared" si="70"/>
        <v/>
      </c>
    </row>
    <row r="745" spans="2:141" x14ac:dyDescent="0.25">
      <c r="B745" s="261">
        <v>742</v>
      </c>
      <c r="C745" s="44"/>
      <c r="D745" s="45">
        <f t="shared" si="68"/>
        <v>0</v>
      </c>
      <c r="E745" s="251"/>
      <c r="EH745" s="313">
        <v>742</v>
      </c>
      <c r="EI745" s="314"/>
      <c r="EJ745" s="247" t="str">
        <f t="shared" si="69"/>
        <v/>
      </c>
      <c r="EK745" t="str">
        <f t="shared" si="70"/>
        <v/>
      </c>
    </row>
    <row r="746" spans="2:141" x14ac:dyDescent="0.25">
      <c r="B746" s="261">
        <v>743</v>
      </c>
      <c r="C746" s="44"/>
      <c r="D746" s="45">
        <f t="shared" si="68"/>
        <v>0</v>
      </c>
      <c r="E746" s="262"/>
      <c r="EH746" s="313">
        <v>743</v>
      </c>
      <c r="EI746" s="314"/>
      <c r="EJ746" s="247" t="str">
        <f t="shared" si="69"/>
        <v/>
      </c>
      <c r="EK746" t="str">
        <f t="shared" si="70"/>
        <v/>
      </c>
    </row>
    <row r="747" spans="2:141" x14ac:dyDescent="0.25">
      <c r="B747" s="261">
        <v>744</v>
      </c>
      <c r="C747" s="44"/>
      <c r="D747" s="45">
        <f t="shared" si="68"/>
        <v>0</v>
      </c>
      <c r="E747" s="265"/>
      <c r="EH747" s="313">
        <v>744</v>
      </c>
      <c r="EI747" s="314"/>
      <c r="EJ747" s="247" t="str">
        <f t="shared" si="69"/>
        <v/>
      </c>
      <c r="EK747" t="str">
        <f t="shared" si="70"/>
        <v/>
      </c>
    </row>
    <row r="748" spans="2:141" x14ac:dyDescent="0.25">
      <c r="B748" s="261">
        <v>745</v>
      </c>
      <c r="C748" s="44"/>
      <c r="D748" s="45">
        <f t="shared" si="68"/>
        <v>0</v>
      </c>
      <c r="E748" s="269"/>
      <c r="EH748" s="313">
        <v>745</v>
      </c>
      <c r="EI748" s="314"/>
      <c r="EJ748" s="247" t="str">
        <f t="shared" si="69"/>
        <v/>
      </c>
      <c r="EK748" t="str">
        <f t="shared" si="70"/>
        <v/>
      </c>
    </row>
    <row r="749" spans="2:141" x14ac:dyDescent="0.25">
      <c r="B749" s="261">
        <v>746</v>
      </c>
      <c r="C749" s="44"/>
      <c r="D749" s="45">
        <f t="shared" si="68"/>
        <v>0</v>
      </c>
      <c r="EH749" s="313">
        <v>746</v>
      </c>
      <c r="EI749" s="314"/>
      <c r="EJ749" s="247" t="str">
        <f t="shared" si="69"/>
        <v/>
      </c>
      <c r="EK749" t="str">
        <f t="shared" si="70"/>
        <v/>
      </c>
    </row>
    <row r="750" spans="2:141" x14ac:dyDescent="0.25">
      <c r="B750" s="261">
        <v>747</v>
      </c>
      <c r="C750" s="44"/>
      <c r="D750" s="45">
        <f t="shared" si="68"/>
        <v>0</v>
      </c>
      <c r="EH750" s="313">
        <v>747</v>
      </c>
      <c r="EI750" s="314"/>
      <c r="EJ750" s="247" t="str">
        <f t="shared" si="69"/>
        <v/>
      </c>
      <c r="EK750" t="str">
        <f t="shared" si="70"/>
        <v/>
      </c>
    </row>
    <row r="751" spans="2:141" x14ac:dyDescent="0.25">
      <c r="B751" s="261">
        <v>748</v>
      </c>
      <c r="C751" s="44"/>
      <c r="D751" s="45">
        <f t="shared" si="68"/>
        <v>0</v>
      </c>
      <c r="EH751" s="313">
        <v>748</v>
      </c>
      <c r="EI751" s="314"/>
      <c r="EJ751" s="247" t="str">
        <f t="shared" si="69"/>
        <v/>
      </c>
      <c r="EK751" t="str">
        <f t="shared" si="70"/>
        <v/>
      </c>
    </row>
    <row r="752" spans="2:141" x14ac:dyDescent="0.25">
      <c r="B752" s="261">
        <v>749</v>
      </c>
      <c r="C752" s="44"/>
      <c r="D752" s="45">
        <f t="shared" si="68"/>
        <v>0</v>
      </c>
      <c r="EH752" s="313">
        <v>749</v>
      </c>
      <c r="EI752" s="314"/>
      <c r="EJ752" s="247" t="str">
        <f t="shared" si="69"/>
        <v/>
      </c>
      <c r="EK752" t="str">
        <f t="shared" si="70"/>
        <v/>
      </c>
    </row>
    <row r="753" spans="2:141" x14ac:dyDescent="0.25">
      <c r="B753" s="261">
        <v>750</v>
      </c>
      <c r="C753" s="44"/>
      <c r="D753" s="45">
        <f t="shared" si="68"/>
        <v>0</v>
      </c>
      <c r="EH753" s="313">
        <v>750</v>
      </c>
      <c r="EI753" s="314">
        <v>8.9473000000000003</v>
      </c>
      <c r="EJ753" s="247">
        <f t="shared" si="69"/>
        <v>1</v>
      </c>
      <c r="EK753">
        <f t="shared" si="70"/>
        <v>0.91298979591836726</v>
      </c>
    </row>
    <row r="754" spans="2:141" x14ac:dyDescent="0.25">
      <c r="B754" s="261">
        <v>751</v>
      </c>
      <c r="C754" s="44"/>
      <c r="D754" s="45">
        <f t="shared" si="68"/>
        <v>0</v>
      </c>
      <c r="EH754" s="313">
        <v>751</v>
      </c>
      <c r="EI754" s="314"/>
      <c r="EJ754" s="247" t="str">
        <f t="shared" si="69"/>
        <v/>
      </c>
      <c r="EK754" t="str">
        <f t="shared" si="70"/>
        <v/>
      </c>
    </row>
    <row r="755" spans="2:141" x14ac:dyDescent="0.25">
      <c r="B755" s="261">
        <v>752</v>
      </c>
      <c r="C755" s="44"/>
      <c r="D755" s="45">
        <f t="shared" si="68"/>
        <v>0</v>
      </c>
      <c r="EH755" s="313">
        <v>752</v>
      </c>
      <c r="EI755" s="314"/>
      <c r="EJ755" s="247" t="str">
        <f t="shared" si="69"/>
        <v/>
      </c>
      <c r="EK755" t="str">
        <f t="shared" si="70"/>
        <v/>
      </c>
    </row>
    <row r="756" spans="2:141" x14ac:dyDescent="0.25">
      <c r="B756" s="261">
        <v>753</v>
      </c>
      <c r="C756" s="44"/>
      <c r="D756" s="45">
        <f t="shared" si="68"/>
        <v>0</v>
      </c>
      <c r="EH756" s="313">
        <v>753</v>
      </c>
      <c r="EI756" s="314"/>
      <c r="EJ756" s="247" t="str">
        <f t="shared" si="69"/>
        <v/>
      </c>
      <c r="EK756" t="str">
        <f t="shared" si="70"/>
        <v/>
      </c>
    </row>
    <row r="757" spans="2:141" x14ac:dyDescent="0.25">
      <c r="B757" s="261">
        <v>754</v>
      </c>
      <c r="C757" s="44"/>
      <c r="D757" s="45">
        <f t="shared" si="68"/>
        <v>0</v>
      </c>
      <c r="EH757" s="313">
        <v>754</v>
      </c>
      <c r="EI757" s="314"/>
      <c r="EJ757" s="247" t="str">
        <f t="shared" si="69"/>
        <v/>
      </c>
      <c r="EK757" t="str">
        <f t="shared" si="70"/>
        <v/>
      </c>
    </row>
    <row r="758" spans="2:141" x14ac:dyDescent="0.25">
      <c r="B758" s="261">
        <v>755</v>
      </c>
      <c r="C758" s="44"/>
      <c r="D758" s="45">
        <f t="shared" si="68"/>
        <v>0</v>
      </c>
      <c r="EH758" s="313">
        <v>755</v>
      </c>
      <c r="EI758" s="314"/>
      <c r="EJ758" s="247" t="str">
        <f t="shared" si="69"/>
        <v/>
      </c>
      <c r="EK758" t="str">
        <f t="shared" si="70"/>
        <v/>
      </c>
    </row>
    <row r="759" spans="2:141" x14ac:dyDescent="0.25">
      <c r="B759" s="261">
        <v>756</v>
      </c>
      <c r="C759" s="44"/>
      <c r="D759" s="45">
        <f t="shared" si="68"/>
        <v>0</v>
      </c>
      <c r="EH759" s="313">
        <v>756</v>
      </c>
      <c r="EI759" s="314"/>
      <c r="EJ759" s="247" t="str">
        <f t="shared" si="69"/>
        <v/>
      </c>
      <c r="EK759" t="str">
        <f t="shared" si="70"/>
        <v/>
      </c>
    </row>
    <row r="760" spans="2:141" x14ac:dyDescent="0.25">
      <c r="B760" s="261">
        <v>757</v>
      </c>
      <c r="C760" s="44"/>
      <c r="D760" s="45">
        <f t="shared" si="68"/>
        <v>0</v>
      </c>
      <c r="EH760" s="313">
        <v>757</v>
      </c>
      <c r="EI760" s="314"/>
      <c r="EJ760" s="247" t="str">
        <f t="shared" si="69"/>
        <v/>
      </c>
      <c r="EK760" t="str">
        <f t="shared" si="70"/>
        <v/>
      </c>
    </row>
    <row r="761" spans="2:141" x14ac:dyDescent="0.25">
      <c r="B761" s="261">
        <v>758</v>
      </c>
      <c r="C761" s="44"/>
      <c r="D761" s="45">
        <f t="shared" si="68"/>
        <v>0</v>
      </c>
      <c r="EH761" s="313">
        <v>758</v>
      </c>
      <c r="EI761" s="314"/>
      <c r="EJ761" s="247" t="str">
        <f t="shared" si="69"/>
        <v/>
      </c>
      <c r="EK761" t="str">
        <f t="shared" si="70"/>
        <v/>
      </c>
    </row>
    <row r="762" spans="2:141" x14ac:dyDescent="0.25">
      <c r="B762" s="261">
        <v>759</v>
      </c>
      <c r="C762" s="44"/>
      <c r="D762" s="45">
        <f t="shared" si="68"/>
        <v>0</v>
      </c>
      <c r="EH762" s="313">
        <v>759</v>
      </c>
      <c r="EI762" s="314"/>
      <c r="EJ762" s="247" t="str">
        <f t="shared" si="69"/>
        <v/>
      </c>
      <c r="EK762" t="str">
        <f t="shared" si="70"/>
        <v/>
      </c>
    </row>
    <row r="763" spans="2:141" x14ac:dyDescent="0.25">
      <c r="B763" s="261">
        <v>760</v>
      </c>
      <c r="C763" s="44"/>
      <c r="D763" s="45">
        <f t="shared" si="68"/>
        <v>0</v>
      </c>
      <c r="EH763" s="313">
        <v>760</v>
      </c>
      <c r="EI763" s="314">
        <v>9.0669000000000004</v>
      </c>
      <c r="EJ763" s="247">
        <f t="shared" si="69"/>
        <v>1</v>
      </c>
      <c r="EK763">
        <f t="shared" si="70"/>
        <v>0.92519387755102034</v>
      </c>
    </row>
    <row r="764" spans="2:141" x14ac:dyDescent="0.25">
      <c r="B764" s="261">
        <v>761</v>
      </c>
      <c r="C764" s="44"/>
      <c r="D764" s="45">
        <f t="shared" si="68"/>
        <v>0</v>
      </c>
      <c r="EH764" s="313">
        <v>761</v>
      </c>
      <c r="EI764" s="314"/>
      <c r="EJ764" s="247" t="str">
        <f t="shared" si="69"/>
        <v/>
      </c>
      <c r="EK764" t="str">
        <f t="shared" si="70"/>
        <v/>
      </c>
    </row>
    <row r="765" spans="2:141" x14ac:dyDescent="0.25">
      <c r="B765" s="261">
        <v>762</v>
      </c>
      <c r="C765" s="44"/>
      <c r="D765" s="45">
        <f t="shared" si="68"/>
        <v>0</v>
      </c>
      <c r="EH765" s="313">
        <v>762</v>
      </c>
      <c r="EI765" s="314"/>
      <c r="EJ765" s="247" t="str">
        <f t="shared" si="69"/>
        <v/>
      </c>
      <c r="EK765" t="str">
        <f t="shared" si="70"/>
        <v/>
      </c>
    </row>
    <row r="766" spans="2:141" x14ac:dyDescent="0.25">
      <c r="B766" s="317">
        <v>763</v>
      </c>
      <c r="C766" s="44"/>
      <c r="D766" s="45">
        <f t="shared" si="68"/>
        <v>0</v>
      </c>
      <c r="EH766" s="313">
        <v>763</v>
      </c>
      <c r="EI766" s="314"/>
      <c r="EJ766" s="247" t="str">
        <f t="shared" si="69"/>
        <v/>
      </c>
      <c r="EK766" t="str">
        <f t="shared" si="70"/>
        <v/>
      </c>
    </row>
    <row r="767" spans="2:141" x14ac:dyDescent="0.25">
      <c r="B767" s="317">
        <v>764</v>
      </c>
      <c r="C767" s="44"/>
      <c r="D767" s="45">
        <f t="shared" si="68"/>
        <v>0</v>
      </c>
      <c r="EH767" s="313">
        <v>764</v>
      </c>
      <c r="EI767" s="314"/>
      <c r="EJ767" s="247" t="str">
        <f t="shared" si="69"/>
        <v/>
      </c>
      <c r="EK767" t="str">
        <f t="shared" si="70"/>
        <v/>
      </c>
    </row>
    <row r="768" spans="2:141" x14ac:dyDescent="0.25">
      <c r="B768" s="317">
        <v>765</v>
      </c>
      <c r="C768" s="44"/>
      <c r="D768" s="45">
        <f t="shared" si="68"/>
        <v>0</v>
      </c>
      <c r="E768" s="318"/>
      <c r="EH768" s="313">
        <v>765</v>
      </c>
      <c r="EI768" s="314"/>
      <c r="EJ768" s="247" t="str">
        <f t="shared" si="69"/>
        <v/>
      </c>
      <c r="EK768" t="str">
        <f t="shared" si="70"/>
        <v/>
      </c>
    </row>
    <row r="769" spans="2:141" x14ac:dyDescent="0.25">
      <c r="B769" s="317">
        <v>766</v>
      </c>
      <c r="C769" s="44"/>
      <c r="D769" s="45">
        <f t="shared" si="68"/>
        <v>0</v>
      </c>
      <c r="E769" s="251"/>
      <c r="EH769" s="313">
        <v>766</v>
      </c>
      <c r="EI769" s="314"/>
      <c r="EJ769" s="247" t="str">
        <f t="shared" si="69"/>
        <v/>
      </c>
      <c r="EK769" t="str">
        <f t="shared" si="70"/>
        <v/>
      </c>
    </row>
    <row r="770" spans="2:141" x14ac:dyDescent="0.25">
      <c r="B770" s="317">
        <v>767</v>
      </c>
      <c r="C770" s="44"/>
      <c r="D770" s="45">
        <f t="shared" si="68"/>
        <v>0</v>
      </c>
      <c r="E770" s="262"/>
      <c r="EH770" s="313">
        <v>767</v>
      </c>
      <c r="EI770" s="314"/>
      <c r="EJ770" s="247" t="str">
        <f t="shared" si="69"/>
        <v/>
      </c>
      <c r="EK770" t="str">
        <f t="shared" si="70"/>
        <v/>
      </c>
    </row>
    <row r="771" spans="2:141" x14ac:dyDescent="0.25">
      <c r="B771" s="43">
        <v>768</v>
      </c>
      <c r="C771" s="44"/>
      <c r="D771" s="45">
        <f t="shared" si="68"/>
        <v>0</v>
      </c>
      <c r="E771" s="265"/>
      <c r="EH771" s="313">
        <v>768</v>
      </c>
      <c r="EI771" s="314"/>
      <c r="EJ771" s="247" t="str">
        <f t="shared" si="69"/>
        <v/>
      </c>
      <c r="EK771" t="str">
        <f t="shared" si="70"/>
        <v/>
      </c>
    </row>
    <row r="772" spans="2:141" x14ac:dyDescent="0.25">
      <c r="B772" s="43">
        <v>769</v>
      </c>
      <c r="C772" s="44"/>
      <c r="D772" s="45">
        <f t="shared" si="68"/>
        <v>0</v>
      </c>
      <c r="E772" s="269"/>
      <c r="EH772" s="313">
        <v>769</v>
      </c>
      <c r="EI772" s="314"/>
      <c r="EJ772" s="247" t="str">
        <f t="shared" si="69"/>
        <v/>
      </c>
      <c r="EK772" t="str">
        <f t="shared" si="70"/>
        <v/>
      </c>
    </row>
    <row r="773" spans="2:141" x14ac:dyDescent="0.25">
      <c r="B773" s="43">
        <v>770</v>
      </c>
      <c r="C773" s="44"/>
      <c r="D773" s="45">
        <f t="shared" ref="D773:D836" si="71">C773</f>
        <v>0</v>
      </c>
      <c r="EH773" s="313">
        <v>770</v>
      </c>
      <c r="EI773" s="314">
        <v>9.1866000000000003</v>
      </c>
      <c r="EJ773" s="247">
        <f t="shared" ref="EJ773:EJ836" si="72">IF(EI773="","",1)</f>
        <v>1</v>
      </c>
      <c r="EK773">
        <f t="shared" ref="EK773:EK836" si="73">IF(EI773="","",EI773/9.8)</f>
        <v>0.93740816326530607</v>
      </c>
    </row>
    <row r="774" spans="2:141" x14ac:dyDescent="0.25">
      <c r="B774" s="43">
        <v>771</v>
      </c>
      <c r="C774" s="44"/>
      <c r="D774" s="45">
        <f t="shared" si="71"/>
        <v>0</v>
      </c>
      <c r="EH774" s="313">
        <v>771</v>
      </c>
      <c r="EI774" s="314"/>
      <c r="EJ774" s="247" t="str">
        <f t="shared" si="72"/>
        <v/>
      </c>
      <c r="EK774" t="str">
        <f t="shared" si="73"/>
        <v/>
      </c>
    </row>
    <row r="775" spans="2:141" x14ac:dyDescent="0.25">
      <c r="B775" s="43">
        <v>772</v>
      </c>
      <c r="C775" s="44"/>
      <c r="D775" s="45">
        <f t="shared" si="71"/>
        <v>0</v>
      </c>
      <c r="EH775" s="313">
        <v>772</v>
      </c>
      <c r="EI775" s="314"/>
      <c r="EJ775" s="247" t="str">
        <f t="shared" si="72"/>
        <v/>
      </c>
      <c r="EK775" t="str">
        <f t="shared" si="73"/>
        <v/>
      </c>
    </row>
    <row r="776" spans="2:141" x14ac:dyDescent="0.25">
      <c r="B776" s="43">
        <v>773</v>
      </c>
      <c r="C776" s="44"/>
      <c r="D776" s="45">
        <f t="shared" si="71"/>
        <v>0</v>
      </c>
      <c r="EH776" s="313">
        <v>773</v>
      </c>
      <c r="EI776" s="314"/>
      <c r="EJ776" s="247" t="str">
        <f t="shared" si="72"/>
        <v/>
      </c>
      <c r="EK776" t="str">
        <f t="shared" si="73"/>
        <v/>
      </c>
    </row>
    <row r="777" spans="2:141" x14ac:dyDescent="0.25">
      <c r="B777" s="43">
        <v>774</v>
      </c>
      <c r="C777" s="44"/>
      <c r="D777" s="45">
        <f t="shared" si="71"/>
        <v>0</v>
      </c>
      <c r="EH777" s="313">
        <v>774</v>
      </c>
      <c r="EI777" s="314"/>
      <c r="EJ777" s="247" t="str">
        <f t="shared" si="72"/>
        <v/>
      </c>
      <c r="EK777" t="str">
        <f t="shared" si="73"/>
        <v/>
      </c>
    </row>
    <row r="778" spans="2:141" x14ac:dyDescent="0.25">
      <c r="B778" s="43">
        <v>775</v>
      </c>
      <c r="C778" s="44"/>
      <c r="D778" s="45">
        <f t="shared" si="71"/>
        <v>0</v>
      </c>
      <c r="EH778" s="313">
        <v>775</v>
      </c>
      <c r="EI778" s="314"/>
      <c r="EJ778" s="247" t="str">
        <f t="shared" si="72"/>
        <v/>
      </c>
      <c r="EK778" t="str">
        <f t="shared" si="73"/>
        <v/>
      </c>
    </row>
    <row r="779" spans="2:141" x14ac:dyDescent="0.25">
      <c r="B779" s="43">
        <v>776</v>
      </c>
      <c r="C779" s="44"/>
      <c r="D779" s="45">
        <f t="shared" si="71"/>
        <v>0</v>
      </c>
      <c r="EH779" s="313">
        <v>776</v>
      </c>
      <c r="EI779" s="314"/>
      <c r="EJ779" s="247" t="str">
        <f t="shared" si="72"/>
        <v/>
      </c>
      <c r="EK779" t="str">
        <f t="shared" si="73"/>
        <v/>
      </c>
    </row>
    <row r="780" spans="2:141" x14ac:dyDescent="0.25">
      <c r="B780" s="43">
        <v>777</v>
      </c>
      <c r="C780" s="44"/>
      <c r="D780" s="45">
        <f t="shared" si="71"/>
        <v>0</v>
      </c>
      <c r="EH780" s="313">
        <v>777</v>
      </c>
      <c r="EI780" s="314"/>
      <c r="EJ780" s="247" t="str">
        <f t="shared" si="72"/>
        <v/>
      </c>
      <c r="EK780" t="str">
        <f t="shared" si="73"/>
        <v/>
      </c>
    </row>
    <row r="781" spans="2:141" x14ac:dyDescent="0.25">
      <c r="B781" s="43">
        <v>778</v>
      </c>
      <c r="C781" s="44"/>
      <c r="D781" s="45">
        <f t="shared" si="71"/>
        <v>0</v>
      </c>
      <c r="EH781" s="313">
        <v>778</v>
      </c>
      <c r="EI781" s="314"/>
      <c r="EJ781" s="247" t="str">
        <f t="shared" si="72"/>
        <v/>
      </c>
      <c r="EK781" t="str">
        <f t="shared" si="73"/>
        <v/>
      </c>
    </row>
    <row r="782" spans="2:141" x14ac:dyDescent="0.25">
      <c r="B782" s="43">
        <v>779</v>
      </c>
      <c r="C782" s="44"/>
      <c r="D782" s="45">
        <f t="shared" si="71"/>
        <v>0</v>
      </c>
      <c r="EH782" s="313">
        <v>779</v>
      </c>
      <c r="EI782" s="314"/>
      <c r="EJ782" s="247" t="str">
        <f t="shared" si="72"/>
        <v/>
      </c>
      <c r="EK782" t="str">
        <f t="shared" si="73"/>
        <v/>
      </c>
    </row>
    <row r="783" spans="2:141" x14ac:dyDescent="0.25">
      <c r="B783" s="43">
        <v>780</v>
      </c>
      <c r="C783" s="44"/>
      <c r="D783" s="45">
        <f t="shared" si="71"/>
        <v>0</v>
      </c>
      <c r="EH783" s="313">
        <v>780</v>
      </c>
      <c r="EI783" s="314">
        <v>9.3062000000000005</v>
      </c>
      <c r="EJ783" s="247">
        <f t="shared" si="72"/>
        <v>1</v>
      </c>
      <c r="EK783">
        <f t="shared" si="73"/>
        <v>0.94961224489795915</v>
      </c>
    </row>
    <row r="784" spans="2:141" x14ac:dyDescent="0.25">
      <c r="B784" s="43">
        <v>781</v>
      </c>
      <c r="C784" s="44"/>
      <c r="D784" s="45">
        <f t="shared" si="71"/>
        <v>0</v>
      </c>
      <c r="EH784" s="313">
        <v>781</v>
      </c>
      <c r="EI784" s="314"/>
      <c r="EJ784" s="247" t="str">
        <f t="shared" si="72"/>
        <v/>
      </c>
      <c r="EK784" t="str">
        <f t="shared" si="73"/>
        <v/>
      </c>
    </row>
    <row r="785" spans="2:141" x14ac:dyDescent="0.25">
      <c r="B785" s="43">
        <v>782</v>
      </c>
      <c r="C785" s="44"/>
      <c r="D785" s="45">
        <f t="shared" si="71"/>
        <v>0</v>
      </c>
      <c r="EH785" s="313">
        <v>782</v>
      </c>
      <c r="EI785" s="314"/>
      <c r="EJ785" s="247" t="str">
        <f t="shared" si="72"/>
        <v/>
      </c>
      <c r="EK785" t="str">
        <f t="shared" si="73"/>
        <v/>
      </c>
    </row>
    <row r="786" spans="2:141" x14ac:dyDescent="0.25">
      <c r="B786" s="43">
        <v>783</v>
      </c>
      <c r="C786" s="44"/>
      <c r="D786" s="45">
        <f t="shared" si="71"/>
        <v>0</v>
      </c>
      <c r="EH786" s="313">
        <v>783</v>
      </c>
      <c r="EI786" s="314"/>
      <c r="EJ786" s="247" t="str">
        <f t="shared" si="72"/>
        <v/>
      </c>
      <c r="EK786" t="str">
        <f t="shared" si="73"/>
        <v/>
      </c>
    </row>
    <row r="787" spans="2:141" x14ac:dyDescent="0.25">
      <c r="B787" s="43">
        <v>784</v>
      </c>
      <c r="C787" s="44"/>
      <c r="D787" s="45">
        <f t="shared" si="71"/>
        <v>0</v>
      </c>
      <c r="EH787" s="313">
        <v>784</v>
      </c>
      <c r="EI787" s="314"/>
      <c r="EJ787" s="247" t="str">
        <f t="shared" si="72"/>
        <v/>
      </c>
      <c r="EK787" t="str">
        <f t="shared" si="73"/>
        <v/>
      </c>
    </row>
    <row r="788" spans="2:141" x14ac:dyDescent="0.25">
      <c r="B788" s="43">
        <v>785</v>
      </c>
      <c r="C788" s="44"/>
      <c r="D788" s="45">
        <f t="shared" si="71"/>
        <v>0</v>
      </c>
      <c r="EH788" s="313">
        <v>785</v>
      </c>
      <c r="EI788" s="314"/>
      <c r="EJ788" s="247" t="str">
        <f t="shared" si="72"/>
        <v/>
      </c>
      <c r="EK788" t="str">
        <f t="shared" si="73"/>
        <v/>
      </c>
    </row>
    <row r="789" spans="2:141" x14ac:dyDescent="0.25">
      <c r="B789" s="43">
        <v>786</v>
      </c>
      <c r="C789" s="44"/>
      <c r="D789" s="45">
        <f t="shared" si="71"/>
        <v>0</v>
      </c>
      <c r="EH789" s="313">
        <v>786</v>
      </c>
      <c r="EI789" s="314"/>
      <c r="EJ789" s="247" t="str">
        <f t="shared" si="72"/>
        <v/>
      </c>
      <c r="EK789" t="str">
        <f t="shared" si="73"/>
        <v/>
      </c>
    </row>
    <row r="790" spans="2:141" x14ac:dyDescent="0.25">
      <c r="B790" s="43">
        <v>787</v>
      </c>
      <c r="C790" s="44"/>
      <c r="D790" s="45">
        <f t="shared" si="71"/>
        <v>0</v>
      </c>
      <c r="EH790" s="313">
        <v>787</v>
      </c>
      <c r="EI790" s="314"/>
      <c r="EJ790" s="247" t="str">
        <f t="shared" si="72"/>
        <v/>
      </c>
      <c r="EK790" t="str">
        <f t="shared" si="73"/>
        <v/>
      </c>
    </row>
    <row r="791" spans="2:141" x14ac:dyDescent="0.25">
      <c r="B791" s="43">
        <v>788</v>
      </c>
      <c r="C791" s="44"/>
      <c r="D791" s="45">
        <f t="shared" si="71"/>
        <v>0</v>
      </c>
      <c r="EH791" s="313">
        <v>788</v>
      </c>
      <c r="EI791" s="314"/>
      <c r="EJ791" s="247" t="str">
        <f t="shared" si="72"/>
        <v/>
      </c>
      <c r="EK791" t="str">
        <f t="shared" si="73"/>
        <v/>
      </c>
    </row>
    <row r="792" spans="2:141" x14ac:dyDescent="0.25">
      <c r="B792" s="43">
        <v>789</v>
      </c>
      <c r="C792" s="44"/>
      <c r="D792" s="45">
        <f t="shared" si="71"/>
        <v>0</v>
      </c>
      <c r="E792" s="318"/>
      <c r="EH792" s="313">
        <v>789</v>
      </c>
      <c r="EI792" s="314"/>
      <c r="EJ792" s="247" t="str">
        <f t="shared" si="72"/>
        <v/>
      </c>
      <c r="EK792" t="str">
        <f t="shared" si="73"/>
        <v/>
      </c>
    </row>
    <row r="793" spans="2:141" x14ac:dyDescent="0.25">
      <c r="B793" s="43">
        <v>790</v>
      </c>
      <c r="C793" s="44"/>
      <c r="D793" s="45">
        <f t="shared" si="71"/>
        <v>0</v>
      </c>
      <c r="E793" s="251"/>
      <c r="EH793" s="313">
        <v>790</v>
      </c>
      <c r="EI793" s="314">
        <v>9.4258000000000006</v>
      </c>
      <c r="EJ793" s="247">
        <f t="shared" si="72"/>
        <v>1</v>
      </c>
      <c r="EK793">
        <f t="shared" si="73"/>
        <v>0.96181632653061222</v>
      </c>
    </row>
    <row r="794" spans="2:141" x14ac:dyDescent="0.25">
      <c r="B794" s="43">
        <v>791</v>
      </c>
      <c r="C794" s="44"/>
      <c r="D794" s="45">
        <f t="shared" si="71"/>
        <v>0</v>
      </c>
      <c r="E794" s="262"/>
      <c r="EH794" s="313">
        <v>791</v>
      </c>
      <c r="EI794" s="314"/>
      <c r="EJ794" s="247" t="str">
        <f t="shared" si="72"/>
        <v/>
      </c>
      <c r="EK794" t="str">
        <f t="shared" si="73"/>
        <v/>
      </c>
    </row>
    <row r="795" spans="2:141" x14ac:dyDescent="0.25">
      <c r="B795" s="43">
        <v>792</v>
      </c>
      <c r="C795" s="44"/>
      <c r="D795" s="45">
        <f t="shared" si="71"/>
        <v>0</v>
      </c>
      <c r="E795" s="265"/>
      <c r="EH795" s="313">
        <v>792</v>
      </c>
      <c r="EI795" s="314"/>
      <c r="EJ795" s="247" t="str">
        <f t="shared" si="72"/>
        <v/>
      </c>
      <c r="EK795" t="str">
        <f t="shared" si="73"/>
        <v/>
      </c>
    </row>
    <row r="796" spans="2:141" x14ac:dyDescent="0.25">
      <c r="B796" s="43">
        <v>793</v>
      </c>
      <c r="C796" s="44"/>
      <c r="D796" s="45">
        <f t="shared" si="71"/>
        <v>0</v>
      </c>
      <c r="E796" s="269"/>
      <c r="EH796" s="313">
        <v>793</v>
      </c>
      <c r="EI796" s="314"/>
      <c r="EJ796" s="247" t="str">
        <f t="shared" si="72"/>
        <v/>
      </c>
      <c r="EK796" t="str">
        <f t="shared" si="73"/>
        <v/>
      </c>
    </row>
    <row r="797" spans="2:141" x14ac:dyDescent="0.25">
      <c r="B797" s="43">
        <v>794</v>
      </c>
      <c r="C797" s="44"/>
      <c r="D797" s="45">
        <f t="shared" si="71"/>
        <v>0</v>
      </c>
      <c r="EH797" s="313">
        <v>794</v>
      </c>
      <c r="EI797" s="314"/>
      <c r="EJ797" s="247" t="str">
        <f t="shared" si="72"/>
        <v/>
      </c>
      <c r="EK797" t="str">
        <f t="shared" si="73"/>
        <v/>
      </c>
    </row>
    <row r="798" spans="2:141" x14ac:dyDescent="0.25">
      <c r="B798" s="43">
        <v>795</v>
      </c>
      <c r="C798" s="44"/>
      <c r="D798" s="45">
        <f t="shared" si="71"/>
        <v>0</v>
      </c>
      <c r="EH798" s="313">
        <v>795</v>
      </c>
      <c r="EI798" s="314"/>
      <c r="EJ798" s="247" t="str">
        <f t="shared" si="72"/>
        <v/>
      </c>
      <c r="EK798" t="str">
        <f t="shared" si="73"/>
        <v/>
      </c>
    </row>
    <row r="799" spans="2:141" x14ac:dyDescent="0.25">
      <c r="B799" s="43">
        <v>796</v>
      </c>
      <c r="C799" s="44"/>
      <c r="D799" s="45">
        <f t="shared" si="71"/>
        <v>0</v>
      </c>
      <c r="EH799" s="313">
        <v>796</v>
      </c>
      <c r="EI799" s="314"/>
      <c r="EJ799" s="247" t="str">
        <f t="shared" si="72"/>
        <v/>
      </c>
      <c r="EK799" t="str">
        <f t="shared" si="73"/>
        <v/>
      </c>
    </row>
    <row r="800" spans="2:141" x14ac:dyDescent="0.25">
      <c r="B800" s="43">
        <v>797</v>
      </c>
      <c r="C800" s="44"/>
      <c r="D800" s="45">
        <f t="shared" si="71"/>
        <v>0</v>
      </c>
      <c r="EH800" s="313">
        <v>797</v>
      </c>
      <c r="EI800" s="314"/>
      <c r="EJ800" s="247" t="str">
        <f t="shared" si="72"/>
        <v/>
      </c>
      <c r="EK800" t="str">
        <f t="shared" si="73"/>
        <v/>
      </c>
    </row>
    <row r="801" spans="2:141" x14ac:dyDescent="0.25">
      <c r="B801" s="43">
        <v>798</v>
      </c>
      <c r="C801" s="44"/>
      <c r="D801" s="45">
        <f t="shared" si="71"/>
        <v>0</v>
      </c>
      <c r="EH801" s="313">
        <v>798</v>
      </c>
      <c r="EI801" s="314"/>
      <c r="EJ801" s="247" t="str">
        <f t="shared" si="72"/>
        <v/>
      </c>
      <c r="EK801" t="str">
        <f t="shared" si="73"/>
        <v/>
      </c>
    </row>
    <row r="802" spans="2:141" x14ac:dyDescent="0.25">
      <c r="B802" s="43">
        <v>799</v>
      </c>
      <c r="C802" s="44"/>
      <c r="D802" s="45">
        <f t="shared" si="71"/>
        <v>0</v>
      </c>
      <c r="EH802" s="313">
        <v>799</v>
      </c>
      <c r="EI802" s="314"/>
      <c r="EJ802" s="247" t="str">
        <f t="shared" si="72"/>
        <v/>
      </c>
      <c r="EK802" t="str">
        <f t="shared" si="73"/>
        <v/>
      </c>
    </row>
    <row r="803" spans="2:141" x14ac:dyDescent="0.25">
      <c r="B803" s="43">
        <v>800</v>
      </c>
      <c r="C803" s="44"/>
      <c r="D803" s="45">
        <f t="shared" si="71"/>
        <v>0</v>
      </c>
      <c r="EH803" s="313">
        <v>800</v>
      </c>
      <c r="EI803" s="314">
        <v>9.5454000000000008</v>
      </c>
      <c r="EJ803" s="247">
        <f t="shared" si="72"/>
        <v>1</v>
      </c>
      <c r="EK803">
        <f t="shared" si="73"/>
        <v>0.97402040816326529</v>
      </c>
    </row>
    <row r="804" spans="2:141" x14ac:dyDescent="0.25">
      <c r="B804" s="43">
        <v>801</v>
      </c>
      <c r="C804" s="44"/>
      <c r="D804" s="45">
        <f t="shared" si="71"/>
        <v>0</v>
      </c>
      <c r="EH804" s="313">
        <v>801</v>
      </c>
      <c r="EI804" s="314"/>
      <c r="EJ804" s="247" t="str">
        <f t="shared" si="72"/>
        <v/>
      </c>
      <c r="EK804" t="str">
        <f t="shared" si="73"/>
        <v/>
      </c>
    </row>
    <row r="805" spans="2:141" x14ac:dyDescent="0.25">
      <c r="B805" s="43">
        <v>802</v>
      </c>
      <c r="C805" s="44"/>
      <c r="D805" s="45">
        <f t="shared" si="71"/>
        <v>0</v>
      </c>
      <c r="EH805" s="313">
        <v>802</v>
      </c>
      <c r="EI805" s="314"/>
      <c r="EJ805" s="247" t="str">
        <f t="shared" si="72"/>
        <v/>
      </c>
      <c r="EK805" t="str">
        <f t="shared" si="73"/>
        <v/>
      </c>
    </row>
    <row r="806" spans="2:141" x14ac:dyDescent="0.25">
      <c r="B806" s="43">
        <v>803</v>
      </c>
      <c r="C806" s="44"/>
      <c r="D806" s="45">
        <f t="shared" si="71"/>
        <v>0</v>
      </c>
      <c r="EH806" s="313">
        <v>803</v>
      </c>
      <c r="EI806" s="314"/>
      <c r="EJ806" s="247" t="str">
        <f t="shared" si="72"/>
        <v/>
      </c>
      <c r="EK806" t="str">
        <f t="shared" si="73"/>
        <v/>
      </c>
    </row>
    <row r="807" spans="2:141" x14ac:dyDescent="0.25">
      <c r="B807" s="43">
        <v>804</v>
      </c>
      <c r="C807" s="44"/>
      <c r="D807" s="45">
        <f t="shared" si="71"/>
        <v>0</v>
      </c>
      <c r="EH807" s="313">
        <v>804</v>
      </c>
      <c r="EI807" s="314"/>
      <c r="EJ807" s="247" t="str">
        <f t="shared" si="72"/>
        <v/>
      </c>
      <c r="EK807" t="str">
        <f t="shared" si="73"/>
        <v/>
      </c>
    </row>
    <row r="808" spans="2:141" x14ac:dyDescent="0.25">
      <c r="B808" s="43">
        <v>805</v>
      </c>
      <c r="C808" s="44"/>
      <c r="D808" s="45">
        <f t="shared" si="71"/>
        <v>0</v>
      </c>
      <c r="EH808" s="313">
        <v>805</v>
      </c>
      <c r="EI808" s="314"/>
      <c r="EJ808" s="247" t="str">
        <f t="shared" si="72"/>
        <v/>
      </c>
      <c r="EK808" t="str">
        <f t="shared" si="73"/>
        <v/>
      </c>
    </row>
    <row r="809" spans="2:141" x14ac:dyDescent="0.25">
      <c r="B809" s="43">
        <v>806</v>
      </c>
      <c r="C809" s="44"/>
      <c r="D809" s="45">
        <f t="shared" si="71"/>
        <v>0</v>
      </c>
      <c r="EH809" s="313">
        <v>806</v>
      </c>
      <c r="EI809" s="314"/>
      <c r="EJ809" s="247" t="str">
        <f t="shared" si="72"/>
        <v/>
      </c>
      <c r="EK809" t="str">
        <f t="shared" si="73"/>
        <v/>
      </c>
    </row>
    <row r="810" spans="2:141" x14ac:dyDescent="0.25">
      <c r="B810" s="43">
        <v>807</v>
      </c>
      <c r="C810" s="44"/>
      <c r="D810" s="45">
        <f t="shared" si="71"/>
        <v>0</v>
      </c>
      <c r="EH810" s="313">
        <v>807</v>
      </c>
      <c r="EI810" s="314"/>
      <c r="EJ810" s="247" t="str">
        <f t="shared" si="72"/>
        <v/>
      </c>
      <c r="EK810" t="str">
        <f t="shared" si="73"/>
        <v/>
      </c>
    </row>
    <row r="811" spans="2:141" x14ac:dyDescent="0.25">
      <c r="B811" s="43">
        <v>808</v>
      </c>
      <c r="C811" s="44"/>
      <c r="D811" s="45">
        <f t="shared" si="71"/>
        <v>0</v>
      </c>
      <c r="EH811" s="313">
        <v>808</v>
      </c>
      <c r="EI811" s="314"/>
      <c r="EJ811" s="247" t="str">
        <f t="shared" si="72"/>
        <v/>
      </c>
      <c r="EK811" t="str">
        <f t="shared" si="73"/>
        <v/>
      </c>
    </row>
    <row r="812" spans="2:141" x14ac:dyDescent="0.25">
      <c r="B812" s="43">
        <v>809</v>
      </c>
      <c r="C812" s="44"/>
      <c r="D812" s="45">
        <f t="shared" si="71"/>
        <v>0</v>
      </c>
      <c r="EH812" s="313">
        <v>809</v>
      </c>
      <c r="EI812" s="314"/>
      <c r="EJ812" s="247" t="str">
        <f t="shared" si="72"/>
        <v/>
      </c>
      <c r="EK812" t="str">
        <f t="shared" si="73"/>
        <v/>
      </c>
    </row>
    <row r="813" spans="2:141" x14ac:dyDescent="0.25">
      <c r="B813" s="43">
        <v>810</v>
      </c>
      <c r="C813" s="44"/>
      <c r="D813" s="45">
        <f t="shared" si="71"/>
        <v>0</v>
      </c>
      <c r="EH813" s="313">
        <v>810</v>
      </c>
      <c r="EI813" s="314">
        <v>9.6649999999999991</v>
      </c>
      <c r="EJ813" s="247">
        <f t="shared" si="72"/>
        <v>1</v>
      </c>
      <c r="EK813">
        <f t="shared" si="73"/>
        <v>0.98622448979591826</v>
      </c>
    </row>
    <row r="814" spans="2:141" x14ac:dyDescent="0.25">
      <c r="B814" s="43">
        <v>811</v>
      </c>
      <c r="C814" s="44"/>
      <c r="D814" s="45">
        <f t="shared" si="71"/>
        <v>0</v>
      </c>
      <c r="EH814" s="313">
        <v>811</v>
      </c>
      <c r="EI814" s="314"/>
      <c r="EJ814" s="247" t="str">
        <f t="shared" si="72"/>
        <v/>
      </c>
      <c r="EK814" t="str">
        <f t="shared" si="73"/>
        <v/>
      </c>
    </row>
    <row r="815" spans="2:141" x14ac:dyDescent="0.25">
      <c r="B815" s="43">
        <v>812</v>
      </c>
      <c r="C815" s="44"/>
      <c r="D815" s="45">
        <f t="shared" si="71"/>
        <v>0</v>
      </c>
      <c r="EH815" s="313">
        <v>812</v>
      </c>
      <c r="EI815" s="314"/>
      <c r="EJ815" s="247" t="str">
        <f t="shared" si="72"/>
        <v/>
      </c>
      <c r="EK815" t="str">
        <f t="shared" si="73"/>
        <v/>
      </c>
    </row>
    <row r="816" spans="2:141" x14ac:dyDescent="0.25">
      <c r="B816" s="43">
        <v>813</v>
      </c>
      <c r="C816" s="44"/>
      <c r="D816" s="45">
        <f t="shared" si="71"/>
        <v>0</v>
      </c>
      <c r="E816" s="318"/>
      <c r="EH816" s="313">
        <v>813</v>
      </c>
      <c r="EI816" s="314"/>
      <c r="EJ816" s="247" t="str">
        <f t="shared" si="72"/>
        <v/>
      </c>
      <c r="EK816" t="str">
        <f t="shared" si="73"/>
        <v/>
      </c>
    </row>
    <row r="817" spans="2:141" x14ac:dyDescent="0.25">
      <c r="B817" s="43">
        <v>814</v>
      </c>
      <c r="C817" s="44"/>
      <c r="D817" s="45">
        <f t="shared" si="71"/>
        <v>0</v>
      </c>
      <c r="E817" s="251"/>
      <c r="EH817" s="313">
        <v>814</v>
      </c>
      <c r="EI817" s="314"/>
      <c r="EJ817" s="247" t="str">
        <f t="shared" si="72"/>
        <v/>
      </c>
      <c r="EK817" t="str">
        <f t="shared" si="73"/>
        <v/>
      </c>
    </row>
    <row r="818" spans="2:141" x14ac:dyDescent="0.25">
      <c r="B818" s="43">
        <v>815</v>
      </c>
      <c r="C818" s="44"/>
      <c r="D818" s="45">
        <f t="shared" si="71"/>
        <v>0</v>
      </c>
      <c r="E818" s="262"/>
      <c r="EH818" s="313">
        <v>815</v>
      </c>
      <c r="EI818" s="314"/>
      <c r="EJ818" s="247" t="str">
        <f t="shared" si="72"/>
        <v/>
      </c>
      <c r="EK818" t="str">
        <f t="shared" si="73"/>
        <v/>
      </c>
    </row>
    <row r="819" spans="2:141" x14ac:dyDescent="0.25">
      <c r="B819" s="43">
        <v>816</v>
      </c>
      <c r="C819" s="44"/>
      <c r="D819" s="45">
        <f t="shared" si="71"/>
        <v>0</v>
      </c>
      <c r="E819" s="265"/>
      <c r="EH819" s="313">
        <v>816</v>
      </c>
      <c r="EI819" s="314"/>
      <c r="EJ819" s="247" t="str">
        <f t="shared" si="72"/>
        <v/>
      </c>
      <c r="EK819" t="str">
        <f t="shared" si="73"/>
        <v/>
      </c>
    </row>
    <row r="820" spans="2:141" x14ac:dyDescent="0.25">
      <c r="B820" s="43">
        <v>817</v>
      </c>
      <c r="C820" s="44"/>
      <c r="D820" s="45">
        <f t="shared" si="71"/>
        <v>0</v>
      </c>
      <c r="E820" s="269"/>
      <c r="EH820" s="313">
        <v>817</v>
      </c>
      <c r="EI820" s="314"/>
      <c r="EJ820" s="247" t="str">
        <f t="shared" si="72"/>
        <v/>
      </c>
      <c r="EK820" t="str">
        <f t="shared" si="73"/>
        <v/>
      </c>
    </row>
    <row r="821" spans="2:141" x14ac:dyDescent="0.25">
      <c r="B821" s="43">
        <v>818</v>
      </c>
      <c r="C821" s="44"/>
      <c r="D821" s="45">
        <f t="shared" si="71"/>
        <v>0</v>
      </c>
      <c r="EH821" s="313">
        <v>818</v>
      </c>
      <c r="EI821" s="314"/>
      <c r="EJ821" s="247" t="str">
        <f t="shared" si="72"/>
        <v/>
      </c>
      <c r="EK821" t="str">
        <f t="shared" si="73"/>
        <v/>
      </c>
    </row>
    <row r="822" spans="2:141" x14ac:dyDescent="0.25">
      <c r="B822" s="43">
        <v>819</v>
      </c>
      <c r="C822" s="44"/>
      <c r="D822" s="45">
        <f t="shared" si="71"/>
        <v>0</v>
      </c>
      <c r="EH822" s="313">
        <v>819</v>
      </c>
      <c r="EI822" s="314"/>
      <c r="EJ822" s="247" t="str">
        <f t="shared" si="72"/>
        <v/>
      </c>
      <c r="EK822" t="str">
        <f t="shared" si="73"/>
        <v/>
      </c>
    </row>
    <row r="823" spans="2:141" x14ac:dyDescent="0.25">
      <c r="B823" s="43">
        <v>820</v>
      </c>
      <c r="C823" s="44"/>
      <c r="D823" s="45">
        <f t="shared" si="71"/>
        <v>0</v>
      </c>
      <c r="EH823" s="313">
        <v>820</v>
      </c>
      <c r="EI823" s="314">
        <v>9.7845999999999993</v>
      </c>
      <c r="EJ823" s="247">
        <f t="shared" si="72"/>
        <v>1</v>
      </c>
      <c r="EK823">
        <f t="shared" si="73"/>
        <v>0.99842857142857133</v>
      </c>
    </row>
    <row r="824" spans="2:141" x14ac:dyDescent="0.25">
      <c r="B824" s="43">
        <v>821</v>
      </c>
      <c r="C824" s="44"/>
      <c r="D824" s="45">
        <f t="shared" si="71"/>
        <v>0</v>
      </c>
      <c r="EH824" s="313">
        <v>821</v>
      </c>
      <c r="EI824" s="314"/>
      <c r="EJ824" s="247" t="str">
        <f t="shared" si="72"/>
        <v/>
      </c>
      <c r="EK824" t="str">
        <f t="shared" si="73"/>
        <v/>
      </c>
    </row>
    <row r="825" spans="2:141" x14ac:dyDescent="0.25">
      <c r="B825" s="43">
        <v>822</v>
      </c>
      <c r="C825" s="44"/>
      <c r="D825" s="45">
        <f t="shared" si="71"/>
        <v>0</v>
      </c>
      <c r="EH825" s="313">
        <v>822</v>
      </c>
      <c r="EI825" s="314"/>
      <c r="EJ825" s="247" t="str">
        <f t="shared" si="72"/>
        <v/>
      </c>
      <c r="EK825" t="str">
        <f t="shared" si="73"/>
        <v/>
      </c>
    </row>
    <row r="826" spans="2:141" x14ac:dyDescent="0.25">
      <c r="B826" s="43">
        <v>823</v>
      </c>
      <c r="C826" s="44"/>
      <c r="D826" s="45">
        <f t="shared" si="71"/>
        <v>0</v>
      </c>
      <c r="EH826" s="313">
        <v>823</v>
      </c>
      <c r="EI826" s="314"/>
      <c r="EJ826" s="247" t="str">
        <f t="shared" si="72"/>
        <v/>
      </c>
      <c r="EK826" t="str">
        <f t="shared" si="73"/>
        <v/>
      </c>
    </row>
    <row r="827" spans="2:141" x14ac:dyDescent="0.25">
      <c r="B827" s="43">
        <v>824</v>
      </c>
      <c r="C827" s="44"/>
      <c r="D827" s="45">
        <f t="shared" si="71"/>
        <v>0</v>
      </c>
      <c r="EH827" s="313">
        <v>824</v>
      </c>
      <c r="EI827" s="314"/>
      <c r="EJ827" s="247" t="str">
        <f t="shared" si="72"/>
        <v/>
      </c>
      <c r="EK827" t="str">
        <f t="shared" si="73"/>
        <v/>
      </c>
    </row>
    <row r="828" spans="2:141" x14ac:dyDescent="0.25">
      <c r="B828" s="43">
        <v>825</v>
      </c>
      <c r="C828" s="44"/>
      <c r="D828" s="45">
        <f t="shared" si="71"/>
        <v>0</v>
      </c>
      <c r="EH828" s="313">
        <v>825</v>
      </c>
      <c r="EI828" s="314"/>
      <c r="EJ828" s="247" t="str">
        <f t="shared" si="72"/>
        <v/>
      </c>
      <c r="EK828" t="str">
        <f t="shared" si="73"/>
        <v/>
      </c>
    </row>
    <row r="829" spans="2:141" x14ac:dyDescent="0.25">
      <c r="B829" s="43">
        <v>826</v>
      </c>
      <c r="C829" s="44"/>
      <c r="D829" s="45">
        <f t="shared" si="71"/>
        <v>0</v>
      </c>
      <c r="EH829" s="313">
        <v>826</v>
      </c>
      <c r="EI829" s="314"/>
      <c r="EJ829" s="247" t="str">
        <f t="shared" si="72"/>
        <v/>
      </c>
      <c r="EK829" t="str">
        <f t="shared" si="73"/>
        <v/>
      </c>
    </row>
    <row r="830" spans="2:141" x14ac:dyDescent="0.25">
      <c r="B830" s="43">
        <v>827</v>
      </c>
      <c r="C830" s="44"/>
      <c r="D830" s="45">
        <f t="shared" si="71"/>
        <v>0</v>
      </c>
      <c r="EH830" s="313">
        <v>827</v>
      </c>
      <c r="EI830" s="314"/>
      <c r="EJ830" s="247" t="str">
        <f t="shared" si="72"/>
        <v/>
      </c>
      <c r="EK830" t="str">
        <f t="shared" si="73"/>
        <v/>
      </c>
    </row>
    <row r="831" spans="2:141" x14ac:dyDescent="0.25">
      <c r="B831" s="43">
        <v>828</v>
      </c>
      <c r="C831" s="44"/>
      <c r="D831" s="45">
        <f t="shared" si="71"/>
        <v>0</v>
      </c>
      <c r="EH831" s="313">
        <v>828</v>
      </c>
      <c r="EI831" s="314"/>
      <c r="EJ831" s="247" t="str">
        <f t="shared" si="72"/>
        <v/>
      </c>
      <c r="EK831" t="str">
        <f t="shared" si="73"/>
        <v/>
      </c>
    </row>
    <row r="832" spans="2:141" x14ac:dyDescent="0.25">
      <c r="B832" s="43">
        <v>829</v>
      </c>
      <c r="C832" s="44"/>
      <c r="D832" s="45">
        <f t="shared" si="71"/>
        <v>0</v>
      </c>
      <c r="EH832" s="313">
        <v>829</v>
      </c>
      <c r="EI832" s="314"/>
      <c r="EJ832" s="247" t="str">
        <f t="shared" si="72"/>
        <v/>
      </c>
      <c r="EK832" t="str">
        <f t="shared" si="73"/>
        <v/>
      </c>
    </row>
    <row r="833" spans="2:141" x14ac:dyDescent="0.25">
      <c r="B833" s="43">
        <v>830</v>
      </c>
      <c r="C833" s="44"/>
      <c r="D833" s="45">
        <f t="shared" si="71"/>
        <v>0</v>
      </c>
      <c r="EH833" s="313">
        <v>830</v>
      </c>
      <c r="EI833" s="314">
        <v>9.9042999999999992</v>
      </c>
      <c r="EJ833" s="247">
        <f t="shared" si="72"/>
        <v>1</v>
      </c>
      <c r="EK833">
        <f t="shared" si="73"/>
        <v>1.010642857142857</v>
      </c>
    </row>
    <row r="834" spans="2:141" x14ac:dyDescent="0.25">
      <c r="B834" s="43">
        <v>831</v>
      </c>
      <c r="C834" s="44"/>
      <c r="D834" s="45">
        <f t="shared" si="71"/>
        <v>0</v>
      </c>
      <c r="EH834" s="313">
        <v>831</v>
      </c>
      <c r="EI834" s="314"/>
      <c r="EJ834" s="247" t="str">
        <f t="shared" si="72"/>
        <v/>
      </c>
      <c r="EK834" t="str">
        <f t="shared" si="73"/>
        <v/>
      </c>
    </row>
    <row r="835" spans="2:141" x14ac:dyDescent="0.25">
      <c r="B835" s="43">
        <v>832</v>
      </c>
      <c r="C835" s="44"/>
      <c r="D835" s="45">
        <f t="shared" si="71"/>
        <v>0</v>
      </c>
      <c r="EH835" s="313">
        <v>832</v>
      </c>
      <c r="EI835" s="314"/>
      <c r="EJ835" s="247" t="str">
        <f t="shared" si="72"/>
        <v/>
      </c>
      <c r="EK835" t="str">
        <f t="shared" si="73"/>
        <v/>
      </c>
    </row>
    <row r="836" spans="2:141" x14ac:dyDescent="0.25">
      <c r="B836" s="43">
        <v>833</v>
      </c>
      <c r="C836" s="44"/>
      <c r="D836" s="45">
        <f t="shared" si="71"/>
        <v>0</v>
      </c>
      <c r="EH836" s="313">
        <v>833</v>
      </c>
      <c r="EI836" s="314"/>
      <c r="EJ836" s="247" t="str">
        <f t="shared" si="72"/>
        <v/>
      </c>
      <c r="EK836" t="str">
        <f t="shared" si="73"/>
        <v/>
      </c>
    </row>
    <row r="837" spans="2:141" x14ac:dyDescent="0.25">
      <c r="B837" s="43">
        <v>834</v>
      </c>
      <c r="C837" s="44"/>
      <c r="D837" s="45">
        <f t="shared" ref="D837:D900" si="74">C837</f>
        <v>0</v>
      </c>
      <c r="EH837" s="313">
        <v>834</v>
      </c>
      <c r="EI837" s="314"/>
      <c r="EJ837" s="247" t="str">
        <f t="shared" ref="EJ837:EJ900" si="75">IF(EI837="","",1)</f>
        <v/>
      </c>
      <c r="EK837" t="str">
        <f t="shared" ref="EK837:EK900" si="76">IF(EI837="","",EI837/9.8)</f>
        <v/>
      </c>
    </row>
    <row r="838" spans="2:141" x14ac:dyDescent="0.25">
      <c r="B838" s="43">
        <v>835</v>
      </c>
      <c r="C838" s="44"/>
      <c r="D838" s="45">
        <f t="shared" si="74"/>
        <v>0</v>
      </c>
      <c r="EH838" s="313">
        <v>835</v>
      </c>
      <c r="EI838" s="314"/>
      <c r="EJ838" s="247" t="str">
        <f t="shared" si="75"/>
        <v/>
      </c>
      <c r="EK838" t="str">
        <f t="shared" si="76"/>
        <v/>
      </c>
    </row>
    <row r="839" spans="2:141" x14ac:dyDescent="0.25">
      <c r="B839" s="43">
        <v>836</v>
      </c>
      <c r="C839" s="44"/>
      <c r="D839" s="45">
        <f t="shared" si="74"/>
        <v>0</v>
      </c>
      <c r="EH839" s="313">
        <v>836</v>
      </c>
      <c r="EI839" s="314"/>
      <c r="EJ839" s="247" t="str">
        <f t="shared" si="75"/>
        <v/>
      </c>
      <c r="EK839" t="str">
        <f t="shared" si="76"/>
        <v/>
      </c>
    </row>
    <row r="840" spans="2:141" x14ac:dyDescent="0.25">
      <c r="B840" s="43">
        <v>837</v>
      </c>
      <c r="C840" s="44"/>
      <c r="D840" s="45">
        <f t="shared" si="74"/>
        <v>0</v>
      </c>
      <c r="E840" s="318"/>
      <c r="EH840" s="313">
        <v>837</v>
      </c>
      <c r="EI840" s="314"/>
      <c r="EJ840" s="247" t="str">
        <f t="shared" si="75"/>
        <v/>
      </c>
      <c r="EK840" t="str">
        <f t="shared" si="76"/>
        <v/>
      </c>
    </row>
    <row r="841" spans="2:141" x14ac:dyDescent="0.25">
      <c r="B841" s="43">
        <v>838</v>
      </c>
      <c r="C841" s="44"/>
      <c r="D841" s="45">
        <f t="shared" si="74"/>
        <v>0</v>
      </c>
      <c r="E841" s="251"/>
      <c r="EH841" s="313">
        <v>838</v>
      </c>
      <c r="EI841" s="314"/>
      <c r="EJ841" s="247" t="str">
        <f t="shared" si="75"/>
        <v/>
      </c>
      <c r="EK841" t="str">
        <f t="shared" si="76"/>
        <v/>
      </c>
    </row>
    <row r="842" spans="2:141" x14ac:dyDescent="0.25">
      <c r="B842" s="43">
        <v>839</v>
      </c>
      <c r="C842" s="44"/>
      <c r="D842" s="45">
        <f t="shared" si="74"/>
        <v>0</v>
      </c>
      <c r="E842" s="262"/>
      <c r="EH842" s="313">
        <v>839</v>
      </c>
      <c r="EI842" s="314"/>
      <c r="EJ842" s="247" t="str">
        <f t="shared" si="75"/>
        <v/>
      </c>
      <c r="EK842" t="str">
        <f t="shared" si="76"/>
        <v/>
      </c>
    </row>
    <row r="843" spans="2:141" x14ac:dyDescent="0.25">
      <c r="B843" s="43">
        <v>840</v>
      </c>
      <c r="C843" s="44"/>
      <c r="D843" s="45">
        <f t="shared" si="74"/>
        <v>0</v>
      </c>
      <c r="E843" s="265"/>
      <c r="EH843" s="313">
        <v>840</v>
      </c>
      <c r="EI843" s="314">
        <v>10.0235</v>
      </c>
      <c r="EJ843" s="247">
        <f t="shared" si="75"/>
        <v>1</v>
      </c>
      <c r="EK843">
        <f t="shared" si="76"/>
        <v>1.0228061224489795</v>
      </c>
    </row>
    <row r="844" spans="2:141" x14ac:dyDescent="0.25">
      <c r="B844" s="43">
        <v>841</v>
      </c>
      <c r="C844" s="44"/>
      <c r="D844" s="45">
        <f t="shared" si="74"/>
        <v>0</v>
      </c>
      <c r="E844" s="269"/>
      <c r="EH844" s="313">
        <v>841</v>
      </c>
      <c r="EI844" s="314"/>
      <c r="EJ844" s="247" t="str">
        <f t="shared" si="75"/>
        <v/>
      </c>
      <c r="EK844" t="str">
        <f t="shared" si="76"/>
        <v/>
      </c>
    </row>
    <row r="845" spans="2:141" x14ac:dyDescent="0.25">
      <c r="B845" s="43">
        <v>842</v>
      </c>
      <c r="C845" s="44"/>
      <c r="D845" s="45">
        <f t="shared" si="74"/>
        <v>0</v>
      </c>
      <c r="EH845" s="313">
        <v>842</v>
      </c>
      <c r="EI845" s="314"/>
      <c r="EJ845" s="247" t="str">
        <f t="shared" si="75"/>
        <v/>
      </c>
      <c r="EK845" t="str">
        <f t="shared" si="76"/>
        <v/>
      </c>
    </row>
    <row r="846" spans="2:141" x14ac:dyDescent="0.25">
      <c r="B846" s="43">
        <v>843</v>
      </c>
      <c r="C846" s="44"/>
      <c r="D846" s="45">
        <f t="shared" si="74"/>
        <v>0</v>
      </c>
      <c r="EH846" s="313">
        <v>843</v>
      </c>
      <c r="EI846" s="314"/>
      <c r="EJ846" s="247" t="str">
        <f t="shared" si="75"/>
        <v/>
      </c>
      <c r="EK846" t="str">
        <f t="shared" si="76"/>
        <v/>
      </c>
    </row>
    <row r="847" spans="2:141" x14ac:dyDescent="0.25">
      <c r="B847" s="43">
        <v>844</v>
      </c>
      <c r="C847" s="44"/>
      <c r="D847" s="45">
        <f t="shared" si="74"/>
        <v>0</v>
      </c>
      <c r="EH847" s="313">
        <v>844</v>
      </c>
      <c r="EI847" s="314"/>
      <c r="EJ847" s="247" t="str">
        <f t="shared" si="75"/>
        <v/>
      </c>
      <c r="EK847" t="str">
        <f t="shared" si="76"/>
        <v/>
      </c>
    </row>
    <row r="848" spans="2:141" x14ac:dyDescent="0.25">
      <c r="B848" s="43">
        <v>845</v>
      </c>
      <c r="C848" s="44"/>
      <c r="D848" s="45">
        <f t="shared" si="74"/>
        <v>0</v>
      </c>
      <c r="EH848" s="313">
        <v>845</v>
      </c>
      <c r="EI848" s="314"/>
      <c r="EJ848" s="247" t="str">
        <f t="shared" si="75"/>
        <v/>
      </c>
      <c r="EK848" t="str">
        <f t="shared" si="76"/>
        <v/>
      </c>
    </row>
    <row r="849" spans="2:141" x14ac:dyDescent="0.25">
      <c r="B849" s="43">
        <v>846</v>
      </c>
      <c r="C849" s="44"/>
      <c r="D849" s="45">
        <f t="shared" si="74"/>
        <v>0</v>
      </c>
      <c r="EH849" s="313">
        <v>846</v>
      </c>
      <c r="EI849" s="314"/>
      <c r="EJ849" s="247" t="str">
        <f t="shared" si="75"/>
        <v/>
      </c>
      <c r="EK849" t="str">
        <f t="shared" si="76"/>
        <v/>
      </c>
    </row>
    <row r="850" spans="2:141" x14ac:dyDescent="0.25">
      <c r="B850" s="43">
        <v>847</v>
      </c>
      <c r="C850" s="44"/>
      <c r="D850" s="45">
        <f t="shared" si="74"/>
        <v>0</v>
      </c>
      <c r="EH850" s="313">
        <v>847</v>
      </c>
      <c r="EI850" s="314"/>
      <c r="EJ850" s="247" t="str">
        <f t="shared" si="75"/>
        <v/>
      </c>
      <c r="EK850" t="str">
        <f t="shared" si="76"/>
        <v/>
      </c>
    </row>
    <row r="851" spans="2:141" x14ac:dyDescent="0.25">
      <c r="B851" s="43">
        <v>848</v>
      </c>
      <c r="C851" s="44"/>
      <c r="D851" s="45">
        <f t="shared" si="74"/>
        <v>0</v>
      </c>
      <c r="EH851" s="313">
        <v>848</v>
      </c>
      <c r="EI851" s="314"/>
      <c r="EJ851" s="247" t="str">
        <f t="shared" si="75"/>
        <v/>
      </c>
      <c r="EK851" t="str">
        <f t="shared" si="76"/>
        <v/>
      </c>
    </row>
    <row r="852" spans="2:141" x14ac:dyDescent="0.25">
      <c r="B852" s="43">
        <v>849</v>
      </c>
      <c r="C852" s="44"/>
      <c r="D852" s="45">
        <f t="shared" si="74"/>
        <v>0</v>
      </c>
      <c r="EH852" s="313">
        <v>849</v>
      </c>
      <c r="EI852" s="314"/>
      <c r="EJ852" s="247" t="str">
        <f t="shared" si="75"/>
        <v/>
      </c>
      <c r="EK852" t="str">
        <f t="shared" si="76"/>
        <v/>
      </c>
    </row>
    <row r="853" spans="2:141" x14ac:dyDescent="0.25">
      <c r="B853" s="43">
        <v>850</v>
      </c>
      <c r="C853" s="44"/>
      <c r="D853" s="45">
        <f t="shared" si="74"/>
        <v>0</v>
      </c>
      <c r="EH853" s="313">
        <v>850</v>
      </c>
      <c r="EI853" s="314">
        <v>10.141500000000001</v>
      </c>
      <c r="EJ853" s="247">
        <f t="shared" si="75"/>
        <v>1</v>
      </c>
      <c r="EK853">
        <f t="shared" si="76"/>
        <v>1.0348469387755102</v>
      </c>
    </row>
    <row r="854" spans="2:141" x14ac:dyDescent="0.25">
      <c r="B854" s="43">
        <v>851</v>
      </c>
      <c r="C854" s="44"/>
      <c r="D854" s="45">
        <f t="shared" si="74"/>
        <v>0</v>
      </c>
      <c r="EH854" s="313">
        <v>851</v>
      </c>
      <c r="EI854" s="314"/>
      <c r="EJ854" s="247" t="str">
        <f t="shared" si="75"/>
        <v/>
      </c>
      <c r="EK854" t="str">
        <f t="shared" si="76"/>
        <v/>
      </c>
    </row>
    <row r="855" spans="2:141" x14ac:dyDescent="0.25">
      <c r="B855" s="43">
        <v>852</v>
      </c>
      <c r="C855" s="44"/>
      <c r="D855" s="45">
        <f t="shared" si="74"/>
        <v>0</v>
      </c>
      <c r="EH855" s="313">
        <v>852</v>
      </c>
      <c r="EI855" s="314"/>
      <c r="EJ855" s="247" t="str">
        <f t="shared" si="75"/>
        <v/>
      </c>
      <c r="EK855" t="str">
        <f t="shared" si="76"/>
        <v/>
      </c>
    </row>
    <row r="856" spans="2:141" x14ac:dyDescent="0.25">
      <c r="B856" s="43">
        <v>853</v>
      </c>
      <c r="C856" s="44"/>
      <c r="D856" s="45">
        <f t="shared" si="74"/>
        <v>0</v>
      </c>
      <c r="EH856" s="313">
        <v>853</v>
      </c>
      <c r="EI856" s="314"/>
      <c r="EJ856" s="247" t="str">
        <f t="shared" si="75"/>
        <v/>
      </c>
      <c r="EK856" t="str">
        <f t="shared" si="76"/>
        <v/>
      </c>
    </row>
    <row r="857" spans="2:141" x14ac:dyDescent="0.25">
      <c r="B857" s="43">
        <v>854</v>
      </c>
      <c r="C857" s="44"/>
      <c r="D857" s="45">
        <f t="shared" si="74"/>
        <v>0</v>
      </c>
      <c r="EH857" s="313">
        <v>854</v>
      </c>
      <c r="EI857" s="314"/>
      <c r="EJ857" s="247" t="str">
        <f t="shared" si="75"/>
        <v/>
      </c>
      <c r="EK857" t="str">
        <f t="shared" si="76"/>
        <v/>
      </c>
    </row>
    <row r="858" spans="2:141" x14ac:dyDescent="0.25">
      <c r="B858" s="43">
        <v>855</v>
      </c>
      <c r="C858" s="44"/>
      <c r="D858" s="45">
        <f t="shared" si="74"/>
        <v>0</v>
      </c>
      <c r="EH858" s="313">
        <v>855</v>
      </c>
      <c r="EI858" s="314"/>
      <c r="EJ858" s="247" t="str">
        <f t="shared" si="75"/>
        <v/>
      </c>
      <c r="EK858" t="str">
        <f t="shared" si="76"/>
        <v/>
      </c>
    </row>
    <row r="859" spans="2:141" x14ac:dyDescent="0.25">
      <c r="B859" s="43">
        <v>856</v>
      </c>
      <c r="C859" s="44"/>
      <c r="D859" s="45">
        <f t="shared" si="74"/>
        <v>0</v>
      </c>
      <c r="EH859" s="313">
        <v>856</v>
      </c>
      <c r="EI859" s="314"/>
      <c r="EJ859" s="247" t="str">
        <f t="shared" si="75"/>
        <v/>
      </c>
      <c r="EK859" t="str">
        <f t="shared" si="76"/>
        <v/>
      </c>
    </row>
    <row r="860" spans="2:141" x14ac:dyDescent="0.25">
      <c r="B860" s="43">
        <v>857</v>
      </c>
      <c r="C860" s="44"/>
      <c r="D860" s="45">
        <f t="shared" si="74"/>
        <v>0</v>
      </c>
      <c r="EH860" s="313">
        <v>857</v>
      </c>
      <c r="EI860" s="314"/>
      <c r="EJ860" s="247" t="str">
        <f t="shared" si="75"/>
        <v/>
      </c>
      <c r="EK860" t="str">
        <f t="shared" si="76"/>
        <v/>
      </c>
    </row>
    <row r="861" spans="2:141" x14ac:dyDescent="0.25">
      <c r="B861" s="43">
        <v>858</v>
      </c>
      <c r="C861" s="44"/>
      <c r="D861" s="45">
        <f t="shared" si="74"/>
        <v>0</v>
      </c>
      <c r="EH861" s="313">
        <v>858</v>
      </c>
      <c r="EI861" s="314"/>
      <c r="EJ861" s="247" t="str">
        <f t="shared" si="75"/>
        <v/>
      </c>
      <c r="EK861" t="str">
        <f t="shared" si="76"/>
        <v/>
      </c>
    </row>
    <row r="862" spans="2:141" x14ac:dyDescent="0.25">
      <c r="B862" s="43">
        <v>859</v>
      </c>
      <c r="C862" s="44"/>
      <c r="D862" s="45">
        <f t="shared" si="74"/>
        <v>0</v>
      </c>
      <c r="EH862" s="313">
        <v>859</v>
      </c>
      <c r="EI862" s="314"/>
      <c r="EJ862" s="247" t="str">
        <f t="shared" si="75"/>
        <v/>
      </c>
      <c r="EK862" t="str">
        <f t="shared" si="76"/>
        <v/>
      </c>
    </row>
    <row r="863" spans="2:141" x14ac:dyDescent="0.25">
      <c r="B863" s="43">
        <v>860</v>
      </c>
      <c r="C863" s="44"/>
      <c r="D863" s="45">
        <f t="shared" si="74"/>
        <v>0</v>
      </c>
      <c r="EH863" s="313">
        <v>860</v>
      </c>
      <c r="EI863" s="314">
        <v>10.259399999999999</v>
      </c>
      <c r="EJ863" s="247">
        <f t="shared" si="75"/>
        <v>1</v>
      </c>
      <c r="EK863">
        <f t="shared" si="76"/>
        <v>1.046877551020408</v>
      </c>
    </row>
    <row r="864" spans="2:141" x14ac:dyDescent="0.25">
      <c r="B864" s="43">
        <v>861</v>
      </c>
      <c r="C864" s="44"/>
      <c r="D864" s="45">
        <f t="shared" si="74"/>
        <v>0</v>
      </c>
      <c r="E864" s="318"/>
      <c r="EH864" s="313">
        <v>861</v>
      </c>
      <c r="EI864" s="314"/>
      <c r="EJ864" s="247" t="str">
        <f t="shared" si="75"/>
        <v/>
      </c>
      <c r="EK864" t="str">
        <f t="shared" si="76"/>
        <v/>
      </c>
    </row>
    <row r="865" spans="2:141" x14ac:dyDescent="0.25">
      <c r="B865" s="43">
        <v>862</v>
      </c>
      <c r="C865" s="44"/>
      <c r="D865" s="45">
        <f t="shared" si="74"/>
        <v>0</v>
      </c>
      <c r="E865" s="251"/>
      <c r="EH865" s="313">
        <v>862</v>
      </c>
      <c r="EI865" s="314"/>
      <c r="EJ865" s="247" t="str">
        <f t="shared" si="75"/>
        <v/>
      </c>
      <c r="EK865" t="str">
        <f t="shared" si="76"/>
        <v/>
      </c>
    </row>
    <row r="866" spans="2:141" x14ac:dyDescent="0.25">
      <c r="B866" s="43">
        <v>863</v>
      </c>
      <c r="C866" s="44"/>
      <c r="D866" s="45">
        <f t="shared" si="74"/>
        <v>0</v>
      </c>
      <c r="E866" s="262"/>
      <c r="EH866" s="313">
        <v>863</v>
      </c>
      <c r="EI866" s="314"/>
      <c r="EJ866" s="247" t="str">
        <f t="shared" si="75"/>
        <v/>
      </c>
      <c r="EK866" t="str">
        <f t="shared" si="76"/>
        <v/>
      </c>
    </row>
    <row r="867" spans="2:141" x14ac:dyDescent="0.25">
      <c r="B867" s="43">
        <v>864</v>
      </c>
      <c r="C867" s="44"/>
      <c r="D867" s="45">
        <f t="shared" si="74"/>
        <v>0</v>
      </c>
      <c r="E867" s="265"/>
      <c r="EH867" s="313">
        <v>864</v>
      </c>
      <c r="EI867" s="314"/>
      <c r="EJ867" s="247" t="str">
        <f t="shared" si="75"/>
        <v/>
      </c>
      <c r="EK867" t="str">
        <f t="shared" si="76"/>
        <v/>
      </c>
    </row>
    <row r="868" spans="2:141" x14ac:dyDescent="0.25">
      <c r="B868" s="43">
        <v>865</v>
      </c>
      <c r="C868" s="44"/>
      <c r="D868" s="45">
        <f t="shared" si="74"/>
        <v>0</v>
      </c>
      <c r="E868" s="269"/>
      <c r="EH868" s="313">
        <v>865</v>
      </c>
      <c r="EI868" s="314"/>
      <c r="EJ868" s="247" t="str">
        <f t="shared" si="75"/>
        <v/>
      </c>
      <c r="EK868" t="str">
        <f t="shared" si="76"/>
        <v/>
      </c>
    </row>
    <row r="869" spans="2:141" x14ac:dyDescent="0.25">
      <c r="B869" s="43">
        <v>866</v>
      </c>
      <c r="C869" s="44"/>
      <c r="D869" s="45">
        <f t="shared" si="74"/>
        <v>0</v>
      </c>
      <c r="EH869" s="313">
        <v>866</v>
      </c>
      <c r="EI869" s="314"/>
      <c r="EJ869" s="247" t="str">
        <f t="shared" si="75"/>
        <v/>
      </c>
      <c r="EK869" t="str">
        <f t="shared" si="76"/>
        <v/>
      </c>
    </row>
    <row r="870" spans="2:141" x14ac:dyDescent="0.25">
      <c r="B870" s="43">
        <v>867</v>
      </c>
      <c r="C870" s="44"/>
      <c r="D870" s="45">
        <f t="shared" si="74"/>
        <v>0</v>
      </c>
      <c r="EH870" s="313">
        <v>867</v>
      </c>
      <c r="EI870" s="314"/>
      <c r="EJ870" s="247" t="str">
        <f t="shared" si="75"/>
        <v/>
      </c>
      <c r="EK870" t="str">
        <f t="shared" si="76"/>
        <v/>
      </c>
    </row>
    <row r="871" spans="2:141" x14ac:dyDescent="0.25">
      <c r="B871" s="43">
        <v>868</v>
      </c>
      <c r="C871" s="44"/>
      <c r="D871" s="45">
        <f t="shared" si="74"/>
        <v>0</v>
      </c>
      <c r="EH871" s="313">
        <v>868</v>
      </c>
      <c r="EI871" s="314"/>
      <c r="EJ871" s="247" t="str">
        <f t="shared" si="75"/>
        <v/>
      </c>
      <c r="EK871" t="str">
        <f t="shared" si="76"/>
        <v/>
      </c>
    </row>
    <row r="872" spans="2:141" x14ac:dyDescent="0.25">
      <c r="B872" s="43">
        <v>869</v>
      </c>
      <c r="C872" s="44"/>
      <c r="D872" s="45">
        <f t="shared" si="74"/>
        <v>0</v>
      </c>
      <c r="EH872" s="313">
        <v>869</v>
      </c>
      <c r="EI872" s="314"/>
      <c r="EJ872" s="247" t="str">
        <f t="shared" si="75"/>
        <v/>
      </c>
      <c r="EK872" t="str">
        <f t="shared" si="76"/>
        <v/>
      </c>
    </row>
    <row r="873" spans="2:141" x14ac:dyDescent="0.25">
      <c r="B873" s="43">
        <v>870</v>
      </c>
      <c r="C873" s="44"/>
      <c r="D873" s="45">
        <f t="shared" si="74"/>
        <v>0</v>
      </c>
      <c r="EH873" s="313">
        <v>870</v>
      </c>
      <c r="EI873" s="314">
        <v>10.3773</v>
      </c>
      <c r="EJ873" s="247">
        <f t="shared" si="75"/>
        <v>1</v>
      </c>
      <c r="EK873">
        <f t="shared" si="76"/>
        <v>1.0589081632653061</v>
      </c>
    </row>
    <row r="874" spans="2:141" x14ac:dyDescent="0.25">
      <c r="B874" s="43">
        <v>871</v>
      </c>
      <c r="C874" s="44"/>
      <c r="D874" s="45">
        <f t="shared" si="74"/>
        <v>0</v>
      </c>
      <c r="EH874" s="313">
        <v>871</v>
      </c>
      <c r="EI874" s="314"/>
      <c r="EJ874" s="247" t="str">
        <f t="shared" si="75"/>
        <v/>
      </c>
      <c r="EK874" t="str">
        <f t="shared" si="76"/>
        <v/>
      </c>
    </row>
    <row r="875" spans="2:141" x14ac:dyDescent="0.25">
      <c r="B875" s="43">
        <v>872</v>
      </c>
      <c r="C875" s="44"/>
      <c r="D875" s="45">
        <f t="shared" si="74"/>
        <v>0</v>
      </c>
      <c r="EH875" s="313">
        <v>872</v>
      </c>
      <c r="EI875" s="314"/>
      <c r="EJ875" s="247" t="str">
        <f t="shared" si="75"/>
        <v/>
      </c>
      <c r="EK875" t="str">
        <f t="shared" si="76"/>
        <v/>
      </c>
    </row>
    <row r="876" spans="2:141" x14ac:dyDescent="0.25">
      <c r="B876" s="43">
        <v>873</v>
      </c>
      <c r="C876" s="44"/>
      <c r="D876" s="45">
        <f t="shared" si="74"/>
        <v>0</v>
      </c>
      <c r="EH876" s="313">
        <v>873</v>
      </c>
      <c r="EI876" s="314"/>
      <c r="EJ876" s="247" t="str">
        <f t="shared" si="75"/>
        <v/>
      </c>
      <c r="EK876" t="str">
        <f t="shared" si="76"/>
        <v/>
      </c>
    </row>
    <row r="877" spans="2:141" x14ac:dyDescent="0.25">
      <c r="B877" s="43">
        <v>874</v>
      </c>
      <c r="C877" s="44"/>
      <c r="D877" s="45">
        <f t="shared" si="74"/>
        <v>0</v>
      </c>
      <c r="EH877" s="313">
        <v>874</v>
      </c>
      <c r="EI877" s="314"/>
      <c r="EJ877" s="247" t="str">
        <f t="shared" si="75"/>
        <v/>
      </c>
      <c r="EK877" t="str">
        <f t="shared" si="76"/>
        <v/>
      </c>
    </row>
    <row r="878" spans="2:141" x14ac:dyDescent="0.25">
      <c r="B878" s="43">
        <v>875</v>
      </c>
      <c r="C878" s="44"/>
      <c r="D878" s="45">
        <f t="shared" si="74"/>
        <v>0</v>
      </c>
      <c r="EH878" s="313">
        <v>875</v>
      </c>
      <c r="EI878" s="314"/>
      <c r="EJ878" s="247" t="str">
        <f t="shared" si="75"/>
        <v/>
      </c>
      <c r="EK878" t="str">
        <f t="shared" si="76"/>
        <v/>
      </c>
    </row>
    <row r="879" spans="2:141" x14ac:dyDescent="0.25">
      <c r="B879" s="43">
        <v>876</v>
      </c>
      <c r="C879" s="44"/>
      <c r="D879" s="45">
        <f t="shared" si="74"/>
        <v>0</v>
      </c>
      <c r="EH879" s="313">
        <v>876</v>
      </c>
      <c r="EI879" s="314"/>
      <c r="EJ879" s="247" t="str">
        <f t="shared" si="75"/>
        <v/>
      </c>
      <c r="EK879" t="str">
        <f t="shared" si="76"/>
        <v/>
      </c>
    </row>
    <row r="880" spans="2:141" x14ac:dyDescent="0.25">
      <c r="B880" s="43">
        <v>877</v>
      </c>
      <c r="C880" s="44"/>
      <c r="D880" s="45">
        <f t="shared" si="74"/>
        <v>0</v>
      </c>
      <c r="EH880" s="313">
        <v>877</v>
      </c>
      <c r="EI880" s="314"/>
      <c r="EJ880" s="247" t="str">
        <f t="shared" si="75"/>
        <v/>
      </c>
      <c r="EK880" t="str">
        <f t="shared" si="76"/>
        <v/>
      </c>
    </row>
    <row r="881" spans="2:141" x14ac:dyDescent="0.25">
      <c r="B881" s="43">
        <v>878</v>
      </c>
      <c r="C881" s="44"/>
      <c r="D881" s="45">
        <f t="shared" si="74"/>
        <v>0</v>
      </c>
      <c r="EH881" s="313">
        <v>878</v>
      </c>
      <c r="EI881" s="314"/>
      <c r="EJ881" s="247" t="str">
        <f t="shared" si="75"/>
        <v/>
      </c>
      <c r="EK881" t="str">
        <f t="shared" si="76"/>
        <v/>
      </c>
    </row>
    <row r="882" spans="2:141" x14ac:dyDescent="0.25">
      <c r="B882" s="43">
        <v>879</v>
      </c>
      <c r="C882" s="44"/>
      <c r="D882" s="45">
        <f t="shared" si="74"/>
        <v>0</v>
      </c>
      <c r="EH882" s="313">
        <v>879</v>
      </c>
      <c r="EI882" s="314"/>
      <c r="EJ882" s="247" t="str">
        <f t="shared" si="75"/>
        <v/>
      </c>
      <c r="EK882" t="str">
        <f t="shared" si="76"/>
        <v/>
      </c>
    </row>
    <row r="883" spans="2:141" x14ac:dyDescent="0.25">
      <c r="B883" s="43">
        <v>880</v>
      </c>
      <c r="C883" s="44"/>
      <c r="D883" s="45">
        <f t="shared" si="74"/>
        <v>0</v>
      </c>
      <c r="EH883" s="313">
        <v>880</v>
      </c>
      <c r="EI883" s="314">
        <v>10.495200000000001</v>
      </c>
      <c r="EJ883" s="247">
        <f t="shared" si="75"/>
        <v>1</v>
      </c>
      <c r="EK883">
        <f t="shared" si="76"/>
        <v>1.070938775510204</v>
      </c>
    </row>
    <row r="884" spans="2:141" x14ac:dyDescent="0.25">
      <c r="B884" s="43">
        <v>881</v>
      </c>
      <c r="C884" s="44"/>
      <c r="D884" s="45">
        <f t="shared" si="74"/>
        <v>0</v>
      </c>
      <c r="EH884" s="313">
        <v>881</v>
      </c>
      <c r="EI884" s="314"/>
      <c r="EJ884" s="247" t="str">
        <f t="shared" si="75"/>
        <v/>
      </c>
      <c r="EK884" t="str">
        <f t="shared" si="76"/>
        <v/>
      </c>
    </row>
    <row r="885" spans="2:141" x14ac:dyDescent="0.25">
      <c r="B885" s="43">
        <v>882</v>
      </c>
      <c r="C885" s="44"/>
      <c r="D885" s="45">
        <f t="shared" si="74"/>
        <v>0</v>
      </c>
      <c r="EH885" s="313">
        <v>882</v>
      </c>
      <c r="EI885" s="314"/>
      <c r="EJ885" s="247" t="str">
        <f t="shared" si="75"/>
        <v/>
      </c>
      <c r="EK885" t="str">
        <f t="shared" si="76"/>
        <v/>
      </c>
    </row>
    <row r="886" spans="2:141" x14ac:dyDescent="0.25">
      <c r="B886" s="43">
        <v>883</v>
      </c>
      <c r="C886" s="44"/>
      <c r="D886" s="45">
        <f t="shared" si="74"/>
        <v>0</v>
      </c>
      <c r="EH886" s="313">
        <v>883</v>
      </c>
      <c r="EI886" s="314"/>
      <c r="EJ886" s="247" t="str">
        <f t="shared" si="75"/>
        <v/>
      </c>
      <c r="EK886" t="str">
        <f t="shared" si="76"/>
        <v/>
      </c>
    </row>
    <row r="887" spans="2:141" x14ac:dyDescent="0.25">
      <c r="B887" s="43">
        <v>884</v>
      </c>
      <c r="C887" s="44"/>
      <c r="D887" s="45">
        <f t="shared" si="74"/>
        <v>0</v>
      </c>
      <c r="EH887" s="313">
        <v>884</v>
      </c>
      <c r="EI887" s="314"/>
      <c r="EJ887" s="247" t="str">
        <f t="shared" si="75"/>
        <v/>
      </c>
      <c r="EK887" t="str">
        <f t="shared" si="76"/>
        <v/>
      </c>
    </row>
    <row r="888" spans="2:141" x14ac:dyDescent="0.25">
      <c r="B888" s="43">
        <v>885</v>
      </c>
      <c r="C888" s="44"/>
      <c r="D888" s="45">
        <f t="shared" si="74"/>
        <v>0</v>
      </c>
      <c r="E888" s="318"/>
      <c r="EH888" s="313">
        <v>885</v>
      </c>
      <c r="EI888" s="314"/>
      <c r="EJ888" s="247" t="str">
        <f t="shared" si="75"/>
        <v/>
      </c>
      <c r="EK888" t="str">
        <f t="shared" si="76"/>
        <v/>
      </c>
    </row>
    <row r="889" spans="2:141" x14ac:dyDescent="0.25">
      <c r="B889" s="43">
        <v>886</v>
      </c>
      <c r="C889" s="44"/>
      <c r="D889" s="45">
        <f t="shared" si="74"/>
        <v>0</v>
      </c>
      <c r="E889" s="251"/>
      <c r="EH889" s="313">
        <v>886</v>
      </c>
      <c r="EI889" s="314"/>
      <c r="EJ889" s="247" t="str">
        <f t="shared" si="75"/>
        <v/>
      </c>
      <c r="EK889" t="str">
        <f t="shared" si="76"/>
        <v/>
      </c>
    </row>
    <row r="890" spans="2:141" x14ac:dyDescent="0.25">
      <c r="B890" s="43">
        <v>887</v>
      </c>
      <c r="C890" s="44"/>
      <c r="D890" s="45">
        <f t="shared" si="74"/>
        <v>0</v>
      </c>
      <c r="E890" s="262"/>
      <c r="EH890" s="313">
        <v>887</v>
      </c>
      <c r="EI890" s="314"/>
      <c r="EJ890" s="247" t="str">
        <f t="shared" si="75"/>
        <v/>
      </c>
      <c r="EK890" t="str">
        <f t="shared" si="76"/>
        <v/>
      </c>
    </row>
    <row r="891" spans="2:141" x14ac:dyDescent="0.25">
      <c r="B891" s="43">
        <v>888</v>
      </c>
      <c r="C891" s="44"/>
      <c r="D891" s="45">
        <f t="shared" si="74"/>
        <v>0</v>
      </c>
      <c r="E891" s="265"/>
      <c r="EH891" s="313">
        <v>888</v>
      </c>
      <c r="EI891" s="314"/>
      <c r="EJ891" s="247" t="str">
        <f t="shared" si="75"/>
        <v/>
      </c>
      <c r="EK891" t="str">
        <f t="shared" si="76"/>
        <v/>
      </c>
    </row>
    <row r="892" spans="2:141" x14ac:dyDescent="0.25">
      <c r="B892" s="43">
        <v>889</v>
      </c>
      <c r="C892" s="44"/>
      <c r="D892" s="45">
        <f t="shared" si="74"/>
        <v>0</v>
      </c>
      <c r="E892" s="269"/>
      <c r="EH892" s="313">
        <v>889</v>
      </c>
      <c r="EI892" s="314"/>
      <c r="EJ892" s="247" t="str">
        <f t="shared" si="75"/>
        <v/>
      </c>
      <c r="EK892" t="str">
        <f t="shared" si="76"/>
        <v/>
      </c>
    </row>
    <row r="893" spans="2:141" x14ac:dyDescent="0.25">
      <c r="B893" s="43">
        <v>890</v>
      </c>
      <c r="C893" s="44"/>
      <c r="D893" s="45">
        <f t="shared" si="74"/>
        <v>0</v>
      </c>
      <c r="EH893" s="313">
        <v>890</v>
      </c>
      <c r="EI893" s="314">
        <v>10.613200000000001</v>
      </c>
      <c r="EJ893" s="247">
        <f t="shared" si="75"/>
        <v>1</v>
      </c>
      <c r="EK893">
        <f t="shared" si="76"/>
        <v>1.0829795918367346</v>
      </c>
    </row>
    <row r="894" spans="2:141" x14ac:dyDescent="0.25">
      <c r="B894" s="43">
        <v>891</v>
      </c>
      <c r="C894" s="44"/>
      <c r="D894" s="45">
        <f t="shared" si="74"/>
        <v>0</v>
      </c>
      <c r="EH894" s="313">
        <v>891</v>
      </c>
      <c r="EI894" s="314"/>
      <c r="EJ894" s="247" t="str">
        <f t="shared" si="75"/>
        <v/>
      </c>
      <c r="EK894" t="str">
        <f t="shared" si="76"/>
        <v/>
      </c>
    </row>
    <row r="895" spans="2:141" x14ac:dyDescent="0.25">
      <c r="B895" s="43">
        <v>892</v>
      </c>
      <c r="C895" s="44"/>
      <c r="D895" s="45">
        <f t="shared" si="74"/>
        <v>0</v>
      </c>
      <c r="EH895" s="313">
        <v>892</v>
      </c>
      <c r="EI895" s="314"/>
      <c r="EJ895" s="247" t="str">
        <f t="shared" si="75"/>
        <v/>
      </c>
      <c r="EK895" t="str">
        <f t="shared" si="76"/>
        <v/>
      </c>
    </row>
    <row r="896" spans="2:141" x14ac:dyDescent="0.25">
      <c r="B896" s="43">
        <v>893</v>
      </c>
      <c r="C896" s="44"/>
      <c r="D896" s="45">
        <f t="shared" si="74"/>
        <v>0</v>
      </c>
      <c r="EH896" s="313">
        <v>893</v>
      </c>
      <c r="EI896" s="314"/>
      <c r="EJ896" s="247" t="str">
        <f t="shared" si="75"/>
        <v/>
      </c>
      <c r="EK896" t="str">
        <f t="shared" si="76"/>
        <v/>
      </c>
    </row>
    <row r="897" spans="2:141" x14ac:dyDescent="0.25">
      <c r="B897" s="43">
        <v>894</v>
      </c>
      <c r="C897" s="44"/>
      <c r="D897" s="45">
        <f t="shared" si="74"/>
        <v>0</v>
      </c>
      <c r="EH897" s="313">
        <v>894</v>
      </c>
      <c r="EI897" s="314"/>
      <c r="EJ897" s="247" t="str">
        <f t="shared" si="75"/>
        <v/>
      </c>
      <c r="EK897" t="str">
        <f t="shared" si="76"/>
        <v/>
      </c>
    </row>
    <row r="898" spans="2:141" x14ac:dyDescent="0.25">
      <c r="B898" s="43">
        <v>895</v>
      </c>
      <c r="C898" s="44"/>
      <c r="D898" s="45">
        <f t="shared" si="74"/>
        <v>0</v>
      </c>
      <c r="EH898" s="313">
        <v>895</v>
      </c>
      <c r="EI898" s="314"/>
      <c r="EJ898" s="247" t="str">
        <f t="shared" si="75"/>
        <v/>
      </c>
      <c r="EK898" t="str">
        <f t="shared" si="76"/>
        <v/>
      </c>
    </row>
    <row r="899" spans="2:141" x14ac:dyDescent="0.25">
      <c r="B899" s="43">
        <v>896</v>
      </c>
      <c r="C899" s="44"/>
      <c r="D899" s="45">
        <f t="shared" si="74"/>
        <v>0</v>
      </c>
      <c r="EH899" s="313">
        <v>896</v>
      </c>
      <c r="EI899" s="314"/>
      <c r="EJ899" s="247" t="str">
        <f t="shared" si="75"/>
        <v/>
      </c>
      <c r="EK899" t="str">
        <f t="shared" si="76"/>
        <v/>
      </c>
    </row>
    <row r="900" spans="2:141" x14ac:dyDescent="0.25">
      <c r="B900" s="43">
        <v>897</v>
      </c>
      <c r="C900" s="44"/>
      <c r="D900" s="45">
        <f t="shared" si="74"/>
        <v>0</v>
      </c>
      <c r="EH900" s="313">
        <v>897</v>
      </c>
      <c r="EI900" s="314"/>
      <c r="EJ900" s="247" t="str">
        <f t="shared" si="75"/>
        <v/>
      </c>
      <c r="EK900" t="str">
        <f t="shared" si="76"/>
        <v/>
      </c>
    </row>
    <row r="901" spans="2:141" x14ac:dyDescent="0.25">
      <c r="B901" s="43">
        <v>898</v>
      </c>
      <c r="C901" s="44"/>
      <c r="D901" s="45">
        <f t="shared" ref="D901:D964" si="77">C901</f>
        <v>0</v>
      </c>
      <c r="EH901" s="313">
        <v>898</v>
      </c>
      <c r="EI901" s="314"/>
      <c r="EJ901" s="247" t="str">
        <f t="shared" ref="EJ901:EJ964" si="78">IF(EI901="","",1)</f>
        <v/>
      </c>
      <c r="EK901" t="str">
        <f t="shared" ref="EK901:EK964" si="79">IF(EI901="","",EI901/9.8)</f>
        <v/>
      </c>
    </row>
    <row r="902" spans="2:141" x14ac:dyDescent="0.25">
      <c r="B902" s="43">
        <v>899</v>
      </c>
      <c r="C902" s="44"/>
      <c r="D902" s="45">
        <f t="shared" si="77"/>
        <v>0</v>
      </c>
      <c r="EH902" s="313">
        <v>899</v>
      </c>
      <c r="EI902" s="314"/>
      <c r="EJ902" s="247" t="str">
        <f t="shared" si="78"/>
        <v/>
      </c>
      <c r="EK902" t="str">
        <f t="shared" si="79"/>
        <v/>
      </c>
    </row>
    <row r="903" spans="2:141" x14ac:dyDescent="0.25">
      <c r="B903" s="43">
        <v>900</v>
      </c>
      <c r="C903" s="44"/>
      <c r="D903" s="45">
        <f t="shared" si="77"/>
        <v>0</v>
      </c>
      <c r="EH903" s="313">
        <v>900</v>
      </c>
      <c r="EI903" s="314">
        <v>10.7311</v>
      </c>
      <c r="EJ903" s="247">
        <f t="shared" si="78"/>
        <v>1</v>
      </c>
      <c r="EK903">
        <f t="shared" si="79"/>
        <v>1.0950102040816325</v>
      </c>
    </row>
    <row r="904" spans="2:141" x14ac:dyDescent="0.25">
      <c r="B904" s="43">
        <v>901</v>
      </c>
      <c r="C904" s="44"/>
      <c r="D904" s="45">
        <f t="shared" si="77"/>
        <v>0</v>
      </c>
      <c r="EH904" s="313">
        <v>901</v>
      </c>
      <c r="EI904" s="314"/>
      <c r="EJ904" s="247" t="str">
        <f t="shared" si="78"/>
        <v/>
      </c>
      <c r="EK904" t="str">
        <f t="shared" si="79"/>
        <v/>
      </c>
    </row>
    <row r="905" spans="2:141" x14ac:dyDescent="0.25">
      <c r="B905" s="43">
        <v>902</v>
      </c>
      <c r="C905" s="44"/>
      <c r="D905" s="45">
        <f t="shared" si="77"/>
        <v>0</v>
      </c>
      <c r="EH905" s="313">
        <v>902</v>
      </c>
      <c r="EI905" s="314"/>
      <c r="EJ905" s="247" t="str">
        <f t="shared" si="78"/>
        <v/>
      </c>
      <c r="EK905" t="str">
        <f t="shared" si="79"/>
        <v/>
      </c>
    </row>
    <row r="906" spans="2:141" x14ac:dyDescent="0.25">
      <c r="B906" s="43">
        <v>903</v>
      </c>
      <c r="C906" s="44"/>
      <c r="D906" s="45">
        <f t="shared" si="77"/>
        <v>0</v>
      </c>
      <c r="EH906" s="313">
        <v>903</v>
      </c>
      <c r="EI906" s="314"/>
      <c r="EJ906" s="247" t="str">
        <f t="shared" si="78"/>
        <v/>
      </c>
      <c r="EK906" t="str">
        <f t="shared" si="79"/>
        <v/>
      </c>
    </row>
    <row r="907" spans="2:141" x14ac:dyDescent="0.25">
      <c r="B907" s="43">
        <v>904</v>
      </c>
      <c r="C907" s="44"/>
      <c r="D907" s="45">
        <f t="shared" si="77"/>
        <v>0</v>
      </c>
      <c r="EH907" s="313">
        <v>904</v>
      </c>
      <c r="EI907" s="314"/>
      <c r="EJ907" s="247" t="str">
        <f t="shared" si="78"/>
        <v/>
      </c>
      <c r="EK907" t="str">
        <f t="shared" si="79"/>
        <v/>
      </c>
    </row>
    <row r="908" spans="2:141" x14ac:dyDescent="0.25">
      <c r="B908" s="43">
        <v>905</v>
      </c>
      <c r="C908" s="44"/>
      <c r="D908" s="45">
        <f t="shared" si="77"/>
        <v>0</v>
      </c>
      <c r="EH908" s="313">
        <v>905</v>
      </c>
      <c r="EI908" s="314"/>
      <c r="EJ908" s="247" t="str">
        <f t="shared" si="78"/>
        <v/>
      </c>
      <c r="EK908" t="str">
        <f t="shared" si="79"/>
        <v/>
      </c>
    </row>
    <row r="909" spans="2:141" x14ac:dyDescent="0.25">
      <c r="B909" s="43">
        <v>906</v>
      </c>
      <c r="C909" s="44"/>
      <c r="D909" s="45">
        <f t="shared" si="77"/>
        <v>0</v>
      </c>
      <c r="EH909" s="313">
        <v>906</v>
      </c>
      <c r="EI909" s="314"/>
      <c r="EJ909" s="247" t="str">
        <f t="shared" si="78"/>
        <v/>
      </c>
      <c r="EK909" t="str">
        <f t="shared" si="79"/>
        <v/>
      </c>
    </row>
    <row r="910" spans="2:141" x14ac:dyDescent="0.25">
      <c r="B910" s="43">
        <v>907</v>
      </c>
      <c r="C910" s="44"/>
      <c r="D910" s="45">
        <f t="shared" si="77"/>
        <v>0</v>
      </c>
      <c r="EH910" s="313">
        <v>907</v>
      </c>
      <c r="EI910" s="314"/>
      <c r="EJ910" s="247" t="str">
        <f t="shared" si="78"/>
        <v/>
      </c>
      <c r="EK910" t="str">
        <f t="shared" si="79"/>
        <v/>
      </c>
    </row>
    <row r="911" spans="2:141" x14ac:dyDescent="0.25">
      <c r="B911" s="43">
        <v>908</v>
      </c>
      <c r="C911" s="44"/>
      <c r="D911" s="45">
        <f t="shared" si="77"/>
        <v>0</v>
      </c>
      <c r="EH911" s="313">
        <v>908</v>
      </c>
      <c r="EI911" s="314"/>
      <c r="EJ911" s="247" t="str">
        <f t="shared" si="78"/>
        <v/>
      </c>
      <c r="EK911" t="str">
        <f t="shared" si="79"/>
        <v/>
      </c>
    </row>
    <row r="912" spans="2:141" x14ac:dyDescent="0.25">
      <c r="B912" s="43">
        <v>909</v>
      </c>
      <c r="C912" s="44"/>
      <c r="D912" s="45">
        <f t="shared" si="77"/>
        <v>0</v>
      </c>
      <c r="EH912" s="313">
        <v>909</v>
      </c>
      <c r="EI912" s="314"/>
      <c r="EJ912" s="247" t="str">
        <f t="shared" si="78"/>
        <v/>
      </c>
      <c r="EK912" t="str">
        <f t="shared" si="79"/>
        <v/>
      </c>
    </row>
    <row r="913" spans="2:141" x14ac:dyDescent="0.25">
      <c r="B913" s="43">
        <v>910</v>
      </c>
      <c r="C913" s="44"/>
      <c r="D913" s="45">
        <f t="shared" si="77"/>
        <v>0</v>
      </c>
      <c r="EH913" s="313">
        <v>910</v>
      </c>
      <c r="EI913" s="314">
        <v>10.849</v>
      </c>
      <c r="EJ913" s="247">
        <f t="shared" si="78"/>
        <v>1</v>
      </c>
      <c r="EK913">
        <f t="shared" si="79"/>
        <v>1.1070408163265306</v>
      </c>
    </row>
    <row r="914" spans="2:141" x14ac:dyDescent="0.25">
      <c r="B914" s="43">
        <v>911</v>
      </c>
      <c r="C914" s="44"/>
      <c r="D914" s="45">
        <f t="shared" si="77"/>
        <v>0</v>
      </c>
      <c r="EH914" s="313">
        <v>911</v>
      </c>
      <c r="EI914" s="314"/>
      <c r="EJ914" s="247" t="str">
        <f t="shared" si="78"/>
        <v/>
      </c>
      <c r="EK914" t="str">
        <f t="shared" si="79"/>
        <v/>
      </c>
    </row>
    <row r="915" spans="2:141" x14ac:dyDescent="0.25">
      <c r="B915" s="43">
        <v>912</v>
      </c>
      <c r="C915" s="44"/>
      <c r="D915" s="45">
        <f t="shared" si="77"/>
        <v>0</v>
      </c>
      <c r="EH915" s="313">
        <v>912</v>
      </c>
      <c r="EI915" s="314"/>
      <c r="EJ915" s="247" t="str">
        <f t="shared" si="78"/>
        <v/>
      </c>
      <c r="EK915" t="str">
        <f t="shared" si="79"/>
        <v/>
      </c>
    </row>
    <row r="916" spans="2:141" x14ac:dyDescent="0.25">
      <c r="B916" s="43">
        <v>913</v>
      </c>
      <c r="C916" s="44"/>
      <c r="D916" s="45">
        <f t="shared" si="77"/>
        <v>0</v>
      </c>
      <c r="EH916" s="313">
        <v>913</v>
      </c>
      <c r="EI916" s="314"/>
      <c r="EJ916" s="247" t="str">
        <f t="shared" si="78"/>
        <v/>
      </c>
      <c r="EK916" t="str">
        <f t="shared" si="79"/>
        <v/>
      </c>
    </row>
    <row r="917" spans="2:141" x14ac:dyDescent="0.25">
      <c r="B917" s="43">
        <v>914</v>
      </c>
      <c r="C917" s="44"/>
      <c r="D917" s="45">
        <f t="shared" si="77"/>
        <v>0</v>
      </c>
      <c r="EH917" s="313">
        <v>914</v>
      </c>
      <c r="EI917" s="314"/>
      <c r="EJ917" s="247" t="str">
        <f t="shared" si="78"/>
        <v/>
      </c>
      <c r="EK917" t="str">
        <f t="shared" si="79"/>
        <v/>
      </c>
    </row>
    <row r="918" spans="2:141" x14ac:dyDescent="0.25">
      <c r="B918" s="43">
        <v>915</v>
      </c>
      <c r="C918" s="44"/>
      <c r="D918" s="45">
        <f t="shared" si="77"/>
        <v>0</v>
      </c>
      <c r="EH918" s="313">
        <v>915</v>
      </c>
      <c r="EI918" s="314"/>
      <c r="EJ918" s="247" t="str">
        <f t="shared" si="78"/>
        <v/>
      </c>
      <c r="EK918" t="str">
        <f t="shared" si="79"/>
        <v/>
      </c>
    </row>
    <row r="919" spans="2:141" x14ac:dyDescent="0.25">
      <c r="B919" s="43">
        <v>916</v>
      </c>
      <c r="C919" s="44"/>
      <c r="D919" s="45">
        <f t="shared" si="77"/>
        <v>0</v>
      </c>
      <c r="EH919" s="313">
        <v>916</v>
      </c>
      <c r="EI919" s="314"/>
      <c r="EJ919" s="247" t="str">
        <f t="shared" si="78"/>
        <v/>
      </c>
      <c r="EK919" t="str">
        <f t="shared" si="79"/>
        <v/>
      </c>
    </row>
    <row r="920" spans="2:141" x14ac:dyDescent="0.25">
      <c r="B920" s="43">
        <v>917</v>
      </c>
      <c r="C920" s="44"/>
      <c r="D920" s="45">
        <f t="shared" si="77"/>
        <v>0</v>
      </c>
      <c r="EH920" s="313">
        <v>917</v>
      </c>
      <c r="EI920" s="314"/>
      <c r="EJ920" s="247" t="str">
        <f t="shared" si="78"/>
        <v/>
      </c>
      <c r="EK920" t="str">
        <f t="shared" si="79"/>
        <v/>
      </c>
    </row>
    <row r="921" spans="2:141" x14ac:dyDescent="0.25">
      <c r="B921" s="43">
        <v>918</v>
      </c>
      <c r="C921" s="44"/>
      <c r="D921" s="45">
        <f t="shared" si="77"/>
        <v>0</v>
      </c>
      <c r="EH921" s="313">
        <v>918</v>
      </c>
      <c r="EI921" s="314"/>
      <c r="EJ921" s="247" t="str">
        <f t="shared" si="78"/>
        <v/>
      </c>
      <c r="EK921" t="str">
        <f t="shared" si="79"/>
        <v/>
      </c>
    </row>
    <row r="922" spans="2:141" x14ac:dyDescent="0.25">
      <c r="B922" s="43">
        <v>919</v>
      </c>
      <c r="C922" s="44"/>
      <c r="D922" s="45">
        <f t="shared" si="77"/>
        <v>0</v>
      </c>
      <c r="EH922" s="313">
        <v>919</v>
      </c>
      <c r="EI922" s="314"/>
      <c r="EJ922" s="247" t="str">
        <f t="shared" si="78"/>
        <v/>
      </c>
      <c r="EK922" t="str">
        <f t="shared" si="79"/>
        <v/>
      </c>
    </row>
    <row r="923" spans="2:141" x14ac:dyDescent="0.25">
      <c r="B923" s="43">
        <v>920</v>
      </c>
      <c r="C923" s="44"/>
      <c r="D923" s="45">
        <f t="shared" si="77"/>
        <v>0</v>
      </c>
      <c r="EH923" s="313">
        <v>920</v>
      </c>
      <c r="EI923" s="314">
        <v>10.966900000000001</v>
      </c>
      <c r="EJ923" s="247">
        <f t="shared" si="78"/>
        <v>1</v>
      </c>
      <c r="EK923">
        <f t="shared" si="79"/>
        <v>1.1190714285714285</v>
      </c>
    </row>
    <row r="924" spans="2:141" x14ac:dyDescent="0.25">
      <c r="B924" s="43">
        <v>921</v>
      </c>
      <c r="C924" s="44"/>
      <c r="D924" s="45">
        <f t="shared" si="77"/>
        <v>0</v>
      </c>
      <c r="E924" s="318"/>
      <c r="EH924" s="313">
        <v>921</v>
      </c>
      <c r="EI924" s="314"/>
      <c r="EJ924" s="247" t="str">
        <f t="shared" si="78"/>
        <v/>
      </c>
      <c r="EK924" t="str">
        <f t="shared" si="79"/>
        <v/>
      </c>
    </row>
    <row r="925" spans="2:141" x14ac:dyDescent="0.25">
      <c r="B925" s="43">
        <v>922</v>
      </c>
      <c r="C925" s="44"/>
      <c r="D925" s="45">
        <f t="shared" si="77"/>
        <v>0</v>
      </c>
      <c r="E925" s="251"/>
      <c r="EH925" s="313">
        <v>922</v>
      </c>
      <c r="EI925" s="314"/>
      <c r="EJ925" s="247" t="str">
        <f t="shared" si="78"/>
        <v/>
      </c>
      <c r="EK925" t="str">
        <f t="shared" si="79"/>
        <v/>
      </c>
    </row>
    <row r="926" spans="2:141" x14ac:dyDescent="0.25">
      <c r="B926" s="43">
        <v>923</v>
      </c>
      <c r="C926" s="44"/>
      <c r="D926" s="45">
        <f t="shared" si="77"/>
        <v>0</v>
      </c>
      <c r="E926" s="262"/>
      <c r="EH926" s="313">
        <v>923</v>
      </c>
      <c r="EI926" s="314"/>
      <c r="EJ926" s="247" t="str">
        <f t="shared" si="78"/>
        <v/>
      </c>
      <c r="EK926" t="str">
        <f t="shared" si="79"/>
        <v/>
      </c>
    </row>
    <row r="927" spans="2:141" x14ac:dyDescent="0.25">
      <c r="B927" s="43">
        <v>924</v>
      </c>
      <c r="C927" s="44"/>
      <c r="D927" s="45">
        <f t="shared" si="77"/>
        <v>0</v>
      </c>
      <c r="E927" s="265"/>
      <c r="EH927" s="313">
        <v>924</v>
      </c>
      <c r="EI927" s="314"/>
      <c r="EJ927" s="247" t="str">
        <f t="shared" si="78"/>
        <v/>
      </c>
      <c r="EK927" t="str">
        <f t="shared" si="79"/>
        <v/>
      </c>
    </row>
    <row r="928" spans="2:141" x14ac:dyDescent="0.25">
      <c r="B928" s="43">
        <v>925</v>
      </c>
      <c r="C928" s="44"/>
      <c r="D928" s="45">
        <f t="shared" si="77"/>
        <v>0</v>
      </c>
      <c r="E928" s="269"/>
      <c r="EH928" s="313">
        <v>925</v>
      </c>
      <c r="EI928" s="314"/>
      <c r="EJ928" s="247" t="str">
        <f t="shared" si="78"/>
        <v/>
      </c>
      <c r="EK928" t="str">
        <f t="shared" si="79"/>
        <v/>
      </c>
    </row>
    <row r="929" spans="2:141" x14ac:dyDescent="0.25">
      <c r="B929" s="43">
        <v>926</v>
      </c>
      <c r="C929" s="44"/>
      <c r="D929" s="45">
        <f t="shared" si="77"/>
        <v>0</v>
      </c>
      <c r="EH929" s="313">
        <v>926</v>
      </c>
      <c r="EI929" s="314"/>
      <c r="EJ929" s="247" t="str">
        <f t="shared" si="78"/>
        <v/>
      </c>
      <c r="EK929" t="str">
        <f t="shared" si="79"/>
        <v/>
      </c>
    </row>
    <row r="930" spans="2:141" x14ac:dyDescent="0.25">
      <c r="B930" s="43">
        <v>927</v>
      </c>
      <c r="C930" s="44"/>
      <c r="D930" s="45">
        <f t="shared" si="77"/>
        <v>0</v>
      </c>
      <c r="EH930" s="313">
        <v>927</v>
      </c>
      <c r="EI930" s="314"/>
      <c r="EJ930" s="247" t="str">
        <f t="shared" si="78"/>
        <v/>
      </c>
      <c r="EK930" t="str">
        <f t="shared" si="79"/>
        <v/>
      </c>
    </row>
    <row r="931" spans="2:141" x14ac:dyDescent="0.25">
      <c r="B931" s="43">
        <v>928</v>
      </c>
      <c r="C931" s="44"/>
      <c r="D931" s="45">
        <f t="shared" si="77"/>
        <v>0</v>
      </c>
      <c r="EH931" s="313">
        <v>928</v>
      </c>
      <c r="EI931" s="314"/>
      <c r="EJ931" s="247" t="str">
        <f t="shared" si="78"/>
        <v/>
      </c>
      <c r="EK931" t="str">
        <f t="shared" si="79"/>
        <v/>
      </c>
    </row>
    <row r="932" spans="2:141" x14ac:dyDescent="0.25">
      <c r="B932" s="43">
        <v>929</v>
      </c>
      <c r="C932" s="44"/>
      <c r="D932" s="45">
        <f t="shared" si="77"/>
        <v>0</v>
      </c>
      <c r="EH932" s="313">
        <v>929</v>
      </c>
      <c r="EI932" s="314"/>
      <c r="EJ932" s="247" t="str">
        <f t="shared" si="78"/>
        <v/>
      </c>
      <c r="EK932" t="str">
        <f t="shared" si="79"/>
        <v/>
      </c>
    </row>
    <row r="933" spans="2:141" x14ac:dyDescent="0.25">
      <c r="B933" s="43">
        <v>930</v>
      </c>
      <c r="C933" s="44"/>
      <c r="D933" s="45">
        <f t="shared" si="77"/>
        <v>0</v>
      </c>
      <c r="EH933" s="313">
        <v>930</v>
      </c>
      <c r="EI933" s="314">
        <v>11.084899999999999</v>
      </c>
      <c r="EJ933" s="247">
        <f t="shared" si="78"/>
        <v>1</v>
      </c>
      <c r="EK933">
        <f t="shared" si="79"/>
        <v>1.1311122448979591</v>
      </c>
    </row>
    <row r="934" spans="2:141" x14ac:dyDescent="0.25">
      <c r="B934" s="43">
        <v>931</v>
      </c>
      <c r="C934" s="44"/>
      <c r="D934" s="45">
        <f t="shared" si="77"/>
        <v>0</v>
      </c>
      <c r="EH934" s="313">
        <v>931</v>
      </c>
      <c r="EI934" s="314"/>
      <c r="EJ934" s="247" t="str">
        <f t="shared" si="78"/>
        <v/>
      </c>
      <c r="EK934" t="str">
        <f t="shared" si="79"/>
        <v/>
      </c>
    </row>
    <row r="935" spans="2:141" x14ac:dyDescent="0.25">
      <c r="B935" s="43">
        <v>932</v>
      </c>
      <c r="C935" s="44"/>
      <c r="D935" s="45">
        <f t="shared" si="77"/>
        <v>0</v>
      </c>
      <c r="EH935" s="313">
        <v>932</v>
      </c>
      <c r="EI935" s="314"/>
      <c r="EJ935" s="247" t="str">
        <f t="shared" si="78"/>
        <v/>
      </c>
      <c r="EK935" t="str">
        <f t="shared" si="79"/>
        <v/>
      </c>
    </row>
    <row r="936" spans="2:141" x14ac:dyDescent="0.25">
      <c r="B936" s="43">
        <v>933</v>
      </c>
      <c r="C936" s="44"/>
      <c r="D936" s="45">
        <f t="shared" si="77"/>
        <v>0</v>
      </c>
      <c r="EH936" s="313">
        <v>933</v>
      </c>
      <c r="EI936" s="314"/>
      <c r="EJ936" s="247" t="str">
        <f t="shared" si="78"/>
        <v/>
      </c>
      <c r="EK936" t="str">
        <f t="shared" si="79"/>
        <v/>
      </c>
    </row>
    <row r="937" spans="2:141" x14ac:dyDescent="0.25">
      <c r="B937" s="43">
        <v>934</v>
      </c>
      <c r="C937" s="44"/>
      <c r="D937" s="45">
        <f t="shared" si="77"/>
        <v>0</v>
      </c>
      <c r="EH937" s="313">
        <v>934</v>
      </c>
      <c r="EI937" s="314"/>
      <c r="EJ937" s="247" t="str">
        <f t="shared" si="78"/>
        <v/>
      </c>
      <c r="EK937" t="str">
        <f t="shared" si="79"/>
        <v/>
      </c>
    </row>
    <row r="938" spans="2:141" x14ac:dyDescent="0.25">
      <c r="B938" s="43">
        <v>935</v>
      </c>
      <c r="C938" s="44"/>
      <c r="D938" s="45">
        <f t="shared" si="77"/>
        <v>0</v>
      </c>
      <c r="EH938" s="313">
        <v>935</v>
      </c>
      <c r="EI938" s="314"/>
      <c r="EJ938" s="247" t="str">
        <f t="shared" si="78"/>
        <v/>
      </c>
      <c r="EK938" t="str">
        <f t="shared" si="79"/>
        <v/>
      </c>
    </row>
    <row r="939" spans="2:141" x14ac:dyDescent="0.25">
      <c r="B939" s="43">
        <v>936</v>
      </c>
      <c r="C939" s="44"/>
      <c r="D939" s="45">
        <f t="shared" si="77"/>
        <v>0</v>
      </c>
      <c r="EH939" s="313">
        <v>936</v>
      </c>
      <c r="EI939" s="314"/>
      <c r="EJ939" s="247" t="str">
        <f t="shared" si="78"/>
        <v/>
      </c>
      <c r="EK939" t="str">
        <f t="shared" si="79"/>
        <v/>
      </c>
    </row>
    <row r="940" spans="2:141" x14ac:dyDescent="0.25">
      <c r="B940" s="43">
        <v>937</v>
      </c>
      <c r="C940" s="44"/>
      <c r="D940" s="45">
        <f t="shared" si="77"/>
        <v>0</v>
      </c>
      <c r="EH940" s="313">
        <v>937</v>
      </c>
      <c r="EI940" s="314"/>
      <c r="EJ940" s="247" t="str">
        <f t="shared" si="78"/>
        <v/>
      </c>
      <c r="EK940" t="str">
        <f t="shared" si="79"/>
        <v/>
      </c>
    </row>
    <row r="941" spans="2:141" x14ac:dyDescent="0.25">
      <c r="B941" s="43">
        <v>938</v>
      </c>
      <c r="C941" s="44"/>
      <c r="D941" s="45">
        <f t="shared" si="77"/>
        <v>0</v>
      </c>
      <c r="EH941" s="313">
        <v>938</v>
      </c>
      <c r="EI941" s="314"/>
      <c r="EJ941" s="247" t="str">
        <f t="shared" si="78"/>
        <v/>
      </c>
      <c r="EK941" t="str">
        <f t="shared" si="79"/>
        <v/>
      </c>
    </row>
    <row r="942" spans="2:141" x14ac:dyDescent="0.25">
      <c r="B942" s="43">
        <v>939</v>
      </c>
      <c r="C942" s="44"/>
      <c r="D942" s="45">
        <f t="shared" si="77"/>
        <v>0</v>
      </c>
      <c r="EH942" s="313">
        <v>939</v>
      </c>
      <c r="EI942" s="314"/>
      <c r="EJ942" s="247" t="str">
        <f t="shared" si="78"/>
        <v/>
      </c>
      <c r="EK942" t="str">
        <f t="shared" si="79"/>
        <v/>
      </c>
    </row>
    <row r="943" spans="2:141" x14ac:dyDescent="0.25">
      <c r="B943" s="43">
        <v>940</v>
      </c>
      <c r="C943" s="44"/>
      <c r="D943" s="45">
        <f t="shared" si="77"/>
        <v>0</v>
      </c>
      <c r="EH943" s="313">
        <v>940</v>
      </c>
      <c r="EI943" s="314">
        <v>11.2028</v>
      </c>
      <c r="EJ943" s="247">
        <f t="shared" si="78"/>
        <v>1</v>
      </c>
      <c r="EK943">
        <f t="shared" si="79"/>
        <v>1.143142857142857</v>
      </c>
    </row>
    <row r="944" spans="2:141" x14ac:dyDescent="0.25">
      <c r="B944" s="43">
        <v>941</v>
      </c>
      <c r="C944" s="44"/>
      <c r="D944" s="45">
        <f t="shared" si="77"/>
        <v>0</v>
      </c>
      <c r="EH944" s="313">
        <v>941</v>
      </c>
      <c r="EI944" s="314"/>
      <c r="EJ944" s="247" t="str">
        <f t="shared" si="78"/>
        <v/>
      </c>
      <c r="EK944" t="str">
        <f t="shared" si="79"/>
        <v/>
      </c>
    </row>
    <row r="945" spans="2:141" x14ac:dyDescent="0.25">
      <c r="B945" s="43">
        <v>942</v>
      </c>
      <c r="C945" s="44"/>
      <c r="D945" s="45">
        <f t="shared" si="77"/>
        <v>0</v>
      </c>
      <c r="EH945" s="313">
        <v>942</v>
      </c>
      <c r="EI945" s="314"/>
      <c r="EJ945" s="247" t="str">
        <f t="shared" si="78"/>
        <v/>
      </c>
      <c r="EK945" t="str">
        <f t="shared" si="79"/>
        <v/>
      </c>
    </row>
    <row r="946" spans="2:141" x14ac:dyDescent="0.25">
      <c r="B946" s="43">
        <v>943</v>
      </c>
      <c r="C946" s="44"/>
      <c r="D946" s="45">
        <f t="shared" si="77"/>
        <v>0</v>
      </c>
      <c r="EH946" s="313">
        <v>943</v>
      </c>
      <c r="EI946" s="314"/>
      <c r="EJ946" s="247" t="str">
        <f t="shared" si="78"/>
        <v/>
      </c>
      <c r="EK946" t="str">
        <f t="shared" si="79"/>
        <v/>
      </c>
    </row>
    <row r="947" spans="2:141" x14ac:dyDescent="0.25">
      <c r="B947" s="43">
        <v>944</v>
      </c>
      <c r="C947" s="44"/>
      <c r="D947" s="45">
        <f t="shared" si="77"/>
        <v>0</v>
      </c>
      <c r="EH947" s="313">
        <v>944</v>
      </c>
      <c r="EI947" s="314"/>
      <c r="EJ947" s="247" t="str">
        <f t="shared" si="78"/>
        <v/>
      </c>
      <c r="EK947" t="str">
        <f t="shared" si="79"/>
        <v/>
      </c>
    </row>
    <row r="948" spans="2:141" x14ac:dyDescent="0.25">
      <c r="B948" s="43">
        <v>945</v>
      </c>
      <c r="C948" s="44"/>
      <c r="D948" s="45">
        <f t="shared" si="77"/>
        <v>0</v>
      </c>
      <c r="EH948" s="313">
        <v>945</v>
      </c>
      <c r="EI948" s="314"/>
      <c r="EJ948" s="247" t="str">
        <f t="shared" si="78"/>
        <v/>
      </c>
      <c r="EK948" t="str">
        <f t="shared" si="79"/>
        <v/>
      </c>
    </row>
    <row r="949" spans="2:141" x14ac:dyDescent="0.25">
      <c r="B949" s="43">
        <v>946</v>
      </c>
      <c r="C949" s="44"/>
      <c r="D949" s="45">
        <f t="shared" si="77"/>
        <v>0</v>
      </c>
      <c r="EH949" s="313">
        <v>946</v>
      </c>
      <c r="EI949" s="314"/>
      <c r="EJ949" s="247" t="str">
        <f t="shared" si="78"/>
        <v/>
      </c>
      <c r="EK949" t="str">
        <f t="shared" si="79"/>
        <v/>
      </c>
    </row>
    <row r="950" spans="2:141" x14ac:dyDescent="0.25">
      <c r="B950" s="43">
        <v>947</v>
      </c>
      <c r="C950" s="44"/>
      <c r="D950" s="45">
        <f t="shared" si="77"/>
        <v>0</v>
      </c>
      <c r="EH950" s="313">
        <v>947</v>
      </c>
      <c r="EI950" s="314"/>
      <c r="EJ950" s="247" t="str">
        <f t="shared" si="78"/>
        <v/>
      </c>
      <c r="EK950" t="str">
        <f t="shared" si="79"/>
        <v/>
      </c>
    </row>
    <row r="951" spans="2:141" x14ac:dyDescent="0.25">
      <c r="B951" s="43">
        <v>948</v>
      </c>
      <c r="C951" s="44"/>
      <c r="D951" s="45">
        <f t="shared" si="77"/>
        <v>0</v>
      </c>
      <c r="EH951" s="313">
        <v>948</v>
      </c>
      <c r="EI951" s="314"/>
      <c r="EJ951" s="247" t="str">
        <f t="shared" si="78"/>
        <v/>
      </c>
      <c r="EK951" t="str">
        <f t="shared" si="79"/>
        <v/>
      </c>
    </row>
    <row r="952" spans="2:141" x14ac:dyDescent="0.25">
      <c r="B952" s="43">
        <v>949</v>
      </c>
      <c r="C952" s="44"/>
      <c r="D952" s="45">
        <f t="shared" si="77"/>
        <v>0</v>
      </c>
      <c r="EH952" s="313">
        <v>949</v>
      </c>
      <c r="EI952" s="314"/>
      <c r="EJ952" s="247" t="str">
        <f t="shared" si="78"/>
        <v/>
      </c>
      <c r="EK952" t="str">
        <f t="shared" si="79"/>
        <v/>
      </c>
    </row>
    <row r="953" spans="2:141" x14ac:dyDescent="0.25">
      <c r="B953" s="43">
        <v>950</v>
      </c>
      <c r="C953" s="44"/>
      <c r="D953" s="45">
        <f t="shared" si="77"/>
        <v>0</v>
      </c>
      <c r="EH953" s="313">
        <v>950</v>
      </c>
      <c r="EI953" s="314">
        <v>11.3089</v>
      </c>
      <c r="EJ953" s="247">
        <f t="shared" si="78"/>
        <v>1</v>
      </c>
      <c r="EK953">
        <f t="shared" si="79"/>
        <v>1.1539693877551018</v>
      </c>
    </row>
    <row r="954" spans="2:141" x14ac:dyDescent="0.25">
      <c r="B954" s="43">
        <v>951</v>
      </c>
      <c r="C954" s="44"/>
      <c r="D954" s="45">
        <f t="shared" si="77"/>
        <v>0</v>
      </c>
      <c r="EH954" s="313">
        <v>951</v>
      </c>
      <c r="EI954" s="314"/>
      <c r="EJ954" s="247" t="str">
        <f t="shared" si="78"/>
        <v/>
      </c>
      <c r="EK954" t="str">
        <f t="shared" si="79"/>
        <v/>
      </c>
    </row>
    <row r="955" spans="2:141" x14ac:dyDescent="0.25">
      <c r="B955" s="43">
        <v>952</v>
      </c>
      <c r="C955" s="44"/>
      <c r="D955" s="45">
        <f t="shared" si="77"/>
        <v>0</v>
      </c>
      <c r="EH955" s="313">
        <v>952</v>
      </c>
      <c r="EI955" s="314"/>
      <c r="EJ955" s="247" t="str">
        <f t="shared" si="78"/>
        <v/>
      </c>
      <c r="EK955" t="str">
        <f t="shared" si="79"/>
        <v/>
      </c>
    </row>
    <row r="956" spans="2:141" x14ac:dyDescent="0.25">
      <c r="B956" s="43">
        <v>953</v>
      </c>
      <c r="C956" s="44"/>
      <c r="D956" s="45">
        <f t="shared" si="77"/>
        <v>0</v>
      </c>
      <c r="EH956" s="313">
        <v>953</v>
      </c>
      <c r="EI956" s="314"/>
      <c r="EJ956" s="247" t="str">
        <f t="shared" si="78"/>
        <v/>
      </c>
      <c r="EK956" t="str">
        <f t="shared" si="79"/>
        <v/>
      </c>
    </row>
    <row r="957" spans="2:141" x14ac:dyDescent="0.25">
      <c r="B957" s="43">
        <v>954</v>
      </c>
      <c r="C957" s="44"/>
      <c r="D957" s="45">
        <f t="shared" si="77"/>
        <v>0</v>
      </c>
      <c r="EH957" s="313">
        <v>954</v>
      </c>
      <c r="EI957" s="314"/>
      <c r="EJ957" s="247" t="str">
        <f t="shared" si="78"/>
        <v/>
      </c>
      <c r="EK957" t="str">
        <f t="shared" si="79"/>
        <v/>
      </c>
    </row>
    <row r="958" spans="2:141" x14ac:dyDescent="0.25">
      <c r="B958" s="43">
        <v>955</v>
      </c>
      <c r="C958" s="44"/>
      <c r="D958" s="45">
        <f t="shared" si="77"/>
        <v>0</v>
      </c>
      <c r="EH958" s="313">
        <v>955</v>
      </c>
      <c r="EI958" s="314"/>
      <c r="EJ958" s="247" t="str">
        <f t="shared" si="78"/>
        <v/>
      </c>
      <c r="EK958" t="str">
        <f t="shared" si="79"/>
        <v/>
      </c>
    </row>
    <row r="959" spans="2:141" x14ac:dyDescent="0.25">
      <c r="B959" s="43">
        <v>956</v>
      </c>
      <c r="C959" s="44"/>
      <c r="D959" s="45">
        <f t="shared" si="77"/>
        <v>0</v>
      </c>
      <c r="EH959" s="313">
        <v>956</v>
      </c>
      <c r="EI959" s="314"/>
      <c r="EJ959" s="247" t="str">
        <f t="shared" si="78"/>
        <v/>
      </c>
      <c r="EK959" t="str">
        <f t="shared" si="79"/>
        <v/>
      </c>
    </row>
    <row r="960" spans="2:141" x14ac:dyDescent="0.25">
      <c r="B960" s="43">
        <v>957</v>
      </c>
      <c r="C960" s="44"/>
      <c r="D960" s="45">
        <f t="shared" si="77"/>
        <v>0</v>
      </c>
      <c r="E960" s="318"/>
      <c r="EH960" s="313">
        <v>957</v>
      </c>
      <c r="EI960" s="314"/>
      <c r="EJ960" s="247" t="str">
        <f t="shared" si="78"/>
        <v/>
      </c>
      <c r="EK960" t="str">
        <f t="shared" si="79"/>
        <v/>
      </c>
    </row>
    <row r="961" spans="2:141" x14ac:dyDescent="0.25">
      <c r="B961" s="43">
        <v>958</v>
      </c>
      <c r="C961" s="44"/>
      <c r="D961" s="45">
        <f t="shared" si="77"/>
        <v>0</v>
      </c>
      <c r="E961" s="251"/>
      <c r="EH961" s="313">
        <v>958</v>
      </c>
      <c r="EI961" s="314"/>
      <c r="EJ961" s="247" t="str">
        <f t="shared" si="78"/>
        <v/>
      </c>
      <c r="EK961" t="str">
        <f t="shared" si="79"/>
        <v/>
      </c>
    </row>
    <row r="962" spans="2:141" x14ac:dyDescent="0.25">
      <c r="B962" s="43">
        <v>959</v>
      </c>
      <c r="C962" s="44"/>
      <c r="D962" s="45">
        <f t="shared" si="77"/>
        <v>0</v>
      </c>
      <c r="E962" s="262"/>
      <c r="EH962" s="313">
        <v>959</v>
      </c>
      <c r="EI962" s="314"/>
      <c r="EJ962" s="247" t="str">
        <f t="shared" si="78"/>
        <v/>
      </c>
      <c r="EK962" t="str">
        <f t="shared" si="79"/>
        <v/>
      </c>
    </row>
    <row r="963" spans="2:141" x14ac:dyDescent="0.25">
      <c r="B963" s="43">
        <v>960</v>
      </c>
      <c r="C963" s="44"/>
      <c r="D963" s="45">
        <f t="shared" si="77"/>
        <v>0</v>
      </c>
      <c r="E963" s="265"/>
      <c r="EH963" s="313">
        <v>960</v>
      </c>
      <c r="EI963" s="314">
        <v>11.438599999999999</v>
      </c>
      <c r="EJ963" s="247">
        <f t="shared" si="78"/>
        <v>1</v>
      </c>
      <c r="EK963">
        <f t="shared" si="79"/>
        <v>1.167204081632653</v>
      </c>
    </row>
    <row r="964" spans="2:141" x14ac:dyDescent="0.25">
      <c r="B964" s="43">
        <v>961</v>
      </c>
      <c r="C964" s="44"/>
      <c r="D964" s="45">
        <f t="shared" si="77"/>
        <v>0</v>
      </c>
      <c r="E964" s="269"/>
      <c r="EH964" s="313">
        <v>961</v>
      </c>
      <c r="EI964" s="314"/>
      <c r="EJ964" s="247" t="str">
        <f t="shared" si="78"/>
        <v/>
      </c>
      <c r="EK964" t="str">
        <f t="shared" si="79"/>
        <v/>
      </c>
    </row>
    <row r="965" spans="2:141" x14ac:dyDescent="0.25">
      <c r="B965" s="43">
        <v>962</v>
      </c>
      <c r="C965" s="44"/>
      <c r="D965" s="45">
        <f t="shared" ref="D965:D1028" si="80">C965</f>
        <v>0</v>
      </c>
      <c r="EH965" s="313">
        <v>962</v>
      </c>
      <c r="EI965" s="314"/>
      <c r="EJ965" s="247" t="str">
        <f t="shared" ref="EJ965:EJ1028" si="81">IF(EI965="","",1)</f>
        <v/>
      </c>
      <c r="EK965" t="str">
        <f t="shared" ref="EK965:EK1028" si="82">IF(EI965="","",EI965/9.8)</f>
        <v/>
      </c>
    </row>
    <row r="966" spans="2:141" x14ac:dyDescent="0.25">
      <c r="B966" s="43">
        <v>963</v>
      </c>
      <c r="C966" s="44"/>
      <c r="D966" s="45">
        <f t="shared" si="80"/>
        <v>0</v>
      </c>
      <c r="EH966" s="313">
        <v>963</v>
      </c>
      <c r="EI966" s="314"/>
      <c r="EJ966" s="247" t="str">
        <f t="shared" si="81"/>
        <v/>
      </c>
      <c r="EK966" t="str">
        <f t="shared" si="82"/>
        <v/>
      </c>
    </row>
    <row r="967" spans="2:141" x14ac:dyDescent="0.25">
      <c r="B967" s="43">
        <v>964</v>
      </c>
      <c r="C967" s="44"/>
      <c r="D967" s="45">
        <f t="shared" si="80"/>
        <v>0</v>
      </c>
      <c r="EH967" s="313">
        <v>964</v>
      </c>
      <c r="EI967" s="314"/>
      <c r="EJ967" s="247" t="str">
        <f t="shared" si="81"/>
        <v/>
      </c>
      <c r="EK967" t="str">
        <f t="shared" si="82"/>
        <v/>
      </c>
    </row>
    <row r="968" spans="2:141" x14ac:dyDescent="0.25">
      <c r="B968" s="43">
        <v>965</v>
      </c>
      <c r="C968" s="44"/>
      <c r="D968" s="45">
        <f t="shared" si="80"/>
        <v>0</v>
      </c>
      <c r="EH968" s="313">
        <v>965</v>
      </c>
      <c r="EI968" s="314"/>
      <c r="EJ968" s="247" t="str">
        <f t="shared" si="81"/>
        <v/>
      </c>
      <c r="EK968" t="str">
        <f t="shared" si="82"/>
        <v/>
      </c>
    </row>
    <row r="969" spans="2:141" x14ac:dyDescent="0.25">
      <c r="B969" s="43">
        <v>966</v>
      </c>
      <c r="C969" s="44"/>
      <c r="D969" s="45">
        <f t="shared" si="80"/>
        <v>0</v>
      </c>
      <c r="EH969" s="313">
        <v>966</v>
      </c>
      <c r="EI969" s="314"/>
      <c r="EJ969" s="247" t="str">
        <f t="shared" si="81"/>
        <v/>
      </c>
      <c r="EK969" t="str">
        <f t="shared" si="82"/>
        <v/>
      </c>
    </row>
    <row r="970" spans="2:141" x14ac:dyDescent="0.25">
      <c r="B970" s="43">
        <v>967</v>
      </c>
      <c r="C970" s="44"/>
      <c r="D970" s="45">
        <f t="shared" si="80"/>
        <v>0</v>
      </c>
      <c r="EH970" s="313">
        <v>967</v>
      </c>
      <c r="EI970" s="314"/>
      <c r="EJ970" s="247" t="str">
        <f t="shared" si="81"/>
        <v/>
      </c>
      <c r="EK970" t="str">
        <f t="shared" si="82"/>
        <v/>
      </c>
    </row>
    <row r="971" spans="2:141" x14ac:dyDescent="0.25">
      <c r="B971" s="43">
        <v>968</v>
      </c>
      <c r="C971" s="44"/>
      <c r="D971" s="45">
        <f t="shared" si="80"/>
        <v>0</v>
      </c>
      <c r="EH971" s="313">
        <v>968</v>
      </c>
      <c r="EI971" s="314"/>
      <c r="EJ971" s="247" t="str">
        <f t="shared" si="81"/>
        <v/>
      </c>
      <c r="EK971" t="str">
        <f t="shared" si="82"/>
        <v/>
      </c>
    </row>
    <row r="972" spans="2:141" x14ac:dyDescent="0.25">
      <c r="B972" s="43">
        <v>969</v>
      </c>
      <c r="C972" s="44"/>
      <c r="D972" s="45">
        <f t="shared" si="80"/>
        <v>0</v>
      </c>
      <c r="EH972" s="313">
        <v>969</v>
      </c>
      <c r="EI972" s="314"/>
      <c r="EJ972" s="247" t="str">
        <f t="shared" si="81"/>
        <v/>
      </c>
      <c r="EK972" t="str">
        <f t="shared" si="82"/>
        <v/>
      </c>
    </row>
    <row r="973" spans="2:141" x14ac:dyDescent="0.25">
      <c r="B973" s="43">
        <v>970</v>
      </c>
      <c r="C973" s="44"/>
      <c r="D973" s="45">
        <f t="shared" si="80"/>
        <v>0</v>
      </c>
      <c r="EH973" s="313">
        <v>970</v>
      </c>
      <c r="EI973" s="314">
        <v>11.5566</v>
      </c>
      <c r="EJ973" s="247">
        <f t="shared" si="81"/>
        <v>1</v>
      </c>
      <c r="EK973">
        <f t="shared" si="82"/>
        <v>1.1792448979591836</v>
      </c>
    </row>
    <row r="974" spans="2:141" x14ac:dyDescent="0.25">
      <c r="B974" s="43">
        <v>971</v>
      </c>
      <c r="C974" s="44"/>
      <c r="D974" s="45">
        <f t="shared" si="80"/>
        <v>0</v>
      </c>
      <c r="EH974" s="313">
        <v>971</v>
      </c>
      <c r="EI974" s="314"/>
      <c r="EJ974" s="247" t="str">
        <f t="shared" si="81"/>
        <v/>
      </c>
      <c r="EK974" t="str">
        <f t="shared" si="82"/>
        <v/>
      </c>
    </row>
    <row r="975" spans="2:141" x14ac:dyDescent="0.25">
      <c r="B975" s="43">
        <v>972</v>
      </c>
      <c r="C975" s="44"/>
      <c r="D975" s="45">
        <f t="shared" si="80"/>
        <v>0</v>
      </c>
      <c r="EH975" s="313">
        <v>972</v>
      </c>
      <c r="EI975" s="314"/>
      <c r="EJ975" s="247" t="str">
        <f t="shared" si="81"/>
        <v/>
      </c>
      <c r="EK975" t="str">
        <f t="shared" si="82"/>
        <v/>
      </c>
    </row>
    <row r="976" spans="2:141" x14ac:dyDescent="0.25">
      <c r="B976" s="43">
        <v>973</v>
      </c>
      <c r="C976" s="44"/>
      <c r="D976" s="45">
        <f t="shared" si="80"/>
        <v>0</v>
      </c>
      <c r="EH976" s="313">
        <v>973</v>
      </c>
      <c r="EI976" s="314"/>
      <c r="EJ976" s="247" t="str">
        <f t="shared" si="81"/>
        <v/>
      </c>
      <c r="EK976" t="str">
        <f t="shared" si="82"/>
        <v/>
      </c>
    </row>
    <row r="977" spans="2:141" x14ac:dyDescent="0.25">
      <c r="B977" s="43">
        <v>974</v>
      </c>
      <c r="C977" s="44"/>
      <c r="D977" s="45">
        <f t="shared" si="80"/>
        <v>0</v>
      </c>
      <c r="EH977" s="313">
        <v>974</v>
      </c>
      <c r="EI977" s="314"/>
      <c r="EJ977" s="247" t="str">
        <f t="shared" si="81"/>
        <v/>
      </c>
      <c r="EK977" t="str">
        <f t="shared" si="82"/>
        <v/>
      </c>
    </row>
    <row r="978" spans="2:141" x14ac:dyDescent="0.25">
      <c r="B978" s="43">
        <v>975</v>
      </c>
      <c r="C978" s="44"/>
      <c r="D978" s="45">
        <f t="shared" si="80"/>
        <v>0</v>
      </c>
      <c r="EH978" s="313">
        <v>975</v>
      </c>
      <c r="EI978" s="314"/>
      <c r="EJ978" s="247" t="str">
        <f t="shared" si="81"/>
        <v/>
      </c>
      <c r="EK978" t="str">
        <f t="shared" si="82"/>
        <v/>
      </c>
    </row>
    <row r="979" spans="2:141" x14ac:dyDescent="0.25">
      <c r="B979" s="43">
        <v>976</v>
      </c>
      <c r="C979" s="44"/>
      <c r="D979" s="45">
        <f t="shared" si="80"/>
        <v>0</v>
      </c>
      <c r="EH979" s="313">
        <v>976</v>
      </c>
      <c r="EI979" s="314"/>
      <c r="EJ979" s="247" t="str">
        <f t="shared" si="81"/>
        <v/>
      </c>
      <c r="EK979" t="str">
        <f t="shared" si="82"/>
        <v/>
      </c>
    </row>
    <row r="980" spans="2:141" x14ac:dyDescent="0.25">
      <c r="B980" s="43">
        <v>977</v>
      </c>
      <c r="C980" s="44"/>
      <c r="D980" s="45">
        <f t="shared" si="80"/>
        <v>0</v>
      </c>
      <c r="EH980" s="313">
        <v>977</v>
      </c>
      <c r="EI980" s="314"/>
      <c r="EJ980" s="247" t="str">
        <f t="shared" si="81"/>
        <v/>
      </c>
      <c r="EK980" t="str">
        <f t="shared" si="82"/>
        <v/>
      </c>
    </row>
    <row r="981" spans="2:141" x14ac:dyDescent="0.25">
      <c r="B981" s="43">
        <v>978</v>
      </c>
      <c r="C981" s="44"/>
      <c r="D981" s="45">
        <f t="shared" si="80"/>
        <v>0</v>
      </c>
      <c r="EH981" s="313">
        <v>978</v>
      </c>
      <c r="EI981" s="314"/>
      <c r="EJ981" s="247" t="str">
        <f t="shared" si="81"/>
        <v/>
      </c>
      <c r="EK981" t="str">
        <f t="shared" si="82"/>
        <v/>
      </c>
    </row>
    <row r="982" spans="2:141" x14ac:dyDescent="0.25">
      <c r="B982" s="43">
        <v>979</v>
      </c>
      <c r="C982" s="44"/>
      <c r="D982" s="45">
        <f t="shared" si="80"/>
        <v>0</v>
      </c>
      <c r="EH982" s="313">
        <v>979</v>
      </c>
      <c r="EI982" s="314"/>
      <c r="EJ982" s="247" t="str">
        <f t="shared" si="81"/>
        <v/>
      </c>
      <c r="EK982" t="str">
        <f t="shared" si="82"/>
        <v/>
      </c>
    </row>
    <row r="983" spans="2:141" x14ac:dyDescent="0.25">
      <c r="B983" s="43">
        <v>980</v>
      </c>
      <c r="C983" s="44"/>
      <c r="D983" s="45">
        <f t="shared" si="80"/>
        <v>0</v>
      </c>
      <c r="EH983" s="313">
        <v>980</v>
      </c>
      <c r="EI983" s="314">
        <v>11.6745</v>
      </c>
      <c r="EJ983" s="247">
        <f t="shared" si="81"/>
        <v>1</v>
      </c>
      <c r="EK983">
        <f t="shared" si="82"/>
        <v>1.1912755102040815</v>
      </c>
    </row>
    <row r="984" spans="2:141" x14ac:dyDescent="0.25">
      <c r="B984" s="43">
        <v>981</v>
      </c>
      <c r="C984" s="44"/>
      <c r="D984" s="45">
        <f t="shared" si="80"/>
        <v>0</v>
      </c>
      <c r="EH984" s="313">
        <v>981</v>
      </c>
      <c r="EI984" s="314"/>
      <c r="EJ984" s="247" t="str">
        <f t="shared" si="81"/>
        <v/>
      </c>
      <c r="EK984" t="str">
        <f t="shared" si="82"/>
        <v/>
      </c>
    </row>
    <row r="985" spans="2:141" x14ac:dyDescent="0.25">
      <c r="B985" s="43">
        <v>982</v>
      </c>
      <c r="C985" s="44"/>
      <c r="D985" s="45">
        <f t="shared" si="80"/>
        <v>0</v>
      </c>
      <c r="EH985" s="313">
        <v>982</v>
      </c>
      <c r="EI985" s="314"/>
      <c r="EJ985" s="247" t="str">
        <f t="shared" si="81"/>
        <v/>
      </c>
      <c r="EK985" t="str">
        <f t="shared" si="82"/>
        <v/>
      </c>
    </row>
    <row r="986" spans="2:141" x14ac:dyDescent="0.25">
      <c r="B986" s="43">
        <v>983</v>
      </c>
      <c r="C986" s="44"/>
      <c r="D986" s="45">
        <f t="shared" si="80"/>
        <v>0</v>
      </c>
      <c r="EH986" s="313">
        <v>983</v>
      </c>
      <c r="EI986" s="314"/>
      <c r="EJ986" s="247" t="str">
        <f t="shared" si="81"/>
        <v/>
      </c>
      <c r="EK986" t="str">
        <f t="shared" si="82"/>
        <v/>
      </c>
    </row>
    <row r="987" spans="2:141" x14ac:dyDescent="0.25">
      <c r="B987" s="43">
        <v>984</v>
      </c>
      <c r="C987" s="44"/>
      <c r="D987" s="45">
        <f t="shared" si="80"/>
        <v>0</v>
      </c>
      <c r="EH987" s="313">
        <v>984</v>
      </c>
      <c r="EI987" s="314"/>
      <c r="EJ987" s="247" t="str">
        <f t="shared" si="81"/>
        <v/>
      </c>
      <c r="EK987" t="str">
        <f t="shared" si="82"/>
        <v/>
      </c>
    </row>
    <row r="988" spans="2:141" x14ac:dyDescent="0.25">
      <c r="B988" s="43">
        <v>985</v>
      </c>
      <c r="C988" s="44"/>
      <c r="D988" s="45">
        <f t="shared" si="80"/>
        <v>0</v>
      </c>
      <c r="EH988" s="313">
        <v>985</v>
      </c>
      <c r="EI988" s="314"/>
      <c r="EJ988" s="247" t="str">
        <f t="shared" si="81"/>
        <v/>
      </c>
      <c r="EK988" t="str">
        <f t="shared" si="82"/>
        <v/>
      </c>
    </row>
    <row r="989" spans="2:141" x14ac:dyDescent="0.25">
      <c r="B989" s="43">
        <v>986</v>
      </c>
      <c r="C989" s="44"/>
      <c r="D989" s="45">
        <f t="shared" si="80"/>
        <v>0</v>
      </c>
      <c r="EH989" s="313">
        <v>986</v>
      </c>
      <c r="EI989" s="314"/>
      <c r="EJ989" s="247" t="str">
        <f t="shared" si="81"/>
        <v/>
      </c>
      <c r="EK989" t="str">
        <f t="shared" si="82"/>
        <v/>
      </c>
    </row>
    <row r="990" spans="2:141" x14ac:dyDescent="0.25">
      <c r="B990" s="43">
        <v>987</v>
      </c>
      <c r="C990" s="44"/>
      <c r="D990" s="45">
        <f t="shared" si="80"/>
        <v>0</v>
      </c>
      <c r="EH990" s="313">
        <v>987</v>
      </c>
      <c r="EI990" s="314"/>
      <c r="EJ990" s="247" t="str">
        <f t="shared" si="81"/>
        <v/>
      </c>
      <c r="EK990" t="str">
        <f t="shared" si="82"/>
        <v/>
      </c>
    </row>
    <row r="991" spans="2:141" x14ac:dyDescent="0.25">
      <c r="B991" s="43">
        <v>988</v>
      </c>
      <c r="C991" s="44"/>
      <c r="D991" s="45">
        <f t="shared" si="80"/>
        <v>0</v>
      </c>
      <c r="EH991" s="313">
        <v>988</v>
      </c>
      <c r="EI991" s="314"/>
      <c r="EJ991" s="247" t="str">
        <f t="shared" si="81"/>
        <v/>
      </c>
      <c r="EK991" t="str">
        <f t="shared" si="82"/>
        <v/>
      </c>
    </row>
    <row r="992" spans="2:141" x14ac:dyDescent="0.25">
      <c r="B992" s="43">
        <v>989</v>
      </c>
      <c r="C992" s="44"/>
      <c r="D992" s="45">
        <f t="shared" si="80"/>
        <v>0</v>
      </c>
      <c r="EH992" s="313">
        <v>989</v>
      </c>
      <c r="EI992" s="314"/>
      <c r="EJ992" s="247" t="str">
        <f t="shared" si="81"/>
        <v/>
      </c>
      <c r="EK992" t="str">
        <f t="shared" si="82"/>
        <v/>
      </c>
    </row>
    <row r="993" spans="2:141" x14ac:dyDescent="0.25">
      <c r="B993" s="43">
        <v>990</v>
      </c>
      <c r="C993" s="44"/>
      <c r="D993" s="45">
        <f t="shared" si="80"/>
        <v>0</v>
      </c>
      <c r="EH993" s="313">
        <v>990</v>
      </c>
      <c r="EI993" s="314">
        <v>11.792400000000001</v>
      </c>
      <c r="EJ993" s="247">
        <f t="shared" si="81"/>
        <v>1</v>
      </c>
      <c r="EK993">
        <f t="shared" si="82"/>
        <v>1.2033061224489796</v>
      </c>
    </row>
    <row r="994" spans="2:141" x14ac:dyDescent="0.25">
      <c r="B994" s="43">
        <v>991</v>
      </c>
      <c r="C994" s="44"/>
      <c r="D994" s="45">
        <f t="shared" si="80"/>
        <v>0</v>
      </c>
      <c r="EH994" s="313">
        <v>991</v>
      </c>
      <c r="EI994" s="314"/>
      <c r="EJ994" s="247" t="str">
        <f t="shared" si="81"/>
        <v/>
      </c>
      <c r="EK994" t="str">
        <f t="shared" si="82"/>
        <v/>
      </c>
    </row>
    <row r="995" spans="2:141" x14ac:dyDescent="0.25">
      <c r="B995" s="43">
        <v>992</v>
      </c>
      <c r="C995" s="44"/>
      <c r="D995" s="45">
        <f t="shared" si="80"/>
        <v>0</v>
      </c>
      <c r="EH995" s="313">
        <v>992</v>
      </c>
      <c r="EI995" s="314"/>
      <c r="EJ995" s="247" t="str">
        <f t="shared" si="81"/>
        <v/>
      </c>
      <c r="EK995" t="str">
        <f t="shared" si="82"/>
        <v/>
      </c>
    </row>
    <row r="996" spans="2:141" x14ac:dyDescent="0.25">
      <c r="B996" s="43">
        <v>993</v>
      </c>
      <c r="C996" s="44"/>
      <c r="D996" s="45">
        <f t="shared" si="80"/>
        <v>0</v>
      </c>
      <c r="E996" s="318"/>
      <c r="EH996" s="313">
        <v>993</v>
      </c>
      <c r="EI996" s="314"/>
      <c r="EJ996" s="247" t="str">
        <f t="shared" si="81"/>
        <v/>
      </c>
      <c r="EK996" t="str">
        <f t="shared" si="82"/>
        <v/>
      </c>
    </row>
    <row r="997" spans="2:141" x14ac:dyDescent="0.25">
      <c r="B997" s="43">
        <v>994</v>
      </c>
      <c r="C997" s="44"/>
      <c r="D997" s="45">
        <f t="shared" si="80"/>
        <v>0</v>
      </c>
      <c r="E997" s="251"/>
      <c r="EH997" s="313">
        <v>994</v>
      </c>
      <c r="EI997" s="314"/>
      <c r="EJ997" s="247" t="str">
        <f t="shared" si="81"/>
        <v/>
      </c>
      <c r="EK997" t="str">
        <f t="shared" si="82"/>
        <v/>
      </c>
    </row>
    <row r="998" spans="2:141" x14ac:dyDescent="0.25">
      <c r="B998" s="43">
        <v>995</v>
      </c>
      <c r="C998" s="44"/>
      <c r="D998" s="45">
        <f t="shared" si="80"/>
        <v>0</v>
      </c>
      <c r="E998" s="262"/>
      <c r="EH998" s="313">
        <v>995</v>
      </c>
      <c r="EI998" s="314"/>
      <c r="EJ998" s="247" t="str">
        <f t="shared" si="81"/>
        <v/>
      </c>
      <c r="EK998" t="str">
        <f t="shared" si="82"/>
        <v/>
      </c>
    </row>
    <row r="999" spans="2:141" x14ac:dyDescent="0.25">
      <c r="B999" s="43">
        <v>996</v>
      </c>
      <c r="C999" s="44"/>
      <c r="D999" s="45">
        <f t="shared" si="80"/>
        <v>0</v>
      </c>
      <c r="E999" s="265"/>
      <c r="EH999" s="313">
        <v>996</v>
      </c>
      <c r="EI999" s="314"/>
      <c r="EJ999" s="247" t="str">
        <f t="shared" si="81"/>
        <v/>
      </c>
      <c r="EK999" t="str">
        <f t="shared" si="82"/>
        <v/>
      </c>
    </row>
    <row r="1000" spans="2:141" x14ac:dyDescent="0.25">
      <c r="B1000" s="43">
        <v>997</v>
      </c>
      <c r="C1000" s="44"/>
      <c r="D1000" s="45">
        <f t="shared" si="80"/>
        <v>0</v>
      </c>
      <c r="E1000" s="269"/>
      <c r="EH1000" s="313">
        <v>997</v>
      </c>
      <c r="EI1000" s="314"/>
      <c r="EJ1000" s="247" t="str">
        <f t="shared" si="81"/>
        <v/>
      </c>
      <c r="EK1000" t="str">
        <f t="shared" si="82"/>
        <v/>
      </c>
    </row>
    <row r="1001" spans="2:141" x14ac:dyDescent="0.25">
      <c r="B1001" s="43">
        <v>998</v>
      </c>
      <c r="C1001" s="44"/>
      <c r="D1001" s="45">
        <f t="shared" si="80"/>
        <v>0</v>
      </c>
      <c r="EH1001" s="313">
        <v>998</v>
      </c>
      <c r="EI1001" s="314"/>
      <c r="EJ1001" s="247" t="str">
        <f t="shared" si="81"/>
        <v/>
      </c>
      <c r="EK1001" t="str">
        <f t="shared" si="82"/>
        <v/>
      </c>
    </row>
    <row r="1002" spans="2:141" x14ac:dyDescent="0.25">
      <c r="B1002" s="43">
        <v>999</v>
      </c>
      <c r="C1002" s="44"/>
      <c r="D1002" s="45">
        <f t="shared" si="80"/>
        <v>0</v>
      </c>
      <c r="EH1002" s="313">
        <v>999</v>
      </c>
      <c r="EI1002" s="314"/>
      <c r="EJ1002" s="247" t="str">
        <f t="shared" si="81"/>
        <v/>
      </c>
      <c r="EK1002" t="str">
        <f t="shared" si="82"/>
        <v/>
      </c>
    </row>
    <row r="1003" spans="2:141" x14ac:dyDescent="0.25">
      <c r="B1003" s="43">
        <v>1000</v>
      </c>
      <c r="C1003" s="44"/>
      <c r="D1003" s="45">
        <f t="shared" si="80"/>
        <v>0</v>
      </c>
      <c r="EH1003" s="313">
        <v>1000</v>
      </c>
      <c r="EI1003" s="314">
        <v>11.910299999999999</v>
      </c>
      <c r="EJ1003" s="247">
        <f t="shared" si="81"/>
        <v>1</v>
      </c>
      <c r="EK1003">
        <f t="shared" si="82"/>
        <v>1.2153367346938775</v>
      </c>
    </row>
    <row r="1004" spans="2:141" x14ac:dyDescent="0.25">
      <c r="B1004" s="43">
        <v>1001</v>
      </c>
      <c r="C1004" s="44"/>
      <c r="D1004" s="45">
        <f t="shared" si="80"/>
        <v>0</v>
      </c>
      <c r="EH1004" s="313">
        <v>1001</v>
      </c>
      <c r="EI1004" s="314"/>
      <c r="EJ1004" s="247" t="str">
        <f t="shared" si="81"/>
        <v/>
      </c>
      <c r="EK1004" t="str">
        <f t="shared" si="82"/>
        <v/>
      </c>
    </row>
    <row r="1005" spans="2:141" x14ac:dyDescent="0.25">
      <c r="B1005" s="43">
        <v>1002</v>
      </c>
      <c r="C1005" s="44"/>
      <c r="D1005" s="45">
        <f t="shared" si="80"/>
        <v>0</v>
      </c>
      <c r="EH1005" s="313">
        <v>1002</v>
      </c>
      <c r="EI1005" s="314"/>
      <c r="EJ1005" s="247" t="str">
        <f t="shared" si="81"/>
        <v/>
      </c>
      <c r="EK1005" t="str">
        <f t="shared" si="82"/>
        <v/>
      </c>
    </row>
    <row r="1006" spans="2:141" x14ac:dyDescent="0.25">
      <c r="B1006" s="43">
        <v>1003</v>
      </c>
      <c r="C1006" s="44"/>
      <c r="D1006" s="45">
        <f t="shared" si="80"/>
        <v>0</v>
      </c>
      <c r="EH1006" s="313">
        <v>1003</v>
      </c>
      <c r="EI1006" s="314"/>
      <c r="EJ1006" s="247" t="str">
        <f t="shared" si="81"/>
        <v/>
      </c>
      <c r="EK1006" t="str">
        <f t="shared" si="82"/>
        <v/>
      </c>
    </row>
    <row r="1007" spans="2:141" x14ac:dyDescent="0.25">
      <c r="B1007" s="43">
        <v>1004</v>
      </c>
      <c r="C1007" s="44"/>
      <c r="D1007" s="45">
        <f t="shared" si="80"/>
        <v>0</v>
      </c>
      <c r="EH1007" s="313">
        <v>1004</v>
      </c>
      <c r="EI1007" s="314"/>
      <c r="EJ1007" s="247" t="str">
        <f t="shared" si="81"/>
        <v/>
      </c>
      <c r="EK1007" t="str">
        <f t="shared" si="82"/>
        <v/>
      </c>
    </row>
    <row r="1008" spans="2:141" x14ac:dyDescent="0.25">
      <c r="B1008" s="43">
        <v>1005</v>
      </c>
      <c r="C1008" s="44"/>
      <c r="D1008" s="45">
        <f t="shared" si="80"/>
        <v>0</v>
      </c>
      <c r="EH1008" s="313">
        <v>1005</v>
      </c>
      <c r="EI1008" s="314"/>
      <c r="EJ1008" s="247" t="str">
        <f t="shared" si="81"/>
        <v/>
      </c>
      <c r="EK1008" t="str">
        <f t="shared" si="82"/>
        <v/>
      </c>
    </row>
    <row r="1009" spans="2:141" x14ac:dyDescent="0.25">
      <c r="B1009" s="43">
        <v>1006</v>
      </c>
      <c r="C1009" s="44"/>
      <c r="D1009" s="45">
        <f t="shared" si="80"/>
        <v>0</v>
      </c>
      <c r="EH1009" s="313">
        <v>1006</v>
      </c>
      <c r="EI1009" s="314"/>
      <c r="EJ1009" s="247" t="str">
        <f t="shared" si="81"/>
        <v/>
      </c>
      <c r="EK1009" t="str">
        <f t="shared" si="82"/>
        <v/>
      </c>
    </row>
    <row r="1010" spans="2:141" x14ac:dyDescent="0.25">
      <c r="B1010" s="43">
        <v>1007</v>
      </c>
      <c r="C1010" s="44"/>
      <c r="D1010" s="45">
        <f t="shared" si="80"/>
        <v>0</v>
      </c>
      <c r="EH1010" s="313">
        <v>1007</v>
      </c>
      <c r="EI1010" s="314"/>
      <c r="EJ1010" s="247" t="str">
        <f t="shared" si="81"/>
        <v/>
      </c>
      <c r="EK1010" t="str">
        <f t="shared" si="82"/>
        <v/>
      </c>
    </row>
    <row r="1011" spans="2:141" x14ac:dyDescent="0.25">
      <c r="B1011" s="43">
        <v>1008</v>
      </c>
      <c r="C1011" s="44"/>
      <c r="D1011" s="45">
        <f t="shared" si="80"/>
        <v>0</v>
      </c>
      <c r="EH1011" s="313">
        <v>1008</v>
      </c>
      <c r="EI1011" s="314"/>
      <c r="EJ1011" s="247" t="str">
        <f t="shared" si="81"/>
        <v/>
      </c>
      <c r="EK1011" t="str">
        <f t="shared" si="82"/>
        <v/>
      </c>
    </row>
    <row r="1012" spans="2:141" x14ac:dyDescent="0.25">
      <c r="B1012" s="43">
        <v>1009</v>
      </c>
      <c r="C1012" s="44"/>
      <c r="D1012" s="45">
        <f t="shared" si="80"/>
        <v>0</v>
      </c>
      <c r="EH1012" s="313">
        <v>1009</v>
      </c>
      <c r="EI1012" s="314"/>
      <c r="EJ1012" s="247" t="str">
        <f t="shared" si="81"/>
        <v/>
      </c>
      <c r="EK1012" t="str">
        <f t="shared" si="82"/>
        <v/>
      </c>
    </row>
    <row r="1013" spans="2:141" x14ac:dyDescent="0.25">
      <c r="B1013" s="43">
        <v>1010</v>
      </c>
      <c r="C1013" s="44"/>
      <c r="D1013" s="45">
        <f t="shared" si="80"/>
        <v>0</v>
      </c>
      <c r="EH1013" s="313">
        <v>1010</v>
      </c>
      <c r="EI1013" s="314">
        <v>12.0283</v>
      </c>
      <c r="EJ1013" s="247">
        <f t="shared" si="81"/>
        <v>1</v>
      </c>
      <c r="EK1013">
        <f t="shared" si="82"/>
        <v>1.2273775510204081</v>
      </c>
    </row>
    <row r="1014" spans="2:141" x14ac:dyDescent="0.25">
      <c r="B1014" s="43">
        <v>1011</v>
      </c>
      <c r="C1014" s="44"/>
      <c r="D1014" s="45">
        <f t="shared" si="80"/>
        <v>0</v>
      </c>
      <c r="EH1014" s="313">
        <v>1011</v>
      </c>
      <c r="EI1014" s="314"/>
      <c r="EJ1014" s="247" t="str">
        <f t="shared" si="81"/>
        <v/>
      </c>
      <c r="EK1014" t="str">
        <f t="shared" si="82"/>
        <v/>
      </c>
    </row>
    <row r="1015" spans="2:141" x14ac:dyDescent="0.25">
      <c r="B1015" s="43">
        <v>1012</v>
      </c>
      <c r="C1015" s="44"/>
      <c r="D1015" s="45">
        <f t="shared" si="80"/>
        <v>0</v>
      </c>
      <c r="EH1015" s="313">
        <v>1012</v>
      </c>
      <c r="EI1015" s="314"/>
      <c r="EJ1015" s="247" t="str">
        <f t="shared" si="81"/>
        <v/>
      </c>
      <c r="EK1015" t="str">
        <f t="shared" si="82"/>
        <v/>
      </c>
    </row>
    <row r="1016" spans="2:141" x14ac:dyDescent="0.25">
      <c r="B1016" s="43">
        <v>1013</v>
      </c>
      <c r="C1016" s="44"/>
      <c r="D1016" s="45">
        <f t="shared" si="80"/>
        <v>0</v>
      </c>
      <c r="EH1016" s="313">
        <v>1013</v>
      </c>
      <c r="EI1016" s="314"/>
      <c r="EJ1016" s="247" t="str">
        <f t="shared" si="81"/>
        <v/>
      </c>
      <c r="EK1016" t="str">
        <f t="shared" si="82"/>
        <v/>
      </c>
    </row>
    <row r="1017" spans="2:141" x14ac:dyDescent="0.25">
      <c r="B1017" s="43">
        <v>1014</v>
      </c>
      <c r="C1017" s="44"/>
      <c r="D1017" s="45">
        <f t="shared" si="80"/>
        <v>0</v>
      </c>
      <c r="EH1017" s="313">
        <v>1014</v>
      </c>
      <c r="EI1017" s="314"/>
      <c r="EJ1017" s="247" t="str">
        <f t="shared" si="81"/>
        <v/>
      </c>
      <c r="EK1017" t="str">
        <f t="shared" si="82"/>
        <v/>
      </c>
    </row>
    <row r="1018" spans="2:141" x14ac:dyDescent="0.25">
      <c r="B1018" s="43">
        <v>1015</v>
      </c>
      <c r="C1018" s="44"/>
      <c r="D1018" s="45">
        <f t="shared" si="80"/>
        <v>0</v>
      </c>
      <c r="EH1018" s="313">
        <v>1015</v>
      </c>
      <c r="EI1018" s="314"/>
      <c r="EJ1018" s="247" t="str">
        <f t="shared" si="81"/>
        <v/>
      </c>
      <c r="EK1018" t="str">
        <f t="shared" si="82"/>
        <v/>
      </c>
    </row>
    <row r="1019" spans="2:141" x14ac:dyDescent="0.25">
      <c r="B1019" s="43">
        <v>1016</v>
      </c>
      <c r="C1019" s="44"/>
      <c r="D1019" s="45">
        <f t="shared" si="80"/>
        <v>0</v>
      </c>
      <c r="EH1019" s="313">
        <v>1016</v>
      </c>
      <c r="EI1019" s="314"/>
      <c r="EJ1019" s="247" t="str">
        <f t="shared" si="81"/>
        <v/>
      </c>
      <c r="EK1019" t="str">
        <f t="shared" si="82"/>
        <v/>
      </c>
    </row>
    <row r="1020" spans="2:141" x14ac:dyDescent="0.25">
      <c r="B1020" s="43">
        <v>1017</v>
      </c>
      <c r="C1020" s="44"/>
      <c r="D1020" s="45">
        <f t="shared" si="80"/>
        <v>0</v>
      </c>
      <c r="E1020" s="318"/>
      <c r="EH1020" s="313">
        <v>1017</v>
      </c>
      <c r="EI1020" s="314"/>
      <c r="EJ1020" s="247" t="str">
        <f t="shared" si="81"/>
        <v/>
      </c>
      <c r="EK1020" t="str">
        <f t="shared" si="82"/>
        <v/>
      </c>
    </row>
    <row r="1021" spans="2:141" x14ac:dyDescent="0.25">
      <c r="B1021" s="43">
        <v>1018</v>
      </c>
      <c r="C1021" s="44"/>
      <c r="D1021" s="45">
        <f t="shared" si="80"/>
        <v>0</v>
      </c>
      <c r="E1021" s="251"/>
      <c r="EH1021" s="313">
        <v>1018</v>
      </c>
      <c r="EI1021" s="314"/>
      <c r="EJ1021" s="247" t="str">
        <f t="shared" si="81"/>
        <v/>
      </c>
      <c r="EK1021" t="str">
        <f t="shared" si="82"/>
        <v/>
      </c>
    </row>
    <row r="1022" spans="2:141" x14ac:dyDescent="0.25">
      <c r="B1022" s="43">
        <v>1019</v>
      </c>
      <c r="C1022" s="44"/>
      <c r="D1022" s="45">
        <f t="shared" si="80"/>
        <v>0</v>
      </c>
      <c r="E1022" s="262"/>
      <c r="EH1022" s="313">
        <v>1019</v>
      </c>
      <c r="EI1022" s="314"/>
      <c r="EJ1022" s="247" t="str">
        <f t="shared" si="81"/>
        <v/>
      </c>
      <c r="EK1022" t="str">
        <f t="shared" si="82"/>
        <v/>
      </c>
    </row>
    <row r="1023" spans="2:141" x14ac:dyDescent="0.25">
      <c r="B1023" s="43">
        <v>1020</v>
      </c>
      <c r="C1023" s="44"/>
      <c r="D1023" s="45">
        <f t="shared" si="80"/>
        <v>0</v>
      </c>
      <c r="E1023" s="265"/>
      <c r="EH1023" s="313">
        <v>1020</v>
      </c>
      <c r="EI1023" s="314">
        <v>12.1462</v>
      </c>
      <c r="EJ1023" s="247">
        <f t="shared" si="81"/>
        <v>1</v>
      </c>
      <c r="EK1023">
        <f t="shared" si="82"/>
        <v>1.239408163265306</v>
      </c>
    </row>
    <row r="1024" spans="2:141" x14ac:dyDescent="0.25">
      <c r="B1024" s="43">
        <v>1021</v>
      </c>
      <c r="C1024" s="44"/>
      <c r="D1024" s="45">
        <f t="shared" si="80"/>
        <v>0</v>
      </c>
      <c r="E1024" s="269"/>
      <c r="EH1024" s="313">
        <v>1021</v>
      </c>
      <c r="EI1024" s="314"/>
      <c r="EJ1024" s="247" t="str">
        <f t="shared" si="81"/>
        <v/>
      </c>
      <c r="EK1024" t="str">
        <f t="shared" si="82"/>
        <v/>
      </c>
    </row>
    <row r="1025" spans="2:141" x14ac:dyDescent="0.25">
      <c r="B1025" s="43">
        <v>1022</v>
      </c>
      <c r="C1025" s="44"/>
      <c r="D1025" s="45">
        <f t="shared" si="80"/>
        <v>0</v>
      </c>
      <c r="EH1025" s="313">
        <v>1022</v>
      </c>
      <c r="EI1025" s="314"/>
      <c r="EJ1025" s="247" t="str">
        <f t="shared" si="81"/>
        <v/>
      </c>
      <c r="EK1025" t="str">
        <f t="shared" si="82"/>
        <v/>
      </c>
    </row>
    <row r="1026" spans="2:141" x14ac:dyDescent="0.25">
      <c r="B1026" s="43">
        <v>1023</v>
      </c>
      <c r="C1026" s="44"/>
      <c r="D1026" s="45">
        <f t="shared" si="80"/>
        <v>0</v>
      </c>
      <c r="EH1026" s="313">
        <v>1023</v>
      </c>
      <c r="EI1026" s="314"/>
      <c r="EJ1026" s="247" t="str">
        <f t="shared" si="81"/>
        <v/>
      </c>
      <c r="EK1026" t="str">
        <f t="shared" si="82"/>
        <v/>
      </c>
    </row>
    <row r="1027" spans="2:141" x14ac:dyDescent="0.25">
      <c r="B1027" s="43">
        <v>1024</v>
      </c>
      <c r="C1027" s="44"/>
      <c r="D1027" s="45">
        <f t="shared" si="80"/>
        <v>0</v>
      </c>
      <c r="EH1027" s="313">
        <v>1024</v>
      </c>
      <c r="EI1027" s="314"/>
      <c r="EJ1027" s="247" t="str">
        <f t="shared" si="81"/>
        <v/>
      </c>
      <c r="EK1027" t="str">
        <f t="shared" si="82"/>
        <v/>
      </c>
    </row>
    <row r="1028" spans="2:141" x14ac:dyDescent="0.25">
      <c r="B1028" s="43">
        <v>1025</v>
      </c>
      <c r="C1028" s="44"/>
      <c r="D1028" s="45">
        <f t="shared" si="80"/>
        <v>0</v>
      </c>
      <c r="EH1028" s="313">
        <v>1025</v>
      </c>
      <c r="EI1028" s="314"/>
      <c r="EJ1028" s="247" t="str">
        <f t="shared" si="81"/>
        <v/>
      </c>
      <c r="EK1028" t="str">
        <f t="shared" si="82"/>
        <v/>
      </c>
    </row>
    <row r="1029" spans="2:141" x14ac:dyDescent="0.25">
      <c r="B1029" s="43">
        <v>1026</v>
      </c>
      <c r="C1029" s="44"/>
      <c r="D1029" s="45">
        <f t="shared" ref="D1029:D1092" si="83">C1029</f>
        <v>0</v>
      </c>
      <c r="EH1029" s="313">
        <v>1026</v>
      </c>
      <c r="EI1029" s="314"/>
      <c r="EJ1029" s="247" t="str">
        <f t="shared" ref="EJ1029:EJ1092" si="84">IF(EI1029="","",1)</f>
        <v/>
      </c>
      <c r="EK1029" t="str">
        <f t="shared" ref="EK1029:EK1092" si="85">IF(EI1029="","",EI1029/9.8)</f>
        <v/>
      </c>
    </row>
    <row r="1030" spans="2:141" x14ac:dyDescent="0.25">
      <c r="B1030" s="43">
        <v>1027</v>
      </c>
      <c r="C1030" s="44"/>
      <c r="D1030" s="45">
        <f t="shared" si="83"/>
        <v>0</v>
      </c>
      <c r="EH1030" s="313">
        <v>1027</v>
      </c>
      <c r="EI1030" s="314"/>
      <c r="EJ1030" s="247" t="str">
        <f t="shared" si="84"/>
        <v/>
      </c>
      <c r="EK1030" t="str">
        <f t="shared" si="85"/>
        <v/>
      </c>
    </row>
    <row r="1031" spans="2:141" x14ac:dyDescent="0.25">
      <c r="B1031" s="43">
        <v>1028</v>
      </c>
      <c r="C1031" s="44"/>
      <c r="D1031" s="45">
        <f t="shared" si="83"/>
        <v>0</v>
      </c>
      <c r="EH1031" s="313">
        <v>1028</v>
      </c>
      <c r="EI1031" s="314"/>
      <c r="EJ1031" s="247" t="str">
        <f t="shared" si="84"/>
        <v/>
      </c>
      <c r="EK1031" t="str">
        <f t="shared" si="85"/>
        <v/>
      </c>
    </row>
    <row r="1032" spans="2:141" x14ac:dyDescent="0.25">
      <c r="B1032" s="43">
        <v>1029</v>
      </c>
      <c r="C1032" s="44"/>
      <c r="D1032" s="45">
        <f t="shared" si="83"/>
        <v>0</v>
      </c>
      <c r="EH1032" s="313">
        <v>1029</v>
      </c>
      <c r="EI1032" s="314"/>
      <c r="EJ1032" s="247" t="str">
        <f t="shared" si="84"/>
        <v/>
      </c>
      <c r="EK1032" t="str">
        <f t="shared" si="85"/>
        <v/>
      </c>
    </row>
    <row r="1033" spans="2:141" x14ac:dyDescent="0.25">
      <c r="B1033" s="43">
        <v>1030</v>
      </c>
      <c r="C1033" s="44"/>
      <c r="D1033" s="45">
        <f t="shared" si="83"/>
        <v>0</v>
      </c>
      <c r="EH1033" s="313">
        <v>1030</v>
      </c>
      <c r="EI1033" s="314">
        <v>12.264099999999999</v>
      </c>
      <c r="EJ1033" s="247">
        <f t="shared" si="84"/>
        <v>1</v>
      </c>
      <c r="EK1033">
        <f t="shared" si="85"/>
        <v>1.2514387755102039</v>
      </c>
    </row>
    <row r="1034" spans="2:141" x14ac:dyDescent="0.25">
      <c r="B1034" s="43">
        <v>1031</v>
      </c>
      <c r="C1034" s="44"/>
      <c r="D1034" s="45">
        <f t="shared" si="83"/>
        <v>0</v>
      </c>
      <c r="EH1034" s="313">
        <v>1031</v>
      </c>
      <c r="EI1034" s="314"/>
      <c r="EJ1034" s="247" t="str">
        <f t="shared" si="84"/>
        <v/>
      </c>
      <c r="EK1034" t="str">
        <f t="shared" si="85"/>
        <v/>
      </c>
    </row>
    <row r="1035" spans="2:141" x14ac:dyDescent="0.25">
      <c r="B1035" s="43">
        <v>1032</v>
      </c>
      <c r="C1035" s="44"/>
      <c r="D1035" s="45">
        <f t="shared" si="83"/>
        <v>0</v>
      </c>
      <c r="EH1035" s="313">
        <v>1032</v>
      </c>
      <c r="EI1035" s="314"/>
      <c r="EJ1035" s="247" t="str">
        <f t="shared" si="84"/>
        <v/>
      </c>
      <c r="EK1035" t="str">
        <f t="shared" si="85"/>
        <v/>
      </c>
    </row>
    <row r="1036" spans="2:141" x14ac:dyDescent="0.25">
      <c r="B1036" s="43">
        <v>1033</v>
      </c>
      <c r="C1036" s="44"/>
      <c r="D1036" s="45">
        <f t="shared" si="83"/>
        <v>0</v>
      </c>
      <c r="EH1036" s="313">
        <v>1033</v>
      </c>
      <c r="EI1036" s="314"/>
      <c r="EJ1036" s="247" t="str">
        <f t="shared" si="84"/>
        <v/>
      </c>
      <c r="EK1036" t="str">
        <f t="shared" si="85"/>
        <v/>
      </c>
    </row>
    <row r="1037" spans="2:141" x14ac:dyDescent="0.25">
      <c r="B1037" s="43">
        <v>1034</v>
      </c>
      <c r="C1037" s="44"/>
      <c r="D1037" s="45">
        <f t="shared" si="83"/>
        <v>0</v>
      </c>
      <c r="EH1037" s="313">
        <v>1034</v>
      </c>
      <c r="EI1037" s="314"/>
      <c r="EJ1037" s="247" t="str">
        <f t="shared" si="84"/>
        <v/>
      </c>
      <c r="EK1037" t="str">
        <f t="shared" si="85"/>
        <v/>
      </c>
    </row>
    <row r="1038" spans="2:141" x14ac:dyDescent="0.25">
      <c r="B1038" s="43">
        <v>1035</v>
      </c>
      <c r="C1038" s="44"/>
      <c r="D1038" s="45">
        <f t="shared" si="83"/>
        <v>0</v>
      </c>
      <c r="EH1038" s="313">
        <v>1035</v>
      </c>
      <c r="EI1038" s="314"/>
      <c r="EJ1038" s="247" t="str">
        <f t="shared" si="84"/>
        <v/>
      </c>
      <c r="EK1038" t="str">
        <f t="shared" si="85"/>
        <v/>
      </c>
    </row>
    <row r="1039" spans="2:141" x14ac:dyDescent="0.25">
      <c r="B1039" s="43">
        <v>1036</v>
      </c>
      <c r="C1039" s="44"/>
      <c r="D1039" s="45">
        <f t="shared" si="83"/>
        <v>0</v>
      </c>
      <c r="EH1039" s="313">
        <v>1036</v>
      </c>
      <c r="EI1039" s="314"/>
      <c r="EJ1039" s="247" t="str">
        <f t="shared" si="84"/>
        <v/>
      </c>
      <c r="EK1039" t="str">
        <f t="shared" si="85"/>
        <v/>
      </c>
    </row>
    <row r="1040" spans="2:141" x14ac:dyDescent="0.25">
      <c r="B1040" s="43">
        <v>1037</v>
      </c>
      <c r="C1040" s="44"/>
      <c r="D1040" s="45">
        <f t="shared" si="83"/>
        <v>0</v>
      </c>
      <c r="EH1040" s="313">
        <v>1037</v>
      </c>
      <c r="EI1040" s="314"/>
      <c r="EJ1040" s="247" t="str">
        <f t="shared" si="84"/>
        <v/>
      </c>
      <c r="EK1040" t="str">
        <f t="shared" si="85"/>
        <v/>
      </c>
    </row>
    <row r="1041" spans="2:141" x14ac:dyDescent="0.25">
      <c r="B1041" s="43">
        <v>1038</v>
      </c>
      <c r="C1041" s="44"/>
      <c r="D1041" s="45">
        <f t="shared" si="83"/>
        <v>0</v>
      </c>
      <c r="EH1041" s="313">
        <v>1038</v>
      </c>
      <c r="EI1041" s="314"/>
      <c r="EJ1041" s="247" t="str">
        <f t="shared" si="84"/>
        <v/>
      </c>
      <c r="EK1041" t="str">
        <f t="shared" si="85"/>
        <v/>
      </c>
    </row>
    <row r="1042" spans="2:141" x14ac:dyDescent="0.25">
      <c r="B1042" s="43">
        <v>1039</v>
      </c>
      <c r="C1042" s="44"/>
      <c r="D1042" s="45">
        <f t="shared" si="83"/>
        <v>0</v>
      </c>
      <c r="EH1042" s="313">
        <v>1039</v>
      </c>
      <c r="EI1042" s="314"/>
      <c r="EJ1042" s="247" t="str">
        <f t="shared" si="84"/>
        <v/>
      </c>
      <c r="EK1042" t="str">
        <f t="shared" si="85"/>
        <v/>
      </c>
    </row>
    <row r="1043" spans="2:141" x14ac:dyDescent="0.25">
      <c r="B1043" s="43">
        <v>1040</v>
      </c>
      <c r="C1043" s="44"/>
      <c r="D1043" s="45">
        <f t="shared" si="83"/>
        <v>0</v>
      </c>
      <c r="EH1043" s="313">
        <v>1040</v>
      </c>
      <c r="EI1043" s="314">
        <v>12.382</v>
      </c>
      <c r="EJ1043" s="247">
        <f t="shared" si="84"/>
        <v>1</v>
      </c>
      <c r="EK1043">
        <f t="shared" si="85"/>
        <v>1.263469387755102</v>
      </c>
    </row>
    <row r="1044" spans="2:141" x14ac:dyDescent="0.25">
      <c r="B1044" s="43">
        <v>1041</v>
      </c>
      <c r="C1044" s="44"/>
      <c r="D1044" s="45">
        <f t="shared" si="83"/>
        <v>0</v>
      </c>
      <c r="EH1044" s="313">
        <v>1041</v>
      </c>
      <c r="EI1044" s="314"/>
      <c r="EJ1044" s="247" t="str">
        <f t="shared" si="84"/>
        <v/>
      </c>
      <c r="EK1044" t="str">
        <f t="shared" si="85"/>
        <v/>
      </c>
    </row>
    <row r="1045" spans="2:141" x14ac:dyDescent="0.25">
      <c r="B1045" s="43">
        <v>1042</v>
      </c>
      <c r="C1045" s="44"/>
      <c r="D1045" s="45">
        <f t="shared" si="83"/>
        <v>0</v>
      </c>
      <c r="EH1045" s="313">
        <v>1042</v>
      </c>
      <c r="EI1045" s="314"/>
      <c r="EJ1045" s="247" t="str">
        <f t="shared" si="84"/>
        <v/>
      </c>
      <c r="EK1045" t="str">
        <f t="shared" si="85"/>
        <v/>
      </c>
    </row>
    <row r="1046" spans="2:141" x14ac:dyDescent="0.25">
      <c r="B1046" s="43">
        <v>1043</v>
      </c>
      <c r="C1046" s="44"/>
      <c r="D1046" s="45">
        <f t="shared" si="83"/>
        <v>0</v>
      </c>
      <c r="EH1046" s="313">
        <v>1043</v>
      </c>
      <c r="EI1046" s="314"/>
      <c r="EJ1046" s="247" t="str">
        <f t="shared" si="84"/>
        <v/>
      </c>
      <c r="EK1046" t="str">
        <f t="shared" si="85"/>
        <v/>
      </c>
    </row>
    <row r="1047" spans="2:141" x14ac:dyDescent="0.25">
      <c r="B1047" s="43">
        <v>1044</v>
      </c>
      <c r="C1047" s="44"/>
      <c r="D1047" s="45">
        <f t="shared" si="83"/>
        <v>0</v>
      </c>
      <c r="EH1047" s="313">
        <v>1044</v>
      </c>
      <c r="EI1047" s="314"/>
      <c r="EJ1047" s="247" t="str">
        <f t="shared" si="84"/>
        <v/>
      </c>
      <c r="EK1047" t="str">
        <f t="shared" si="85"/>
        <v/>
      </c>
    </row>
    <row r="1048" spans="2:141" x14ac:dyDescent="0.25">
      <c r="B1048" s="43">
        <v>1045</v>
      </c>
      <c r="C1048" s="44"/>
      <c r="D1048" s="45">
        <f t="shared" si="83"/>
        <v>0</v>
      </c>
      <c r="EH1048" s="313">
        <v>1045</v>
      </c>
      <c r="EI1048" s="314"/>
      <c r="EJ1048" s="247" t="str">
        <f t="shared" si="84"/>
        <v/>
      </c>
      <c r="EK1048" t="str">
        <f t="shared" si="85"/>
        <v/>
      </c>
    </row>
    <row r="1049" spans="2:141" x14ac:dyDescent="0.25">
      <c r="B1049" s="43">
        <v>1046</v>
      </c>
      <c r="C1049" s="44"/>
      <c r="D1049" s="45">
        <f t="shared" si="83"/>
        <v>0</v>
      </c>
      <c r="EH1049" s="313">
        <v>1046</v>
      </c>
      <c r="EI1049" s="314"/>
      <c r="EJ1049" s="247" t="str">
        <f t="shared" si="84"/>
        <v/>
      </c>
      <c r="EK1049" t="str">
        <f t="shared" si="85"/>
        <v/>
      </c>
    </row>
    <row r="1050" spans="2:141" x14ac:dyDescent="0.25">
      <c r="B1050" s="43">
        <v>1047</v>
      </c>
      <c r="C1050" s="44"/>
      <c r="D1050" s="45">
        <f t="shared" si="83"/>
        <v>0</v>
      </c>
      <c r="EH1050" s="313">
        <v>1047</v>
      </c>
      <c r="EI1050" s="314"/>
      <c r="EJ1050" s="247" t="str">
        <f t="shared" si="84"/>
        <v/>
      </c>
      <c r="EK1050" t="str">
        <f t="shared" si="85"/>
        <v/>
      </c>
    </row>
    <row r="1051" spans="2:141" x14ac:dyDescent="0.25">
      <c r="B1051" s="43">
        <v>1048</v>
      </c>
      <c r="C1051" s="44"/>
      <c r="D1051" s="45">
        <f t="shared" si="83"/>
        <v>0</v>
      </c>
      <c r="EH1051" s="313">
        <v>1048</v>
      </c>
      <c r="EI1051" s="314"/>
      <c r="EJ1051" s="247" t="str">
        <f t="shared" si="84"/>
        <v/>
      </c>
      <c r="EK1051" t="str">
        <f t="shared" si="85"/>
        <v/>
      </c>
    </row>
    <row r="1052" spans="2:141" x14ac:dyDescent="0.25">
      <c r="B1052" s="43">
        <v>1049</v>
      </c>
      <c r="C1052" s="44"/>
      <c r="D1052" s="45">
        <f t="shared" si="83"/>
        <v>0</v>
      </c>
      <c r="EH1052" s="313">
        <v>1049</v>
      </c>
      <c r="EI1052" s="314"/>
      <c r="EJ1052" s="247" t="str">
        <f t="shared" si="84"/>
        <v/>
      </c>
      <c r="EK1052" t="str">
        <f t="shared" si="85"/>
        <v/>
      </c>
    </row>
    <row r="1053" spans="2:141" x14ac:dyDescent="0.25">
      <c r="B1053" s="43">
        <v>1050</v>
      </c>
      <c r="C1053" s="44"/>
      <c r="D1053" s="45">
        <f t="shared" si="83"/>
        <v>0</v>
      </c>
      <c r="EH1053" s="313">
        <v>1050</v>
      </c>
      <c r="EI1053" s="314">
        <v>12.5</v>
      </c>
      <c r="EJ1053" s="247">
        <f t="shared" si="84"/>
        <v>1</v>
      </c>
      <c r="EK1053">
        <f t="shared" si="85"/>
        <v>1.2755102040816326</v>
      </c>
    </row>
    <row r="1054" spans="2:141" x14ac:dyDescent="0.25">
      <c r="B1054" s="43">
        <v>1051</v>
      </c>
      <c r="C1054" s="44"/>
      <c r="D1054" s="45">
        <f t="shared" si="83"/>
        <v>0</v>
      </c>
      <c r="EH1054" s="313">
        <v>1051</v>
      </c>
      <c r="EI1054" s="314"/>
      <c r="EJ1054" s="247" t="str">
        <f t="shared" si="84"/>
        <v/>
      </c>
      <c r="EK1054" t="str">
        <f t="shared" si="85"/>
        <v/>
      </c>
    </row>
    <row r="1055" spans="2:141" x14ac:dyDescent="0.25">
      <c r="B1055" s="43">
        <v>1052</v>
      </c>
      <c r="C1055" s="44"/>
      <c r="D1055" s="45">
        <f t="shared" si="83"/>
        <v>0</v>
      </c>
      <c r="EH1055" s="313">
        <v>1052</v>
      </c>
      <c r="EI1055" s="314"/>
      <c r="EJ1055" s="247" t="str">
        <f t="shared" si="84"/>
        <v/>
      </c>
      <c r="EK1055" t="str">
        <f t="shared" si="85"/>
        <v/>
      </c>
    </row>
    <row r="1056" spans="2:141" x14ac:dyDescent="0.25">
      <c r="B1056" s="43">
        <v>1053</v>
      </c>
      <c r="C1056" s="44"/>
      <c r="D1056" s="45">
        <f t="shared" si="83"/>
        <v>0</v>
      </c>
      <c r="E1056" s="318"/>
      <c r="EH1056" s="313">
        <v>1053</v>
      </c>
      <c r="EI1056" s="314"/>
      <c r="EJ1056" s="247" t="str">
        <f t="shared" si="84"/>
        <v/>
      </c>
      <c r="EK1056" t="str">
        <f t="shared" si="85"/>
        <v/>
      </c>
    </row>
    <row r="1057" spans="2:141" x14ac:dyDescent="0.25">
      <c r="B1057" s="43">
        <v>1054</v>
      </c>
      <c r="C1057" s="44"/>
      <c r="D1057" s="45">
        <f t="shared" si="83"/>
        <v>0</v>
      </c>
      <c r="E1057" s="251"/>
      <c r="EH1057" s="313">
        <v>1054</v>
      </c>
      <c r="EI1057" s="314"/>
      <c r="EJ1057" s="247" t="str">
        <f t="shared" si="84"/>
        <v/>
      </c>
      <c r="EK1057" t="str">
        <f t="shared" si="85"/>
        <v/>
      </c>
    </row>
    <row r="1058" spans="2:141" x14ac:dyDescent="0.25">
      <c r="B1058" s="43">
        <v>1055</v>
      </c>
      <c r="C1058" s="44"/>
      <c r="D1058" s="45">
        <f t="shared" si="83"/>
        <v>0</v>
      </c>
      <c r="E1058" s="262"/>
      <c r="EH1058" s="313">
        <v>1055</v>
      </c>
      <c r="EI1058" s="314"/>
      <c r="EJ1058" s="247" t="str">
        <f t="shared" si="84"/>
        <v/>
      </c>
      <c r="EK1058" t="str">
        <f t="shared" si="85"/>
        <v/>
      </c>
    </row>
    <row r="1059" spans="2:141" x14ac:dyDescent="0.25">
      <c r="B1059" s="43">
        <v>1056</v>
      </c>
      <c r="C1059" s="44"/>
      <c r="D1059" s="45">
        <f t="shared" si="83"/>
        <v>0</v>
      </c>
      <c r="E1059" s="265"/>
      <c r="EH1059" s="313">
        <v>1056</v>
      </c>
      <c r="EI1059" s="314"/>
      <c r="EJ1059" s="247" t="str">
        <f t="shared" si="84"/>
        <v/>
      </c>
      <c r="EK1059" t="str">
        <f t="shared" si="85"/>
        <v/>
      </c>
    </row>
    <row r="1060" spans="2:141" x14ac:dyDescent="0.25">
      <c r="B1060" s="43">
        <v>1057</v>
      </c>
      <c r="C1060" s="44"/>
      <c r="D1060" s="45">
        <f t="shared" si="83"/>
        <v>0</v>
      </c>
      <c r="E1060" s="269"/>
      <c r="EH1060" s="313">
        <v>1057</v>
      </c>
      <c r="EI1060" s="314"/>
      <c r="EJ1060" s="247" t="str">
        <f t="shared" si="84"/>
        <v/>
      </c>
      <c r="EK1060" t="str">
        <f t="shared" si="85"/>
        <v/>
      </c>
    </row>
    <row r="1061" spans="2:141" x14ac:dyDescent="0.25">
      <c r="B1061" s="43">
        <v>1058</v>
      </c>
      <c r="C1061" s="44"/>
      <c r="D1061" s="45">
        <f t="shared" si="83"/>
        <v>0</v>
      </c>
      <c r="EH1061" s="313">
        <v>1058</v>
      </c>
      <c r="EI1061" s="314"/>
      <c r="EJ1061" s="247" t="str">
        <f t="shared" si="84"/>
        <v/>
      </c>
      <c r="EK1061" t="str">
        <f t="shared" si="85"/>
        <v/>
      </c>
    </row>
    <row r="1062" spans="2:141" x14ac:dyDescent="0.25">
      <c r="B1062" s="43">
        <v>1059</v>
      </c>
      <c r="C1062" s="44"/>
      <c r="D1062" s="45">
        <f t="shared" si="83"/>
        <v>0</v>
      </c>
      <c r="EH1062" s="313">
        <v>1059</v>
      </c>
      <c r="EI1062" s="314"/>
      <c r="EJ1062" s="247" t="str">
        <f t="shared" si="84"/>
        <v/>
      </c>
      <c r="EK1062" t="str">
        <f t="shared" si="85"/>
        <v/>
      </c>
    </row>
    <row r="1063" spans="2:141" x14ac:dyDescent="0.25">
      <c r="B1063" s="43">
        <v>1060</v>
      </c>
      <c r="C1063" s="44"/>
      <c r="D1063" s="45">
        <f t="shared" si="83"/>
        <v>0</v>
      </c>
      <c r="EH1063" s="313">
        <v>1060</v>
      </c>
      <c r="EI1063" s="314">
        <v>12.618399999999999</v>
      </c>
      <c r="EJ1063" s="247">
        <f t="shared" si="84"/>
        <v>1</v>
      </c>
      <c r="EK1063">
        <f t="shared" si="85"/>
        <v>1.2875918367346937</v>
      </c>
    </row>
    <row r="1064" spans="2:141" x14ac:dyDescent="0.25">
      <c r="B1064" s="43">
        <v>1061</v>
      </c>
      <c r="C1064" s="44"/>
      <c r="D1064" s="45">
        <f t="shared" si="83"/>
        <v>0</v>
      </c>
      <c r="EH1064" s="313">
        <v>1061</v>
      </c>
      <c r="EI1064" s="314"/>
      <c r="EJ1064" s="247" t="str">
        <f t="shared" si="84"/>
        <v/>
      </c>
      <c r="EK1064" t="str">
        <f t="shared" si="85"/>
        <v/>
      </c>
    </row>
    <row r="1065" spans="2:141" x14ac:dyDescent="0.25">
      <c r="B1065" s="43">
        <v>1062</v>
      </c>
      <c r="C1065" s="44"/>
      <c r="D1065" s="45">
        <f t="shared" si="83"/>
        <v>0</v>
      </c>
      <c r="EH1065" s="313">
        <v>1062</v>
      </c>
      <c r="EI1065" s="314"/>
      <c r="EJ1065" s="247" t="str">
        <f t="shared" si="84"/>
        <v/>
      </c>
      <c r="EK1065" t="str">
        <f t="shared" si="85"/>
        <v/>
      </c>
    </row>
    <row r="1066" spans="2:141" x14ac:dyDescent="0.25">
      <c r="B1066" s="43">
        <v>1063</v>
      </c>
      <c r="C1066" s="44"/>
      <c r="D1066" s="45">
        <f t="shared" si="83"/>
        <v>0</v>
      </c>
      <c r="EH1066" s="313">
        <v>1063</v>
      </c>
      <c r="EI1066" s="314"/>
      <c r="EJ1066" s="247" t="str">
        <f t="shared" si="84"/>
        <v/>
      </c>
      <c r="EK1066" t="str">
        <f t="shared" si="85"/>
        <v/>
      </c>
    </row>
    <row r="1067" spans="2:141" x14ac:dyDescent="0.25">
      <c r="B1067" s="43">
        <v>1064</v>
      </c>
      <c r="C1067" s="44"/>
      <c r="D1067" s="45">
        <f t="shared" si="83"/>
        <v>0</v>
      </c>
      <c r="EH1067" s="313">
        <v>1064</v>
      </c>
      <c r="EI1067" s="314"/>
      <c r="EJ1067" s="247" t="str">
        <f t="shared" si="84"/>
        <v/>
      </c>
      <c r="EK1067" t="str">
        <f t="shared" si="85"/>
        <v/>
      </c>
    </row>
    <row r="1068" spans="2:141" x14ac:dyDescent="0.25">
      <c r="B1068" s="43">
        <v>1065</v>
      </c>
      <c r="C1068" s="44"/>
      <c r="D1068" s="45">
        <f t="shared" si="83"/>
        <v>0</v>
      </c>
      <c r="EH1068" s="313">
        <v>1065</v>
      </c>
      <c r="EI1068" s="314"/>
      <c r="EJ1068" s="247" t="str">
        <f t="shared" si="84"/>
        <v/>
      </c>
      <c r="EK1068" t="str">
        <f t="shared" si="85"/>
        <v/>
      </c>
    </row>
    <row r="1069" spans="2:141" x14ac:dyDescent="0.25">
      <c r="B1069" s="43">
        <v>1066</v>
      </c>
      <c r="C1069" s="44"/>
      <c r="D1069" s="45">
        <f t="shared" si="83"/>
        <v>0</v>
      </c>
      <c r="EH1069" s="313">
        <v>1066</v>
      </c>
      <c r="EI1069" s="314"/>
      <c r="EJ1069" s="247" t="str">
        <f t="shared" si="84"/>
        <v/>
      </c>
      <c r="EK1069" t="str">
        <f t="shared" si="85"/>
        <v/>
      </c>
    </row>
    <row r="1070" spans="2:141" x14ac:dyDescent="0.25">
      <c r="B1070" s="43">
        <v>1067</v>
      </c>
      <c r="C1070" s="44"/>
      <c r="D1070" s="45">
        <f t="shared" si="83"/>
        <v>0</v>
      </c>
      <c r="EH1070" s="313">
        <v>1067</v>
      </c>
      <c r="EI1070" s="314"/>
      <c r="EJ1070" s="247" t="str">
        <f t="shared" si="84"/>
        <v/>
      </c>
      <c r="EK1070" t="str">
        <f t="shared" si="85"/>
        <v/>
      </c>
    </row>
    <row r="1071" spans="2:141" x14ac:dyDescent="0.25">
      <c r="B1071" s="43">
        <v>1068</v>
      </c>
      <c r="C1071" s="44"/>
      <c r="D1071" s="45">
        <f t="shared" si="83"/>
        <v>0</v>
      </c>
      <c r="EH1071" s="313">
        <v>1068</v>
      </c>
      <c r="EI1071" s="314"/>
      <c r="EJ1071" s="247" t="str">
        <f t="shared" si="84"/>
        <v/>
      </c>
      <c r="EK1071" t="str">
        <f t="shared" si="85"/>
        <v/>
      </c>
    </row>
    <row r="1072" spans="2:141" x14ac:dyDescent="0.25">
      <c r="B1072" s="43">
        <v>1069</v>
      </c>
      <c r="C1072" s="44"/>
      <c r="D1072" s="45">
        <f t="shared" si="83"/>
        <v>0</v>
      </c>
      <c r="EH1072" s="313">
        <v>1069</v>
      </c>
      <c r="EI1072" s="314"/>
      <c r="EJ1072" s="247" t="str">
        <f t="shared" si="84"/>
        <v/>
      </c>
      <c r="EK1072" t="str">
        <f t="shared" si="85"/>
        <v/>
      </c>
    </row>
    <row r="1073" spans="2:141" x14ac:dyDescent="0.25">
      <c r="B1073" s="43">
        <v>1070</v>
      </c>
      <c r="C1073" s="44"/>
      <c r="D1073" s="45">
        <f t="shared" si="83"/>
        <v>0</v>
      </c>
      <c r="EH1073" s="313">
        <v>1070</v>
      </c>
      <c r="EI1073" s="314">
        <v>12.7369</v>
      </c>
      <c r="EJ1073" s="247">
        <f t="shared" si="84"/>
        <v>1</v>
      </c>
      <c r="EK1073">
        <f t="shared" si="85"/>
        <v>1.2996836734693877</v>
      </c>
    </row>
    <row r="1074" spans="2:141" x14ac:dyDescent="0.25">
      <c r="B1074" s="43">
        <v>1071</v>
      </c>
      <c r="C1074" s="44"/>
      <c r="D1074" s="45">
        <f t="shared" si="83"/>
        <v>0</v>
      </c>
      <c r="EH1074" s="313">
        <v>1071</v>
      </c>
      <c r="EI1074" s="314"/>
      <c r="EJ1074" s="247" t="str">
        <f t="shared" si="84"/>
        <v/>
      </c>
      <c r="EK1074" t="str">
        <f t="shared" si="85"/>
        <v/>
      </c>
    </row>
    <row r="1075" spans="2:141" x14ac:dyDescent="0.25">
      <c r="B1075" s="43">
        <v>1072</v>
      </c>
      <c r="C1075" s="44"/>
      <c r="D1075" s="45">
        <f t="shared" si="83"/>
        <v>0</v>
      </c>
      <c r="EH1075" s="313">
        <v>1072</v>
      </c>
      <c r="EI1075" s="314"/>
      <c r="EJ1075" s="247" t="str">
        <f t="shared" si="84"/>
        <v/>
      </c>
      <c r="EK1075" t="str">
        <f t="shared" si="85"/>
        <v/>
      </c>
    </row>
    <row r="1076" spans="2:141" x14ac:dyDescent="0.25">
      <c r="B1076" s="43">
        <v>1073</v>
      </c>
      <c r="C1076" s="44"/>
      <c r="D1076" s="45">
        <f t="shared" si="83"/>
        <v>0</v>
      </c>
      <c r="EH1076" s="313">
        <v>1073</v>
      </c>
      <c r="EI1076" s="314"/>
      <c r="EJ1076" s="247" t="str">
        <f t="shared" si="84"/>
        <v/>
      </c>
      <c r="EK1076" t="str">
        <f t="shared" si="85"/>
        <v/>
      </c>
    </row>
    <row r="1077" spans="2:141" x14ac:dyDescent="0.25">
      <c r="B1077" s="43">
        <v>1074</v>
      </c>
      <c r="C1077" s="44"/>
      <c r="D1077" s="45">
        <f t="shared" si="83"/>
        <v>0</v>
      </c>
      <c r="EH1077" s="313">
        <v>1074</v>
      </c>
      <c r="EI1077" s="314"/>
      <c r="EJ1077" s="247" t="str">
        <f t="shared" si="84"/>
        <v/>
      </c>
      <c r="EK1077" t="str">
        <f t="shared" si="85"/>
        <v/>
      </c>
    </row>
    <row r="1078" spans="2:141" x14ac:dyDescent="0.25">
      <c r="B1078" s="43">
        <v>1075</v>
      </c>
      <c r="C1078" s="44"/>
      <c r="D1078" s="45">
        <f t="shared" si="83"/>
        <v>0</v>
      </c>
      <c r="EH1078" s="313">
        <v>1075</v>
      </c>
      <c r="EI1078" s="314"/>
      <c r="EJ1078" s="247" t="str">
        <f t="shared" si="84"/>
        <v/>
      </c>
      <c r="EK1078" t="str">
        <f t="shared" si="85"/>
        <v/>
      </c>
    </row>
    <row r="1079" spans="2:141" x14ac:dyDescent="0.25">
      <c r="B1079" s="43">
        <v>1076</v>
      </c>
      <c r="C1079" s="44"/>
      <c r="D1079" s="45">
        <f t="shared" si="83"/>
        <v>0</v>
      </c>
      <c r="EH1079" s="313">
        <v>1076</v>
      </c>
      <c r="EI1079" s="314"/>
      <c r="EJ1079" s="247" t="str">
        <f t="shared" si="84"/>
        <v/>
      </c>
      <c r="EK1079" t="str">
        <f t="shared" si="85"/>
        <v/>
      </c>
    </row>
    <row r="1080" spans="2:141" x14ac:dyDescent="0.25">
      <c r="B1080" s="43">
        <v>1077</v>
      </c>
      <c r="C1080" s="44"/>
      <c r="D1080" s="45">
        <f t="shared" si="83"/>
        <v>0</v>
      </c>
      <c r="EH1080" s="313">
        <v>1077</v>
      </c>
      <c r="EI1080" s="314"/>
      <c r="EJ1080" s="247" t="str">
        <f t="shared" si="84"/>
        <v/>
      </c>
      <c r="EK1080" t="str">
        <f t="shared" si="85"/>
        <v/>
      </c>
    </row>
    <row r="1081" spans="2:141" x14ac:dyDescent="0.25">
      <c r="B1081" s="43">
        <v>1078</v>
      </c>
      <c r="C1081" s="44"/>
      <c r="D1081" s="45">
        <f t="shared" si="83"/>
        <v>0</v>
      </c>
      <c r="EH1081" s="313">
        <v>1078</v>
      </c>
      <c r="EI1081" s="314"/>
      <c r="EJ1081" s="247" t="str">
        <f t="shared" si="84"/>
        <v/>
      </c>
      <c r="EK1081" t="str">
        <f t="shared" si="85"/>
        <v/>
      </c>
    </row>
    <row r="1082" spans="2:141" x14ac:dyDescent="0.25">
      <c r="B1082" s="43">
        <v>1079</v>
      </c>
      <c r="C1082" s="44"/>
      <c r="D1082" s="45">
        <f t="shared" si="83"/>
        <v>0</v>
      </c>
      <c r="EH1082" s="313">
        <v>1079</v>
      </c>
      <c r="EI1082" s="314"/>
      <c r="EJ1082" s="247" t="str">
        <f t="shared" si="84"/>
        <v/>
      </c>
      <c r="EK1082" t="str">
        <f t="shared" si="85"/>
        <v/>
      </c>
    </row>
    <row r="1083" spans="2:141" x14ac:dyDescent="0.25">
      <c r="B1083" s="43">
        <v>1080</v>
      </c>
      <c r="C1083" s="44"/>
      <c r="D1083" s="45">
        <f t="shared" si="83"/>
        <v>0</v>
      </c>
      <c r="EH1083" s="313">
        <v>1080</v>
      </c>
      <c r="EI1083" s="314">
        <v>12.855399999999999</v>
      </c>
      <c r="EJ1083" s="247">
        <f t="shared" si="84"/>
        <v>1</v>
      </c>
      <c r="EK1083">
        <f t="shared" si="85"/>
        <v>1.3117755102040816</v>
      </c>
    </row>
    <row r="1084" spans="2:141" x14ac:dyDescent="0.25">
      <c r="B1084" s="43">
        <v>1081</v>
      </c>
      <c r="C1084" s="44"/>
      <c r="D1084" s="45">
        <f t="shared" si="83"/>
        <v>0</v>
      </c>
      <c r="EH1084" s="313">
        <v>1081</v>
      </c>
      <c r="EI1084" s="314"/>
      <c r="EJ1084" s="247" t="str">
        <f t="shared" si="84"/>
        <v/>
      </c>
      <c r="EK1084" t="str">
        <f t="shared" si="85"/>
        <v/>
      </c>
    </row>
    <row r="1085" spans="2:141" x14ac:dyDescent="0.25">
      <c r="B1085" s="43">
        <v>1082</v>
      </c>
      <c r="C1085" s="44"/>
      <c r="D1085" s="45">
        <f t="shared" si="83"/>
        <v>0</v>
      </c>
      <c r="EH1085" s="313">
        <v>1082</v>
      </c>
      <c r="EI1085" s="314"/>
      <c r="EJ1085" s="247" t="str">
        <f t="shared" si="84"/>
        <v/>
      </c>
      <c r="EK1085" t="str">
        <f t="shared" si="85"/>
        <v/>
      </c>
    </row>
    <row r="1086" spans="2:141" x14ac:dyDescent="0.25">
      <c r="B1086" s="43">
        <v>1083</v>
      </c>
      <c r="C1086" s="44"/>
      <c r="D1086" s="45">
        <f t="shared" si="83"/>
        <v>0</v>
      </c>
      <c r="EH1086" s="313">
        <v>1083</v>
      </c>
      <c r="EI1086" s="314"/>
      <c r="EJ1086" s="247" t="str">
        <f t="shared" si="84"/>
        <v/>
      </c>
      <c r="EK1086" t="str">
        <f t="shared" si="85"/>
        <v/>
      </c>
    </row>
    <row r="1087" spans="2:141" x14ac:dyDescent="0.25">
      <c r="B1087" s="43">
        <v>1084</v>
      </c>
      <c r="C1087" s="44"/>
      <c r="D1087" s="45">
        <f t="shared" si="83"/>
        <v>0</v>
      </c>
      <c r="EH1087" s="313">
        <v>1084</v>
      </c>
      <c r="EI1087" s="314"/>
      <c r="EJ1087" s="247" t="str">
        <f t="shared" si="84"/>
        <v/>
      </c>
      <c r="EK1087" t="str">
        <f t="shared" si="85"/>
        <v/>
      </c>
    </row>
    <row r="1088" spans="2:141" x14ac:dyDescent="0.25">
      <c r="B1088" s="43">
        <v>1085</v>
      </c>
      <c r="C1088" s="44"/>
      <c r="D1088" s="45">
        <f t="shared" si="83"/>
        <v>0</v>
      </c>
      <c r="EH1088" s="313">
        <v>1085</v>
      </c>
      <c r="EI1088" s="314"/>
      <c r="EJ1088" s="247" t="str">
        <f t="shared" si="84"/>
        <v/>
      </c>
      <c r="EK1088" t="str">
        <f t="shared" si="85"/>
        <v/>
      </c>
    </row>
    <row r="1089" spans="2:141" x14ac:dyDescent="0.25">
      <c r="B1089" s="43">
        <v>1086</v>
      </c>
      <c r="C1089" s="44"/>
      <c r="D1089" s="45">
        <f t="shared" si="83"/>
        <v>0</v>
      </c>
      <c r="EH1089" s="313">
        <v>1086</v>
      </c>
      <c r="EI1089" s="314"/>
      <c r="EJ1089" s="247" t="str">
        <f t="shared" si="84"/>
        <v/>
      </c>
      <c r="EK1089" t="str">
        <f t="shared" si="85"/>
        <v/>
      </c>
    </row>
    <row r="1090" spans="2:141" x14ac:dyDescent="0.25">
      <c r="B1090" s="43">
        <v>1087</v>
      </c>
      <c r="C1090" s="44"/>
      <c r="D1090" s="45">
        <f t="shared" si="83"/>
        <v>0</v>
      </c>
      <c r="EH1090" s="313">
        <v>1087</v>
      </c>
      <c r="EI1090" s="314"/>
      <c r="EJ1090" s="247" t="str">
        <f t="shared" si="84"/>
        <v/>
      </c>
      <c r="EK1090" t="str">
        <f t="shared" si="85"/>
        <v/>
      </c>
    </row>
    <row r="1091" spans="2:141" x14ac:dyDescent="0.25">
      <c r="B1091" s="43">
        <v>1088</v>
      </c>
      <c r="C1091" s="44"/>
      <c r="D1091" s="45">
        <f t="shared" si="83"/>
        <v>0</v>
      </c>
      <c r="EH1091" s="313">
        <v>1088</v>
      </c>
      <c r="EI1091" s="314"/>
      <c r="EJ1091" s="247" t="str">
        <f t="shared" si="84"/>
        <v/>
      </c>
      <c r="EK1091" t="str">
        <f t="shared" si="85"/>
        <v/>
      </c>
    </row>
    <row r="1092" spans="2:141" x14ac:dyDescent="0.25">
      <c r="B1092" s="43">
        <v>1089</v>
      </c>
      <c r="C1092" s="44"/>
      <c r="D1092" s="45">
        <f t="shared" si="83"/>
        <v>0</v>
      </c>
      <c r="E1092" s="318"/>
      <c r="EH1092" s="313">
        <v>1089</v>
      </c>
      <c r="EI1092" s="314"/>
      <c r="EJ1092" s="247" t="str">
        <f t="shared" si="84"/>
        <v/>
      </c>
      <c r="EK1092" t="str">
        <f t="shared" si="85"/>
        <v/>
      </c>
    </row>
    <row r="1093" spans="2:141" x14ac:dyDescent="0.25">
      <c r="B1093" s="43">
        <v>1090</v>
      </c>
      <c r="C1093" s="44"/>
      <c r="D1093" s="45">
        <f t="shared" ref="D1093:D1156" si="86">C1093</f>
        <v>0</v>
      </c>
      <c r="E1093" s="251"/>
      <c r="EH1093" s="313">
        <v>1090</v>
      </c>
      <c r="EI1093" s="314">
        <v>12.9739</v>
      </c>
      <c r="EJ1093" s="247">
        <f t="shared" ref="EJ1093:EJ1156" si="87">IF(EI1093="","",1)</f>
        <v>1</v>
      </c>
      <c r="EK1093">
        <f t="shared" ref="EK1093:EK1156" si="88">IF(EI1093="","",EI1093/9.8)</f>
        <v>1.3238673469387754</v>
      </c>
    </row>
    <row r="1094" spans="2:141" x14ac:dyDescent="0.25">
      <c r="B1094" s="43">
        <v>1091</v>
      </c>
      <c r="C1094" s="44"/>
      <c r="D1094" s="45">
        <f t="shared" si="86"/>
        <v>0</v>
      </c>
      <c r="E1094" s="262"/>
      <c r="EH1094" s="313">
        <v>1091</v>
      </c>
      <c r="EI1094" s="314"/>
      <c r="EJ1094" s="247" t="str">
        <f t="shared" si="87"/>
        <v/>
      </c>
      <c r="EK1094" t="str">
        <f t="shared" si="88"/>
        <v/>
      </c>
    </row>
    <row r="1095" spans="2:141" x14ac:dyDescent="0.25">
      <c r="B1095" s="43">
        <v>1092</v>
      </c>
      <c r="C1095" s="44"/>
      <c r="D1095" s="45">
        <f t="shared" si="86"/>
        <v>0</v>
      </c>
      <c r="E1095" s="265"/>
      <c r="EH1095" s="313">
        <v>1092</v>
      </c>
      <c r="EI1095" s="314"/>
      <c r="EJ1095" s="247" t="str">
        <f t="shared" si="87"/>
        <v/>
      </c>
      <c r="EK1095" t="str">
        <f t="shared" si="88"/>
        <v/>
      </c>
    </row>
    <row r="1096" spans="2:141" x14ac:dyDescent="0.25">
      <c r="B1096" s="43">
        <v>1093</v>
      </c>
      <c r="C1096" s="44"/>
      <c r="D1096" s="45">
        <f t="shared" si="86"/>
        <v>0</v>
      </c>
      <c r="E1096" s="269"/>
      <c r="EH1096" s="313">
        <v>1093</v>
      </c>
      <c r="EI1096" s="314"/>
      <c r="EJ1096" s="247" t="str">
        <f t="shared" si="87"/>
        <v/>
      </c>
      <c r="EK1096" t="str">
        <f t="shared" si="88"/>
        <v/>
      </c>
    </row>
    <row r="1097" spans="2:141" x14ac:dyDescent="0.25">
      <c r="B1097" s="43">
        <v>1094</v>
      </c>
      <c r="C1097" s="44"/>
      <c r="D1097" s="45">
        <f t="shared" si="86"/>
        <v>0</v>
      </c>
      <c r="EH1097" s="313">
        <v>1094</v>
      </c>
      <c r="EI1097" s="314"/>
      <c r="EJ1097" s="247" t="str">
        <f t="shared" si="87"/>
        <v/>
      </c>
      <c r="EK1097" t="str">
        <f t="shared" si="88"/>
        <v/>
      </c>
    </row>
    <row r="1098" spans="2:141" x14ac:dyDescent="0.25">
      <c r="B1098" s="43">
        <v>1095</v>
      </c>
      <c r="C1098" s="44"/>
      <c r="D1098" s="45">
        <f t="shared" si="86"/>
        <v>0</v>
      </c>
      <c r="EH1098" s="313">
        <v>1095</v>
      </c>
      <c r="EI1098" s="314"/>
      <c r="EJ1098" s="247" t="str">
        <f t="shared" si="87"/>
        <v/>
      </c>
      <c r="EK1098" t="str">
        <f t="shared" si="88"/>
        <v/>
      </c>
    </row>
    <row r="1099" spans="2:141" x14ac:dyDescent="0.25">
      <c r="B1099" s="43">
        <v>1096</v>
      </c>
      <c r="C1099" s="44"/>
      <c r="D1099" s="45">
        <f t="shared" si="86"/>
        <v>0</v>
      </c>
      <c r="EH1099" s="313">
        <v>1096</v>
      </c>
      <c r="EI1099" s="314"/>
      <c r="EJ1099" s="247" t="str">
        <f t="shared" si="87"/>
        <v/>
      </c>
      <c r="EK1099" t="str">
        <f t="shared" si="88"/>
        <v/>
      </c>
    </row>
    <row r="1100" spans="2:141" x14ac:dyDescent="0.25">
      <c r="B1100" s="43">
        <v>1097</v>
      </c>
      <c r="C1100" s="44"/>
      <c r="D1100" s="45">
        <f t="shared" si="86"/>
        <v>0</v>
      </c>
      <c r="EH1100" s="313">
        <v>1097</v>
      </c>
      <c r="EI1100" s="314"/>
      <c r="EJ1100" s="247" t="str">
        <f t="shared" si="87"/>
        <v/>
      </c>
      <c r="EK1100" t="str">
        <f t="shared" si="88"/>
        <v/>
      </c>
    </row>
    <row r="1101" spans="2:141" x14ac:dyDescent="0.25">
      <c r="B1101" s="43">
        <v>1098</v>
      </c>
      <c r="C1101" s="44"/>
      <c r="D1101" s="45">
        <f t="shared" si="86"/>
        <v>0</v>
      </c>
      <c r="EH1101" s="313">
        <v>1098</v>
      </c>
      <c r="EI1101" s="314"/>
      <c r="EJ1101" s="247" t="str">
        <f t="shared" si="87"/>
        <v/>
      </c>
      <c r="EK1101" t="str">
        <f t="shared" si="88"/>
        <v/>
      </c>
    </row>
    <row r="1102" spans="2:141" x14ac:dyDescent="0.25">
      <c r="B1102" s="43">
        <v>1099</v>
      </c>
      <c r="C1102" s="44"/>
      <c r="D1102" s="45">
        <f t="shared" si="86"/>
        <v>0</v>
      </c>
      <c r="EH1102" s="313">
        <v>1099</v>
      </c>
      <c r="EI1102" s="314"/>
      <c r="EJ1102" s="247" t="str">
        <f t="shared" si="87"/>
        <v/>
      </c>
      <c r="EK1102" t="str">
        <f t="shared" si="88"/>
        <v/>
      </c>
    </row>
    <row r="1103" spans="2:141" x14ac:dyDescent="0.25">
      <c r="B1103" s="43">
        <v>1100</v>
      </c>
      <c r="C1103" s="44"/>
      <c r="D1103" s="45">
        <f t="shared" si="86"/>
        <v>0</v>
      </c>
      <c r="EH1103" s="313">
        <v>1100</v>
      </c>
      <c r="EI1103" s="314">
        <v>13.0924</v>
      </c>
      <c r="EJ1103" s="247">
        <f t="shared" si="87"/>
        <v>1</v>
      </c>
      <c r="EK1103">
        <f t="shared" si="88"/>
        <v>1.3359591836734692</v>
      </c>
    </row>
    <row r="1104" spans="2:141" x14ac:dyDescent="0.25">
      <c r="B1104" s="43">
        <v>1101</v>
      </c>
      <c r="C1104" s="44"/>
      <c r="D1104" s="45">
        <f t="shared" si="86"/>
        <v>0</v>
      </c>
      <c r="EH1104" s="313">
        <v>1101</v>
      </c>
      <c r="EI1104" s="314"/>
      <c r="EJ1104" s="247" t="str">
        <f t="shared" si="87"/>
        <v/>
      </c>
      <c r="EK1104" t="str">
        <f t="shared" si="88"/>
        <v/>
      </c>
    </row>
    <row r="1105" spans="2:141" x14ac:dyDescent="0.25">
      <c r="B1105" s="43">
        <v>1102</v>
      </c>
      <c r="C1105" s="44"/>
      <c r="D1105" s="45">
        <f t="shared" si="86"/>
        <v>0</v>
      </c>
      <c r="EH1105" s="313">
        <v>1102</v>
      </c>
      <c r="EI1105" s="314"/>
      <c r="EJ1105" s="247" t="str">
        <f t="shared" si="87"/>
        <v/>
      </c>
      <c r="EK1105" t="str">
        <f t="shared" si="88"/>
        <v/>
      </c>
    </row>
    <row r="1106" spans="2:141" x14ac:dyDescent="0.25">
      <c r="B1106" s="43">
        <v>1103</v>
      </c>
      <c r="C1106" s="44"/>
      <c r="D1106" s="45">
        <f t="shared" si="86"/>
        <v>0</v>
      </c>
      <c r="EH1106" s="313">
        <v>1103</v>
      </c>
      <c r="EI1106" s="314"/>
      <c r="EJ1106" s="247" t="str">
        <f t="shared" si="87"/>
        <v/>
      </c>
      <c r="EK1106" t="str">
        <f t="shared" si="88"/>
        <v/>
      </c>
    </row>
    <row r="1107" spans="2:141" x14ac:dyDescent="0.25">
      <c r="B1107" s="43">
        <v>1104</v>
      </c>
      <c r="C1107" s="44"/>
      <c r="D1107" s="45">
        <f t="shared" si="86"/>
        <v>0</v>
      </c>
      <c r="EH1107" s="313">
        <v>1104</v>
      </c>
      <c r="EI1107" s="314"/>
      <c r="EJ1107" s="247" t="str">
        <f t="shared" si="87"/>
        <v/>
      </c>
      <c r="EK1107" t="str">
        <f t="shared" si="88"/>
        <v/>
      </c>
    </row>
    <row r="1108" spans="2:141" x14ac:dyDescent="0.25">
      <c r="B1108" s="43">
        <v>1105</v>
      </c>
      <c r="C1108" s="44"/>
      <c r="D1108" s="45">
        <f t="shared" si="86"/>
        <v>0</v>
      </c>
      <c r="EH1108" s="313">
        <v>1105</v>
      </c>
      <c r="EI1108" s="314"/>
      <c r="EJ1108" s="247" t="str">
        <f t="shared" si="87"/>
        <v/>
      </c>
      <c r="EK1108" t="str">
        <f t="shared" si="88"/>
        <v/>
      </c>
    </row>
    <row r="1109" spans="2:141" x14ac:dyDescent="0.25">
      <c r="B1109" s="43">
        <v>1106</v>
      </c>
      <c r="C1109" s="44"/>
      <c r="D1109" s="45">
        <f t="shared" si="86"/>
        <v>0</v>
      </c>
      <c r="EH1109" s="313">
        <v>1106</v>
      </c>
      <c r="EI1109" s="314"/>
      <c r="EJ1109" s="247" t="str">
        <f t="shared" si="87"/>
        <v/>
      </c>
      <c r="EK1109" t="str">
        <f t="shared" si="88"/>
        <v/>
      </c>
    </row>
    <row r="1110" spans="2:141" x14ac:dyDescent="0.25">
      <c r="B1110" s="43">
        <v>1107</v>
      </c>
      <c r="C1110" s="44"/>
      <c r="D1110" s="45">
        <f t="shared" si="86"/>
        <v>0</v>
      </c>
      <c r="EH1110" s="313">
        <v>1107</v>
      </c>
      <c r="EI1110" s="314"/>
      <c r="EJ1110" s="247" t="str">
        <f t="shared" si="87"/>
        <v/>
      </c>
      <c r="EK1110" t="str">
        <f t="shared" si="88"/>
        <v/>
      </c>
    </row>
    <row r="1111" spans="2:141" x14ac:dyDescent="0.25">
      <c r="B1111" s="43">
        <v>1108</v>
      </c>
      <c r="C1111" s="44"/>
      <c r="D1111" s="45">
        <f t="shared" si="86"/>
        <v>0</v>
      </c>
      <c r="EH1111" s="313">
        <v>1108</v>
      </c>
      <c r="EI1111" s="314"/>
      <c r="EJ1111" s="247" t="str">
        <f t="shared" si="87"/>
        <v/>
      </c>
      <c r="EK1111" t="str">
        <f t="shared" si="88"/>
        <v/>
      </c>
    </row>
    <row r="1112" spans="2:141" x14ac:dyDescent="0.25">
      <c r="B1112" s="43">
        <v>1109</v>
      </c>
      <c r="C1112" s="44"/>
      <c r="D1112" s="45">
        <f t="shared" si="86"/>
        <v>0</v>
      </c>
      <c r="EH1112" s="313">
        <v>1109</v>
      </c>
      <c r="EI1112" s="314"/>
      <c r="EJ1112" s="247" t="str">
        <f t="shared" si="87"/>
        <v/>
      </c>
      <c r="EK1112" t="str">
        <f t="shared" si="88"/>
        <v/>
      </c>
    </row>
    <row r="1113" spans="2:141" x14ac:dyDescent="0.25">
      <c r="B1113" s="43">
        <v>1110</v>
      </c>
      <c r="C1113" s="44"/>
      <c r="D1113" s="45">
        <f t="shared" si="86"/>
        <v>0</v>
      </c>
      <c r="EH1113" s="313">
        <v>1110</v>
      </c>
      <c r="EI1113" s="314">
        <v>13.210900000000001</v>
      </c>
      <c r="EJ1113" s="247">
        <f t="shared" si="87"/>
        <v>1</v>
      </c>
      <c r="EK1113">
        <f t="shared" si="88"/>
        <v>1.3480510204081633</v>
      </c>
    </row>
    <row r="1114" spans="2:141" x14ac:dyDescent="0.25">
      <c r="B1114" s="43">
        <v>1111</v>
      </c>
      <c r="C1114" s="44"/>
      <c r="D1114" s="45">
        <f t="shared" si="86"/>
        <v>0</v>
      </c>
      <c r="EH1114" s="313">
        <v>1111</v>
      </c>
      <c r="EI1114" s="314"/>
      <c r="EJ1114" s="247" t="str">
        <f t="shared" si="87"/>
        <v/>
      </c>
      <c r="EK1114" t="str">
        <f t="shared" si="88"/>
        <v/>
      </c>
    </row>
    <row r="1115" spans="2:141" x14ac:dyDescent="0.25">
      <c r="B1115" s="43">
        <v>1112</v>
      </c>
      <c r="C1115" s="44"/>
      <c r="D1115" s="45">
        <f t="shared" si="86"/>
        <v>0</v>
      </c>
      <c r="EH1115" s="313">
        <v>1112</v>
      </c>
      <c r="EI1115" s="314"/>
      <c r="EJ1115" s="247" t="str">
        <f t="shared" si="87"/>
        <v/>
      </c>
      <c r="EK1115" t="str">
        <f t="shared" si="88"/>
        <v/>
      </c>
    </row>
    <row r="1116" spans="2:141" x14ac:dyDescent="0.25">
      <c r="B1116" s="43">
        <v>1113</v>
      </c>
      <c r="C1116" s="44"/>
      <c r="D1116" s="45">
        <f t="shared" si="86"/>
        <v>0</v>
      </c>
      <c r="EH1116" s="313">
        <v>1113</v>
      </c>
      <c r="EI1116" s="314"/>
      <c r="EJ1116" s="247" t="str">
        <f t="shared" si="87"/>
        <v/>
      </c>
      <c r="EK1116" t="str">
        <f t="shared" si="88"/>
        <v/>
      </c>
    </row>
    <row r="1117" spans="2:141" x14ac:dyDescent="0.25">
      <c r="B1117" s="43">
        <v>1114</v>
      </c>
      <c r="C1117" s="44"/>
      <c r="D1117" s="45">
        <f t="shared" si="86"/>
        <v>0</v>
      </c>
      <c r="EH1117" s="313">
        <v>1114</v>
      </c>
      <c r="EI1117" s="314"/>
      <c r="EJ1117" s="247" t="str">
        <f t="shared" si="87"/>
        <v/>
      </c>
      <c r="EK1117" t="str">
        <f t="shared" si="88"/>
        <v/>
      </c>
    </row>
    <row r="1118" spans="2:141" x14ac:dyDescent="0.25">
      <c r="B1118" s="43">
        <v>1115</v>
      </c>
      <c r="C1118" s="44"/>
      <c r="D1118" s="45">
        <f t="shared" si="86"/>
        <v>0</v>
      </c>
      <c r="EH1118" s="313">
        <v>1115</v>
      </c>
      <c r="EI1118" s="314"/>
      <c r="EJ1118" s="247" t="str">
        <f t="shared" si="87"/>
        <v/>
      </c>
      <c r="EK1118" t="str">
        <f t="shared" si="88"/>
        <v/>
      </c>
    </row>
    <row r="1119" spans="2:141" x14ac:dyDescent="0.25">
      <c r="B1119" s="43">
        <v>1116</v>
      </c>
      <c r="C1119" s="44"/>
      <c r="D1119" s="45">
        <f t="shared" si="86"/>
        <v>0</v>
      </c>
      <c r="EH1119" s="313">
        <v>1116</v>
      </c>
      <c r="EI1119" s="314"/>
      <c r="EJ1119" s="247" t="str">
        <f t="shared" si="87"/>
        <v/>
      </c>
      <c r="EK1119" t="str">
        <f t="shared" si="88"/>
        <v/>
      </c>
    </row>
    <row r="1120" spans="2:141" x14ac:dyDescent="0.25">
      <c r="B1120" s="43">
        <v>1117</v>
      </c>
      <c r="C1120" s="44"/>
      <c r="D1120" s="45">
        <f t="shared" si="86"/>
        <v>0</v>
      </c>
      <c r="EH1120" s="313">
        <v>1117</v>
      </c>
      <c r="EI1120" s="314"/>
      <c r="EJ1120" s="247" t="str">
        <f t="shared" si="87"/>
        <v/>
      </c>
      <c r="EK1120" t="str">
        <f t="shared" si="88"/>
        <v/>
      </c>
    </row>
    <row r="1121" spans="2:141" x14ac:dyDescent="0.25">
      <c r="B1121" s="43">
        <v>1118</v>
      </c>
      <c r="C1121" s="44"/>
      <c r="D1121" s="45">
        <f t="shared" si="86"/>
        <v>0</v>
      </c>
      <c r="EH1121" s="313">
        <v>1118</v>
      </c>
      <c r="EI1121" s="314"/>
      <c r="EJ1121" s="247" t="str">
        <f t="shared" si="87"/>
        <v/>
      </c>
      <c r="EK1121" t="str">
        <f t="shared" si="88"/>
        <v/>
      </c>
    </row>
    <row r="1122" spans="2:141" x14ac:dyDescent="0.25">
      <c r="B1122" s="43">
        <v>1119</v>
      </c>
      <c r="C1122" s="44"/>
      <c r="D1122" s="45">
        <f t="shared" si="86"/>
        <v>0</v>
      </c>
      <c r="EH1122" s="313">
        <v>1119</v>
      </c>
      <c r="EI1122" s="314"/>
      <c r="EJ1122" s="247" t="str">
        <f t="shared" si="87"/>
        <v/>
      </c>
      <c r="EK1122" t="str">
        <f t="shared" si="88"/>
        <v/>
      </c>
    </row>
    <row r="1123" spans="2:141" x14ac:dyDescent="0.25">
      <c r="B1123" s="43">
        <v>1120</v>
      </c>
      <c r="C1123" s="44"/>
      <c r="D1123" s="45">
        <f t="shared" si="86"/>
        <v>0</v>
      </c>
      <c r="EH1123" s="313">
        <v>1120</v>
      </c>
      <c r="EI1123" s="314">
        <v>13.3293</v>
      </c>
      <c r="EJ1123" s="247">
        <f t="shared" si="87"/>
        <v>1</v>
      </c>
      <c r="EK1123">
        <f t="shared" si="88"/>
        <v>1.3601326530612243</v>
      </c>
    </row>
    <row r="1124" spans="2:141" x14ac:dyDescent="0.25">
      <c r="B1124" s="43">
        <v>1121</v>
      </c>
      <c r="C1124" s="44"/>
      <c r="D1124" s="45">
        <f t="shared" si="86"/>
        <v>0</v>
      </c>
      <c r="EH1124" s="313">
        <v>1121</v>
      </c>
      <c r="EI1124" s="314"/>
      <c r="EJ1124" s="247" t="str">
        <f t="shared" si="87"/>
        <v/>
      </c>
      <c r="EK1124" t="str">
        <f t="shared" si="88"/>
        <v/>
      </c>
    </row>
    <row r="1125" spans="2:141" x14ac:dyDescent="0.25">
      <c r="B1125" s="43">
        <v>1122</v>
      </c>
      <c r="C1125" s="44"/>
      <c r="D1125" s="45">
        <f t="shared" si="86"/>
        <v>0</v>
      </c>
      <c r="EH1125" s="313">
        <v>1122</v>
      </c>
      <c r="EI1125" s="314"/>
      <c r="EJ1125" s="247" t="str">
        <f t="shared" si="87"/>
        <v/>
      </c>
      <c r="EK1125" t="str">
        <f t="shared" si="88"/>
        <v/>
      </c>
    </row>
    <row r="1126" spans="2:141" x14ac:dyDescent="0.25">
      <c r="B1126" s="43">
        <v>1123</v>
      </c>
      <c r="C1126" s="44"/>
      <c r="D1126" s="45">
        <f t="shared" si="86"/>
        <v>0</v>
      </c>
      <c r="EH1126" s="313">
        <v>1123</v>
      </c>
      <c r="EI1126" s="314"/>
      <c r="EJ1126" s="247" t="str">
        <f t="shared" si="87"/>
        <v/>
      </c>
      <c r="EK1126" t="str">
        <f t="shared" si="88"/>
        <v/>
      </c>
    </row>
    <row r="1127" spans="2:141" x14ac:dyDescent="0.25">
      <c r="B1127" s="43">
        <v>1124</v>
      </c>
      <c r="C1127" s="44"/>
      <c r="D1127" s="45">
        <f t="shared" si="86"/>
        <v>0</v>
      </c>
      <c r="EH1127" s="313">
        <v>1124</v>
      </c>
      <c r="EI1127" s="314"/>
      <c r="EJ1127" s="247" t="str">
        <f t="shared" si="87"/>
        <v/>
      </c>
      <c r="EK1127" t="str">
        <f t="shared" si="88"/>
        <v/>
      </c>
    </row>
    <row r="1128" spans="2:141" x14ac:dyDescent="0.25">
      <c r="B1128" s="43">
        <v>1125</v>
      </c>
      <c r="C1128" s="44"/>
      <c r="D1128" s="45">
        <f t="shared" si="86"/>
        <v>0</v>
      </c>
      <c r="E1128" s="318"/>
      <c r="EH1128" s="313">
        <v>1125</v>
      </c>
      <c r="EI1128" s="314"/>
      <c r="EJ1128" s="247" t="str">
        <f t="shared" si="87"/>
        <v/>
      </c>
      <c r="EK1128" t="str">
        <f t="shared" si="88"/>
        <v/>
      </c>
    </row>
    <row r="1129" spans="2:141" x14ac:dyDescent="0.25">
      <c r="B1129" s="43">
        <v>1126</v>
      </c>
      <c r="C1129" s="44"/>
      <c r="D1129" s="45">
        <f t="shared" si="86"/>
        <v>0</v>
      </c>
      <c r="E1129" s="251"/>
      <c r="EH1129" s="313">
        <v>1126</v>
      </c>
      <c r="EI1129" s="314"/>
      <c r="EJ1129" s="247" t="str">
        <f t="shared" si="87"/>
        <v/>
      </c>
      <c r="EK1129" t="str">
        <f t="shared" si="88"/>
        <v/>
      </c>
    </row>
    <row r="1130" spans="2:141" x14ac:dyDescent="0.25">
      <c r="B1130" s="43">
        <v>1127</v>
      </c>
      <c r="C1130" s="44"/>
      <c r="D1130" s="45">
        <f t="shared" si="86"/>
        <v>0</v>
      </c>
      <c r="E1130" s="262"/>
      <c r="EH1130" s="313">
        <v>1127</v>
      </c>
      <c r="EI1130" s="314"/>
      <c r="EJ1130" s="247" t="str">
        <f t="shared" si="87"/>
        <v/>
      </c>
      <c r="EK1130" t="str">
        <f t="shared" si="88"/>
        <v/>
      </c>
    </row>
    <row r="1131" spans="2:141" x14ac:dyDescent="0.25">
      <c r="B1131" s="43">
        <v>1128</v>
      </c>
      <c r="C1131" s="44"/>
      <c r="D1131" s="45">
        <f t="shared" si="86"/>
        <v>0</v>
      </c>
      <c r="E1131" s="265"/>
      <c r="EH1131" s="313">
        <v>1128</v>
      </c>
      <c r="EI1131" s="314"/>
      <c r="EJ1131" s="247" t="str">
        <f t="shared" si="87"/>
        <v/>
      </c>
      <c r="EK1131" t="str">
        <f t="shared" si="88"/>
        <v/>
      </c>
    </row>
    <row r="1132" spans="2:141" x14ac:dyDescent="0.25">
      <c r="B1132" s="43">
        <v>1129</v>
      </c>
      <c r="C1132" s="44"/>
      <c r="D1132" s="45">
        <f t="shared" si="86"/>
        <v>0</v>
      </c>
      <c r="E1132" s="269"/>
      <c r="EH1132" s="313">
        <v>1129</v>
      </c>
      <c r="EI1132" s="314"/>
      <c r="EJ1132" s="247" t="str">
        <f t="shared" si="87"/>
        <v/>
      </c>
      <c r="EK1132" t="str">
        <f t="shared" si="88"/>
        <v/>
      </c>
    </row>
    <row r="1133" spans="2:141" x14ac:dyDescent="0.25">
      <c r="B1133" s="43">
        <v>1130</v>
      </c>
      <c r="C1133" s="44"/>
      <c r="D1133" s="45">
        <f t="shared" si="86"/>
        <v>0</v>
      </c>
      <c r="EH1133" s="313">
        <v>1130</v>
      </c>
      <c r="EI1133" s="314">
        <v>13.447800000000001</v>
      </c>
      <c r="EJ1133" s="247">
        <f t="shared" si="87"/>
        <v>1</v>
      </c>
      <c r="EK1133">
        <f t="shared" si="88"/>
        <v>1.3722244897959184</v>
      </c>
    </row>
    <row r="1134" spans="2:141" x14ac:dyDescent="0.25">
      <c r="B1134" s="43">
        <v>1131</v>
      </c>
      <c r="C1134" s="44"/>
      <c r="D1134" s="45">
        <f t="shared" si="86"/>
        <v>0</v>
      </c>
      <c r="EH1134" s="313">
        <v>1131</v>
      </c>
      <c r="EI1134" s="314"/>
      <c r="EJ1134" s="247" t="str">
        <f t="shared" si="87"/>
        <v/>
      </c>
      <c r="EK1134" t="str">
        <f t="shared" si="88"/>
        <v/>
      </c>
    </row>
    <row r="1135" spans="2:141" x14ac:dyDescent="0.25">
      <c r="B1135" s="43">
        <v>1132</v>
      </c>
      <c r="C1135" s="44"/>
      <c r="D1135" s="45">
        <f t="shared" si="86"/>
        <v>0</v>
      </c>
      <c r="EH1135" s="313">
        <v>1132</v>
      </c>
      <c r="EI1135" s="314"/>
      <c r="EJ1135" s="247" t="str">
        <f t="shared" si="87"/>
        <v/>
      </c>
      <c r="EK1135" t="str">
        <f t="shared" si="88"/>
        <v/>
      </c>
    </row>
    <row r="1136" spans="2:141" x14ac:dyDescent="0.25">
      <c r="B1136" s="43">
        <v>1133</v>
      </c>
      <c r="C1136" s="44"/>
      <c r="D1136" s="45">
        <f t="shared" si="86"/>
        <v>0</v>
      </c>
      <c r="EH1136" s="313">
        <v>1133</v>
      </c>
      <c r="EI1136" s="314"/>
      <c r="EJ1136" s="247" t="str">
        <f t="shared" si="87"/>
        <v/>
      </c>
      <c r="EK1136" t="str">
        <f t="shared" si="88"/>
        <v/>
      </c>
    </row>
    <row r="1137" spans="2:141" x14ac:dyDescent="0.25">
      <c r="B1137" s="43">
        <v>1134</v>
      </c>
      <c r="C1137" s="44"/>
      <c r="D1137" s="45">
        <f t="shared" si="86"/>
        <v>0</v>
      </c>
      <c r="EH1137" s="313">
        <v>1134</v>
      </c>
      <c r="EI1137" s="314"/>
      <c r="EJ1137" s="247" t="str">
        <f t="shared" si="87"/>
        <v/>
      </c>
      <c r="EK1137" t="str">
        <f t="shared" si="88"/>
        <v/>
      </c>
    </row>
    <row r="1138" spans="2:141" x14ac:dyDescent="0.25">
      <c r="B1138" s="43">
        <v>1135</v>
      </c>
      <c r="C1138" s="44"/>
      <c r="D1138" s="45">
        <f t="shared" si="86"/>
        <v>0</v>
      </c>
      <c r="EH1138" s="313">
        <v>1135</v>
      </c>
      <c r="EI1138" s="314"/>
      <c r="EJ1138" s="247" t="str">
        <f t="shared" si="87"/>
        <v/>
      </c>
      <c r="EK1138" t="str">
        <f t="shared" si="88"/>
        <v/>
      </c>
    </row>
    <row r="1139" spans="2:141" x14ac:dyDescent="0.25">
      <c r="B1139" s="43">
        <v>1136</v>
      </c>
      <c r="C1139" s="44"/>
      <c r="D1139" s="45">
        <f t="shared" si="86"/>
        <v>0</v>
      </c>
      <c r="EH1139" s="313">
        <v>1136</v>
      </c>
      <c r="EI1139" s="314"/>
      <c r="EJ1139" s="247" t="str">
        <f t="shared" si="87"/>
        <v/>
      </c>
      <c r="EK1139" t="str">
        <f t="shared" si="88"/>
        <v/>
      </c>
    </row>
    <row r="1140" spans="2:141" x14ac:dyDescent="0.25">
      <c r="B1140" s="43">
        <v>1137</v>
      </c>
      <c r="C1140" s="44"/>
      <c r="D1140" s="45">
        <f t="shared" si="86"/>
        <v>0</v>
      </c>
      <c r="EH1140" s="313">
        <v>1137</v>
      </c>
      <c r="EI1140" s="314"/>
      <c r="EJ1140" s="247" t="str">
        <f t="shared" si="87"/>
        <v/>
      </c>
      <c r="EK1140" t="str">
        <f t="shared" si="88"/>
        <v/>
      </c>
    </row>
    <row r="1141" spans="2:141" x14ac:dyDescent="0.25">
      <c r="B1141" s="43">
        <v>1138</v>
      </c>
      <c r="C1141" s="44"/>
      <c r="D1141" s="45">
        <f t="shared" si="86"/>
        <v>0</v>
      </c>
      <c r="EH1141" s="313">
        <v>1138</v>
      </c>
      <c r="EI1141" s="314"/>
      <c r="EJ1141" s="247" t="str">
        <f t="shared" si="87"/>
        <v/>
      </c>
      <c r="EK1141" t="str">
        <f t="shared" si="88"/>
        <v/>
      </c>
    </row>
    <row r="1142" spans="2:141" x14ac:dyDescent="0.25">
      <c r="B1142" s="43">
        <v>1139</v>
      </c>
      <c r="C1142" s="44"/>
      <c r="D1142" s="45">
        <f t="shared" si="86"/>
        <v>0</v>
      </c>
      <c r="EH1142" s="313">
        <v>1139</v>
      </c>
      <c r="EI1142" s="314"/>
      <c r="EJ1142" s="247" t="str">
        <f t="shared" si="87"/>
        <v/>
      </c>
      <c r="EK1142" t="str">
        <f t="shared" si="88"/>
        <v/>
      </c>
    </row>
    <row r="1143" spans="2:141" x14ac:dyDescent="0.25">
      <c r="B1143" s="43">
        <v>1140</v>
      </c>
      <c r="C1143" s="44"/>
      <c r="D1143" s="45">
        <f t="shared" si="86"/>
        <v>0</v>
      </c>
      <c r="EH1143" s="313">
        <v>1140</v>
      </c>
      <c r="EI1143" s="314">
        <v>13.5663</v>
      </c>
      <c r="EJ1143" s="247">
        <f t="shared" si="87"/>
        <v>1</v>
      </c>
      <c r="EK1143">
        <f t="shared" si="88"/>
        <v>1.3843163265306122</v>
      </c>
    </row>
    <row r="1144" spans="2:141" x14ac:dyDescent="0.25">
      <c r="B1144" s="43">
        <v>1141</v>
      </c>
      <c r="C1144" s="44"/>
      <c r="D1144" s="45">
        <f t="shared" si="86"/>
        <v>0</v>
      </c>
      <c r="EH1144" s="313">
        <v>1141</v>
      </c>
      <c r="EI1144" s="314"/>
      <c r="EJ1144" s="247" t="str">
        <f t="shared" si="87"/>
        <v/>
      </c>
      <c r="EK1144" t="str">
        <f t="shared" si="88"/>
        <v/>
      </c>
    </row>
    <row r="1145" spans="2:141" x14ac:dyDescent="0.25">
      <c r="B1145" s="43">
        <v>1142</v>
      </c>
      <c r="C1145" s="44"/>
      <c r="D1145" s="45">
        <f t="shared" si="86"/>
        <v>0</v>
      </c>
      <c r="EH1145" s="313">
        <v>1142</v>
      </c>
      <c r="EI1145" s="314"/>
      <c r="EJ1145" s="247" t="str">
        <f t="shared" si="87"/>
        <v/>
      </c>
      <c r="EK1145" t="str">
        <f t="shared" si="88"/>
        <v/>
      </c>
    </row>
    <row r="1146" spans="2:141" x14ac:dyDescent="0.25">
      <c r="B1146" s="43">
        <v>1143</v>
      </c>
      <c r="C1146" s="44"/>
      <c r="D1146" s="45">
        <f t="shared" si="86"/>
        <v>0</v>
      </c>
      <c r="EH1146" s="313">
        <v>1143</v>
      </c>
      <c r="EI1146" s="314"/>
      <c r="EJ1146" s="247" t="str">
        <f t="shared" si="87"/>
        <v/>
      </c>
      <c r="EK1146" t="str">
        <f t="shared" si="88"/>
        <v/>
      </c>
    </row>
    <row r="1147" spans="2:141" x14ac:dyDescent="0.25">
      <c r="B1147" s="43">
        <v>1144</v>
      </c>
      <c r="C1147" s="44"/>
      <c r="D1147" s="45">
        <f t="shared" si="86"/>
        <v>0</v>
      </c>
      <c r="EH1147" s="313">
        <v>1144</v>
      </c>
      <c r="EI1147" s="314"/>
      <c r="EJ1147" s="247" t="str">
        <f t="shared" si="87"/>
        <v/>
      </c>
      <c r="EK1147" t="str">
        <f t="shared" si="88"/>
        <v/>
      </c>
    </row>
    <row r="1148" spans="2:141" x14ac:dyDescent="0.25">
      <c r="B1148" s="43">
        <v>1145</v>
      </c>
      <c r="C1148" s="44"/>
      <c r="D1148" s="45">
        <f t="shared" si="86"/>
        <v>0</v>
      </c>
      <c r="EH1148" s="313">
        <v>1145</v>
      </c>
      <c r="EI1148" s="314"/>
      <c r="EJ1148" s="247" t="str">
        <f t="shared" si="87"/>
        <v/>
      </c>
      <c r="EK1148" t="str">
        <f t="shared" si="88"/>
        <v/>
      </c>
    </row>
    <row r="1149" spans="2:141" x14ac:dyDescent="0.25">
      <c r="B1149" s="43">
        <v>1146</v>
      </c>
      <c r="C1149" s="44"/>
      <c r="D1149" s="45">
        <f t="shared" si="86"/>
        <v>0</v>
      </c>
      <c r="EH1149" s="313">
        <v>1146</v>
      </c>
      <c r="EI1149" s="314"/>
      <c r="EJ1149" s="247" t="str">
        <f t="shared" si="87"/>
        <v/>
      </c>
      <c r="EK1149" t="str">
        <f t="shared" si="88"/>
        <v/>
      </c>
    </row>
    <row r="1150" spans="2:141" x14ac:dyDescent="0.25">
      <c r="B1150" s="43">
        <v>1147</v>
      </c>
      <c r="C1150" s="44"/>
      <c r="D1150" s="45">
        <f t="shared" si="86"/>
        <v>0</v>
      </c>
      <c r="EH1150" s="313">
        <v>1147</v>
      </c>
      <c r="EI1150" s="314"/>
      <c r="EJ1150" s="247" t="str">
        <f t="shared" si="87"/>
        <v/>
      </c>
      <c r="EK1150" t="str">
        <f t="shared" si="88"/>
        <v/>
      </c>
    </row>
    <row r="1151" spans="2:141" x14ac:dyDescent="0.25">
      <c r="B1151" s="43">
        <v>1148</v>
      </c>
      <c r="C1151" s="44"/>
      <c r="D1151" s="45">
        <f t="shared" si="86"/>
        <v>0</v>
      </c>
      <c r="EH1151" s="313">
        <v>1148</v>
      </c>
      <c r="EI1151" s="314"/>
      <c r="EJ1151" s="247" t="str">
        <f t="shared" si="87"/>
        <v/>
      </c>
      <c r="EK1151" t="str">
        <f t="shared" si="88"/>
        <v/>
      </c>
    </row>
    <row r="1152" spans="2:141" x14ac:dyDescent="0.25">
      <c r="B1152" s="43">
        <v>1149</v>
      </c>
      <c r="C1152" s="44"/>
      <c r="D1152" s="45">
        <f t="shared" si="86"/>
        <v>0</v>
      </c>
      <c r="EH1152" s="313">
        <v>1149</v>
      </c>
      <c r="EI1152" s="314"/>
      <c r="EJ1152" s="247" t="str">
        <f t="shared" si="87"/>
        <v/>
      </c>
      <c r="EK1152" t="str">
        <f t="shared" si="88"/>
        <v/>
      </c>
    </row>
    <row r="1153" spans="2:141" x14ac:dyDescent="0.25">
      <c r="B1153" s="43">
        <v>1150</v>
      </c>
      <c r="C1153" s="44"/>
      <c r="D1153" s="45">
        <f t="shared" si="86"/>
        <v>0</v>
      </c>
      <c r="EH1153" s="313">
        <v>1150</v>
      </c>
      <c r="EI1153" s="314">
        <v>13.684799999999999</v>
      </c>
      <c r="EJ1153" s="247">
        <f t="shared" si="87"/>
        <v>1</v>
      </c>
      <c r="EK1153">
        <f t="shared" si="88"/>
        <v>1.396408163265306</v>
      </c>
    </row>
    <row r="1154" spans="2:141" x14ac:dyDescent="0.25">
      <c r="B1154" s="43">
        <v>1151</v>
      </c>
      <c r="C1154" s="44"/>
      <c r="D1154" s="45">
        <f t="shared" si="86"/>
        <v>0</v>
      </c>
      <c r="EH1154" s="313">
        <v>1151</v>
      </c>
      <c r="EI1154" s="314"/>
      <c r="EJ1154" s="247" t="str">
        <f t="shared" si="87"/>
        <v/>
      </c>
      <c r="EK1154" t="str">
        <f t="shared" si="88"/>
        <v/>
      </c>
    </row>
    <row r="1155" spans="2:141" x14ac:dyDescent="0.25">
      <c r="B1155" s="43">
        <v>1152</v>
      </c>
      <c r="C1155" s="44"/>
      <c r="D1155" s="45">
        <f t="shared" si="86"/>
        <v>0</v>
      </c>
      <c r="EH1155" s="313">
        <v>1152</v>
      </c>
      <c r="EI1155" s="314"/>
      <c r="EJ1155" s="247" t="str">
        <f t="shared" si="87"/>
        <v/>
      </c>
      <c r="EK1155" t="str">
        <f t="shared" si="88"/>
        <v/>
      </c>
    </row>
    <row r="1156" spans="2:141" x14ac:dyDescent="0.25">
      <c r="B1156" s="43">
        <v>1153</v>
      </c>
      <c r="C1156" s="44"/>
      <c r="D1156" s="45">
        <f t="shared" si="86"/>
        <v>0</v>
      </c>
      <c r="EH1156" s="313">
        <v>1153</v>
      </c>
      <c r="EI1156" s="314"/>
      <c r="EJ1156" s="247" t="str">
        <f t="shared" si="87"/>
        <v/>
      </c>
      <c r="EK1156" t="str">
        <f t="shared" si="88"/>
        <v/>
      </c>
    </row>
    <row r="1157" spans="2:141" x14ac:dyDescent="0.25">
      <c r="B1157" s="43">
        <v>1154</v>
      </c>
      <c r="C1157" s="44"/>
      <c r="D1157" s="45">
        <f t="shared" ref="D1157:D1220" si="89">C1157</f>
        <v>0</v>
      </c>
      <c r="EH1157" s="313">
        <v>1154</v>
      </c>
      <c r="EI1157" s="314"/>
      <c r="EJ1157" s="247" t="str">
        <f t="shared" ref="EJ1157:EJ1220" si="90">IF(EI1157="","",1)</f>
        <v/>
      </c>
      <c r="EK1157" t="str">
        <f t="shared" ref="EK1157:EK1220" si="91">IF(EI1157="","",EI1157/9.8)</f>
        <v/>
      </c>
    </row>
    <row r="1158" spans="2:141" x14ac:dyDescent="0.25">
      <c r="B1158" s="43">
        <v>1155</v>
      </c>
      <c r="C1158" s="44"/>
      <c r="D1158" s="45">
        <f t="shared" si="89"/>
        <v>0</v>
      </c>
      <c r="EH1158" s="313">
        <v>1155</v>
      </c>
      <c r="EI1158" s="314"/>
      <c r="EJ1158" s="247" t="str">
        <f t="shared" si="90"/>
        <v/>
      </c>
      <c r="EK1158" t="str">
        <f t="shared" si="91"/>
        <v/>
      </c>
    </row>
    <row r="1159" spans="2:141" x14ac:dyDescent="0.25">
      <c r="B1159" s="43">
        <v>1156</v>
      </c>
      <c r="C1159" s="44"/>
      <c r="D1159" s="45">
        <f t="shared" si="89"/>
        <v>0</v>
      </c>
      <c r="EH1159" s="313">
        <v>1156</v>
      </c>
      <c r="EI1159" s="314"/>
      <c r="EJ1159" s="247" t="str">
        <f t="shared" si="90"/>
        <v/>
      </c>
      <c r="EK1159" t="str">
        <f t="shared" si="91"/>
        <v/>
      </c>
    </row>
    <row r="1160" spans="2:141" x14ac:dyDescent="0.25">
      <c r="B1160" s="43">
        <v>1157</v>
      </c>
      <c r="C1160" s="44"/>
      <c r="D1160" s="45">
        <f t="shared" si="89"/>
        <v>0</v>
      </c>
      <c r="EH1160" s="313">
        <v>1157</v>
      </c>
      <c r="EI1160" s="314"/>
      <c r="EJ1160" s="247" t="str">
        <f t="shared" si="90"/>
        <v/>
      </c>
      <c r="EK1160" t="str">
        <f t="shared" si="91"/>
        <v/>
      </c>
    </row>
    <row r="1161" spans="2:141" x14ac:dyDescent="0.25">
      <c r="B1161" s="43">
        <v>1158</v>
      </c>
      <c r="C1161" s="44"/>
      <c r="D1161" s="45">
        <f t="shared" si="89"/>
        <v>0</v>
      </c>
      <c r="EH1161" s="313">
        <v>1158</v>
      </c>
      <c r="EI1161" s="314"/>
      <c r="EJ1161" s="247" t="str">
        <f t="shared" si="90"/>
        <v/>
      </c>
      <c r="EK1161" t="str">
        <f t="shared" si="91"/>
        <v/>
      </c>
    </row>
    <row r="1162" spans="2:141" x14ac:dyDescent="0.25">
      <c r="B1162" s="43">
        <v>1159</v>
      </c>
      <c r="C1162" s="44"/>
      <c r="D1162" s="45">
        <f t="shared" si="89"/>
        <v>0</v>
      </c>
      <c r="EH1162" s="313">
        <v>1159</v>
      </c>
      <c r="EI1162" s="314"/>
      <c r="EJ1162" s="247" t="str">
        <f t="shared" si="90"/>
        <v/>
      </c>
      <c r="EK1162" t="str">
        <f t="shared" si="91"/>
        <v/>
      </c>
    </row>
    <row r="1163" spans="2:141" x14ac:dyDescent="0.25">
      <c r="B1163" s="43">
        <v>1160</v>
      </c>
      <c r="C1163" s="44"/>
      <c r="D1163" s="45">
        <f t="shared" si="89"/>
        <v>0</v>
      </c>
      <c r="EH1163" s="313">
        <v>1160</v>
      </c>
      <c r="EI1163" s="314">
        <v>13.8033</v>
      </c>
      <c r="EJ1163" s="247">
        <f t="shared" si="90"/>
        <v>1</v>
      </c>
      <c r="EK1163">
        <f t="shared" si="91"/>
        <v>1.4084999999999999</v>
      </c>
    </row>
    <row r="1164" spans="2:141" x14ac:dyDescent="0.25">
      <c r="B1164" s="43">
        <v>1161</v>
      </c>
      <c r="C1164" s="44"/>
      <c r="D1164" s="45">
        <f t="shared" si="89"/>
        <v>0</v>
      </c>
      <c r="E1164" s="318"/>
      <c r="EH1164" s="313">
        <v>1161</v>
      </c>
      <c r="EI1164" s="314"/>
      <c r="EJ1164" s="247" t="str">
        <f t="shared" si="90"/>
        <v/>
      </c>
      <c r="EK1164" t="str">
        <f t="shared" si="91"/>
        <v/>
      </c>
    </row>
    <row r="1165" spans="2:141" x14ac:dyDescent="0.25">
      <c r="B1165" s="43">
        <v>1162</v>
      </c>
      <c r="C1165" s="44"/>
      <c r="D1165" s="45">
        <f t="shared" si="89"/>
        <v>0</v>
      </c>
      <c r="E1165" s="251"/>
      <c r="EH1165" s="313">
        <v>1162</v>
      </c>
      <c r="EI1165" s="314"/>
      <c r="EJ1165" s="247" t="str">
        <f t="shared" si="90"/>
        <v/>
      </c>
      <c r="EK1165" t="str">
        <f t="shared" si="91"/>
        <v/>
      </c>
    </row>
    <row r="1166" spans="2:141" x14ac:dyDescent="0.25">
      <c r="B1166" s="43">
        <v>1163</v>
      </c>
      <c r="C1166" s="44"/>
      <c r="D1166" s="45">
        <f t="shared" si="89"/>
        <v>0</v>
      </c>
      <c r="E1166" s="262"/>
      <c r="EH1166" s="313">
        <v>1163</v>
      </c>
      <c r="EI1166" s="314"/>
      <c r="EJ1166" s="247" t="str">
        <f t="shared" si="90"/>
        <v/>
      </c>
      <c r="EK1166" t="str">
        <f t="shared" si="91"/>
        <v/>
      </c>
    </row>
    <row r="1167" spans="2:141" x14ac:dyDescent="0.25">
      <c r="B1167" s="43">
        <v>1164</v>
      </c>
      <c r="C1167" s="44"/>
      <c r="D1167" s="45">
        <f t="shared" si="89"/>
        <v>0</v>
      </c>
      <c r="E1167" s="265"/>
      <c r="EH1167" s="313">
        <v>1164</v>
      </c>
      <c r="EI1167" s="314"/>
      <c r="EJ1167" s="247" t="str">
        <f t="shared" si="90"/>
        <v/>
      </c>
      <c r="EK1167" t="str">
        <f t="shared" si="91"/>
        <v/>
      </c>
    </row>
    <row r="1168" spans="2:141" x14ac:dyDescent="0.25">
      <c r="B1168" s="43">
        <v>1165</v>
      </c>
      <c r="C1168" s="44"/>
      <c r="D1168" s="45">
        <f t="shared" si="89"/>
        <v>0</v>
      </c>
      <c r="E1168" s="269"/>
      <c r="EH1168" s="313">
        <v>1165</v>
      </c>
      <c r="EI1168" s="314"/>
      <c r="EJ1168" s="247" t="str">
        <f t="shared" si="90"/>
        <v/>
      </c>
      <c r="EK1168" t="str">
        <f t="shared" si="91"/>
        <v/>
      </c>
    </row>
    <row r="1169" spans="2:141" x14ac:dyDescent="0.25">
      <c r="B1169" s="43">
        <v>1166</v>
      </c>
      <c r="C1169" s="44"/>
      <c r="D1169" s="45">
        <f t="shared" si="89"/>
        <v>0</v>
      </c>
      <c r="EH1169" s="313">
        <v>1166</v>
      </c>
      <c r="EI1169" s="314"/>
      <c r="EJ1169" s="247" t="str">
        <f t="shared" si="90"/>
        <v/>
      </c>
      <c r="EK1169" t="str">
        <f t="shared" si="91"/>
        <v/>
      </c>
    </row>
    <row r="1170" spans="2:141" x14ac:dyDescent="0.25">
      <c r="B1170" s="43">
        <v>1167</v>
      </c>
      <c r="C1170" s="44"/>
      <c r="D1170" s="45">
        <f t="shared" si="89"/>
        <v>0</v>
      </c>
      <c r="EH1170" s="313">
        <v>1167</v>
      </c>
      <c r="EI1170" s="314"/>
      <c r="EJ1170" s="247" t="str">
        <f t="shared" si="90"/>
        <v/>
      </c>
      <c r="EK1170" t="str">
        <f t="shared" si="91"/>
        <v/>
      </c>
    </row>
    <row r="1171" spans="2:141" x14ac:dyDescent="0.25">
      <c r="B1171" s="43">
        <v>1168</v>
      </c>
      <c r="C1171" s="44"/>
      <c r="D1171" s="45">
        <f t="shared" si="89"/>
        <v>0</v>
      </c>
      <c r="EH1171" s="313">
        <v>1168</v>
      </c>
      <c r="EI1171" s="314"/>
      <c r="EJ1171" s="247" t="str">
        <f t="shared" si="90"/>
        <v/>
      </c>
      <c r="EK1171" t="str">
        <f t="shared" si="91"/>
        <v/>
      </c>
    </row>
    <row r="1172" spans="2:141" x14ac:dyDescent="0.25">
      <c r="B1172" s="43">
        <v>1169</v>
      </c>
      <c r="C1172" s="44"/>
      <c r="D1172" s="45">
        <f t="shared" si="89"/>
        <v>0</v>
      </c>
      <c r="EH1172" s="313">
        <v>1169</v>
      </c>
      <c r="EI1172" s="314"/>
      <c r="EJ1172" s="247" t="str">
        <f t="shared" si="90"/>
        <v/>
      </c>
      <c r="EK1172" t="str">
        <f t="shared" si="91"/>
        <v/>
      </c>
    </row>
    <row r="1173" spans="2:141" x14ac:dyDescent="0.25">
      <c r="B1173" s="43">
        <v>1170</v>
      </c>
      <c r="C1173" s="44"/>
      <c r="D1173" s="45">
        <f t="shared" si="89"/>
        <v>0</v>
      </c>
      <c r="EH1173" s="313">
        <v>1170</v>
      </c>
      <c r="EI1173" s="314">
        <v>13.921799999999999</v>
      </c>
      <c r="EJ1173" s="247">
        <f t="shared" si="90"/>
        <v>1</v>
      </c>
      <c r="EK1173">
        <f t="shared" si="91"/>
        <v>1.4205918367346937</v>
      </c>
    </row>
    <row r="1174" spans="2:141" x14ac:dyDescent="0.25">
      <c r="B1174" s="43">
        <v>1171</v>
      </c>
      <c r="C1174" s="44"/>
      <c r="D1174" s="45">
        <f t="shared" si="89"/>
        <v>0</v>
      </c>
      <c r="EH1174" s="313">
        <v>1171</v>
      </c>
      <c r="EI1174" s="314"/>
      <c r="EJ1174" s="247" t="str">
        <f t="shared" si="90"/>
        <v/>
      </c>
      <c r="EK1174" t="str">
        <f t="shared" si="91"/>
        <v/>
      </c>
    </row>
    <row r="1175" spans="2:141" x14ac:dyDescent="0.25">
      <c r="B1175" s="43">
        <v>1172</v>
      </c>
      <c r="C1175" s="44"/>
      <c r="D1175" s="45">
        <f t="shared" si="89"/>
        <v>0</v>
      </c>
      <c r="EH1175" s="313">
        <v>1172</v>
      </c>
      <c r="EI1175" s="314"/>
      <c r="EJ1175" s="247" t="str">
        <f t="shared" si="90"/>
        <v/>
      </c>
      <c r="EK1175" t="str">
        <f t="shared" si="91"/>
        <v/>
      </c>
    </row>
    <row r="1176" spans="2:141" x14ac:dyDescent="0.25">
      <c r="B1176" s="43">
        <v>1173</v>
      </c>
      <c r="C1176" s="44"/>
      <c r="D1176" s="45">
        <f t="shared" si="89"/>
        <v>0</v>
      </c>
      <c r="EH1176" s="313">
        <v>1173</v>
      </c>
      <c r="EI1176" s="314"/>
      <c r="EJ1176" s="247" t="str">
        <f t="shared" si="90"/>
        <v/>
      </c>
      <c r="EK1176" t="str">
        <f t="shared" si="91"/>
        <v/>
      </c>
    </row>
    <row r="1177" spans="2:141" x14ac:dyDescent="0.25">
      <c r="B1177" s="43">
        <v>1174</v>
      </c>
      <c r="C1177" s="44"/>
      <c r="D1177" s="45">
        <f t="shared" si="89"/>
        <v>0</v>
      </c>
      <c r="EH1177" s="313">
        <v>1174</v>
      </c>
      <c r="EI1177" s="314"/>
      <c r="EJ1177" s="247" t="str">
        <f t="shared" si="90"/>
        <v/>
      </c>
      <c r="EK1177" t="str">
        <f t="shared" si="91"/>
        <v/>
      </c>
    </row>
    <row r="1178" spans="2:141" x14ac:dyDescent="0.25">
      <c r="B1178" s="43">
        <v>1175</v>
      </c>
      <c r="C1178" s="44"/>
      <c r="D1178" s="45">
        <f t="shared" si="89"/>
        <v>0</v>
      </c>
      <c r="EH1178" s="313">
        <v>1175</v>
      </c>
      <c r="EI1178" s="314"/>
      <c r="EJ1178" s="247" t="str">
        <f t="shared" si="90"/>
        <v/>
      </c>
      <c r="EK1178" t="str">
        <f t="shared" si="91"/>
        <v/>
      </c>
    </row>
    <row r="1179" spans="2:141" x14ac:dyDescent="0.25">
      <c r="B1179" s="43">
        <v>1176</v>
      </c>
      <c r="C1179" s="44"/>
      <c r="D1179" s="45">
        <f t="shared" si="89"/>
        <v>0</v>
      </c>
      <c r="EH1179" s="313">
        <v>1176</v>
      </c>
      <c r="EI1179" s="314"/>
      <c r="EJ1179" s="247" t="str">
        <f t="shared" si="90"/>
        <v/>
      </c>
      <c r="EK1179" t="str">
        <f t="shared" si="91"/>
        <v/>
      </c>
    </row>
    <row r="1180" spans="2:141" x14ac:dyDescent="0.25">
      <c r="B1180" s="43">
        <v>1177</v>
      </c>
      <c r="C1180" s="44"/>
      <c r="D1180" s="45">
        <f t="shared" si="89"/>
        <v>0</v>
      </c>
      <c r="EH1180" s="313">
        <v>1177</v>
      </c>
      <c r="EI1180" s="314"/>
      <c r="EJ1180" s="247" t="str">
        <f t="shared" si="90"/>
        <v/>
      </c>
      <c r="EK1180" t="str">
        <f t="shared" si="91"/>
        <v/>
      </c>
    </row>
    <row r="1181" spans="2:141" x14ac:dyDescent="0.25">
      <c r="B1181" s="43">
        <v>1178</v>
      </c>
      <c r="C1181" s="44"/>
      <c r="D1181" s="45">
        <f t="shared" si="89"/>
        <v>0</v>
      </c>
      <c r="EH1181" s="313">
        <v>1178</v>
      </c>
      <c r="EI1181" s="314"/>
      <c r="EJ1181" s="247" t="str">
        <f t="shared" si="90"/>
        <v/>
      </c>
      <c r="EK1181" t="str">
        <f t="shared" si="91"/>
        <v/>
      </c>
    </row>
    <row r="1182" spans="2:141" x14ac:dyDescent="0.25">
      <c r="B1182" s="43">
        <v>1179</v>
      </c>
      <c r="C1182" s="44"/>
      <c r="D1182" s="45">
        <f t="shared" si="89"/>
        <v>0</v>
      </c>
      <c r="EH1182" s="313">
        <v>1179</v>
      </c>
      <c r="EI1182" s="314"/>
      <c r="EJ1182" s="247" t="str">
        <f t="shared" si="90"/>
        <v/>
      </c>
      <c r="EK1182" t="str">
        <f t="shared" si="91"/>
        <v/>
      </c>
    </row>
    <row r="1183" spans="2:141" x14ac:dyDescent="0.25">
      <c r="B1183" s="43">
        <v>1180</v>
      </c>
      <c r="C1183" s="44"/>
      <c r="D1183" s="45">
        <f t="shared" si="89"/>
        <v>0</v>
      </c>
      <c r="EH1183" s="313">
        <v>1180</v>
      </c>
      <c r="EI1183" s="314">
        <v>14.0402</v>
      </c>
      <c r="EJ1183" s="247">
        <f t="shared" si="90"/>
        <v>1</v>
      </c>
      <c r="EK1183">
        <f t="shared" si="91"/>
        <v>1.432673469387755</v>
      </c>
    </row>
    <row r="1184" spans="2:141" x14ac:dyDescent="0.25">
      <c r="B1184" s="43">
        <v>1181</v>
      </c>
      <c r="C1184" s="44"/>
      <c r="D1184" s="45">
        <f t="shared" si="89"/>
        <v>0</v>
      </c>
      <c r="EH1184" s="313">
        <v>1181</v>
      </c>
      <c r="EI1184" s="314"/>
      <c r="EJ1184" s="247" t="str">
        <f t="shared" si="90"/>
        <v/>
      </c>
      <c r="EK1184" t="str">
        <f t="shared" si="91"/>
        <v/>
      </c>
    </row>
    <row r="1185" spans="2:141" x14ac:dyDescent="0.25">
      <c r="B1185" s="43">
        <v>1182</v>
      </c>
      <c r="C1185" s="44"/>
      <c r="D1185" s="45">
        <f t="shared" si="89"/>
        <v>0</v>
      </c>
      <c r="EH1185" s="313">
        <v>1182</v>
      </c>
      <c r="EI1185" s="314"/>
      <c r="EJ1185" s="247" t="str">
        <f t="shared" si="90"/>
        <v/>
      </c>
      <c r="EK1185" t="str">
        <f t="shared" si="91"/>
        <v/>
      </c>
    </row>
    <row r="1186" spans="2:141" x14ac:dyDescent="0.25">
      <c r="B1186" s="43">
        <v>1183</v>
      </c>
      <c r="C1186" s="44"/>
      <c r="D1186" s="45">
        <f t="shared" si="89"/>
        <v>0</v>
      </c>
      <c r="EH1186" s="313">
        <v>1183</v>
      </c>
      <c r="EI1186" s="314"/>
      <c r="EJ1186" s="247" t="str">
        <f t="shared" si="90"/>
        <v/>
      </c>
      <c r="EK1186" t="str">
        <f t="shared" si="91"/>
        <v/>
      </c>
    </row>
    <row r="1187" spans="2:141" x14ac:dyDescent="0.25">
      <c r="B1187" s="43">
        <v>1184</v>
      </c>
      <c r="C1187" s="44"/>
      <c r="D1187" s="45">
        <f t="shared" si="89"/>
        <v>0</v>
      </c>
      <c r="EH1187" s="313">
        <v>1184</v>
      </c>
      <c r="EI1187" s="314"/>
      <c r="EJ1187" s="247" t="str">
        <f t="shared" si="90"/>
        <v/>
      </c>
      <c r="EK1187" t="str">
        <f t="shared" si="91"/>
        <v/>
      </c>
    </row>
    <row r="1188" spans="2:141" x14ac:dyDescent="0.25">
      <c r="B1188" s="43">
        <v>1185</v>
      </c>
      <c r="C1188" s="44"/>
      <c r="D1188" s="45">
        <f t="shared" si="89"/>
        <v>0</v>
      </c>
      <c r="E1188" s="318"/>
      <c r="EH1188" s="313">
        <v>1185</v>
      </c>
      <c r="EI1188" s="314"/>
      <c r="EJ1188" s="247" t="str">
        <f t="shared" si="90"/>
        <v/>
      </c>
      <c r="EK1188" t="str">
        <f t="shared" si="91"/>
        <v/>
      </c>
    </row>
    <row r="1189" spans="2:141" x14ac:dyDescent="0.25">
      <c r="B1189" s="43">
        <v>1186</v>
      </c>
      <c r="C1189" s="44"/>
      <c r="D1189" s="45">
        <f t="shared" si="89"/>
        <v>0</v>
      </c>
      <c r="E1189" s="251"/>
      <c r="EH1189" s="313">
        <v>1186</v>
      </c>
      <c r="EI1189" s="314"/>
      <c r="EJ1189" s="247" t="str">
        <f t="shared" si="90"/>
        <v/>
      </c>
      <c r="EK1189" t="str">
        <f t="shared" si="91"/>
        <v/>
      </c>
    </row>
    <row r="1190" spans="2:141" x14ac:dyDescent="0.25">
      <c r="B1190" s="43">
        <v>1187</v>
      </c>
      <c r="C1190" s="44"/>
      <c r="D1190" s="45">
        <f t="shared" si="89"/>
        <v>0</v>
      </c>
      <c r="E1190" s="262"/>
      <c r="EH1190" s="313">
        <v>1187</v>
      </c>
      <c r="EI1190" s="314"/>
      <c r="EJ1190" s="247" t="str">
        <f t="shared" si="90"/>
        <v/>
      </c>
      <c r="EK1190" t="str">
        <f t="shared" si="91"/>
        <v/>
      </c>
    </row>
    <row r="1191" spans="2:141" x14ac:dyDescent="0.25">
      <c r="B1191" s="43">
        <v>1188</v>
      </c>
      <c r="C1191" s="44"/>
      <c r="D1191" s="45">
        <f t="shared" si="89"/>
        <v>0</v>
      </c>
      <c r="E1191" s="265"/>
      <c r="EH1191" s="313">
        <v>1188</v>
      </c>
      <c r="EI1191" s="314"/>
      <c r="EJ1191" s="247" t="str">
        <f t="shared" si="90"/>
        <v/>
      </c>
      <c r="EK1191" t="str">
        <f t="shared" si="91"/>
        <v/>
      </c>
    </row>
    <row r="1192" spans="2:141" x14ac:dyDescent="0.25">
      <c r="B1192" s="43">
        <v>1189</v>
      </c>
      <c r="C1192" s="44"/>
      <c r="D1192" s="45">
        <f t="shared" si="89"/>
        <v>0</v>
      </c>
      <c r="E1192" s="269"/>
      <c r="EH1192" s="313">
        <v>1189</v>
      </c>
      <c r="EI1192" s="314"/>
      <c r="EJ1192" s="247" t="str">
        <f t="shared" si="90"/>
        <v/>
      </c>
      <c r="EK1192" t="str">
        <f t="shared" si="91"/>
        <v/>
      </c>
    </row>
    <row r="1193" spans="2:141" x14ac:dyDescent="0.25">
      <c r="B1193" s="43">
        <v>1190</v>
      </c>
      <c r="C1193" s="44"/>
      <c r="D1193" s="45">
        <f t="shared" si="89"/>
        <v>0</v>
      </c>
      <c r="EH1193" s="313">
        <v>1190</v>
      </c>
      <c r="EI1193" s="314">
        <v>14.1587</v>
      </c>
      <c r="EJ1193" s="247">
        <f t="shared" si="90"/>
        <v>1</v>
      </c>
      <c r="EK1193">
        <f t="shared" si="91"/>
        <v>1.4447653061224488</v>
      </c>
    </row>
    <row r="1194" spans="2:141" x14ac:dyDescent="0.25">
      <c r="B1194" s="43">
        <v>1191</v>
      </c>
      <c r="C1194" s="44"/>
      <c r="D1194" s="45">
        <f t="shared" si="89"/>
        <v>0</v>
      </c>
      <c r="EH1194" s="313">
        <v>1191</v>
      </c>
      <c r="EI1194" s="314"/>
      <c r="EJ1194" s="247" t="str">
        <f t="shared" si="90"/>
        <v/>
      </c>
      <c r="EK1194" t="str">
        <f t="shared" si="91"/>
        <v/>
      </c>
    </row>
    <row r="1195" spans="2:141" x14ac:dyDescent="0.25">
      <c r="B1195" s="43">
        <v>1192</v>
      </c>
      <c r="C1195" s="44"/>
      <c r="D1195" s="45">
        <f t="shared" si="89"/>
        <v>0</v>
      </c>
      <c r="EH1195" s="313">
        <v>1192</v>
      </c>
      <c r="EI1195" s="314"/>
      <c r="EJ1195" s="247" t="str">
        <f t="shared" si="90"/>
        <v/>
      </c>
      <c r="EK1195" t="str">
        <f t="shared" si="91"/>
        <v/>
      </c>
    </row>
    <row r="1196" spans="2:141" x14ac:dyDescent="0.25">
      <c r="B1196" s="43">
        <v>1193</v>
      </c>
      <c r="C1196" s="44"/>
      <c r="D1196" s="45">
        <f t="shared" si="89"/>
        <v>0</v>
      </c>
      <c r="EH1196" s="313">
        <v>1193</v>
      </c>
      <c r="EI1196" s="314"/>
      <c r="EJ1196" s="247" t="str">
        <f t="shared" si="90"/>
        <v/>
      </c>
      <c r="EK1196" t="str">
        <f t="shared" si="91"/>
        <v/>
      </c>
    </row>
    <row r="1197" spans="2:141" x14ac:dyDescent="0.25">
      <c r="B1197" s="43">
        <v>1194</v>
      </c>
      <c r="C1197" s="44"/>
      <c r="D1197" s="45">
        <f t="shared" si="89"/>
        <v>0</v>
      </c>
      <c r="EH1197" s="313">
        <v>1194</v>
      </c>
      <c r="EI1197" s="314"/>
      <c r="EJ1197" s="247" t="str">
        <f t="shared" si="90"/>
        <v/>
      </c>
      <c r="EK1197" t="str">
        <f t="shared" si="91"/>
        <v/>
      </c>
    </row>
    <row r="1198" spans="2:141" x14ac:dyDescent="0.25">
      <c r="B1198" s="43">
        <v>1195</v>
      </c>
      <c r="C1198" s="44"/>
      <c r="D1198" s="45">
        <f t="shared" si="89"/>
        <v>0</v>
      </c>
      <c r="EH1198" s="313">
        <v>1195</v>
      </c>
      <c r="EI1198" s="314"/>
      <c r="EJ1198" s="247" t="str">
        <f t="shared" si="90"/>
        <v/>
      </c>
      <c r="EK1198" t="str">
        <f t="shared" si="91"/>
        <v/>
      </c>
    </row>
    <row r="1199" spans="2:141" x14ac:dyDescent="0.25">
      <c r="B1199" s="43">
        <v>1196</v>
      </c>
      <c r="C1199" s="44"/>
      <c r="D1199" s="45">
        <f t="shared" si="89"/>
        <v>0</v>
      </c>
      <c r="EH1199" s="313">
        <v>1196</v>
      </c>
      <c r="EI1199" s="314"/>
      <c r="EJ1199" s="247" t="str">
        <f t="shared" si="90"/>
        <v/>
      </c>
      <c r="EK1199" t="str">
        <f t="shared" si="91"/>
        <v/>
      </c>
    </row>
    <row r="1200" spans="2:141" x14ac:dyDescent="0.25">
      <c r="B1200" s="43">
        <v>1197</v>
      </c>
      <c r="C1200" s="44"/>
      <c r="D1200" s="45">
        <f t="shared" si="89"/>
        <v>0</v>
      </c>
      <c r="EH1200" s="313">
        <v>1197</v>
      </c>
      <c r="EI1200" s="314"/>
      <c r="EJ1200" s="247" t="str">
        <f t="shared" si="90"/>
        <v/>
      </c>
      <c r="EK1200" t="str">
        <f t="shared" si="91"/>
        <v/>
      </c>
    </row>
    <row r="1201" spans="2:141" x14ac:dyDescent="0.25">
      <c r="B1201" s="43">
        <v>1198</v>
      </c>
      <c r="C1201" s="44"/>
      <c r="D1201" s="45">
        <f t="shared" si="89"/>
        <v>0</v>
      </c>
      <c r="EH1201" s="313">
        <v>1198</v>
      </c>
      <c r="EI1201" s="314"/>
      <c r="EJ1201" s="247" t="str">
        <f t="shared" si="90"/>
        <v/>
      </c>
      <c r="EK1201" t="str">
        <f t="shared" si="91"/>
        <v/>
      </c>
    </row>
    <row r="1202" spans="2:141" x14ac:dyDescent="0.25">
      <c r="B1202" s="43">
        <v>1199</v>
      </c>
      <c r="C1202" s="44"/>
      <c r="D1202" s="45">
        <f t="shared" si="89"/>
        <v>0</v>
      </c>
      <c r="EH1202" s="313">
        <v>1199</v>
      </c>
      <c r="EI1202" s="314"/>
      <c r="EJ1202" s="247" t="str">
        <f t="shared" si="90"/>
        <v/>
      </c>
      <c r="EK1202" t="str">
        <f t="shared" si="91"/>
        <v/>
      </c>
    </row>
    <row r="1203" spans="2:141" x14ac:dyDescent="0.25">
      <c r="B1203" s="43">
        <v>1200</v>
      </c>
      <c r="C1203" s="44"/>
      <c r="D1203" s="45">
        <f t="shared" si="89"/>
        <v>0</v>
      </c>
      <c r="EH1203" s="313">
        <v>1200</v>
      </c>
      <c r="EI1203" s="314">
        <v>14.277200000000001</v>
      </c>
      <c r="EJ1203" s="247">
        <f t="shared" si="90"/>
        <v>1</v>
      </c>
      <c r="EK1203">
        <f t="shared" si="91"/>
        <v>1.4568571428571429</v>
      </c>
    </row>
    <row r="1204" spans="2:141" x14ac:dyDescent="0.25">
      <c r="B1204" s="43">
        <v>1201</v>
      </c>
      <c r="C1204" s="44"/>
      <c r="D1204" s="45">
        <f t="shared" si="89"/>
        <v>0</v>
      </c>
      <c r="EH1204" s="313">
        <v>1201</v>
      </c>
      <c r="EI1204" s="314"/>
      <c r="EJ1204" s="247" t="str">
        <f t="shared" si="90"/>
        <v/>
      </c>
      <c r="EK1204" t="str">
        <f t="shared" si="91"/>
        <v/>
      </c>
    </row>
    <row r="1205" spans="2:141" x14ac:dyDescent="0.25">
      <c r="B1205" s="43">
        <v>1202</v>
      </c>
      <c r="C1205" s="44"/>
      <c r="D1205" s="45">
        <f t="shared" si="89"/>
        <v>0</v>
      </c>
      <c r="EH1205" s="313">
        <v>1202</v>
      </c>
      <c r="EI1205" s="314"/>
      <c r="EJ1205" s="247" t="str">
        <f t="shared" si="90"/>
        <v/>
      </c>
      <c r="EK1205" t="str">
        <f t="shared" si="91"/>
        <v/>
      </c>
    </row>
    <row r="1206" spans="2:141" x14ac:dyDescent="0.25">
      <c r="B1206" s="43">
        <v>1203</v>
      </c>
      <c r="C1206" s="44"/>
      <c r="D1206" s="45">
        <f t="shared" si="89"/>
        <v>0</v>
      </c>
      <c r="EH1206" s="313">
        <v>1203</v>
      </c>
      <c r="EI1206" s="314"/>
      <c r="EJ1206" s="247" t="str">
        <f t="shared" si="90"/>
        <v/>
      </c>
      <c r="EK1206" t="str">
        <f t="shared" si="91"/>
        <v/>
      </c>
    </row>
    <row r="1207" spans="2:141" x14ac:dyDescent="0.25">
      <c r="B1207" s="43">
        <v>1204</v>
      </c>
      <c r="C1207" s="44"/>
      <c r="D1207" s="45">
        <f t="shared" si="89"/>
        <v>0</v>
      </c>
      <c r="EH1207" s="313">
        <v>1204</v>
      </c>
      <c r="EI1207" s="314"/>
      <c r="EJ1207" s="247" t="str">
        <f t="shared" si="90"/>
        <v/>
      </c>
      <c r="EK1207" t="str">
        <f t="shared" si="91"/>
        <v/>
      </c>
    </row>
    <row r="1208" spans="2:141" x14ac:dyDescent="0.25">
      <c r="B1208" s="43">
        <v>1205</v>
      </c>
      <c r="C1208" s="44"/>
      <c r="D1208" s="45">
        <f t="shared" si="89"/>
        <v>0</v>
      </c>
      <c r="EH1208" s="313">
        <v>1205</v>
      </c>
      <c r="EI1208" s="314"/>
      <c r="EJ1208" s="247" t="str">
        <f t="shared" si="90"/>
        <v/>
      </c>
      <c r="EK1208" t="str">
        <f t="shared" si="91"/>
        <v/>
      </c>
    </row>
    <row r="1209" spans="2:141" x14ac:dyDescent="0.25">
      <c r="B1209" s="43">
        <v>1206</v>
      </c>
      <c r="C1209" s="44"/>
      <c r="D1209" s="45">
        <f t="shared" si="89"/>
        <v>0</v>
      </c>
      <c r="EH1209" s="313">
        <v>1206</v>
      </c>
      <c r="EI1209" s="314"/>
      <c r="EJ1209" s="247" t="str">
        <f t="shared" si="90"/>
        <v/>
      </c>
      <c r="EK1209" t="str">
        <f t="shared" si="91"/>
        <v/>
      </c>
    </row>
    <row r="1210" spans="2:141" x14ac:dyDescent="0.25">
      <c r="B1210" s="43">
        <v>1207</v>
      </c>
      <c r="C1210" s="44"/>
      <c r="D1210" s="45">
        <f t="shared" si="89"/>
        <v>0</v>
      </c>
      <c r="EH1210" s="313">
        <v>1207</v>
      </c>
      <c r="EI1210" s="314"/>
      <c r="EJ1210" s="247" t="str">
        <f t="shared" si="90"/>
        <v/>
      </c>
      <c r="EK1210" t="str">
        <f t="shared" si="91"/>
        <v/>
      </c>
    </row>
    <row r="1211" spans="2:141" x14ac:dyDescent="0.25">
      <c r="B1211" s="43">
        <v>1208</v>
      </c>
      <c r="C1211" s="44"/>
      <c r="D1211" s="45">
        <f t="shared" si="89"/>
        <v>0</v>
      </c>
      <c r="EH1211" s="313">
        <v>1208</v>
      </c>
      <c r="EI1211" s="314"/>
      <c r="EJ1211" s="247" t="str">
        <f t="shared" si="90"/>
        <v/>
      </c>
      <c r="EK1211" t="str">
        <f t="shared" si="91"/>
        <v/>
      </c>
    </row>
    <row r="1212" spans="2:141" x14ac:dyDescent="0.25">
      <c r="B1212" s="43">
        <v>1209</v>
      </c>
      <c r="C1212" s="44"/>
      <c r="D1212" s="45">
        <f t="shared" si="89"/>
        <v>0</v>
      </c>
      <c r="E1212" s="318"/>
      <c r="EH1212" s="313">
        <v>1209</v>
      </c>
      <c r="EI1212" s="314"/>
      <c r="EJ1212" s="247" t="str">
        <f t="shared" si="90"/>
        <v/>
      </c>
      <c r="EK1212" t="str">
        <f t="shared" si="91"/>
        <v/>
      </c>
    </row>
    <row r="1213" spans="2:141" x14ac:dyDescent="0.25">
      <c r="B1213" s="43">
        <v>1210</v>
      </c>
      <c r="C1213" s="44"/>
      <c r="D1213" s="45">
        <f t="shared" si="89"/>
        <v>0</v>
      </c>
      <c r="E1213" s="251"/>
      <c r="EH1213" s="313">
        <v>1210</v>
      </c>
      <c r="EI1213" s="314">
        <v>14.3957</v>
      </c>
      <c r="EJ1213" s="247">
        <f t="shared" si="90"/>
        <v>1</v>
      </c>
      <c r="EK1213">
        <f t="shared" si="91"/>
        <v>1.4689489795918367</v>
      </c>
    </row>
    <row r="1214" spans="2:141" x14ac:dyDescent="0.25">
      <c r="B1214" s="43">
        <v>1211</v>
      </c>
      <c r="C1214" s="44"/>
      <c r="D1214" s="45">
        <f t="shared" si="89"/>
        <v>0</v>
      </c>
      <c r="E1214" s="262"/>
      <c r="EH1214" s="313">
        <v>1211</v>
      </c>
      <c r="EI1214" s="314"/>
      <c r="EJ1214" s="247" t="str">
        <f t="shared" si="90"/>
        <v/>
      </c>
      <c r="EK1214" t="str">
        <f t="shared" si="91"/>
        <v/>
      </c>
    </row>
    <row r="1215" spans="2:141" x14ac:dyDescent="0.25">
      <c r="B1215" s="43">
        <v>1212</v>
      </c>
      <c r="C1215" s="44"/>
      <c r="D1215" s="45">
        <f t="shared" si="89"/>
        <v>0</v>
      </c>
      <c r="E1215" s="265"/>
      <c r="EH1215" s="313">
        <v>1212</v>
      </c>
      <c r="EI1215" s="314"/>
      <c r="EJ1215" s="247" t="str">
        <f t="shared" si="90"/>
        <v/>
      </c>
      <c r="EK1215" t="str">
        <f t="shared" si="91"/>
        <v/>
      </c>
    </row>
    <row r="1216" spans="2:141" x14ac:dyDescent="0.25">
      <c r="B1216" s="43">
        <v>1213</v>
      </c>
      <c r="C1216" s="44"/>
      <c r="D1216" s="45">
        <f t="shared" si="89"/>
        <v>0</v>
      </c>
      <c r="E1216" s="269"/>
      <c r="EH1216" s="313">
        <v>1213</v>
      </c>
      <c r="EI1216" s="314"/>
      <c r="EJ1216" s="247" t="str">
        <f t="shared" si="90"/>
        <v/>
      </c>
      <c r="EK1216" t="str">
        <f t="shared" si="91"/>
        <v/>
      </c>
    </row>
    <row r="1217" spans="2:141" x14ac:dyDescent="0.25">
      <c r="B1217" s="43">
        <v>1214</v>
      </c>
      <c r="C1217" s="44"/>
      <c r="D1217" s="45">
        <f t="shared" si="89"/>
        <v>0</v>
      </c>
      <c r="EH1217" s="313">
        <v>1214</v>
      </c>
      <c r="EI1217" s="314"/>
      <c r="EJ1217" s="247" t="str">
        <f t="shared" si="90"/>
        <v/>
      </c>
      <c r="EK1217" t="str">
        <f t="shared" si="91"/>
        <v/>
      </c>
    </row>
    <row r="1218" spans="2:141" x14ac:dyDescent="0.25">
      <c r="B1218" s="43">
        <v>1215</v>
      </c>
      <c r="C1218" s="44"/>
      <c r="D1218" s="45">
        <f t="shared" si="89"/>
        <v>0</v>
      </c>
      <c r="EH1218" s="313">
        <v>1215</v>
      </c>
      <c r="EI1218" s="314"/>
      <c r="EJ1218" s="247" t="str">
        <f t="shared" si="90"/>
        <v/>
      </c>
      <c r="EK1218" t="str">
        <f t="shared" si="91"/>
        <v/>
      </c>
    </row>
    <row r="1219" spans="2:141" x14ac:dyDescent="0.25">
      <c r="B1219" s="43">
        <v>1216</v>
      </c>
      <c r="C1219" s="44"/>
      <c r="D1219" s="45">
        <f t="shared" si="89"/>
        <v>0</v>
      </c>
      <c r="EH1219" s="313">
        <v>1216</v>
      </c>
      <c r="EI1219" s="314"/>
      <c r="EJ1219" s="247" t="str">
        <f t="shared" si="90"/>
        <v/>
      </c>
      <c r="EK1219" t="str">
        <f t="shared" si="91"/>
        <v/>
      </c>
    </row>
    <row r="1220" spans="2:141" x14ac:dyDescent="0.25">
      <c r="B1220" s="43">
        <v>1217</v>
      </c>
      <c r="C1220" s="44"/>
      <c r="D1220" s="45">
        <f t="shared" si="89"/>
        <v>0</v>
      </c>
      <c r="EH1220" s="313">
        <v>1217</v>
      </c>
      <c r="EI1220" s="314"/>
      <c r="EJ1220" s="247" t="str">
        <f t="shared" si="90"/>
        <v/>
      </c>
      <c r="EK1220" t="str">
        <f t="shared" si="91"/>
        <v/>
      </c>
    </row>
    <row r="1221" spans="2:141" x14ac:dyDescent="0.25">
      <c r="B1221" s="43">
        <v>1218</v>
      </c>
      <c r="C1221" s="44"/>
      <c r="D1221" s="45">
        <f t="shared" ref="D1221:D1284" si="92">C1221</f>
        <v>0</v>
      </c>
      <c r="EH1221" s="313">
        <v>1218</v>
      </c>
      <c r="EI1221" s="314"/>
      <c r="EJ1221" s="247" t="str">
        <f t="shared" ref="EJ1221:EJ1284" si="93">IF(EI1221="","",1)</f>
        <v/>
      </c>
      <c r="EK1221" t="str">
        <f t="shared" ref="EK1221:EK1284" si="94">IF(EI1221="","",EI1221/9.8)</f>
        <v/>
      </c>
    </row>
    <row r="1222" spans="2:141" x14ac:dyDescent="0.25">
      <c r="B1222" s="43">
        <v>1219</v>
      </c>
      <c r="C1222" s="44"/>
      <c r="D1222" s="45">
        <f t="shared" si="92"/>
        <v>0</v>
      </c>
      <c r="EH1222" s="313">
        <v>1219</v>
      </c>
      <c r="EI1222" s="314"/>
      <c r="EJ1222" s="247" t="str">
        <f t="shared" si="93"/>
        <v/>
      </c>
      <c r="EK1222" t="str">
        <f t="shared" si="94"/>
        <v/>
      </c>
    </row>
    <row r="1223" spans="2:141" x14ac:dyDescent="0.25">
      <c r="B1223" s="43">
        <v>1220</v>
      </c>
      <c r="C1223" s="44"/>
      <c r="D1223" s="45">
        <f t="shared" si="92"/>
        <v>0</v>
      </c>
      <c r="EH1223" s="313">
        <v>1220</v>
      </c>
      <c r="EI1223" s="314">
        <v>14.514200000000001</v>
      </c>
      <c r="EJ1223" s="247">
        <f t="shared" si="93"/>
        <v>1</v>
      </c>
      <c r="EK1223">
        <f t="shared" si="94"/>
        <v>1.4810408163265305</v>
      </c>
    </row>
    <row r="1224" spans="2:141" x14ac:dyDescent="0.25">
      <c r="B1224" s="43">
        <v>1221</v>
      </c>
      <c r="C1224" s="44"/>
      <c r="D1224" s="45">
        <f t="shared" si="92"/>
        <v>0</v>
      </c>
      <c r="EH1224" s="313">
        <v>1221</v>
      </c>
      <c r="EI1224" s="314"/>
      <c r="EJ1224" s="247" t="str">
        <f t="shared" si="93"/>
        <v/>
      </c>
      <c r="EK1224" t="str">
        <f t="shared" si="94"/>
        <v/>
      </c>
    </row>
    <row r="1225" spans="2:141" x14ac:dyDescent="0.25">
      <c r="B1225" s="43">
        <v>1222</v>
      </c>
      <c r="C1225" s="44"/>
      <c r="D1225" s="45">
        <f t="shared" si="92"/>
        <v>0</v>
      </c>
      <c r="EH1225" s="313">
        <v>1222</v>
      </c>
      <c r="EI1225" s="314"/>
      <c r="EJ1225" s="247" t="str">
        <f t="shared" si="93"/>
        <v/>
      </c>
      <c r="EK1225" t="str">
        <f t="shared" si="94"/>
        <v/>
      </c>
    </row>
    <row r="1226" spans="2:141" x14ac:dyDescent="0.25">
      <c r="B1226" s="43">
        <v>1223</v>
      </c>
      <c r="C1226" s="44"/>
      <c r="D1226" s="45">
        <f t="shared" si="92"/>
        <v>0</v>
      </c>
      <c r="EH1226" s="313">
        <v>1223</v>
      </c>
      <c r="EI1226" s="314"/>
      <c r="EJ1226" s="247" t="str">
        <f t="shared" si="93"/>
        <v/>
      </c>
      <c r="EK1226" t="str">
        <f t="shared" si="94"/>
        <v/>
      </c>
    </row>
    <row r="1227" spans="2:141" x14ac:dyDescent="0.25">
      <c r="B1227" s="43">
        <v>1224</v>
      </c>
      <c r="C1227" s="44"/>
      <c r="D1227" s="45">
        <f t="shared" si="92"/>
        <v>0</v>
      </c>
      <c r="EH1227" s="313">
        <v>1224</v>
      </c>
      <c r="EI1227" s="314"/>
      <c r="EJ1227" s="247" t="str">
        <f t="shared" si="93"/>
        <v/>
      </c>
      <c r="EK1227" t="str">
        <f t="shared" si="94"/>
        <v/>
      </c>
    </row>
    <row r="1228" spans="2:141" x14ac:dyDescent="0.25">
      <c r="B1228" s="43">
        <v>1225</v>
      </c>
      <c r="C1228" s="44"/>
      <c r="D1228" s="45">
        <f t="shared" si="92"/>
        <v>0</v>
      </c>
      <c r="EH1228" s="313">
        <v>1225</v>
      </c>
      <c r="EI1228" s="314"/>
      <c r="EJ1228" s="247" t="str">
        <f t="shared" si="93"/>
        <v/>
      </c>
      <c r="EK1228" t="str">
        <f t="shared" si="94"/>
        <v/>
      </c>
    </row>
    <row r="1229" spans="2:141" x14ac:dyDescent="0.25">
      <c r="B1229" s="43">
        <v>1226</v>
      </c>
      <c r="C1229" s="44"/>
      <c r="D1229" s="45">
        <f t="shared" si="92"/>
        <v>0</v>
      </c>
      <c r="EH1229" s="313">
        <v>1226</v>
      </c>
      <c r="EI1229" s="314"/>
      <c r="EJ1229" s="247" t="str">
        <f t="shared" si="93"/>
        <v/>
      </c>
      <c r="EK1229" t="str">
        <f t="shared" si="94"/>
        <v/>
      </c>
    </row>
    <row r="1230" spans="2:141" x14ac:dyDescent="0.25">
      <c r="B1230" s="43">
        <v>1227</v>
      </c>
      <c r="C1230" s="44"/>
      <c r="D1230" s="45">
        <f t="shared" si="92"/>
        <v>0</v>
      </c>
      <c r="EH1230" s="313">
        <v>1227</v>
      </c>
      <c r="EI1230" s="314"/>
      <c r="EJ1230" s="247" t="str">
        <f t="shared" si="93"/>
        <v/>
      </c>
      <c r="EK1230" t="str">
        <f t="shared" si="94"/>
        <v/>
      </c>
    </row>
    <row r="1231" spans="2:141" x14ac:dyDescent="0.25">
      <c r="B1231" s="43">
        <v>1228</v>
      </c>
      <c r="C1231" s="44"/>
      <c r="D1231" s="45">
        <f t="shared" si="92"/>
        <v>0</v>
      </c>
      <c r="EH1231" s="313">
        <v>1228</v>
      </c>
      <c r="EI1231" s="314"/>
      <c r="EJ1231" s="247" t="str">
        <f t="shared" si="93"/>
        <v/>
      </c>
      <c r="EK1231" t="str">
        <f t="shared" si="94"/>
        <v/>
      </c>
    </row>
    <row r="1232" spans="2:141" x14ac:dyDescent="0.25">
      <c r="B1232" s="43">
        <v>1229</v>
      </c>
      <c r="C1232" s="44"/>
      <c r="D1232" s="45">
        <f t="shared" si="92"/>
        <v>0</v>
      </c>
      <c r="EH1232" s="313">
        <v>1229</v>
      </c>
      <c r="EI1232" s="314"/>
      <c r="EJ1232" s="247" t="str">
        <f t="shared" si="93"/>
        <v/>
      </c>
      <c r="EK1232" t="str">
        <f t="shared" si="94"/>
        <v/>
      </c>
    </row>
    <row r="1233" spans="2:141" x14ac:dyDescent="0.25">
      <c r="B1233" s="43">
        <v>1230</v>
      </c>
      <c r="C1233" s="44"/>
      <c r="D1233" s="45">
        <f t="shared" si="92"/>
        <v>0</v>
      </c>
      <c r="EH1233" s="313">
        <v>1230</v>
      </c>
      <c r="EI1233" s="314">
        <v>14.6327</v>
      </c>
      <c r="EJ1233" s="247">
        <f t="shared" si="93"/>
        <v>1</v>
      </c>
      <c r="EK1233">
        <f t="shared" si="94"/>
        <v>1.4931326530612243</v>
      </c>
    </row>
    <row r="1234" spans="2:141" x14ac:dyDescent="0.25">
      <c r="B1234" s="43">
        <v>1231</v>
      </c>
      <c r="C1234" s="44"/>
      <c r="D1234" s="45">
        <f t="shared" si="92"/>
        <v>0</v>
      </c>
      <c r="EH1234" s="313">
        <v>1231</v>
      </c>
      <c r="EI1234" s="314"/>
      <c r="EJ1234" s="247" t="str">
        <f t="shared" si="93"/>
        <v/>
      </c>
      <c r="EK1234" t="str">
        <f t="shared" si="94"/>
        <v/>
      </c>
    </row>
    <row r="1235" spans="2:141" x14ac:dyDescent="0.25">
      <c r="B1235" s="43">
        <v>1232</v>
      </c>
      <c r="C1235" s="44"/>
      <c r="D1235" s="45">
        <f t="shared" si="92"/>
        <v>0</v>
      </c>
      <c r="EH1235" s="313">
        <v>1232</v>
      </c>
      <c r="EI1235" s="314"/>
      <c r="EJ1235" s="247" t="str">
        <f t="shared" si="93"/>
        <v/>
      </c>
      <c r="EK1235" t="str">
        <f t="shared" si="94"/>
        <v/>
      </c>
    </row>
    <row r="1236" spans="2:141" x14ac:dyDescent="0.25">
      <c r="B1236" s="43">
        <v>1233</v>
      </c>
      <c r="C1236" s="44"/>
      <c r="D1236" s="45">
        <f t="shared" si="92"/>
        <v>0</v>
      </c>
      <c r="EH1236" s="313">
        <v>1233</v>
      </c>
      <c r="EI1236" s="314"/>
      <c r="EJ1236" s="247" t="str">
        <f t="shared" si="93"/>
        <v/>
      </c>
      <c r="EK1236" t="str">
        <f t="shared" si="94"/>
        <v/>
      </c>
    </row>
    <row r="1237" spans="2:141" x14ac:dyDescent="0.25">
      <c r="B1237" s="43">
        <v>1234</v>
      </c>
      <c r="C1237" s="44"/>
      <c r="D1237" s="45">
        <f t="shared" si="92"/>
        <v>0</v>
      </c>
      <c r="EH1237" s="313">
        <v>1234</v>
      </c>
      <c r="EI1237" s="314"/>
      <c r="EJ1237" s="247" t="str">
        <f t="shared" si="93"/>
        <v/>
      </c>
      <c r="EK1237" t="str">
        <f t="shared" si="94"/>
        <v/>
      </c>
    </row>
    <row r="1238" spans="2:141" x14ac:dyDescent="0.25">
      <c r="B1238" s="43">
        <v>1235</v>
      </c>
      <c r="C1238" s="44"/>
      <c r="D1238" s="45">
        <f t="shared" si="92"/>
        <v>0</v>
      </c>
      <c r="EH1238" s="313">
        <v>1235</v>
      </c>
      <c r="EI1238" s="314"/>
      <c r="EJ1238" s="247" t="str">
        <f t="shared" si="93"/>
        <v/>
      </c>
      <c r="EK1238" t="str">
        <f t="shared" si="94"/>
        <v/>
      </c>
    </row>
    <row r="1239" spans="2:141" x14ac:dyDescent="0.25">
      <c r="B1239" s="43">
        <v>1236</v>
      </c>
      <c r="C1239" s="44"/>
      <c r="D1239" s="45">
        <f t="shared" si="92"/>
        <v>0</v>
      </c>
      <c r="EH1239" s="313">
        <v>1236</v>
      </c>
      <c r="EI1239" s="314"/>
      <c r="EJ1239" s="247" t="str">
        <f t="shared" si="93"/>
        <v/>
      </c>
      <c r="EK1239" t="str">
        <f t="shared" si="94"/>
        <v/>
      </c>
    </row>
    <row r="1240" spans="2:141" x14ac:dyDescent="0.25">
      <c r="B1240" s="43">
        <v>1237</v>
      </c>
      <c r="C1240" s="44"/>
      <c r="D1240" s="45">
        <f t="shared" si="92"/>
        <v>0</v>
      </c>
      <c r="EH1240" s="313">
        <v>1237</v>
      </c>
      <c r="EI1240" s="314"/>
      <c r="EJ1240" s="247" t="str">
        <f t="shared" si="93"/>
        <v/>
      </c>
      <c r="EK1240" t="str">
        <f t="shared" si="94"/>
        <v/>
      </c>
    </row>
    <row r="1241" spans="2:141" x14ac:dyDescent="0.25">
      <c r="B1241" s="43">
        <v>1238</v>
      </c>
      <c r="C1241" s="44"/>
      <c r="D1241" s="45">
        <f t="shared" si="92"/>
        <v>0</v>
      </c>
      <c r="EH1241" s="313">
        <v>1238</v>
      </c>
      <c r="EI1241" s="314"/>
      <c r="EJ1241" s="247" t="str">
        <f t="shared" si="93"/>
        <v/>
      </c>
      <c r="EK1241" t="str">
        <f t="shared" si="94"/>
        <v/>
      </c>
    </row>
    <row r="1242" spans="2:141" x14ac:dyDescent="0.25">
      <c r="B1242" s="43">
        <v>1239</v>
      </c>
      <c r="C1242" s="44"/>
      <c r="D1242" s="45">
        <f t="shared" si="92"/>
        <v>0</v>
      </c>
      <c r="EH1242" s="313">
        <v>1239</v>
      </c>
      <c r="EI1242" s="314"/>
      <c r="EJ1242" s="247" t="str">
        <f t="shared" si="93"/>
        <v/>
      </c>
      <c r="EK1242" t="str">
        <f t="shared" si="94"/>
        <v/>
      </c>
    </row>
    <row r="1243" spans="2:141" x14ac:dyDescent="0.25">
      <c r="B1243" s="43">
        <v>1240</v>
      </c>
      <c r="C1243" s="44"/>
      <c r="D1243" s="45">
        <f t="shared" si="92"/>
        <v>0</v>
      </c>
      <c r="EH1243" s="313">
        <v>1240</v>
      </c>
      <c r="EI1243" s="314">
        <v>14.751099999999999</v>
      </c>
      <c r="EJ1243" s="247">
        <f t="shared" si="93"/>
        <v>1</v>
      </c>
      <c r="EK1243">
        <f t="shared" si="94"/>
        <v>1.5052142857142856</v>
      </c>
    </row>
    <row r="1244" spans="2:141" x14ac:dyDescent="0.25">
      <c r="B1244" s="43">
        <v>1241</v>
      </c>
      <c r="C1244" s="44"/>
      <c r="D1244" s="45">
        <f t="shared" si="92"/>
        <v>0</v>
      </c>
      <c r="EH1244" s="313">
        <v>1241</v>
      </c>
      <c r="EI1244" s="314"/>
      <c r="EJ1244" s="247" t="str">
        <f t="shared" si="93"/>
        <v/>
      </c>
      <c r="EK1244" t="str">
        <f t="shared" si="94"/>
        <v/>
      </c>
    </row>
    <row r="1245" spans="2:141" x14ac:dyDescent="0.25">
      <c r="B1245" s="43">
        <v>1242</v>
      </c>
      <c r="C1245" s="44"/>
      <c r="D1245" s="45">
        <f t="shared" si="92"/>
        <v>0</v>
      </c>
      <c r="EH1245" s="313">
        <v>1242</v>
      </c>
      <c r="EI1245" s="314"/>
      <c r="EJ1245" s="247" t="str">
        <f t="shared" si="93"/>
        <v/>
      </c>
      <c r="EK1245" t="str">
        <f t="shared" si="94"/>
        <v/>
      </c>
    </row>
    <row r="1246" spans="2:141" x14ac:dyDescent="0.25">
      <c r="B1246" s="43">
        <v>1243</v>
      </c>
      <c r="C1246" s="44"/>
      <c r="D1246" s="45">
        <f t="shared" si="92"/>
        <v>0</v>
      </c>
      <c r="EH1246" s="313">
        <v>1243</v>
      </c>
      <c r="EI1246" s="314"/>
      <c r="EJ1246" s="247" t="str">
        <f t="shared" si="93"/>
        <v/>
      </c>
      <c r="EK1246" t="str">
        <f t="shared" si="94"/>
        <v/>
      </c>
    </row>
    <row r="1247" spans="2:141" x14ac:dyDescent="0.25">
      <c r="B1247" s="43">
        <v>1244</v>
      </c>
      <c r="C1247" s="44"/>
      <c r="D1247" s="45">
        <f t="shared" si="92"/>
        <v>0</v>
      </c>
      <c r="EH1247" s="313">
        <v>1244</v>
      </c>
      <c r="EI1247" s="314"/>
      <c r="EJ1247" s="247" t="str">
        <f t="shared" si="93"/>
        <v/>
      </c>
      <c r="EK1247" t="str">
        <f t="shared" si="94"/>
        <v/>
      </c>
    </row>
    <row r="1248" spans="2:141" x14ac:dyDescent="0.25">
      <c r="B1248" s="43">
        <v>1245</v>
      </c>
      <c r="C1248" s="44"/>
      <c r="D1248" s="45">
        <f t="shared" si="92"/>
        <v>0</v>
      </c>
      <c r="EH1248" s="313">
        <v>1245</v>
      </c>
      <c r="EI1248" s="314"/>
      <c r="EJ1248" s="247" t="str">
        <f t="shared" si="93"/>
        <v/>
      </c>
      <c r="EK1248" t="str">
        <f t="shared" si="94"/>
        <v/>
      </c>
    </row>
    <row r="1249" spans="2:141" x14ac:dyDescent="0.25">
      <c r="B1249" s="43">
        <v>1246</v>
      </c>
      <c r="C1249" s="44"/>
      <c r="D1249" s="45">
        <f t="shared" si="92"/>
        <v>0</v>
      </c>
      <c r="EH1249" s="313">
        <v>1246</v>
      </c>
      <c r="EI1249" s="314"/>
      <c r="EJ1249" s="247" t="str">
        <f t="shared" si="93"/>
        <v/>
      </c>
      <c r="EK1249" t="str">
        <f t="shared" si="94"/>
        <v/>
      </c>
    </row>
    <row r="1250" spans="2:141" x14ac:dyDescent="0.25">
      <c r="B1250" s="43">
        <v>1247</v>
      </c>
      <c r="C1250" s="44"/>
      <c r="D1250" s="45">
        <f t="shared" si="92"/>
        <v>0</v>
      </c>
      <c r="EH1250" s="313">
        <v>1247</v>
      </c>
      <c r="EI1250" s="314"/>
      <c r="EJ1250" s="247" t="str">
        <f t="shared" si="93"/>
        <v/>
      </c>
      <c r="EK1250" t="str">
        <f t="shared" si="94"/>
        <v/>
      </c>
    </row>
    <row r="1251" spans="2:141" x14ac:dyDescent="0.25">
      <c r="B1251" s="43">
        <v>1248</v>
      </c>
      <c r="C1251" s="44"/>
      <c r="D1251" s="45">
        <f t="shared" si="92"/>
        <v>0</v>
      </c>
      <c r="EH1251" s="313">
        <v>1248</v>
      </c>
      <c r="EI1251" s="314"/>
      <c r="EJ1251" s="247" t="str">
        <f t="shared" si="93"/>
        <v/>
      </c>
      <c r="EK1251" t="str">
        <f t="shared" si="94"/>
        <v/>
      </c>
    </row>
    <row r="1252" spans="2:141" x14ac:dyDescent="0.25">
      <c r="B1252" s="43">
        <v>1249</v>
      </c>
      <c r="C1252" s="44"/>
      <c r="D1252" s="45">
        <f t="shared" si="92"/>
        <v>0</v>
      </c>
      <c r="EH1252" s="313">
        <v>1249</v>
      </c>
      <c r="EI1252" s="314"/>
      <c r="EJ1252" s="247" t="str">
        <f t="shared" si="93"/>
        <v/>
      </c>
      <c r="EK1252" t="str">
        <f t="shared" si="94"/>
        <v/>
      </c>
    </row>
    <row r="1253" spans="2:141" x14ac:dyDescent="0.25">
      <c r="B1253" s="43">
        <v>1250</v>
      </c>
      <c r="C1253" s="44"/>
      <c r="D1253" s="45">
        <f t="shared" si="92"/>
        <v>0</v>
      </c>
      <c r="EH1253" s="313">
        <v>1250</v>
      </c>
      <c r="EI1253" s="314">
        <v>14.8696</v>
      </c>
      <c r="EJ1253" s="247">
        <f t="shared" si="93"/>
        <v>1</v>
      </c>
      <c r="EK1253">
        <f t="shared" si="94"/>
        <v>1.5173061224489794</v>
      </c>
    </row>
    <row r="1254" spans="2:141" x14ac:dyDescent="0.25">
      <c r="B1254" s="43">
        <v>1251</v>
      </c>
      <c r="C1254" s="44"/>
      <c r="D1254" s="45">
        <f t="shared" si="92"/>
        <v>0</v>
      </c>
      <c r="EH1254" s="313">
        <v>1251</v>
      </c>
      <c r="EI1254" s="314"/>
      <c r="EJ1254" s="247" t="str">
        <f t="shared" si="93"/>
        <v/>
      </c>
      <c r="EK1254" t="str">
        <f t="shared" si="94"/>
        <v/>
      </c>
    </row>
    <row r="1255" spans="2:141" x14ac:dyDescent="0.25">
      <c r="B1255" s="43">
        <v>1252</v>
      </c>
      <c r="C1255" s="44"/>
      <c r="D1255" s="45">
        <f t="shared" si="92"/>
        <v>0</v>
      </c>
      <c r="EH1255" s="313">
        <v>1252</v>
      </c>
      <c r="EI1255" s="314"/>
      <c r="EJ1255" s="247" t="str">
        <f t="shared" si="93"/>
        <v/>
      </c>
      <c r="EK1255" t="str">
        <f t="shared" si="94"/>
        <v/>
      </c>
    </row>
    <row r="1256" spans="2:141" x14ac:dyDescent="0.25">
      <c r="B1256" s="43">
        <v>1253</v>
      </c>
      <c r="C1256" s="44"/>
      <c r="D1256" s="45">
        <f t="shared" si="92"/>
        <v>0</v>
      </c>
      <c r="EH1256" s="313">
        <v>1253</v>
      </c>
      <c r="EI1256" s="314"/>
      <c r="EJ1256" s="247" t="str">
        <f t="shared" si="93"/>
        <v/>
      </c>
      <c r="EK1256" t="str">
        <f t="shared" si="94"/>
        <v/>
      </c>
    </row>
    <row r="1257" spans="2:141" x14ac:dyDescent="0.25">
      <c r="B1257" s="43">
        <v>1254</v>
      </c>
      <c r="C1257" s="44"/>
      <c r="D1257" s="45">
        <f t="shared" si="92"/>
        <v>0</v>
      </c>
      <c r="EH1257" s="313">
        <v>1254</v>
      </c>
      <c r="EI1257" s="314"/>
      <c r="EJ1257" s="247" t="str">
        <f t="shared" si="93"/>
        <v/>
      </c>
      <c r="EK1257" t="str">
        <f t="shared" si="94"/>
        <v/>
      </c>
    </row>
    <row r="1258" spans="2:141" x14ac:dyDescent="0.25">
      <c r="B1258" s="43">
        <v>1255</v>
      </c>
      <c r="C1258" s="44"/>
      <c r="D1258" s="45">
        <f t="shared" si="92"/>
        <v>0</v>
      </c>
      <c r="EH1258" s="313">
        <v>1255</v>
      </c>
      <c r="EI1258" s="314"/>
      <c r="EJ1258" s="247" t="str">
        <f t="shared" si="93"/>
        <v/>
      </c>
      <c r="EK1258" t="str">
        <f t="shared" si="94"/>
        <v/>
      </c>
    </row>
    <row r="1259" spans="2:141" x14ac:dyDescent="0.25">
      <c r="B1259" s="43">
        <v>1256</v>
      </c>
      <c r="C1259" s="44"/>
      <c r="D1259" s="45">
        <f t="shared" si="92"/>
        <v>0</v>
      </c>
      <c r="EH1259" s="313">
        <v>1256</v>
      </c>
      <c r="EI1259" s="314"/>
      <c r="EJ1259" s="247" t="str">
        <f t="shared" si="93"/>
        <v/>
      </c>
      <c r="EK1259" t="str">
        <f t="shared" si="94"/>
        <v/>
      </c>
    </row>
    <row r="1260" spans="2:141" x14ac:dyDescent="0.25">
      <c r="B1260" s="43">
        <v>1257</v>
      </c>
      <c r="C1260" s="44"/>
      <c r="D1260" s="45">
        <f t="shared" si="92"/>
        <v>0</v>
      </c>
      <c r="EH1260" s="313">
        <v>1257</v>
      </c>
      <c r="EI1260" s="314"/>
      <c r="EJ1260" s="247" t="str">
        <f t="shared" si="93"/>
        <v/>
      </c>
      <c r="EK1260" t="str">
        <f t="shared" si="94"/>
        <v/>
      </c>
    </row>
    <row r="1261" spans="2:141" x14ac:dyDescent="0.25">
      <c r="B1261" s="43">
        <v>1258</v>
      </c>
      <c r="C1261" s="44"/>
      <c r="D1261" s="45">
        <f t="shared" si="92"/>
        <v>0</v>
      </c>
      <c r="EH1261" s="313">
        <v>1258</v>
      </c>
      <c r="EI1261" s="314"/>
      <c r="EJ1261" s="247" t="str">
        <f t="shared" si="93"/>
        <v/>
      </c>
      <c r="EK1261" t="str">
        <f t="shared" si="94"/>
        <v/>
      </c>
    </row>
    <row r="1262" spans="2:141" x14ac:dyDescent="0.25">
      <c r="B1262" s="43">
        <v>1259</v>
      </c>
      <c r="C1262" s="44"/>
      <c r="D1262" s="45">
        <f t="shared" si="92"/>
        <v>0</v>
      </c>
      <c r="EH1262" s="313">
        <v>1259</v>
      </c>
      <c r="EI1262" s="314"/>
      <c r="EJ1262" s="247" t="str">
        <f t="shared" si="93"/>
        <v/>
      </c>
      <c r="EK1262" t="str">
        <f t="shared" si="94"/>
        <v/>
      </c>
    </row>
    <row r="1263" spans="2:141" x14ac:dyDescent="0.25">
      <c r="B1263" s="43">
        <v>1260</v>
      </c>
      <c r="C1263" s="44"/>
      <c r="D1263" s="45">
        <f t="shared" si="92"/>
        <v>0</v>
      </c>
      <c r="EH1263" s="313">
        <v>1260</v>
      </c>
      <c r="EI1263" s="314">
        <v>14.988099999999999</v>
      </c>
      <c r="EJ1263" s="247">
        <f t="shared" si="93"/>
        <v>1</v>
      </c>
      <c r="EK1263">
        <f t="shared" si="94"/>
        <v>1.5293979591836733</v>
      </c>
    </row>
    <row r="1264" spans="2:141" x14ac:dyDescent="0.25">
      <c r="B1264" s="43">
        <v>1261</v>
      </c>
      <c r="C1264" s="44"/>
      <c r="D1264" s="45">
        <f t="shared" si="92"/>
        <v>0</v>
      </c>
      <c r="EH1264" s="313">
        <v>1261</v>
      </c>
      <c r="EI1264" s="314"/>
      <c r="EJ1264" s="247" t="str">
        <f t="shared" si="93"/>
        <v/>
      </c>
      <c r="EK1264" t="str">
        <f t="shared" si="94"/>
        <v/>
      </c>
    </row>
    <row r="1265" spans="2:141" x14ac:dyDescent="0.25">
      <c r="B1265" s="43">
        <v>1262</v>
      </c>
      <c r="C1265" s="44"/>
      <c r="D1265" s="45">
        <f t="shared" si="92"/>
        <v>0</v>
      </c>
      <c r="EH1265" s="313">
        <v>1262</v>
      </c>
      <c r="EI1265" s="314"/>
      <c r="EJ1265" s="247" t="str">
        <f t="shared" si="93"/>
        <v/>
      </c>
      <c r="EK1265" t="str">
        <f t="shared" si="94"/>
        <v/>
      </c>
    </row>
    <row r="1266" spans="2:141" x14ac:dyDescent="0.25">
      <c r="B1266" s="43">
        <v>1263</v>
      </c>
      <c r="C1266" s="44"/>
      <c r="D1266" s="45">
        <f t="shared" si="92"/>
        <v>0</v>
      </c>
      <c r="EH1266" s="313">
        <v>1263</v>
      </c>
      <c r="EI1266" s="314"/>
      <c r="EJ1266" s="247" t="str">
        <f t="shared" si="93"/>
        <v/>
      </c>
      <c r="EK1266" t="str">
        <f t="shared" si="94"/>
        <v/>
      </c>
    </row>
    <row r="1267" spans="2:141" x14ac:dyDescent="0.25">
      <c r="B1267" s="43">
        <v>1264</v>
      </c>
      <c r="C1267" s="44"/>
      <c r="D1267" s="45">
        <f t="shared" si="92"/>
        <v>0</v>
      </c>
      <c r="EH1267" s="313">
        <v>1264</v>
      </c>
      <c r="EI1267" s="314"/>
      <c r="EJ1267" s="247" t="str">
        <f t="shared" si="93"/>
        <v/>
      </c>
      <c r="EK1267" t="str">
        <f t="shared" si="94"/>
        <v/>
      </c>
    </row>
    <row r="1268" spans="2:141" x14ac:dyDescent="0.25">
      <c r="B1268" s="43">
        <v>1265</v>
      </c>
      <c r="C1268" s="44"/>
      <c r="D1268" s="45">
        <f t="shared" si="92"/>
        <v>0</v>
      </c>
      <c r="EH1268" s="313">
        <v>1265</v>
      </c>
      <c r="EI1268" s="314"/>
      <c r="EJ1268" s="247" t="str">
        <f t="shared" si="93"/>
        <v/>
      </c>
      <c r="EK1268" t="str">
        <f t="shared" si="94"/>
        <v/>
      </c>
    </row>
    <row r="1269" spans="2:141" x14ac:dyDescent="0.25">
      <c r="B1269" s="43">
        <v>1266</v>
      </c>
      <c r="C1269" s="44"/>
      <c r="D1269" s="45">
        <f t="shared" si="92"/>
        <v>0</v>
      </c>
      <c r="EH1269" s="313">
        <v>1266</v>
      </c>
      <c r="EI1269" s="314"/>
      <c r="EJ1269" s="247" t="str">
        <f t="shared" si="93"/>
        <v/>
      </c>
      <c r="EK1269" t="str">
        <f t="shared" si="94"/>
        <v/>
      </c>
    </row>
    <row r="1270" spans="2:141" x14ac:dyDescent="0.25">
      <c r="B1270" s="43">
        <v>1267</v>
      </c>
      <c r="C1270" s="44"/>
      <c r="D1270" s="45">
        <f t="shared" si="92"/>
        <v>0</v>
      </c>
      <c r="EH1270" s="313">
        <v>1267</v>
      </c>
      <c r="EI1270" s="314"/>
      <c r="EJ1270" s="247" t="str">
        <f t="shared" si="93"/>
        <v/>
      </c>
      <c r="EK1270" t="str">
        <f t="shared" si="94"/>
        <v/>
      </c>
    </row>
    <row r="1271" spans="2:141" x14ac:dyDescent="0.25">
      <c r="B1271" s="43">
        <v>1268</v>
      </c>
      <c r="C1271" s="44"/>
      <c r="D1271" s="45">
        <f t="shared" si="92"/>
        <v>0</v>
      </c>
      <c r="EH1271" s="313">
        <v>1268</v>
      </c>
      <c r="EI1271" s="314"/>
      <c r="EJ1271" s="247" t="str">
        <f t="shared" si="93"/>
        <v/>
      </c>
      <c r="EK1271" t="str">
        <f t="shared" si="94"/>
        <v/>
      </c>
    </row>
    <row r="1272" spans="2:141" x14ac:dyDescent="0.25">
      <c r="B1272" s="43">
        <v>1269</v>
      </c>
      <c r="C1272" s="44"/>
      <c r="D1272" s="45">
        <f t="shared" si="92"/>
        <v>0</v>
      </c>
      <c r="EH1272" s="313">
        <v>1269</v>
      </c>
      <c r="EI1272" s="314"/>
      <c r="EJ1272" s="247" t="str">
        <f t="shared" si="93"/>
        <v/>
      </c>
      <c r="EK1272" t="str">
        <f t="shared" si="94"/>
        <v/>
      </c>
    </row>
    <row r="1273" spans="2:141" x14ac:dyDescent="0.25">
      <c r="B1273" s="43">
        <v>1270</v>
      </c>
      <c r="C1273" s="44"/>
      <c r="D1273" s="45">
        <f t="shared" si="92"/>
        <v>0</v>
      </c>
      <c r="EH1273" s="313">
        <v>1270</v>
      </c>
      <c r="EI1273" s="314">
        <v>15.1051</v>
      </c>
      <c r="EJ1273" s="247">
        <f t="shared" si="93"/>
        <v>1</v>
      </c>
      <c r="EK1273">
        <f t="shared" si="94"/>
        <v>1.5413367346938776</v>
      </c>
    </row>
    <row r="1274" spans="2:141" x14ac:dyDescent="0.25">
      <c r="B1274" s="43">
        <v>1271</v>
      </c>
      <c r="C1274" s="44"/>
      <c r="D1274" s="45">
        <f t="shared" si="92"/>
        <v>0</v>
      </c>
      <c r="EH1274" s="313">
        <v>1271</v>
      </c>
      <c r="EI1274" s="314"/>
      <c r="EJ1274" s="247" t="str">
        <f t="shared" si="93"/>
        <v/>
      </c>
      <c r="EK1274" t="str">
        <f t="shared" si="94"/>
        <v/>
      </c>
    </row>
    <row r="1275" spans="2:141" x14ac:dyDescent="0.25">
      <c r="B1275" s="43">
        <v>1272</v>
      </c>
      <c r="C1275" s="44"/>
      <c r="D1275" s="45">
        <f t="shared" si="92"/>
        <v>0</v>
      </c>
      <c r="EH1275" s="313">
        <v>1272</v>
      </c>
      <c r="EI1275" s="314"/>
      <c r="EJ1275" s="247" t="str">
        <f t="shared" si="93"/>
        <v/>
      </c>
      <c r="EK1275" t="str">
        <f t="shared" si="94"/>
        <v/>
      </c>
    </row>
    <row r="1276" spans="2:141" x14ac:dyDescent="0.25">
      <c r="B1276" s="43">
        <v>1273</v>
      </c>
      <c r="C1276" s="44"/>
      <c r="D1276" s="45">
        <f t="shared" si="92"/>
        <v>0</v>
      </c>
      <c r="EH1276" s="313">
        <v>1273</v>
      </c>
      <c r="EI1276" s="314"/>
      <c r="EJ1276" s="247" t="str">
        <f t="shared" si="93"/>
        <v/>
      </c>
      <c r="EK1276" t="str">
        <f t="shared" si="94"/>
        <v/>
      </c>
    </row>
    <row r="1277" spans="2:141" x14ac:dyDescent="0.25">
      <c r="B1277" s="43">
        <v>1274</v>
      </c>
      <c r="C1277" s="44"/>
      <c r="D1277" s="45">
        <f t="shared" si="92"/>
        <v>0</v>
      </c>
      <c r="EH1277" s="313">
        <v>1274</v>
      </c>
      <c r="EI1277" s="314"/>
      <c r="EJ1277" s="247" t="str">
        <f t="shared" si="93"/>
        <v/>
      </c>
      <c r="EK1277" t="str">
        <f t="shared" si="94"/>
        <v/>
      </c>
    </row>
    <row r="1278" spans="2:141" x14ac:dyDescent="0.25">
      <c r="B1278" s="43">
        <v>1275</v>
      </c>
      <c r="C1278" s="44"/>
      <c r="D1278" s="45">
        <f t="shared" si="92"/>
        <v>0</v>
      </c>
      <c r="EH1278" s="313">
        <v>1275</v>
      </c>
      <c r="EI1278" s="314"/>
      <c r="EJ1278" s="247" t="str">
        <f t="shared" si="93"/>
        <v/>
      </c>
      <c r="EK1278" t="str">
        <f t="shared" si="94"/>
        <v/>
      </c>
    </row>
    <row r="1279" spans="2:141" x14ac:dyDescent="0.25">
      <c r="B1279" s="43">
        <v>1276</v>
      </c>
      <c r="C1279" s="44"/>
      <c r="D1279" s="45">
        <f t="shared" si="92"/>
        <v>0</v>
      </c>
      <c r="EH1279" s="313">
        <v>1276</v>
      </c>
      <c r="EI1279" s="314"/>
      <c r="EJ1279" s="247" t="str">
        <f t="shared" si="93"/>
        <v/>
      </c>
      <c r="EK1279" t="str">
        <f t="shared" si="94"/>
        <v/>
      </c>
    </row>
    <row r="1280" spans="2:141" x14ac:dyDescent="0.25">
      <c r="B1280" s="43">
        <v>1277</v>
      </c>
      <c r="C1280" s="44"/>
      <c r="D1280" s="45">
        <f t="shared" si="92"/>
        <v>0</v>
      </c>
      <c r="EH1280" s="313">
        <v>1277</v>
      </c>
      <c r="EI1280" s="314"/>
      <c r="EJ1280" s="247" t="str">
        <f t="shared" si="93"/>
        <v/>
      </c>
      <c r="EK1280" t="str">
        <f t="shared" si="94"/>
        <v/>
      </c>
    </row>
    <row r="1281" spans="2:141" x14ac:dyDescent="0.25">
      <c r="B1281" s="43">
        <v>1278</v>
      </c>
      <c r="C1281" s="44"/>
      <c r="D1281" s="45">
        <f t="shared" si="92"/>
        <v>0</v>
      </c>
      <c r="EH1281" s="313">
        <v>1278</v>
      </c>
      <c r="EI1281" s="314"/>
      <c r="EJ1281" s="247" t="str">
        <f t="shared" si="93"/>
        <v/>
      </c>
      <c r="EK1281" t="str">
        <f t="shared" si="94"/>
        <v/>
      </c>
    </row>
    <row r="1282" spans="2:141" x14ac:dyDescent="0.25">
      <c r="B1282" s="43">
        <v>1279</v>
      </c>
      <c r="C1282" s="44"/>
      <c r="D1282" s="45">
        <f t="shared" si="92"/>
        <v>0</v>
      </c>
      <c r="EH1282" s="313">
        <v>1279</v>
      </c>
      <c r="EI1282" s="314"/>
      <c r="EJ1282" s="247" t="str">
        <f t="shared" si="93"/>
        <v/>
      </c>
      <c r="EK1282" t="str">
        <f t="shared" si="94"/>
        <v/>
      </c>
    </row>
    <row r="1283" spans="2:141" x14ac:dyDescent="0.25">
      <c r="B1283" s="43">
        <v>1280</v>
      </c>
      <c r="C1283" s="44"/>
      <c r="D1283" s="45">
        <f t="shared" si="92"/>
        <v>0</v>
      </c>
      <c r="EH1283" s="313">
        <v>1280</v>
      </c>
      <c r="EI1283" s="314">
        <v>15.2219</v>
      </c>
      <c r="EJ1283" s="247">
        <f t="shared" si="93"/>
        <v>1</v>
      </c>
      <c r="EK1283">
        <f t="shared" si="94"/>
        <v>1.5532551020408163</v>
      </c>
    </row>
    <row r="1284" spans="2:141" x14ac:dyDescent="0.25">
      <c r="B1284" s="43">
        <v>1281</v>
      </c>
      <c r="C1284" s="44"/>
      <c r="D1284" s="45">
        <f t="shared" si="92"/>
        <v>0</v>
      </c>
      <c r="EH1284" s="313">
        <v>1281</v>
      </c>
      <c r="EI1284" s="314"/>
      <c r="EJ1284" s="247" t="str">
        <f t="shared" si="93"/>
        <v/>
      </c>
      <c r="EK1284" t="str">
        <f t="shared" si="94"/>
        <v/>
      </c>
    </row>
    <row r="1285" spans="2:141" x14ac:dyDescent="0.25">
      <c r="B1285" s="43">
        <v>1282</v>
      </c>
      <c r="C1285" s="44"/>
      <c r="D1285" s="45">
        <f t="shared" ref="D1285:D1303" si="95">C1285</f>
        <v>0</v>
      </c>
      <c r="EH1285" s="313">
        <v>1282</v>
      </c>
      <c r="EI1285" s="314"/>
      <c r="EJ1285" s="247" t="str">
        <f t="shared" ref="EJ1285:EJ1348" si="96">IF(EI1285="","",1)</f>
        <v/>
      </c>
      <c r="EK1285" t="str">
        <f t="shared" ref="EK1285:EK1348" si="97">IF(EI1285="","",EI1285/9.8)</f>
        <v/>
      </c>
    </row>
    <row r="1286" spans="2:141" x14ac:dyDescent="0.25">
      <c r="B1286" s="43">
        <v>1283</v>
      </c>
      <c r="C1286" s="44"/>
      <c r="D1286" s="45">
        <f t="shared" si="95"/>
        <v>0</v>
      </c>
      <c r="EH1286" s="313">
        <v>1283</v>
      </c>
      <c r="EI1286" s="314"/>
      <c r="EJ1286" s="247" t="str">
        <f t="shared" si="96"/>
        <v/>
      </c>
      <c r="EK1286" t="str">
        <f t="shared" si="97"/>
        <v/>
      </c>
    </row>
    <row r="1287" spans="2:141" x14ac:dyDescent="0.25">
      <c r="B1287" s="43">
        <v>1284</v>
      </c>
      <c r="C1287" s="44"/>
      <c r="D1287" s="45">
        <f t="shared" si="95"/>
        <v>0</v>
      </c>
      <c r="EH1287" s="313">
        <v>1284</v>
      </c>
      <c r="EI1287" s="314"/>
      <c r="EJ1287" s="247" t="str">
        <f t="shared" si="96"/>
        <v/>
      </c>
      <c r="EK1287" t="str">
        <f t="shared" si="97"/>
        <v/>
      </c>
    </row>
    <row r="1288" spans="2:141" x14ac:dyDescent="0.25">
      <c r="B1288" s="43">
        <v>1285</v>
      </c>
      <c r="C1288" s="44"/>
      <c r="D1288" s="45">
        <f t="shared" si="95"/>
        <v>0</v>
      </c>
      <c r="EH1288" s="313">
        <v>1285</v>
      </c>
      <c r="EI1288" s="314"/>
      <c r="EJ1288" s="247" t="str">
        <f t="shared" si="96"/>
        <v/>
      </c>
      <c r="EK1288" t="str">
        <f t="shared" si="97"/>
        <v/>
      </c>
    </row>
    <row r="1289" spans="2:141" x14ac:dyDescent="0.25">
      <c r="B1289" s="43">
        <v>1286</v>
      </c>
      <c r="C1289" s="44"/>
      <c r="D1289" s="45">
        <f t="shared" si="95"/>
        <v>0</v>
      </c>
      <c r="EH1289" s="313">
        <v>1286</v>
      </c>
      <c r="EI1289" s="314"/>
      <c r="EJ1289" s="247" t="str">
        <f t="shared" si="96"/>
        <v/>
      </c>
      <c r="EK1289" t="str">
        <f t="shared" si="97"/>
        <v/>
      </c>
    </row>
    <row r="1290" spans="2:141" x14ac:dyDescent="0.25">
      <c r="B1290" s="43">
        <v>1287</v>
      </c>
      <c r="C1290" s="44"/>
      <c r="D1290" s="45">
        <f t="shared" si="95"/>
        <v>0</v>
      </c>
      <c r="EH1290" s="313">
        <v>1287</v>
      </c>
      <c r="EI1290" s="314"/>
      <c r="EJ1290" s="247" t="str">
        <f t="shared" si="96"/>
        <v/>
      </c>
      <c r="EK1290" t="str">
        <f t="shared" si="97"/>
        <v/>
      </c>
    </row>
    <row r="1291" spans="2:141" x14ac:dyDescent="0.25">
      <c r="B1291" s="43">
        <v>1288</v>
      </c>
      <c r="C1291" s="44"/>
      <c r="D1291" s="45">
        <f t="shared" si="95"/>
        <v>0</v>
      </c>
      <c r="EH1291" s="313">
        <v>1288</v>
      </c>
      <c r="EI1291" s="314"/>
      <c r="EJ1291" s="247" t="str">
        <f t="shared" si="96"/>
        <v/>
      </c>
      <c r="EK1291" t="str">
        <f t="shared" si="97"/>
        <v/>
      </c>
    </row>
    <row r="1292" spans="2:141" x14ac:dyDescent="0.25">
      <c r="B1292" s="43">
        <v>1289</v>
      </c>
      <c r="C1292" s="44"/>
      <c r="D1292" s="45">
        <f t="shared" si="95"/>
        <v>0</v>
      </c>
      <c r="EH1292" s="313">
        <v>1289</v>
      </c>
      <c r="EI1292" s="314"/>
      <c r="EJ1292" s="247" t="str">
        <f t="shared" si="96"/>
        <v/>
      </c>
      <c r="EK1292" t="str">
        <f t="shared" si="97"/>
        <v/>
      </c>
    </row>
    <row r="1293" spans="2:141" x14ac:dyDescent="0.25">
      <c r="B1293" s="43">
        <v>1290</v>
      </c>
      <c r="C1293" s="44"/>
      <c r="D1293" s="45">
        <f t="shared" si="95"/>
        <v>0</v>
      </c>
      <c r="EH1293" s="313">
        <v>1290</v>
      </c>
      <c r="EI1293" s="314">
        <v>15.338699999999999</v>
      </c>
      <c r="EJ1293" s="247">
        <f t="shared" si="96"/>
        <v>1</v>
      </c>
      <c r="EK1293">
        <f t="shared" si="97"/>
        <v>1.5651734693877548</v>
      </c>
    </row>
    <row r="1294" spans="2:141" x14ac:dyDescent="0.25">
      <c r="B1294" s="43">
        <v>1291</v>
      </c>
      <c r="C1294" s="44"/>
      <c r="D1294" s="45">
        <f t="shared" si="95"/>
        <v>0</v>
      </c>
      <c r="EH1294" s="313">
        <v>1291</v>
      </c>
      <c r="EI1294" s="314"/>
      <c r="EJ1294" s="247" t="str">
        <f t="shared" si="96"/>
        <v/>
      </c>
      <c r="EK1294" t="str">
        <f t="shared" si="97"/>
        <v/>
      </c>
    </row>
    <row r="1295" spans="2:141" x14ac:dyDescent="0.25">
      <c r="B1295" s="43">
        <v>1292</v>
      </c>
      <c r="C1295" s="44"/>
      <c r="D1295" s="45">
        <f t="shared" si="95"/>
        <v>0</v>
      </c>
      <c r="EH1295" s="313">
        <v>1292</v>
      </c>
      <c r="EI1295" s="314"/>
      <c r="EJ1295" s="247" t="str">
        <f t="shared" si="96"/>
        <v/>
      </c>
      <c r="EK1295" t="str">
        <f t="shared" si="97"/>
        <v/>
      </c>
    </row>
    <row r="1296" spans="2:141" x14ac:dyDescent="0.25">
      <c r="B1296" s="43">
        <v>1293</v>
      </c>
      <c r="C1296" s="44"/>
      <c r="D1296" s="45">
        <f t="shared" si="95"/>
        <v>0</v>
      </c>
      <c r="EH1296" s="313">
        <v>1293</v>
      </c>
      <c r="EI1296" s="314"/>
      <c r="EJ1296" s="247" t="str">
        <f t="shared" si="96"/>
        <v/>
      </c>
      <c r="EK1296" t="str">
        <f t="shared" si="97"/>
        <v/>
      </c>
    </row>
    <row r="1297" spans="2:141" x14ac:dyDescent="0.25">
      <c r="B1297" s="43">
        <v>1294</v>
      </c>
      <c r="C1297" s="44"/>
      <c r="D1297" s="45">
        <f t="shared" si="95"/>
        <v>0</v>
      </c>
      <c r="EH1297" s="313">
        <v>1294</v>
      </c>
      <c r="EI1297" s="314"/>
      <c r="EJ1297" s="247" t="str">
        <f t="shared" si="96"/>
        <v/>
      </c>
      <c r="EK1297" t="str">
        <f t="shared" si="97"/>
        <v/>
      </c>
    </row>
    <row r="1298" spans="2:141" x14ac:dyDescent="0.25">
      <c r="B1298" s="43">
        <v>1295</v>
      </c>
      <c r="C1298" s="44"/>
      <c r="D1298" s="45">
        <f t="shared" si="95"/>
        <v>0</v>
      </c>
      <c r="EH1298" s="313">
        <v>1295</v>
      </c>
      <c r="EI1298" s="314"/>
      <c r="EJ1298" s="247" t="str">
        <f t="shared" si="96"/>
        <v/>
      </c>
      <c r="EK1298" t="str">
        <f t="shared" si="97"/>
        <v/>
      </c>
    </row>
    <row r="1299" spans="2:141" x14ac:dyDescent="0.25">
      <c r="B1299" s="43">
        <v>1296</v>
      </c>
      <c r="C1299" s="44"/>
      <c r="D1299" s="45">
        <f t="shared" si="95"/>
        <v>0</v>
      </c>
      <c r="EH1299" s="313">
        <v>1296</v>
      </c>
      <c r="EI1299" s="314"/>
      <c r="EJ1299" s="247" t="str">
        <f t="shared" si="96"/>
        <v/>
      </c>
      <c r="EK1299" t="str">
        <f t="shared" si="97"/>
        <v/>
      </c>
    </row>
    <row r="1300" spans="2:141" x14ac:dyDescent="0.25">
      <c r="B1300" s="43">
        <v>1297</v>
      </c>
      <c r="C1300" s="44"/>
      <c r="D1300" s="45">
        <f t="shared" si="95"/>
        <v>0</v>
      </c>
      <c r="EH1300" s="313">
        <v>1297</v>
      </c>
      <c r="EI1300" s="314"/>
      <c r="EJ1300" s="247" t="str">
        <f t="shared" si="96"/>
        <v/>
      </c>
      <c r="EK1300" t="str">
        <f t="shared" si="97"/>
        <v/>
      </c>
    </row>
    <row r="1301" spans="2:141" x14ac:dyDescent="0.25">
      <c r="B1301" s="43">
        <v>1298</v>
      </c>
      <c r="C1301" s="44"/>
      <c r="D1301" s="45">
        <f t="shared" si="95"/>
        <v>0</v>
      </c>
      <c r="EH1301" s="313">
        <v>1298</v>
      </c>
      <c r="EI1301" s="314"/>
      <c r="EJ1301" s="247" t="str">
        <f t="shared" si="96"/>
        <v/>
      </c>
      <c r="EK1301" t="str">
        <f t="shared" si="97"/>
        <v/>
      </c>
    </row>
    <row r="1302" spans="2:141" x14ac:dyDescent="0.25">
      <c r="B1302" s="43">
        <v>1299</v>
      </c>
      <c r="C1302" s="44"/>
      <c r="D1302" s="45">
        <f t="shared" si="95"/>
        <v>0</v>
      </c>
      <c r="EH1302" s="313">
        <v>1299</v>
      </c>
      <c r="EI1302" s="314"/>
      <c r="EJ1302" s="247" t="str">
        <f t="shared" si="96"/>
        <v/>
      </c>
      <c r="EK1302" t="str">
        <f t="shared" si="97"/>
        <v/>
      </c>
    </row>
    <row r="1303" spans="2:141" x14ac:dyDescent="0.25">
      <c r="B1303" s="43">
        <v>1300</v>
      </c>
      <c r="C1303" s="44"/>
      <c r="D1303" s="45">
        <f t="shared" si="95"/>
        <v>0</v>
      </c>
      <c r="EH1303" s="313">
        <v>1300</v>
      </c>
      <c r="EI1303" s="314">
        <v>15.4556</v>
      </c>
      <c r="EJ1303" s="247">
        <f t="shared" si="96"/>
        <v>1</v>
      </c>
      <c r="EK1303">
        <f t="shared" si="97"/>
        <v>1.5771020408163265</v>
      </c>
    </row>
    <row r="1304" spans="2:141" x14ac:dyDescent="0.25">
      <c r="EH1304" s="313">
        <v>1301</v>
      </c>
      <c r="EI1304" s="314"/>
      <c r="EJ1304" s="247" t="str">
        <f t="shared" si="96"/>
        <v/>
      </c>
      <c r="EK1304" t="str">
        <f t="shared" si="97"/>
        <v/>
      </c>
    </row>
    <row r="1305" spans="2:141" x14ac:dyDescent="0.25">
      <c r="EH1305" s="313">
        <v>1302</v>
      </c>
      <c r="EI1305" s="314"/>
      <c r="EJ1305" s="247" t="str">
        <f t="shared" si="96"/>
        <v/>
      </c>
      <c r="EK1305" t="str">
        <f t="shared" si="97"/>
        <v/>
      </c>
    </row>
    <row r="1306" spans="2:141" x14ac:dyDescent="0.25">
      <c r="EH1306" s="313">
        <v>1303</v>
      </c>
      <c r="EI1306" s="314"/>
      <c r="EJ1306" s="247" t="str">
        <f t="shared" si="96"/>
        <v/>
      </c>
      <c r="EK1306" t="str">
        <f t="shared" si="97"/>
        <v/>
      </c>
    </row>
    <row r="1307" spans="2:141" x14ac:dyDescent="0.25">
      <c r="EH1307" s="313">
        <v>1304</v>
      </c>
      <c r="EI1307" s="314"/>
      <c r="EJ1307" s="247" t="str">
        <f t="shared" si="96"/>
        <v/>
      </c>
      <c r="EK1307" t="str">
        <f t="shared" si="97"/>
        <v/>
      </c>
    </row>
    <row r="1308" spans="2:141" x14ac:dyDescent="0.25">
      <c r="EH1308" s="313">
        <v>1305</v>
      </c>
      <c r="EI1308" s="314"/>
      <c r="EJ1308" s="247" t="str">
        <f t="shared" si="96"/>
        <v/>
      </c>
      <c r="EK1308" t="str">
        <f t="shared" si="97"/>
        <v/>
      </c>
    </row>
    <row r="1309" spans="2:141" x14ac:dyDescent="0.25">
      <c r="EH1309" s="313">
        <v>1306</v>
      </c>
      <c r="EI1309" s="314"/>
      <c r="EJ1309" s="247" t="str">
        <f t="shared" si="96"/>
        <v/>
      </c>
      <c r="EK1309" t="str">
        <f t="shared" si="97"/>
        <v/>
      </c>
    </row>
    <row r="1310" spans="2:141" x14ac:dyDescent="0.25">
      <c r="EH1310" s="313">
        <v>1307</v>
      </c>
      <c r="EI1310" s="314"/>
      <c r="EJ1310" s="247" t="str">
        <f t="shared" si="96"/>
        <v/>
      </c>
      <c r="EK1310" t="str">
        <f t="shared" si="97"/>
        <v/>
      </c>
    </row>
    <row r="1311" spans="2:141" x14ac:dyDescent="0.25">
      <c r="EH1311" s="313">
        <v>1308</v>
      </c>
      <c r="EI1311" s="314"/>
      <c r="EJ1311" s="247" t="str">
        <f t="shared" si="96"/>
        <v/>
      </c>
      <c r="EK1311" t="str">
        <f t="shared" si="97"/>
        <v/>
      </c>
    </row>
    <row r="1312" spans="2:141" x14ac:dyDescent="0.25">
      <c r="EH1312" s="313">
        <v>1309</v>
      </c>
      <c r="EI1312" s="314"/>
      <c r="EJ1312" s="247" t="str">
        <f t="shared" si="96"/>
        <v/>
      </c>
      <c r="EK1312" t="str">
        <f t="shared" si="97"/>
        <v/>
      </c>
    </row>
    <row r="1313" spans="138:141" x14ac:dyDescent="0.25">
      <c r="EH1313" s="313">
        <v>1310</v>
      </c>
      <c r="EI1313" s="314">
        <v>15.5724</v>
      </c>
      <c r="EJ1313" s="247">
        <f t="shared" si="96"/>
        <v>1</v>
      </c>
      <c r="EK1313">
        <f t="shared" si="97"/>
        <v>1.5890204081632653</v>
      </c>
    </row>
    <row r="1314" spans="138:141" x14ac:dyDescent="0.25">
      <c r="EH1314" s="313">
        <v>1311</v>
      </c>
      <c r="EI1314" s="314"/>
      <c r="EJ1314" s="247" t="str">
        <f t="shared" si="96"/>
        <v/>
      </c>
      <c r="EK1314" t="str">
        <f t="shared" si="97"/>
        <v/>
      </c>
    </row>
    <row r="1315" spans="138:141" x14ac:dyDescent="0.25">
      <c r="EH1315" s="313">
        <v>1312</v>
      </c>
      <c r="EI1315" s="314"/>
      <c r="EJ1315" s="247" t="str">
        <f t="shared" si="96"/>
        <v/>
      </c>
      <c r="EK1315" t="str">
        <f t="shared" si="97"/>
        <v/>
      </c>
    </row>
    <row r="1316" spans="138:141" x14ac:dyDescent="0.25">
      <c r="EH1316" s="313">
        <v>1313</v>
      </c>
      <c r="EI1316" s="314"/>
      <c r="EJ1316" s="247" t="str">
        <f t="shared" si="96"/>
        <v/>
      </c>
      <c r="EK1316" t="str">
        <f t="shared" si="97"/>
        <v/>
      </c>
    </row>
    <row r="1317" spans="138:141" x14ac:dyDescent="0.25">
      <c r="EH1317" s="313">
        <v>1314</v>
      </c>
      <c r="EI1317" s="314"/>
      <c r="EJ1317" s="247" t="str">
        <f t="shared" si="96"/>
        <v/>
      </c>
      <c r="EK1317" t="str">
        <f t="shared" si="97"/>
        <v/>
      </c>
    </row>
    <row r="1318" spans="138:141" x14ac:dyDescent="0.25">
      <c r="EH1318" s="313">
        <v>1315</v>
      </c>
      <c r="EI1318" s="314"/>
      <c r="EJ1318" s="247" t="str">
        <f t="shared" si="96"/>
        <v/>
      </c>
      <c r="EK1318" t="str">
        <f t="shared" si="97"/>
        <v/>
      </c>
    </row>
    <row r="1319" spans="138:141" x14ac:dyDescent="0.25">
      <c r="EH1319" s="313">
        <v>1316</v>
      </c>
      <c r="EI1319" s="314"/>
      <c r="EJ1319" s="247" t="str">
        <f t="shared" si="96"/>
        <v/>
      </c>
      <c r="EK1319" t="str">
        <f t="shared" si="97"/>
        <v/>
      </c>
    </row>
    <row r="1320" spans="138:141" x14ac:dyDescent="0.25">
      <c r="EH1320" s="313">
        <v>1317</v>
      </c>
      <c r="EI1320" s="314"/>
      <c r="EJ1320" s="247" t="str">
        <f t="shared" si="96"/>
        <v/>
      </c>
      <c r="EK1320" t="str">
        <f t="shared" si="97"/>
        <v/>
      </c>
    </row>
    <row r="1321" spans="138:141" x14ac:dyDescent="0.25">
      <c r="EH1321" s="313">
        <v>1318</v>
      </c>
      <c r="EI1321" s="314"/>
      <c r="EJ1321" s="247" t="str">
        <f t="shared" si="96"/>
        <v/>
      </c>
      <c r="EK1321" t="str">
        <f t="shared" si="97"/>
        <v/>
      </c>
    </row>
    <row r="1322" spans="138:141" x14ac:dyDescent="0.25">
      <c r="EH1322" s="313">
        <v>1319</v>
      </c>
      <c r="EI1322" s="314"/>
      <c r="EJ1322" s="247" t="str">
        <f t="shared" si="96"/>
        <v/>
      </c>
      <c r="EK1322" t="str">
        <f t="shared" si="97"/>
        <v/>
      </c>
    </row>
    <row r="1323" spans="138:141" x14ac:dyDescent="0.25">
      <c r="EH1323" s="313">
        <v>1320</v>
      </c>
      <c r="EI1323" s="314">
        <v>15.6892</v>
      </c>
      <c r="EJ1323" s="247">
        <f t="shared" si="96"/>
        <v>1</v>
      </c>
      <c r="EK1323">
        <f t="shared" si="97"/>
        <v>1.600938775510204</v>
      </c>
    </row>
    <row r="1324" spans="138:141" x14ac:dyDescent="0.25">
      <c r="EH1324" s="313">
        <v>1321</v>
      </c>
      <c r="EI1324" s="314"/>
      <c r="EJ1324" s="247" t="str">
        <f t="shared" si="96"/>
        <v/>
      </c>
      <c r="EK1324" t="str">
        <f t="shared" si="97"/>
        <v/>
      </c>
    </row>
    <row r="1325" spans="138:141" x14ac:dyDescent="0.25">
      <c r="EH1325" s="313">
        <v>1322</v>
      </c>
      <c r="EI1325" s="314"/>
      <c r="EJ1325" s="247" t="str">
        <f t="shared" si="96"/>
        <v/>
      </c>
      <c r="EK1325" t="str">
        <f t="shared" si="97"/>
        <v/>
      </c>
    </row>
    <row r="1326" spans="138:141" x14ac:dyDescent="0.25">
      <c r="EH1326" s="313">
        <v>1323</v>
      </c>
      <c r="EI1326" s="314"/>
      <c r="EJ1326" s="247" t="str">
        <f t="shared" si="96"/>
        <v/>
      </c>
      <c r="EK1326" t="str">
        <f t="shared" si="97"/>
        <v/>
      </c>
    </row>
    <row r="1327" spans="138:141" x14ac:dyDescent="0.25">
      <c r="EH1327" s="313">
        <v>1324</v>
      </c>
      <c r="EI1327" s="314"/>
      <c r="EJ1327" s="247" t="str">
        <f t="shared" si="96"/>
        <v/>
      </c>
      <c r="EK1327" t="str">
        <f t="shared" si="97"/>
        <v/>
      </c>
    </row>
    <row r="1328" spans="138:141" x14ac:dyDescent="0.25">
      <c r="EH1328" s="313">
        <v>1325</v>
      </c>
      <c r="EI1328" s="314"/>
      <c r="EJ1328" s="247" t="str">
        <f t="shared" si="96"/>
        <v/>
      </c>
      <c r="EK1328" t="str">
        <f t="shared" si="97"/>
        <v/>
      </c>
    </row>
    <row r="1329" spans="138:141" x14ac:dyDescent="0.25">
      <c r="EH1329" s="313">
        <v>1326</v>
      </c>
      <c r="EI1329" s="314"/>
      <c r="EJ1329" s="247" t="str">
        <f t="shared" si="96"/>
        <v/>
      </c>
      <c r="EK1329" t="str">
        <f t="shared" si="97"/>
        <v/>
      </c>
    </row>
    <row r="1330" spans="138:141" x14ac:dyDescent="0.25">
      <c r="EH1330" s="313">
        <v>1327</v>
      </c>
      <c r="EI1330" s="314"/>
      <c r="EJ1330" s="247" t="str">
        <f t="shared" si="96"/>
        <v/>
      </c>
      <c r="EK1330" t="str">
        <f t="shared" si="97"/>
        <v/>
      </c>
    </row>
    <row r="1331" spans="138:141" x14ac:dyDescent="0.25">
      <c r="EH1331" s="313">
        <v>1328</v>
      </c>
      <c r="EI1331" s="314"/>
      <c r="EJ1331" s="247" t="str">
        <f t="shared" si="96"/>
        <v/>
      </c>
      <c r="EK1331" t="str">
        <f t="shared" si="97"/>
        <v/>
      </c>
    </row>
    <row r="1332" spans="138:141" x14ac:dyDescent="0.25">
      <c r="EH1332" s="313">
        <v>1329</v>
      </c>
      <c r="EI1332" s="314"/>
      <c r="EJ1332" s="247" t="str">
        <f t="shared" si="96"/>
        <v/>
      </c>
      <c r="EK1332" t="str">
        <f t="shared" si="97"/>
        <v/>
      </c>
    </row>
    <row r="1333" spans="138:141" x14ac:dyDescent="0.25">
      <c r="EH1333" s="313">
        <v>1330</v>
      </c>
      <c r="EI1333" s="314">
        <v>15.805999999999999</v>
      </c>
      <c r="EJ1333" s="247">
        <f t="shared" si="96"/>
        <v>1</v>
      </c>
      <c r="EK1333">
        <f t="shared" si="97"/>
        <v>1.6128571428571425</v>
      </c>
    </row>
    <row r="1334" spans="138:141" x14ac:dyDescent="0.25">
      <c r="EH1334" s="313">
        <v>1331</v>
      </c>
      <c r="EI1334" s="314"/>
      <c r="EJ1334" s="247" t="str">
        <f t="shared" si="96"/>
        <v/>
      </c>
      <c r="EK1334" t="str">
        <f t="shared" si="97"/>
        <v/>
      </c>
    </row>
    <row r="1335" spans="138:141" x14ac:dyDescent="0.25">
      <c r="EH1335" s="313">
        <v>1332</v>
      </c>
      <c r="EI1335" s="314"/>
      <c r="EJ1335" s="247" t="str">
        <f t="shared" si="96"/>
        <v/>
      </c>
      <c r="EK1335" t="str">
        <f t="shared" si="97"/>
        <v/>
      </c>
    </row>
    <row r="1336" spans="138:141" x14ac:dyDescent="0.25">
      <c r="EH1336" s="313">
        <v>1333</v>
      </c>
      <c r="EI1336" s="314"/>
      <c r="EJ1336" s="247" t="str">
        <f t="shared" si="96"/>
        <v/>
      </c>
      <c r="EK1336" t="str">
        <f t="shared" si="97"/>
        <v/>
      </c>
    </row>
    <row r="1337" spans="138:141" x14ac:dyDescent="0.25">
      <c r="EH1337" s="313">
        <v>1334</v>
      </c>
      <c r="EI1337" s="314"/>
      <c r="EJ1337" s="247" t="str">
        <f t="shared" si="96"/>
        <v/>
      </c>
      <c r="EK1337" t="str">
        <f t="shared" si="97"/>
        <v/>
      </c>
    </row>
    <row r="1338" spans="138:141" x14ac:dyDescent="0.25">
      <c r="EH1338" s="313">
        <v>1335</v>
      </c>
      <c r="EI1338" s="314"/>
      <c r="EJ1338" s="247" t="str">
        <f t="shared" si="96"/>
        <v/>
      </c>
      <c r="EK1338" t="str">
        <f t="shared" si="97"/>
        <v/>
      </c>
    </row>
    <row r="1339" spans="138:141" x14ac:dyDescent="0.25">
      <c r="EH1339" s="313">
        <v>1336</v>
      </c>
      <c r="EI1339" s="314"/>
      <c r="EJ1339" s="247" t="str">
        <f t="shared" si="96"/>
        <v/>
      </c>
      <c r="EK1339" t="str">
        <f t="shared" si="97"/>
        <v/>
      </c>
    </row>
    <row r="1340" spans="138:141" x14ac:dyDescent="0.25">
      <c r="EH1340" s="313">
        <v>1337</v>
      </c>
      <c r="EI1340" s="314"/>
      <c r="EJ1340" s="247" t="str">
        <f t="shared" si="96"/>
        <v/>
      </c>
      <c r="EK1340" t="str">
        <f t="shared" si="97"/>
        <v/>
      </c>
    </row>
    <row r="1341" spans="138:141" x14ac:dyDescent="0.25">
      <c r="EH1341" s="313">
        <v>1338</v>
      </c>
      <c r="EI1341" s="314"/>
      <c r="EJ1341" s="247" t="str">
        <f t="shared" si="96"/>
        <v/>
      </c>
      <c r="EK1341" t="str">
        <f t="shared" si="97"/>
        <v/>
      </c>
    </row>
    <row r="1342" spans="138:141" x14ac:dyDescent="0.25">
      <c r="EH1342" s="313">
        <v>1339</v>
      </c>
      <c r="EI1342" s="314"/>
      <c r="EJ1342" s="247" t="str">
        <f t="shared" si="96"/>
        <v/>
      </c>
      <c r="EK1342" t="str">
        <f t="shared" si="97"/>
        <v/>
      </c>
    </row>
    <row r="1343" spans="138:141" x14ac:dyDescent="0.25">
      <c r="EH1343" s="313">
        <v>1340</v>
      </c>
      <c r="EI1343" s="314">
        <v>15.922800000000001</v>
      </c>
      <c r="EJ1343" s="247">
        <f t="shared" si="96"/>
        <v>1</v>
      </c>
      <c r="EK1343">
        <f t="shared" si="97"/>
        <v>1.6247755102040815</v>
      </c>
    </row>
    <row r="1344" spans="138:141" x14ac:dyDescent="0.25">
      <c r="EH1344" s="313">
        <v>1341</v>
      </c>
      <c r="EI1344" s="314"/>
      <c r="EJ1344" s="247" t="str">
        <f t="shared" si="96"/>
        <v/>
      </c>
      <c r="EK1344" t="str">
        <f t="shared" si="97"/>
        <v/>
      </c>
    </row>
    <row r="1345" spans="138:141" x14ac:dyDescent="0.25">
      <c r="EH1345" s="313">
        <v>1342</v>
      </c>
      <c r="EI1345" s="314"/>
      <c r="EJ1345" s="247" t="str">
        <f t="shared" si="96"/>
        <v/>
      </c>
      <c r="EK1345" t="str">
        <f t="shared" si="97"/>
        <v/>
      </c>
    </row>
    <row r="1346" spans="138:141" x14ac:dyDescent="0.25">
      <c r="EH1346" s="313">
        <v>1343</v>
      </c>
      <c r="EI1346" s="314"/>
      <c r="EJ1346" s="247" t="str">
        <f t="shared" si="96"/>
        <v/>
      </c>
      <c r="EK1346" t="str">
        <f t="shared" si="97"/>
        <v/>
      </c>
    </row>
    <row r="1347" spans="138:141" x14ac:dyDescent="0.25">
      <c r="EH1347" s="313">
        <v>1344</v>
      </c>
      <c r="EI1347" s="314"/>
      <c r="EJ1347" s="247" t="str">
        <f t="shared" si="96"/>
        <v/>
      </c>
      <c r="EK1347" t="str">
        <f t="shared" si="97"/>
        <v/>
      </c>
    </row>
    <row r="1348" spans="138:141" x14ac:dyDescent="0.25">
      <c r="EH1348" s="313">
        <v>1345</v>
      </c>
      <c r="EI1348" s="314"/>
      <c r="EJ1348" s="247" t="str">
        <f t="shared" si="96"/>
        <v/>
      </c>
      <c r="EK1348" t="str">
        <f t="shared" si="97"/>
        <v/>
      </c>
    </row>
    <row r="1349" spans="138:141" x14ac:dyDescent="0.25">
      <c r="EH1349" s="313">
        <v>1346</v>
      </c>
      <c r="EI1349" s="314"/>
      <c r="EJ1349" s="247" t="str">
        <f t="shared" ref="EJ1349:EJ1412" si="98">IF(EI1349="","",1)</f>
        <v/>
      </c>
      <c r="EK1349" t="str">
        <f t="shared" ref="EK1349:EK1412" si="99">IF(EI1349="","",EI1349/9.8)</f>
        <v/>
      </c>
    </row>
    <row r="1350" spans="138:141" x14ac:dyDescent="0.25">
      <c r="EH1350" s="313">
        <v>1347</v>
      </c>
      <c r="EI1350" s="314"/>
      <c r="EJ1350" s="247" t="str">
        <f t="shared" si="98"/>
        <v/>
      </c>
      <c r="EK1350" t="str">
        <f t="shared" si="99"/>
        <v/>
      </c>
    </row>
    <row r="1351" spans="138:141" x14ac:dyDescent="0.25">
      <c r="EH1351" s="313">
        <v>1348</v>
      </c>
      <c r="EI1351" s="314"/>
      <c r="EJ1351" s="247" t="str">
        <f t="shared" si="98"/>
        <v/>
      </c>
      <c r="EK1351" t="str">
        <f t="shared" si="99"/>
        <v/>
      </c>
    </row>
    <row r="1352" spans="138:141" x14ac:dyDescent="0.25">
      <c r="EH1352" s="313">
        <v>1349</v>
      </c>
      <c r="EI1352" s="314"/>
      <c r="EJ1352" s="247" t="str">
        <f t="shared" si="98"/>
        <v/>
      </c>
      <c r="EK1352" t="str">
        <f t="shared" si="99"/>
        <v/>
      </c>
    </row>
    <row r="1353" spans="138:141" x14ac:dyDescent="0.25">
      <c r="EH1353" s="313">
        <v>1350</v>
      </c>
      <c r="EI1353" s="314">
        <v>16.0397</v>
      </c>
      <c r="EJ1353" s="247">
        <f t="shared" si="98"/>
        <v>1</v>
      </c>
      <c r="EK1353">
        <f t="shared" si="99"/>
        <v>1.636704081632653</v>
      </c>
    </row>
    <row r="1354" spans="138:141" x14ac:dyDescent="0.25">
      <c r="EH1354" s="313">
        <v>1351</v>
      </c>
      <c r="EI1354" s="314"/>
      <c r="EJ1354" s="247" t="str">
        <f t="shared" si="98"/>
        <v/>
      </c>
      <c r="EK1354" t="str">
        <f t="shared" si="99"/>
        <v/>
      </c>
    </row>
    <row r="1355" spans="138:141" x14ac:dyDescent="0.25">
      <c r="EH1355" s="313">
        <v>1352</v>
      </c>
      <c r="EI1355" s="314"/>
      <c r="EJ1355" s="247" t="str">
        <f t="shared" si="98"/>
        <v/>
      </c>
      <c r="EK1355" t="str">
        <f t="shared" si="99"/>
        <v/>
      </c>
    </row>
    <row r="1356" spans="138:141" x14ac:dyDescent="0.25">
      <c r="EH1356" s="313">
        <v>1353</v>
      </c>
      <c r="EI1356" s="314"/>
      <c r="EJ1356" s="247" t="str">
        <f t="shared" si="98"/>
        <v/>
      </c>
      <c r="EK1356" t="str">
        <f t="shared" si="99"/>
        <v/>
      </c>
    </row>
    <row r="1357" spans="138:141" x14ac:dyDescent="0.25">
      <c r="EH1357" s="313">
        <v>1354</v>
      </c>
      <c r="EI1357" s="314"/>
      <c r="EJ1357" s="247" t="str">
        <f t="shared" si="98"/>
        <v/>
      </c>
      <c r="EK1357" t="str">
        <f t="shared" si="99"/>
        <v/>
      </c>
    </row>
    <row r="1358" spans="138:141" x14ac:dyDescent="0.25">
      <c r="EH1358" s="313">
        <v>1355</v>
      </c>
      <c r="EI1358" s="314"/>
      <c r="EJ1358" s="247" t="str">
        <f t="shared" si="98"/>
        <v/>
      </c>
      <c r="EK1358" t="str">
        <f t="shared" si="99"/>
        <v/>
      </c>
    </row>
    <row r="1359" spans="138:141" x14ac:dyDescent="0.25">
      <c r="EH1359" s="313">
        <v>1356</v>
      </c>
      <c r="EI1359" s="314"/>
      <c r="EJ1359" s="247" t="str">
        <f t="shared" si="98"/>
        <v/>
      </c>
      <c r="EK1359" t="str">
        <f t="shared" si="99"/>
        <v/>
      </c>
    </row>
    <row r="1360" spans="138:141" x14ac:dyDescent="0.25">
      <c r="EH1360" s="313">
        <v>1357</v>
      </c>
      <c r="EI1360" s="314"/>
      <c r="EJ1360" s="247" t="str">
        <f t="shared" si="98"/>
        <v/>
      </c>
      <c r="EK1360" t="str">
        <f t="shared" si="99"/>
        <v/>
      </c>
    </row>
    <row r="1361" spans="138:141" x14ac:dyDescent="0.25">
      <c r="EH1361" s="313">
        <v>1358</v>
      </c>
      <c r="EI1361" s="314"/>
      <c r="EJ1361" s="247" t="str">
        <f t="shared" si="98"/>
        <v/>
      </c>
      <c r="EK1361" t="str">
        <f t="shared" si="99"/>
        <v/>
      </c>
    </row>
    <row r="1362" spans="138:141" x14ac:dyDescent="0.25">
      <c r="EH1362" s="313">
        <v>1359</v>
      </c>
      <c r="EI1362" s="314"/>
      <c r="EJ1362" s="247" t="str">
        <f t="shared" si="98"/>
        <v/>
      </c>
      <c r="EK1362" t="str">
        <f t="shared" si="99"/>
        <v/>
      </c>
    </row>
    <row r="1363" spans="138:141" x14ac:dyDescent="0.25">
      <c r="EH1363" s="313">
        <v>1360</v>
      </c>
      <c r="EI1363" s="314">
        <v>16.156500000000001</v>
      </c>
      <c r="EJ1363" s="247">
        <f t="shared" si="98"/>
        <v>1</v>
      </c>
      <c r="EK1363">
        <f t="shared" si="99"/>
        <v>1.6486224489795918</v>
      </c>
    </row>
    <row r="1364" spans="138:141" x14ac:dyDescent="0.25">
      <c r="EH1364" s="313">
        <v>1361</v>
      </c>
      <c r="EI1364" s="314"/>
      <c r="EJ1364" s="247" t="str">
        <f t="shared" si="98"/>
        <v/>
      </c>
      <c r="EK1364" t="str">
        <f t="shared" si="99"/>
        <v/>
      </c>
    </row>
    <row r="1365" spans="138:141" x14ac:dyDescent="0.25">
      <c r="EH1365" s="313">
        <v>1362</v>
      </c>
      <c r="EI1365" s="314"/>
      <c r="EJ1365" s="247" t="str">
        <f t="shared" si="98"/>
        <v/>
      </c>
      <c r="EK1365" t="str">
        <f t="shared" si="99"/>
        <v/>
      </c>
    </row>
    <row r="1366" spans="138:141" x14ac:dyDescent="0.25">
      <c r="EH1366" s="313">
        <v>1363</v>
      </c>
      <c r="EI1366" s="314"/>
      <c r="EJ1366" s="247" t="str">
        <f t="shared" si="98"/>
        <v/>
      </c>
      <c r="EK1366" t="str">
        <f t="shared" si="99"/>
        <v/>
      </c>
    </row>
    <row r="1367" spans="138:141" x14ac:dyDescent="0.25">
      <c r="EH1367" s="313">
        <v>1364</v>
      </c>
      <c r="EI1367" s="314"/>
      <c r="EJ1367" s="247" t="str">
        <f t="shared" si="98"/>
        <v/>
      </c>
      <c r="EK1367" t="str">
        <f t="shared" si="99"/>
        <v/>
      </c>
    </row>
    <row r="1368" spans="138:141" x14ac:dyDescent="0.25">
      <c r="EH1368" s="313">
        <v>1365</v>
      </c>
      <c r="EI1368" s="314"/>
      <c r="EJ1368" s="247" t="str">
        <f t="shared" si="98"/>
        <v/>
      </c>
      <c r="EK1368" t="str">
        <f t="shared" si="99"/>
        <v/>
      </c>
    </row>
    <row r="1369" spans="138:141" x14ac:dyDescent="0.25">
      <c r="EH1369" s="313">
        <v>1366</v>
      </c>
      <c r="EI1369" s="314"/>
      <c r="EJ1369" s="247" t="str">
        <f t="shared" si="98"/>
        <v/>
      </c>
      <c r="EK1369" t="str">
        <f t="shared" si="99"/>
        <v/>
      </c>
    </row>
    <row r="1370" spans="138:141" x14ac:dyDescent="0.25">
      <c r="EH1370" s="313">
        <v>1367</v>
      </c>
      <c r="EI1370" s="314"/>
      <c r="EJ1370" s="247" t="str">
        <f t="shared" si="98"/>
        <v/>
      </c>
      <c r="EK1370" t="str">
        <f t="shared" si="99"/>
        <v/>
      </c>
    </row>
    <row r="1371" spans="138:141" x14ac:dyDescent="0.25">
      <c r="EH1371" s="313">
        <v>1368</v>
      </c>
      <c r="EI1371" s="314"/>
      <c r="EJ1371" s="247" t="str">
        <f t="shared" si="98"/>
        <v/>
      </c>
      <c r="EK1371" t="str">
        <f t="shared" si="99"/>
        <v/>
      </c>
    </row>
    <row r="1372" spans="138:141" x14ac:dyDescent="0.25">
      <c r="EH1372" s="313">
        <v>1369</v>
      </c>
      <c r="EI1372" s="314"/>
      <c r="EJ1372" s="247" t="str">
        <f t="shared" si="98"/>
        <v/>
      </c>
      <c r="EK1372" t="str">
        <f t="shared" si="99"/>
        <v/>
      </c>
    </row>
    <row r="1373" spans="138:141" x14ac:dyDescent="0.25">
      <c r="EH1373" s="313">
        <v>1370</v>
      </c>
      <c r="EI1373" s="314">
        <v>16.273299999999999</v>
      </c>
      <c r="EJ1373" s="247">
        <f t="shared" si="98"/>
        <v>1</v>
      </c>
      <c r="EK1373">
        <f t="shared" si="99"/>
        <v>1.6605408163265303</v>
      </c>
    </row>
    <row r="1374" spans="138:141" x14ac:dyDescent="0.25">
      <c r="EH1374" s="313">
        <v>1371</v>
      </c>
      <c r="EI1374" s="314"/>
      <c r="EJ1374" s="247" t="str">
        <f t="shared" si="98"/>
        <v/>
      </c>
      <c r="EK1374" t="str">
        <f t="shared" si="99"/>
        <v/>
      </c>
    </row>
    <row r="1375" spans="138:141" x14ac:dyDescent="0.25">
      <c r="EH1375" s="313">
        <v>1372</v>
      </c>
      <c r="EI1375" s="314"/>
      <c r="EJ1375" s="247" t="str">
        <f t="shared" si="98"/>
        <v/>
      </c>
      <c r="EK1375" t="str">
        <f t="shared" si="99"/>
        <v/>
      </c>
    </row>
    <row r="1376" spans="138:141" x14ac:dyDescent="0.25">
      <c r="EH1376" s="313">
        <v>1373</v>
      </c>
      <c r="EI1376" s="314"/>
      <c r="EJ1376" s="247" t="str">
        <f t="shared" si="98"/>
        <v/>
      </c>
      <c r="EK1376" t="str">
        <f t="shared" si="99"/>
        <v/>
      </c>
    </row>
    <row r="1377" spans="138:141" x14ac:dyDescent="0.25">
      <c r="EH1377" s="313">
        <v>1374</v>
      </c>
      <c r="EI1377" s="314"/>
      <c r="EJ1377" s="247" t="str">
        <f t="shared" si="98"/>
        <v/>
      </c>
      <c r="EK1377" t="str">
        <f t="shared" si="99"/>
        <v/>
      </c>
    </row>
    <row r="1378" spans="138:141" x14ac:dyDescent="0.25">
      <c r="EH1378" s="313">
        <v>1375</v>
      </c>
      <c r="EI1378" s="314"/>
      <c r="EJ1378" s="247" t="str">
        <f t="shared" si="98"/>
        <v/>
      </c>
      <c r="EK1378" t="str">
        <f t="shared" si="99"/>
        <v/>
      </c>
    </row>
    <row r="1379" spans="138:141" x14ac:dyDescent="0.25">
      <c r="EH1379" s="313">
        <v>1376</v>
      </c>
      <c r="EI1379" s="314"/>
      <c r="EJ1379" s="247" t="str">
        <f t="shared" si="98"/>
        <v/>
      </c>
      <c r="EK1379" t="str">
        <f t="shared" si="99"/>
        <v/>
      </c>
    </row>
    <row r="1380" spans="138:141" x14ac:dyDescent="0.25">
      <c r="EH1380" s="313">
        <v>1377</v>
      </c>
      <c r="EI1380" s="314"/>
      <c r="EJ1380" s="247" t="str">
        <f t="shared" si="98"/>
        <v/>
      </c>
      <c r="EK1380" t="str">
        <f t="shared" si="99"/>
        <v/>
      </c>
    </row>
    <row r="1381" spans="138:141" x14ac:dyDescent="0.25">
      <c r="EH1381" s="313">
        <v>1378</v>
      </c>
      <c r="EI1381" s="314"/>
      <c r="EJ1381" s="247" t="str">
        <f t="shared" si="98"/>
        <v/>
      </c>
      <c r="EK1381" t="str">
        <f t="shared" si="99"/>
        <v/>
      </c>
    </row>
    <row r="1382" spans="138:141" x14ac:dyDescent="0.25">
      <c r="EH1382" s="313">
        <v>1379</v>
      </c>
      <c r="EI1382" s="314"/>
      <c r="EJ1382" s="247" t="str">
        <f t="shared" si="98"/>
        <v/>
      </c>
      <c r="EK1382" t="str">
        <f t="shared" si="99"/>
        <v/>
      </c>
    </row>
    <row r="1383" spans="138:141" x14ac:dyDescent="0.25">
      <c r="EH1383" s="313">
        <v>1380</v>
      </c>
      <c r="EI1383" s="314">
        <v>16.3901</v>
      </c>
      <c r="EJ1383" s="247">
        <f t="shared" si="98"/>
        <v>1</v>
      </c>
      <c r="EK1383">
        <f t="shared" si="99"/>
        <v>1.6724591836734692</v>
      </c>
    </row>
    <row r="1384" spans="138:141" x14ac:dyDescent="0.25">
      <c r="EH1384" s="313">
        <v>1381</v>
      </c>
      <c r="EI1384" s="314"/>
      <c r="EJ1384" s="247" t="str">
        <f t="shared" si="98"/>
        <v/>
      </c>
      <c r="EK1384" t="str">
        <f t="shared" si="99"/>
        <v/>
      </c>
    </row>
    <row r="1385" spans="138:141" x14ac:dyDescent="0.25">
      <c r="EH1385" s="313">
        <v>1382</v>
      </c>
      <c r="EI1385" s="314"/>
      <c r="EJ1385" s="247" t="str">
        <f t="shared" si="98"/>
        <v/>
      </c>
      <c r="EK1385" t="str">
        <f t="shared" si="99"/>
        <v/>
      </c>
    </row>
    <row r="1386" spans="138:141" x14ac:dyDescent="0.25">
      <c r="EH1386" s="313">
        <v>1383</v>
      </c>
      <c r="EI1386" s="314"/>
      <c r="EJ1386" s="247" t="str">
        <f t="shared" si="98"/>
        <v/>
      </c>
      <c r="EK1386" t="str">
        <f t="shared" si="99"/>
        <v/>
      </c>
    </row>
    <row r="1387" spans="138:141" x14ac:dyDescent="0.25">
      <c r="EH1387" s="313">
        <v>1384</v>
      </c>
      <c r="EI1387" s="314"/>
      <c r="EJ1387" s="247" t="str">
        <f t="shared" si="98"/>
        <v/>
      </c>
      <c r="EK1387" t="str">
        <f t="shared" si="99"/>
        <v/>
      </c>
    </row>
    <row r="1388" spans="138:141" x14ac:dyDescent="0.25">
      <c r="EH1388" s="313">
        <v>1385</v>
      </c>
      <c r="EI1388" s="314"/>
      <c r="EJ1388" s="247" t="str">
        <f t="shared" si="98"/>
        <v/>
      </c>
      <c r="EK1388" t="str">
        <f t="shared" si="99"/>
        <v/>
      </c>
    </row>
    <row r="1389" spans="138:141" x14ac:dyDescent="0.25">
      <c r="EH1389" s="313">
        <v>1386</v>
      </c>
      <c r="EI1389" s="314"/>
      <c r="EJ1389" s="247" t="str">
        <f t="shared" si="98"/>
        <v/>
      </c>
      <c r="EK1389" t="str">
        <f t="shared" si="99"/>
        <v/>
      </c>
    </row>
    <row r="1390" spans="138:141" x14ac:dyDescent="0.25">
      <c r="EH1390" s="313">
        <v>1387</v>
      </c>
      <c r="EI1390" s="314"/>
      <c r="EJ1390" s="247" t="str">
        <f t="shared" si="98"/>
        <v/>
      </c>
      <c r="EK1390" t="str">
        <f t="shared" si="99"/>
        <v/>
      </c>
    </row>
    <row r="1391" spans="138:141" x14ac:dyDescent="0.25">
      <c r="EH1391" s="313">
        <v>1388</v>
      </c>
      <c r="EI1391" s="314"/>
      <c r="EJ1391" s="247" t="str">
        <f t="shared" si="98"/>
        <v/>
      </c>
      <c r="EK1391" t="str">
        <f t="shared" si="99"/>
        <v/>
      </c>
    </row>
    <row r="1392" spans="138:141" x14ac:dyDescent="0.25">
      <c r="EH1392" s="313">
        <v>1389</v>
      </c>
      <c r="EI1392" s="314"/>
      <c r="EJ1392" s="247" t="str">
        <f t="shared" si="98"/>
        <v/>
      </c>
      <c r="EK1392" t="str">
        <f t="shared" si="99"/>
        <v/>
      </c>
    </row>
    <row r="1393" spans="138:141" x14ac:dyDescent="0.25">
      <c r="EH1393" s="313">
        <v>1390</v>
      </c>
      <c r="EI1393" s="314">
        <v>16.507000000000001</v>
      </c>
      <c r="EJ1393" s="247">
        <f t="shared" si="98"/>
        <v>1</v>
      </c>
      <c r="EK1393">
        <f t="shared" si="99"/>
        <v>1.6843877551020408</v>
      </c>
    </row>
    <row r="1394" spans="138:141" x14ac:dyDescent="0.25">
      <c r="EH1394" s="313">
        <v>1391</v>
      </c>
      <c r="EI1394" s="314"/>
      <c r="EJ1394" s="247" t="str">
        <f t="shared" si="98"/>
        <v/>
      </c>
      <c r="EK1394" t="str">
        <f t="shared" si="99"/>
        <v/>
      </c>
    </row>
    <row r="1395" spans="138:141" x14ac:dyDescent="0.25">
      <c r="EH1395" s="313">
        <v>1392</v>
      </c>
      <c r="EI1395" s="314"/>
      <c r="EJ1395" s="247" t="str">
        <f t="shared" si="98"/>
        <v/>
      </c>
      <c r="EK1395" t="str">
        <f t="shared" si="99"/>
        <v/>
      </c>
    </row>
    <row r="1396" spans="138:141" x14ac:dyDescent="0.25">
      <c r="EH1396" s="313">
        <v>1393</v>
      </c>
      <c r="EI1396" s="314"/>
      <c r="EJ1396" s="247" t="str">
        <f t="shared" si="98"/>
        <v/>
      </c>
      <c r="EK1396" t="str">
        <f t="shared" si="99"/>
        <v/>
      </c>
    </row>
    <row r="1397" spans="138:141" x14ac:dyDescent="0.25">
      <c r="EH1397" s="313">
        <v>1394</v>
      </c>
      <c r="EI1397" s="314"/>
      <c r="EJ1397" s="247" t="str">
        <f t="shared" si="98"/>
        <v/>
      </c>
      <c r="EK1397" t="str">
        <f t="shared" si="99"/>
        <v/>
      </c>
    </row>
    <row r="1398" spans="138:141" x14ac:dyDescent="0.25">
      <c r="EH1398" s="313">
        <v>1395</v>
      </c>
      <c r="EI1398" s="314"/>
      <c r="EJ1398" s="247" t="str">
        <f t="shared" si="98"/>
        <v/>
      </c>
      <c r="EK1398" t="str">
        <f t="shared" si="99"/>
        <v/>
      </c>
    </row>
    <row r="1399" spans="138:141" x14ac:dyDescent="0.25">
      <c r="EH1399" s="313">
        <v>1396</v>
      </c>
      <c r="EI1399" s="314"/>
      <c r="EJ1399" s="247" t="str">
        <f t="shared" si="98"/>
        <v/>
      </c>
      <c r="EK1399" t="str">
        <f t="shared" si="99"/>
        <v/>
      </c>
    </row>
    <row r="1400" spans="138:141" x14ac:dyDescent="0.25">
      <c r="EH1400" s="313">
        <v>1397</v>
      </c>
      <c r="EI1400" s="314"/>
      <c r="EJ1400" s="247" t="str">
        <f t="shared" si="98"/>
        <v/>
      </c>
      <c r="EK1400" t="str">
        <f t="shared" si="99"/>
        <v/>
      </c>
    </row>
    <row r="1401" spans="138:141" x14ac:dyDescent="0.25">
      <c r="EH1401" s="313">
        <v>1398</v>
      </c>
      <c r="EI1401" s="314"/>
      <c r="EJ1401" s="247" t="str">
        <f t="shared" si="98"/>
        <v/>
      </c>
      <c r="EK1401" t="str">
        <f t="shared" si="99"/>
        <v/>
      </c>
    </row>
    <row r="1402" spans="138:141" x14ac:dyDescent="0.25">
      <c r="EH1402" s="313">
        <v>1399</v>
      </c>
      <c r="EI1402" s="314"/>
      <c r="EJ1402" s="247" t="str">
        <f t="shared" si="98"/>
        <v/>
      </c>
      <c r="EK1402" t="str">
        <f t="shared" si="99"/>
        <v/>
      </c>
    </row>
    <row r="1403" spans="138:141" x14ac:dyDescent="0.25">
      <c r="EH1403" s="313">
        <v>1400</v>
      </c>
      <c r="EI1403" s="314">
        <v>16.623799999999999</v>
      </c>
      <c r="EJ1403" s="247">
        <f t="shared" si="98"/>
        <v>1</v>
      </c>
      <c r="EK1403">
        <f t="shared" si="99"/>
        <v>1.6963061224489795</v>
      </c>
    </row>
    <row r="1404" spans="138:141" x14ac:dyDescent="0.25">
      <c r="EH1404" s="313">
        <v>1401</v>
      </c>
      <c r="EI1404" s="314"/>
      <c r="EJ1404" s="247" t="str">
        <f t="shared" si="98"/>
        <v/>
      </c>
      <c r="EK1404" t="str">
        <f t="shared" si="99"/>
        <v/>
      </c>
    </row>
    <row r="1405" spans="138:141" x14ac:dyDescent="0.25">
      <c r="EH1405" s="313">
        <v>1402</v>
      </c>
      <c r="EI1405" s="314"/>
      <c r="EJ1405" s="247" t="str">
        <f t="shared" si="98"/>
        <v/>
      </c>
      <c r="EK1405" t="str">
        <f t="shared" si="99"/>
        <v/>
      </c>
    </row>
    <row r="1406" spans="138:141" x14ac:dyDescent="0.25">
      <c r="EH1406" s="313">
        <v>1403</v>
      </c>
      <c r="EI1406" s="314"/>
      <c r="EJ1406" s="247" t="str">
        <f t="shared" si="98"/>
        <v/>
      </c>
      <c r="EK1406" t="str">
        <f t="shared" si="99"/>
        <v/>
      </c>
    </row>
    <row r="1407" spans="138:141" x14ac:dyDescent="0.25">
      <c r="EH1407" s="313">
        <v>1404</v>
      </c>
      <c r="EI1407" s="314"/>
      <c r="EJ1407" s="247" t="str">
        <f t="shared" si="98"/>
        <v/>
      </c>
      <c r="EK1407" t="str">
        <f t="shared" si="99"/>
        <v/>
      </c>
    </row>
    <row r="1408" spans="138:141" x14ac:dyDescent="0.25">
      <c r="EH1408" s="313">
        <v>1405</v>
      </c>
      <c r="EI1408" s="314"/>
      <c r="EJ1408" s="247" t="str">
        <f t="shared" si="98"/>
        <v/>
      </c>
      <c r="EK1408" t="str">
        <f t="shared" si="99"/>
        <v/>
      </c>
    </row>
    <row r="1409" spans="138:141" x14ac:dyDescent="0.25">
      <c r="EH1409" s="313">
        <v>1406</v>
      </c>
      <c r="EI1409" s="314"/>
      <c r="EJ1409" s="247" t="str">
        <f t="shared" si="98"/>
        <v/>
      </c>
      <c r="EK1409" t="str">
        <f t="shared" si="99"/>
        <v/>
      </c>
    </row>
    <row r="1410" spans="138:141" x14ac:dyDescent="0.25">
      <c r="EH1410" s="313">
        <v>1407</v>
      </c>
      <c r="EI1410" s="314"/>
      <c r="EJ1410" s="247" t="str">
        <f t="shared" si="98"/>
        <v/>
      </c>
      <c r="EK1410" t="str">
        <f t="shared" si="99"/>
        <v/>
      </c>
    </row>
    <row r="1411" spans="138:141" x14ac:dyDescent="0.25">
      <c r="EH1411" s="313">
        <v>1408</v>
      </c>
      <c r="EI1411" s="314"/>
      <c r="EJ1411" s="247" t="str">
        <f t="shared" si="98"/>
        <v/>
      </c>
      <c r="EK1411" t="str">
        <f t="shared" si="99"/>
        <v/>
      </c>
    </row>
    <row r="1412" spans="138:141" x14ac:dyDescent="0.25">
      <c r="EH1412" s="313">
        <v>1409</v>
      </c>
      <c r="EI1412" s="314"/>
      <c r="EJ1412" s="247" t="str">
        <f t="shared" si="98"/>
        <v/>
      </c>
      <c r="EK1412" t="str">
        <f t="shared" si="99"/>
        <v/>
      </c>
    </row>
    <row r="1413" spans="138:141" x14ac:dyDescent="0.25">
      <c r="EH1413" s="313">
        <v>1410</v>
      </c>
      <c r="EI1413" s="314">
        <v>16.740600000000001</v>
      </c>
      <c r="EJ1413" s="247">
        <f t="shared" ref="EJ1413:EJ1476" si="100">IF(EI1413="","",1)</f>
        <v>1</v>
      </c>
      <c r="EK1413">
        <f t="shared" ref="EK1413:EK1476" si="101">IF(EI1413="","",EI1413/9.8)</f>
        <v>1.7082244897959182</v>
      </c>
    </row>
    <row r="1414" spans="138:141" x14ac:dyDescent="0.25">
      <c r="EH1414" s="313">
        <v>1411</v>
      </c>
      <c r="EI1414" s="314"/>
      <c r="EJ1414" s="247" t="str">
        <f t="shared" si="100"/>
        <v/>
      </c>
      <c r="EK1414" t="str">
        <f t="shared" si="101"/>
        <v/>
      </c>
    </row>
    <row r="1415" spans="138:141" x14ac:dyDescent="0.25">
      <c r="EH1415" s="313">
        <v>1412</v>
      </c>
      <c r="EI1415" s="314"/>
      <c r="EJ1415" s="247" t="str">
        <f t="shared" si="100"/>
        <v/>
      </c>
      <c r="EK1415" t="str">
        <f t="shared" si="101"/>
        <v/>
      </c>
    </row>
    <row r="1416" spans="138:141" x14ac:dyDescent="0.25">
      <c r="EH1416" s="313">
        <v>1413</v>
      </c>
      <c r="EI1416" s="314"/>
      <c r="EJ1416" s="247" t="str">
        <f t="shared" si="100"/>
        <v/>
      </c>
      <c r="EK1416" t="str">
        <f t="shared" si="101"/>
        <v/>
      </c>
    </row>
    <row r="1417" spans="138:141" x14ac:dyDescent="0.25">
      <c r="EH1417" s="313">
        <v>1414</v>
      </c>
      <c r="EI1417" s="314"/>
      <c r="EJ1417" s="247" t="str">
        <f t="shared" si="100"/>
        <v/>
      </c>
      <c r="EK1417" t="str">
        <f t="shared" si="101"/>
        <v/>
      </c>
    </row>
    <row r="1418" spans="138:141" x14ac:dyDescent="0.25">
      <c r="EH1418" s="313">
        <v>1415</v>
      </c>
      <c r="EI1418" s="314"/>
      <c r="EJ1418" s="247" t="str">
        <f t="shared" si="100"/>
        <v/>
      </c>
      <c r="EK1418" t="str">
        <f t="shared" si="101"/>
        <v/>
      </c>
    </row>
    <row r="1419" spans="138:141" x14ac:dyDescent="0.25">
      <c r="EH1419" s="313">
        <v>1416</v>
      </c>
      <c r="EI1419" s="314"/>
      <c r="EJ1419" s="247" t="str">
        <f t="shared" si="100"/>
        <v/>
      </c>
      <c r="EK1419" t="str">
        <f t="shared" si="101"/>
        <v/>
      </c>
    </row>
    <row r="1420" spans="138:141" x14ac:dyDescent="0.25">
      <c r="EH1420" s="313">
        <v>1417</v>
      </c>
      <c r="EI1420" s="314"/>
      <c r="EJ1420" s="247" t="str">
        <f t="shared" si="100"/>
        <v/>
      </c>
      <c r="EK1420" t="str">
        <f t="shared" si="101"/>
        <v/>
      </c>
    </row>
    <row r="1421" spans="138:141" x14ac:dyDescent="0.25">
      <c r="EH1421" s="313">
        <v>1418</v>
      </c>
      <c r="EI1421" s="314"/>
      <c r="EJ1421" s="247" t="str">
        <f t="shared" si="100"/>
        <v/>
      </c>
      <c r="EK1421" t="str">
        <f t="shared" si="101"/>
        <v/>
      </c>
    </row>
    <row r="1422" spans="138:141" x14ac:dyDescent="0.25">
      <c r="EH1422" s="313">
        <v>1419</v>
      </c>
      <c r="EI1422" s="314"/>
      <c r="EJ1422" s="247" t="str">
        <f t="shared" si="100"/>
        <v/>
      </c>
      <c r="EK1422" t="str">
        <f t="shared" si="101"/>
        <v/>
      </c>
    </row>
    <row r="1423" spans="138:141" x14ac:dyDescent="0.25">
      <c r="EH1423" s="313">
        <v>1420</v>
      </c>
      <c r="EI1423" s="314">
        <v>16.857399999999998</v>
      </c>
      <c r="EJ1423" s="247">
        <f t="shared" si="100"/>
        <v>1</v>
      </c>
      <c r="EK1423">
        <f t="shared" si="101"/>
        <v>1.7201428571428568</v>
      </c>
    </row>
    <row r="1424" spans="138:141" x14ac:dyDescent="0.25">
      <c r="EH1424" s="313">
        <v>1421</v>
      </c>
      <c r="EI1424" s="314"/>
      <c r="EJ1424" s="247" t="str">
        <f t="shared" si="100"/>
        <v/>
      </c>
      <c r="EK1424" t="str">
        <f t="shared" si="101"/>
        <v/>
      </c>
    </row>
    <row r="1425" spans="138:141" x14ac:dyDescent="0.25">
      <c r="EH1425" s="313">
        <v>1422</v>
      </c>
      <c r="EI1425" s="314"/>
      <c r="EJ1425" s="247" t="str">
        <f t="shared" si="100"/>
        <v/>
      </c>
      <c r="EK1425" t="str">
        <f t="shared" si="101"/>
        <v/>
      </c>
    </row>
    <row r="1426" spans="138:141" x14ac:dyDescent="0.25">
      <c r="EH1426" s="313">
        <v>1423</v>
      </c>
      <c r="EI1426" s="314"/>
      <c r="EJ1426" s="247" t="str">
        <f t="shared" si="100"/>
        <v/>
      </c>
      <c r="EK1426" t="str">
        <f t="shared" si="101"/>
        <v/>
      </c>
    </row>
    <row r="1427" spans="138:141" x14ac:dyDescent="0.25">
      <c r="EH1427" s="313">
        <v>1424</v>
      </c>
      <c r="EI1427" s="314"/>
      <c r="EJ1427" s="247" t="str">
        <f t="shared" si="100"/>
        <v/>
      </c>
      <c r="EK1427" t="str">
        <f t="shared" si="101"/>
        <v/>
      </c>
    </row>
    <row r="1428" spans="138:141" x14ac:dyDescent="0.25">
      <c r="EH1428" s="313">
        <v>1425</v>
      </c>
      <c r="EI1428" s="314"/>
      <c r="EJ1428" s="247" t="str">
        <f t="shared" si="100"/>
        <v/>
      </c>
      <c r="EK1428" t="str">
        <f t="shared" si="101"/>
        <v/>
      </c>
    </row>
    <row r="1429" spans="138:141" x14ac:dyDescent="0.25">
      <c r="EH1429" s="313">
        <v>1426</v>
      </c>
      <c r="EI1429" s="314"/>
      <c r="EJ1429" s="247" t="str">
        <f t="shared" si="100"/>
        <v/>
      </c>
      <c r="EK1429" t="str">
        <f t="shared" si="101"/>
        <v/>
      </c>
    </row>
    <row r="1430" spans="138:141" x14ac:dyDescent="0.25">
      <c r="EH1430" s="313">
        <v>1427</v>
      </c>
      <c r="EI1430" s="314"/>
      <c r="EJ1430" s="247" t="str">
        <f t="shared" si="100"/>
        <v/>
      </c>
      <c r="EK1430" t="str">
        <f t="shared" si="101"/>
        <v/>
      </c>
    </row>
    <row r="1431" spans="138:141" x14ac:dyDescent="0.25">
      <c r="EH1431" s="313">
        <v>1428</v>
      </c>
      <c r="EI1431" s="314"/>
      <c r="EJ1431" s="247" t="str">
        <f t="shared" si="100"/>
        <v/>
      </c>
      <c r="EK1431" t="str">
        <f t="shared" si="101"/>
        <v/>
      </c>
    </row>
    <row r="1432" spans="138:141" x14ac:dyDescent="0.25">
      <c r="EH1432" s="313">
        <v>1429</v>
      </c>
      <c r="EI1432" s="314"/>
      <c r="EJ1432" s="247" t="str">
        <f t="shared" si="100"/>
        <v/>
      </c>
      <c r="EK1432" t="str">
        <f t="shared" si="101"/>
        <v/>
      </c>
    </row>
    <row r="1433" spans="138:141" x14ac:dyDescent="0.25">
      <c r="EH1433" s="313">
        <v>1430</v>
      </c>
      <c r="EI1433" s="314">
        <v>16.9742</v>
      </c>
      <c r="EJ1433" s="247">
        <f t="shared" si="100"/>
        <v>1</v>
      </c>
      <c r="EK1433">
        <f t="shared" si="101"/>
        <v>1.7320612244897957</v>
      </c>
    </row>
    <row r="1434" spans="138:141" x14ac:dyDescent="0.25">
      <c r="EH1434" s="313">
        <v>1431</v>
      </c>
      <c r="EI1434" s="314"/>
      <c r="EJ1434" s="247" t="str">
        <f t="shared" si="100"/>
        <v/>
      </c>
      <c r="EK1434" t="str">
        <f t="shared" si="101"/>
        <v/>
      </c>
    </row>
    <row r="1435" spans="138:141" x14ac:dyDescent="0.25">
      <c r="EH1435" s="313">
        <v>1432</v>
      </c>
      <c r="EI1435" s="314"/>
      <c r="EJ1435" s="247" t="str">
        <f t="shared" si="100"/>
        <v/>
      </c>
      <c r="EK1435" t="str">
        <f t="shared" si="101"/>
        <v/>
      </c>
    </row>
    <row r="1436" spans="138:141" x14ac:dyDescent="0.25">
      <c r="EH1436" s="313">
        <v>1433</v>
      </c>
      <c r="EI1436" s="314"/>
      <c r="EJ1436" s="247" t="str">
        <f t="shared" si="100"/>
        <v/>
      </c>
      <c r="EK1436" t="str">
        <f t="shared" si="101"/>
        <v/>
      </c>
    </row>
    <row r="1437" spans="138:141" x14ac:dyDescent="0.25">
      <c r="EH1437" s="313">
        <v>1434</v>
      </c>
      <c r="EI1437" s="314"/>
      <c r="EJ1437" s="247" t="str">
        <f t="shared" si="100"/>
        <v/>
      </c>
      <c r="EK1437" t="str">
        <f t="shared" si="101"/>
        <v/>
      </c>
    </row>
    <row r="1438" spans="138:141" x14ac:dyDescent="0.25">
      <c r="EH1438" s="313">
        <v>1435</v>
      </c>
      <c r="EI1438" s="314"/>
      <c r="EJ1438" s="247" t="str">
        <f t="shared" si="100"/>
        <v/>
      </c>
      <c r="EK1438" t="str">
        <f t="shared" si="101"/>
        <v/>
      </c>
    </row>
    <row r="1439" spans="138:141" x14ac:dyDescent="0.25">
      <c r="EH1439" s="313">
        <v>1436</v>
      </c>
      <c r="EI1439" s="314"/>
      <c r="EJ1439" s="247" t="str">
        <f t="shared" si="100"/>
        <v/>
      </c>
      <c r="EK1439" t="str">
        <f t="shared" si="101"/>
        <v/>
      </c>
    </row>
    <row r="1440" spans="138:141" x14ac:dyDescent="0.25">
      <c r="EH1440" s="313">
        <v>1437</v>
      </c>
      <c r="EI1440" s="314"/>
      <c r="EJ1440" s="247" t="str">
        <f t="shared" si="100"/>
        <v/>
      </c>
      <c r="EK1440" t="str">
        <f t="shared" si="101"/>
        <v/>
      </c>
    </row>
    <row r="1441" spans="138:141" x14ac:dyDescent="0.25">
      <c r="EH1441" s="313">
        <v>1438</v>
      </c>
      <c r="EI1441" s="314"/>
      <c r="EJ1441" s="247" t="str">
        <f t="shared" si="100"/>
        <v/>
      </c>
      <c r="EK1441" t="str">
        <f t="shared" si="101"/>
        <v/>
      </c>
    </row>
    <row r="1442" spans="138:141" x14ac:dyDescent="0.25">
      <c r="EH1442" s="313">
        <v>1439</v>
      </c>
      <c r="EI1442" s="314"/>
      <c r="EJ1442" s="247" t="str">
        <f t="shared" si="100"/>
        <v/>
      </c>
      <c r="EK1442" t="str">
        <f t="shared" si="101"/>
        <v/>
      </c>
    </row>
    <row r="1443" spans="138:141" x14ac:dyDescent="0.25">
      <c r="EH1443" s="313">
        <v>1440</v>
      </c>
      <c r="EI1443" s="314">
        <v>17.091100000000001</v>
      </c>
      <c r="EJ1443" s="247">
        <f t="shared" si="100"/>
        <v>1</v>
      </c>
      <c r="EK1443">
        <f t="shared" si="101"/>
        <v>1.7439897959183672</v>
      </c>
    </row>
    <row r="1444" spans="138:141" x14ac:dyDescent="0.25">
      <c r="EH1444" s="313">
        <v>1441</v>
      </c>
      <c r="EI1444" s="314"/>
      <c r="EJ1444" s="247" t="str">
        <f t="shared" si="100"/>
        <v/>
      </c>
      <c r="EK1444" t="str">
        <f t="shared" si="101"/>
        <v/>
      </c>
    </row>
    <row r="1445" spans="138:141" x14ac:dyDescent="0.25">
      <c r="EH1445" s="313">
        <v>1442</v>
      </c>
      <c r="EI1445" s="314"/>
      <c r="EJ1445" s="247" t="str">
        <f t="shared" si="100"/>
        <v/>
      </c>
      <c r="EK1445" t="str">
        <f t="shared" si="101"/>
        <v/>
      </c>
    </row>
    <row r="1446" spans="138:141" x14ac:dyDescent="0.25">
      <c r="EH1446" s="313">
        <v>1443</v>
      </c>
      <c r="EI1446" s="314"/>
      <c r="EJ1446" s="247" t="str">
        <f t="shared" si="100"/>
        <v/>
      </c>
      <c r="EK1446" t="str">
        <f t="shared" si="101"/>
        <v/>
      </c>
    </row>
    <row r="1447" spans="138:141" x14ac:dyDescent="0.25">
      <c r="EH1447" s="313">
        <v>1444</v>
      </c>
      <c r="EI1447" s="314"/>
      <c r="EJ1447" s="247" t="str">
        <f t="shared" si="100"/>
        <v/>
      </c>
      <c r="EK1447" t="str">
        <f t="shared" si="101"/>
        <v/>
      </c>
    </row>
    <row r="1448" spans="138:141" x14ac:dyDescent="0.25">
      <c r="EH1448" s="313">
        <v>1445</v>
      </c>
      <c r="EI1448" s="314"/>
      <c r="EJ1448" s="247" t="str">
        <f t="shared" si="100"/>
        <v/>
      </c>
      <c r="EK1448" t="str">
        <f t="shared" si="101"/>
        <v/>
      </c>
    </row>
    <row r="1449" spans="138:141" x14ac:dyDescent="0.25">
      <c r="EH1449" s="313">
        <v>1446</v>
      </c>
      <c r="EI1449" s="314"/>
      <c r="EJ1449" s="247" t="str">
        <f t="shared" si="100"/>
        <v/>
      </c>
      <c r="EK1449" t="str">
        <f t="shared" si="101"/>
        <v/>
      </c>
    </row>
    <row r="1450" spans="138:141" x14ac:dyDescent="0.25">
      <c r="EH1450" s="313">
        <v>1447</v>
      </c>
      <c r="EI1450" s="314"/>
      <c r="EJ1450" s="247" t="str">
        <f t="shared" si="100"/>
        <v/>
      </c>
      <c r="EK1450" t="str">
        <f t="shared" si="101"/>
        <v/>
      </c>
    </row>
    <row r="1451" spans="138:141" x14ac:dyDescent="0.25">
      <c r="EH1451" s="313">
        <v>1448</v>
      </c>
      <c r="EI1451" s="314"/>
      <c r="EJ1451" s="247" t="str">
        <f t="shared" si="100"/>
        <v/>
      </c>
      <c r="EK1451" t="str">
        <f t="shared" si="101"/>
        <v/>
      </c>
    </row>
    <row r="1452" spans="138:141" x14ac:dyDescent="0.25">
      <c r="EH1452" s="313">
        <v>1449</v>
      </c>
      <c r="EI1452" s="314"/>
      <c r="EJ1452" s="247" t="str">
        <f t="shared" si="100"/>
        <v/>
      </c>
      <c r="EK1452" t="str">
        <f t="shared" si="101"/>
        <v/>
      </c>
    </row>
    <row r="1453" spans="138:141" x14ac:dyDescent="0.25">
      <c r="EH1453" s="313">
        <v>1450</v>
      </c>
      <c r="EI1453" s="314">
        <v>17.207899999999999</v>
      </c>
      <c r="EJ1453" s="247">
        <f t="shared" si="100"/>
        <v>1</v>
      </c>
      <c r="EK1453">
        <f t="shared" si="101"/>
        <v>1.755908163265306</v>
      </c>
    </row>
    <row r="1454" spans="138:141" x14ac:dyDescent="0.25">
      <c r="EH1454" s="313">
        <v>1451</v>
      </c>
      <c r="EI1454" s="314"/>
      <c r="EJ1454" s="247" t="str">
        <f t="shared" si="100"/>
        <v/>
      </c>
      <c r="EK1454" t="str">
        <f t="shared" si="101"/>
        <v/>
      </c>
    </row>
    <row r="1455" spans="138:141" x14ac:dyDescent="0.25">
      <c r="EH1455" s="313">
        <v>1452</v>
      </c>
      <c r="EI1455" s="314"/>
      <c r="EJ1455" s="247" t="str">
        <f t="shared" si="100"/>
        <v/>
      </c>
      <c r="EK1455" t="str">
        <f t="shared" si="101"/>
        <v/>
      </c>
    </row>
    <row r="1456" spans="138:141" x14ac:dyDescent="0.25">
      <c r="EH1456" s="313">
        <v>1453</v>
      </c>
      <c r="EI1456" s="314"/>
      <c r="EJ1456" s="247" t="str">
        <f t="shared" si="100"/>
        <v/>
      </c>
      <c r="EK1456" t="str">
        <f t="shared" si="101"/>
        <v/>
      </c>
    </row>
    <row r="1457" spans="138:141" x14ac:dyDescent="0.25">
      <c r="EH1457" s="313">
        <v>1454</v>
      </c>
      <c r="EI1457" s="314"/>
      <c r="EJ1457" s="247" t="str">
        <f t="shared" si="100"/>
        <v/>
      </c>
      <c r="EK1457" t="str">
        <f t="shared" si="101"/>
        <v/>
      </c>
    </row>
    <row r="1458" spans="138:141" x14ac:dyDescent="0.25">
      <c r="EH1458" s="313">
        <v>1455</v>
      </c>
      <c r="EI1458" s="314"/>
      <c r="EJ1458" s="247" t="str">
        <f t="shared" si="100"/>
        <v/>
      </c>
      <c r="EK1458" t="str">
        <f t="shared" si="101"/>
        <v/>
      </c>
    </row>
    <row r="1459" spans="138:141" x14ac:dyDescent="0.25">
      <c r="EH1459" s="313">
        <v>1456</v>
      </c>
      <c r="EI1459" s="314"/>
      <c r="EJ1459" s="247" t="str">
        <f t="shared" si="100"/>
        <v/>
      </c>
      <c r="EK1459" t="str">
        <f t="shared" si="101"/>
        <v/>
      </c>
    </row>
    <row r="1460" spans="138:141" x14ac:dyDescent="0.25">
      <c r="EH1460" s="313">
        <v>1457</v>
      </c>
      <c r="EI1460" s="314"/>
      <c r="EJ1460" s="247" t="str">
        <f t="shared" si="100"/>
        <v/>
      </c>
      <c r="EK1460" t="str">
        <f t="shared" si="101"/>
        <v/>
      </c>
    </row>
    <row r="1461" spans="138:141" x14ac:dyDescent="0.25">
      <c r="EH1461" s="313">
        <v>1458</v>
      </c>
      <c r="EI1461" s="314"/>
      <c r="EJ1461" s="247" t="str">
        <f t="shared" si="100"/>
        <v/>
      </c>
      <c r="EK1461" t="str">
        <f t="shared" si="101"/>
        <v/>
      </c>
    </row>
    <row r="1462" spans="138:141" x14ac:dyDescent="0.25">
      <c r="EH1462" s="313">
        <v>1459</v>
      </c>
      <c r="EI1462" s="314"/>
      <c r="EJ1462" s="247" t="str">
        <f t="shared" si="100"/>
        <v/>
      </c>
      <c r="EK1462" t="str">
        <f t="shared" si="101"/>
        <v/>
      </c>
    </row>
    <row r="1463" spans="138:141" x14ac:dyDescent="0.25">
      <c r="EH1463" s="313">
        <v>1460</v>
      </c>
      <c r="EI1463" s="314">
        <v>17.3247</v>
      </c>
      <c r="EJ1463" s="247">
        <f t="shared" si="100"/>
        <v>1</v>
      </c>
      <c r="EK1463">
        <f t="shared" si="101"/>
        <v>1.7678265306122447</v>
      </c>
    </row>
    <row r="1464" spans="138:141" x14ac:dyDescent="0.25">
      <c r="EH1464" s="313">
        <v>1461</v>
      </c>
      <c r="EI1464" s="314"/>
      <c r="EJ1464" s="247" t="str">
        <f t="shared" si="100"/>
        <v/>
      </c>
      <c r="EK1464" t="str">
        <f t="shared" si="101"/>
        <v/>
      </c>
    </row>
    <row r="1465" spans="138:141" x14ac:dyDescent="0.25">
      <c r="EH1465" s="313">
        <v>1462</v>
      </c>
      <c r="EI1465" s="314"/>
      <c r="EJ1465" s="247" t="str">
        <f t="shared" si="100"/>
        <v/>
      </c>
      <c r="EK1465" t="str">
        <f t="shared" si="101"/>
        <v/>
      </c>
    </row>
    <row r="1466" spans="138:141" x14ac:dyDescent="0.25">
      <c r="EH1466" s="313">
        <v>1463</v>
      </c>
      <c r="EI1466" s="314"/>
      <c r="EJ1466" s="247" t="str">
        <f t="shared" si="100"/>
        <v/>
      </c>
      <c r="EK1466" t="str">
        <f t="shared" si="101"/>
        <v/>
      </c>
    </row>
    <row r="1467" spans="138:141" x14ac:dyDescent="0.25">
      <c r="EH1467" s="313">
        <v>1464</v>
      </c>
      <c r="EI1467" s="314"/>
      <c r="EJ1467" s="247" t="str">
        <f t="shared" si="100"/>
        <v/>
      </c>
      <c r="EK1467" t="str">
        <f t="shared" si="101"/>
        <v/>
      </c>
    </row>
    <row r="1468" spans="138:141" x14ac:dyDescent="0.25">
      <c r="EH1468" s="313">
        <v>1465</v>
      </c>
      <c r="EI1468" s="314"/>
      <c r="EJ1468" s="247" t="str">
        <f t="shared" si="100"/>
        <v/>
      </c>
      <c r="EK1468" t="str">
        <f t="shared" si="101"/>
        <v/>
      </c>
    </row>
    <row r="1469" spans="138:141" x14ac:dyDescent="0.25">
      <c r="EH1469" s="313">
        <v>1466</v>
      </c>
      <c r="EI1469" s="314"/>
      <c r="EJ1469" s="247" t="str">
        <f t="shared" si="100"/>
        <v/>
      </c>
      <c r="EK1469" t="str">
        <f t="shared" si="101"/>
        <v/>
      </c>
    </row>
    <row r="1470" spans="138:141" x14ac:dyDescent="0.25">
      <c r="EH1470" s="313">
        <v>1467</v>
      </c>
      <c r="EI1470" s="314"/>
      <c r="EJ1470" s="247" t="str">
        <f t="shared" si="100"/>
        <v/>
      </c>
      <c r="EK1470" t="str">
        <f t="shared" si="101"/>
        <v/>
      </c>
    </row>
    <row r="1471" spans="138:141" x14ac:dyDescent="0.25">
      <c r="EH1471" s="313">
        <v>1468</v>
      </c>
      <c r="EI1471" s="314"/>
      <c r="EJ1471" s="247" t="str">
        <f t="shared" si="100"/>
        <v/>
      </c>
      <c r="EK1471" t="str">
        <f t="shared" si="101"/>
        <v/>
      </c>
    </row>
    <row r="1472" spans="138:141" x14ac:dyDescent="0.25">
      <c r="EH1472" s="313">
        <v>1469</v>
      </c>
      <c r="EI1472" s="314"/>
      <c r="EJ1472" s="247" t="str">
        <f t="shared" si="100"/>
        <v/>
      </c>
      <c r="EK1472" t="str">
        <f t="shared" si="101"/>
        <v/>
      </c>
    </row>
    <row r="1473" spans="138:141" x14ac:dyDescent="0.25">
      <c r="EH1473" s="313">
        <v>1470</v>
      </c>
      <c r="EI1473" s="314">
        <v>17.441500000000001</v>
      </c>
      <c r="EJ1473" s="247">
        <f t="shared" si="100"/>
        <v>1</v>
      </c>
      <c r="EK1473">
        <f t="shared" si="101"/>
        <v>1.7797448979591837</v>
      </c>
    </row>
    <row r="1474" spans="138:141" x14ac:dyDescent="0.25">
      <c r="EH1474" s="313">
        <v>1471</v>
      </c>
      <c r="EI1474" s="314"/>
      <c r="EJ1474" s="247" t="str">
        <f t="shared" si="100"/>
        <v/>
      </c>
      <c r="EK1474" t="str">
        <f t="shared" si="101"/>
        <v/>
      </c>
    </row>
    <row r="1475" spans="138:141" x14ac:dyDescent="0.25">
      <c r="EH1475" s="313">
        <v>1472</v>
      </c>
      <c r="EI1475" s="314"/>
      <c r="EJ1475" s="247" t="str">
        <f t="shared" si="100"/>
        <v/>
      </c>
      <c r="EK1475" t="str">
        <f t="shared" si="101"/>
        <v/>
      </c>
    </row>
    <row r="1476" spans="138:141" x14ac:dyDescent="0.25">
      <c r="EH1476" s="313">
        <v>1473</v>
      </c>
      <c r="EI1476" s="314"/>
      <c r="EJ1476" s="247" t="str">
        <f t="shared" si="100"/>
        <v/>
      </c>
      <c r="EK1476" t="str">
        <f t="shared" si="101"/>
        <v/>
      </c>
    </row>
    <row r="1477" spans="138:141" x14ac:dyDescent="0.25">
      <c r="EH1477" s="313">
        <v>1474</v>
      </c>
      <c r="EI1477" s="314"/>
      <c r="EJ1477" s="247" t="str">
        <f t="shared" ref="EJ1477:EJ1540" si="102">IF(EI1477="","",1)</f>
        <v/>
      </c>
      <c r="EK1477" t="str">
        <f t="shared" ref="EK1477:EK1540" si="103">IF(EI1477="","",EI1477/9.8)</f>
        <v/>
      </c>
    </row>
    <row r="1478" spans="138:141" x14ac:dyDescent="0.25">
      <c r="EH1478" s="313">
        <v>1475</v>
      </c>
      <c r="EI1478" s="314"/>
      <c r="EJ1478" s="247" t="str">
        <f t="shared" si="102"/>
        <v/>
      </c>
      <c r="EK1478" t="str">
        <f t="shared" si="103"/>
        <v/>
      </c>
    </row>
    <row r="1479" spans="138:141" x14ac:dyDescent="0.25">
      <c r="EH1479" s="313">
        <v>1476</v>
      </c>
      <c r="EI1479" s="314"/>
      <c r="EJ1479" s="247" t="str">
        <f t="shared" si="102"/>
        <v/>
      </c>
      <c r="EK1479" t="str">
        <f t="shared" si="103"/>
        <v/>
      </c>
    </row>
    <row r="1480" spans="138:141" x14ac:dyDescent="0.25">
      <c r="EH1480" s="313">
        <v>1477</v>
      </c>
      <c r="EI1480" s="314"/>
      <c r="EJ1480" s="247" t="str">
        <f t="shared" si="102"/>
        <v/>
      </c>
      <c r="EK1480" t="str">
        <f t="shared" si="103"/>
        <v/>
      </c>
    </row>
    <row r="1481" spans="138:141" x14ac:dyDescent="0.25">
      <c r="EH1481" s="313">
        <v>1478</v>
      </c>
      <c r="EI1481" s="314"/>
      <c r="EJ1481" s="247" t="str">
        <f t="shared" si="102"/>
        <v/>
      </c>
      <c r="EK1481" t="str">
        <f t="shared" si="103"/>
        <v/>
      </c>
    </row>
    <row r="1482" spans="138:141" x14ac:dyDescent="0.25">
      <c r="EH1482" s="313">
        <v>1479</v>
      </c>
      <c r="EI1482" s="314"/>
      <c r="EJ1482" s="247" t="str">
        <f t="shared" si="102"/>
        <v/>
      </c>
      <c r="EK1482" t="str">
        <f t="shared" si="103"/>
        <v/>
      </c>
    </row>
    <row r="1483" spans="138:141" x14ac:dyDescent="0.25">
      <c r="EH1483" s="313">
        <v>1480</v>
      </c>
      <c r="EI1483" s="314">
        <v>17.558399999999999</v>
      </c>
      <c r="EJ1483" s="247">
        <f t="shared" si="102"/>
        <v>1</v>
      </c>
      <c r="EK1483">
        <f t="shared" si="103"/>
        <v>1.791673469387755</v>
      </c>
    </row>
    <row r="1484" spans="138:141" x14ac:dyDescent="0.25">
      <c r="EH1484" s="313">
        <v>1481</v>
      </c>
      <c r="EI1484" s="314"/>
      <c r="EJ1484" s="247" t="str">
        <f t="shared" si="102"/>
        <v/>
      </c>
      <c r="EK1484" t="str">
        <f t="shared" si="103"/>
        <v/>
      </c>
    </row>
    <row r="1485" spans="138:141" x14ac:dyDescent="0.25">
      <c r="EH1485" s="313">
        <v>1482</v>
      </c>
      <c r="EI1485" s="314"/>
      <c r="EJ1485" s="247" t="str">
        <f t="shared" si="102"/>
        <v/>
      </c>
      <c r="EK1485" t="str">
        <f t="shared" si="103"/>
        <v/>
      </c>
    </row>
    <row r="1486" spans="138:141" x14ac:dyDescent="0.25">
      <c r="EH1486" s="313">
        <v>1483</v>
      </c>
      <c r="EI1486" s="314"/>
      <c r="EJ1486" s="247" t="str">
        <f t="shared" si="102"/>
        <v/>
      </c>
      <c r="EK1486" t="str">
        <f t="shared" si="103"/>
        <v/>
      </c>
    </row>
    <row r="1487" spans="138:141" x14ac:dyDescent="0.25">
      <c r="EH1487" s="313">
        <v>1484</v>
      </c>
      <c r="EI1487" s="314"/>
      <c r="EJ1487" s="247" t="str">
        <f t="shared" si="102"/>
        <v/>
      </c>
      <c r="EK1487" t="str">
        <f t="shared" si="103"/>
        <v/>
      </c>
    </row>
    <row r="1488" spans="138:141" x14ac:dyDescent="0.25">
      <c r="EH1488" s="313">
        <v>1485</v>
      </c>
      <c r="EI1488" s="314"/>
      <c r="EJ1488" s="247" t="str">
        <f t="shared" si="102"/>
        <v/>
      </c>
      <c r="EK1488" t="str">
        <f t="shared" si="103"/>
        <v/>
      </c>
    </row>
    <row r="1489" spans="138:141" x14ac:dyDescent="0.25">
      <c r="EH1489" s="313">
        <v>1486</v>
      </c>
      <c r="EI1489" s="314"/>
      <c r="EJ1489" s="247" t="str">
        <f t="shared" si="102"/>
        <v/>
      </c>
      <c r="EK1489" t="str">
        <f t="shared" si="103"/>
        <v/>
      </c>
    </row>
    <row r="1490" spans="138:141" x14ac:dyDescent="0.25">
      <c r="EH1490" s="313">
        <v>1487</v>
      </c>
      <c r="EI1490" s="314"/>
      <c r="EJ1490" s="247" t="str">
        <f t="shared" si="102"/>
        <v/>
      </c>
      <c r="EK1490" t="str">
        <f t="shared" si="103"/>
        <v/>
      </c>
    </row>
    <row r="1491" spans="138:141" x14ac:dyDescent="0.25">
      <c r="EH1491" s="313">
        <v>1488</v>
      </c>
      <c r="EI1491" s="314"/>
      <c r="EJ1491" s="247" t="str">
        <f t="shared" si="102"/>
        <v/>
      </c>
      <c r="EK1491" t="str">
        <f t="shared" si="103"/>
        <v/>
      </c>
    </row>
    <row r="1492" spans="138:141" x14ac:dyDescent="0.25">
      <c r="EH1492" s="313">
        <v>1489</v>
      </c>
      <c r="EI1492" s="314"/>
      <c r="EJ1492" s="247" t="str">
        <f t="shared" si="102"/>
        <v/>
      </c>
      <c r="EK1492" t="str">
        <f t="shared" si="103"/>
        <v/>
      </c>
    </row>
    <row r="1493" spans="138:141" x14ac:dyDescent="0.25">
      <c r="EH1493" s="313">
        <v>1490</v>
      </c>
      <c r="EI1493" s="314">
        <v>17.6752</v>
      </c>
      <c r="EJ1493" s="247">
        <f t="shared" si="102"/>
        <v>1</v>
      </c>
      <c r="EK1493">
        <f t="shared" si="103"/>
        <v>1.8035918367346937</v>
      </c>
    </row>
    <row r="1494" spans="138:141" x14ac:dyDescent="0.25">
      <c r="EH1494" s="313">
        <v>1491</v>
      </c>
      <c r="EI1494" s="314"/>
      <c r="EJ1494" s="247" t="str">
        <f t="shared" si="102"/>
        <v/>
      </c>
      <c r="EK1494" t="str">
        <f t="shared" si="103"/>
        <v/>
      </c>
    </row>
    <row r="1495" spans="138:141" x14ac:dyDescent="0.25">
      <c r="EH1495" s="313">
        <v>1492</v>
      </c>
      <c r="EI1495" s="314"/>
      <c r="EJ1495" s="247" t="str">
        <f t="shared" si="102"/>
        <v/>
      </c>
      <c r="EK1495" t="str">
        <f t="shared" si="103"/>
        <v/>
      </c>
    </row>
    <row r="1496" spans="138:141" x14ac:dyDescent="0.25">
      <c r="EH1496" s="313">
        <v>1493</v>
      </c>
      <c r="EI1496" s="314"/>
      <c r="EJ1496" s="247" t="str">
        <f t="shared" si="102"/>
        <v/>
      </c>
      <c r="EK1496" t="str">
        <f t="shared" si="103"/>
        <v/>
      </c>
    </row>
    <row r="1497" spans="138:141" x14ac:dyDescent="0.25">
      <c r="EH1497" s="313">
        <v>1494</v>
      </c>
      <c r="EI1497" s="314"/>
      <c r="EJ1497" s="247" t="str">
        <f t="shared" si="102"/>
        <v/>
      </c>
      <c r="EK1497" t="str">
        <f t="shared" si="103"/>
        <v/>
      </c>
    </row>
    <row r="1498" spans="138:141" x14ac:dyDescent="0.25">
      <c r="EH1498" s="313">
        <v>1495</v>
      </c>
      <c r="EI1498" s="314"/>
      <c r="EJ1498" s="247" t="str">
        <f t="shared" si="102"/>
        <v/>
      </c>
      <c r="EK1498" t="str">
        <f t="shared" si="103"/>
        <v/>
      </c>
    </row>
    <row r="1499" spans="138:141" x14ac:dyDescent="0.25">
      <c r="EH1499" s="313">
        <v>1496</v>
      </c>
      <c r="EI1499" s="314"/>
      <c r="EJ1499" s="247" t="str">
        <f t="shared" si="102"/>
        <v/>
      </c>
      <c r="EK1499" t="str">
        <f t="shared" si="103"/>
        <v/>
      </c>
    </row>
    <row r="1500" spans="138:141" x14ac:dyDescent="0.25">
      <c r="EH1500" s="313">
        <v>1497</v>
      </c>
      <c r="EI1500" s="314"/>
      <c r="EJ1500" s="247" t="str">
        <f t="shared" si="102"/>
        <v/>
      </c>
      <c r="EK1500" t="str">
        <f t="shared" si="103"/>
        <v/>
      </c>
    </row>
    <row r="1501" spans="138:141" x14ac:dyDescent="0.25">
      <c r="EH1501" s="313">
        <v>1498</v>
      </c>
      <c r="EI1501" s="314"/>
      <c r="EJ1501" s="247" t="str">
        <f t="shared" si="102"/>
        <v/>
      </c>
      <c r="EK1501" t="str">
        <f t="shared" si="103"/>
        <v/>
      </c>
    </row>
    <row r="1502" spans="138:141" x14ac:dyDescent="0.25">
      <c r="EH1502" s="313">
        <v>1499</v>
      </c>
      <c r="EI1502" s="314"/>
      <c r="EJ1502" s="247" t="str">
        <f t="shared" si="102"/>
        <v/>
      </c>
      <c r="EK1502" t="str">
        <f t="shared" si="103"/>
        <v/>
      </c>
    </row>
    <row r="1503" spans="138:141" x14ac:dyDescent="0.25">
      <c r="EH1503" s="313">
        <v>1500</v>
      </c>
      <c r="EI1503" s="314">
        <v>17.792000000000002</v>
      </c>
      <c r="EJ1503" s="247">
        <f t="shared" si="102"/>
        <v>1</v>
      </c>
      <c r="EK1503">
        <f t="shared" si="103"/>
        <v>1.8155102040816327</v>
      </c>
    </row>
    <row r="1504" spans="138:141" x14ac:dyDescent="0.25">
      <c r="EH1504" s="313">
        <v>1501</v>
      </c>
      <c r="EI1504" s="314"/>
      <c r="EJ1504" s="247" t="str">
        <f t="shared" si="102"/>
        <v/>
      </c>
      <c r="EK1504" t="str">
        <f t="shared" si="103"/>
        <v/>
      </c>
    </row>
    <row r="1505" spans="138:141" x14ac:dyDescent="0.25">
      <c r="EH1505" s="313">
        <v>1502</v>
      </c>
      <c r="EI1505" s="314"/>
      <c r="EJ1505" s="247" t="str">
        <f t="shared" si="102"/>
        <v/>
      </c>
      <c r="EK1505" t="str">
        <f t="shared" si="103"/>
        <v/>
      </c>
    </row>
    <row r="1506" spans="138:141" x14ac:dyDescent="0.25">
      <c r="EH1506" s="313">
        <v>1503</v>
      </c>
      <c r="EI1506" s="314"/>
      <c r="EJ1506" s="247" t="str">
        <f t="shared" si="102"/>
        <v/>
      </c>
      <c r="EK1506" t="str">
        <f t="shared" si="103"/>
        <v/>
      </c>
    </row>
    <row r="1507" spans="138:141" x14ac:dyDescent="0.25">
      <c r="EH1507" s="313">
        <v>1504</v>
      </c>
      <c r="EI1507" s="314"/>
      <c r="EJ1507" s="247" t="str">
        <f t="shared" si="102"/>
        <v/>
      </c>
      <c r="EK1507" t="str">
        <f t="shared" si="103"/>
        <v/>
      </c>
    </row>
    <row r="1508" spans="138:141" x14ac:dyDescent="0.25">
      <c r="EH1508" s="313">
        <v>1505</v>
      </c>
      <c r="EI1508" s="314"/>
      <c r="EJ1508" s="247" t="str">
        <f t="shared" si="102"/>
        <v/>
      </c>
      <c r="EK1508" t="str">
        <f t="shared" si="103"/>
        <v/>
      </c>
    </row>
    <row r="1509" spans="138:141" x14ac:dyDescent="0.25">
      <c r="EH1509" s="313">
        <v>1506</v>
      </c>
      <c r="EI1509" s="314"/>
      <c r="EJ1509" s="247" t="str">
        <f t="shared" si="102"/>
        <v/>
      </c>
      <c r="EK1509" t="str">
        <f t="shared" si="103"/>
        <v/>
      </c>
    </row>
    <row r="1510" spans="138:141" x14ac:dyDescent="0.25">
      <c r="EH1510" s="313">
        <v>1507</v>
      </c>
      <c r="EI1510" s="314"/>
      <c r="EJ1510" s="247" t="str">
        <f t="shared" si="102"/>
        <v/>
      </c>
      <c r="EK1510" t="str">
        <f t="shared" si="103"/>
        <v/>
      </c>
    </row>
    <row r="1511" spans="138:141" x14ac:dyDescent="0.25">
      <c r="EH1511" s="313">
        <v>1508</v>
      </c>
      <c r="EI1511" s="314"/>
      <c r="EJ1511" s="247" t="str">
        <f t="shared" si="102"/>
        <v/>
      </c>
      <c r="EK1511" t="str">
        <f t="shared" si="103"/>
        <v/>
      </c>
    </row>
    <row r="1512" spans="138:141" x14ac:dyDescent="0.25">
      <c r="EH1512" s="313">
        <v>1509</v>
      </c>
      <c r="EI1512" s="314"/>
      <c r="EJ1512" s="247" t="str">
        <f t="shared" si="102"/>
        <v/>
      </c>
      <c r="EK1512" t="str">
        <f t="shared" si="103"/>
        <v/>
      </c>
    </row>
    <row r="1513" spans="138:141" x14ac:dyDescent="0.25">
      <c r="EH1513" s="313">
        <v>1510</v>
      </c>
      <c r="EI1513" s="314">
        <v>17.908799999999999</v>
      </c>
      <c r="EJ1513" s="247">
        <f t="shared" si="102"/>
        <v>1</v>
      </c>
      <c r="EK1513">
        <f t="shared" si="103"/>
        <v>1.8274285714285712</v>
      </c>
    </row>
    <row r="1514" spans="138:141" x14ac:dyDescent="0.25">
      <c r="EH1514" s="313">
        <v>1511</v>
      </c>
      <c r="EI1514" s="314"/>
      <c r="EJ1514" s="247" t="str">
        <f t="shared" si="102"/>
        <v/>
      </c>
      <c r="EK1514" t="str">
        <f t="shared" si="103"/>
        <v/>
      </c>
    </row>
    <row r="1515" spans="138:141" x14ac:dyDescent="0.25">
      <c r="EH1515" s="313">
        <v>1512</v>
      </c>
      <c r="EI1515" s="314"/>
      <c r="EJ1515" s="247" t="str">
        <f t="shared" si="102"/>
        <v/>
      </c>
      <c r="EK1515" t="str">
        <f t="shared" si="103"/>
        <v/>
      </c>
    </row>
    <row r="1516" spans="138:141" x14ac:dyDescent="0.25">
      <c r="EH1516" s="313">
        <v>1513</v>
      </c>
      <c r="EI1516" s="314"/>
      <c r="EJ1516" s="247" t="str">
        <f t="shared" si="102"/>
        <v/>
      </c>
      <c r="EK1516" t="str">
        <f t="shared" si="103"/>
        <v/>
      </c>
    </row>
    <row r="1517" spans="138:141" x14ac:dyDescent="0.25">
      <c r="EH1517" s="313">
        <v>1514</v>
      </c>
      <c r="EI1517" s="314"/>
      <c r="EJ1517" s="247" t="str">
        <f t="shared" si="102"/>
        <v/>
      </c>
      <c r="EK1517" t="str">
        <f t="shared" si="103"/>
        <v/>
      </c>
    </row>
    <row r="1518" spans="138:141" x14ac:dyDescent="0.25">
      <c r="EH1518" s="313">
        <v>1515</v>
      </c>
      <c r="EI1518" s="314"/>
      <c r="EJ1518" s="247" t="str">
        <f t="shared" si="102"/>
        <v/>
      </c>
      <c r="EK1518" t="str">
        <f t="shared" si="103"/>
        <v/>
      </c>
    </row>
    <row r="1519" spans="138:141" x14ac:dyDescent="0.25">
      <c r="EH1519" s="313">
        <v>1516</v>
      </c>
      <c r="EI1519" s="314"/>
      <c r="EJ1519" s="247" t="str">
        <f t="shared" si="102"/>
        <v/>
      </c>
      <c r="EK1519" t="str">
        <f t="shared" si="103"/>
        <v/>
      </c>
    </row>
    <row r="1520" spans="138:141" x14ac:dyDescent="0.25">
      <c r="EH1520" s="313">
        <v>1517</v>
      </c>
      <c r="EI1520" s="314"/>
      <c r="EJ1520" s="247" t="str">
        <f t="shared" si="102"/>
        <v/>
      </c>
      <c r="EK1520" t="str">
        <f t="shared" si="103"/>
        <v/>
      </c>
    </row>
    <row r="1521" spans="138:141" x14ac:dyDescent="0.25">
      <c r="EH1521" s="313">
        <v>1518</v>
      </c>
      <c r="EI1521" s="314"/>
      <c r="EJ1521" s="247" t="str">
        <f t="shared" si="102"/>
        <v/>
      </c>
      <c r="EK1521" t="str">
        <f t="shared" si="103"/>
        <v/>
      </c>
    </row>
    <row r="1522" spans="138:141" x14ac:dyDescent="0.25">
      <c r="EH1522" s="313">
        <v>1519</v>
      </c>
      <c r="EI1522" s="314"/>
      <c r="EJ1522" s="247" t="str">
        <f t="shared" si="102"/>
        <v/>
      </c>
      <c r="EK1522" t="str">
        <f t="shared" si="103"/>
        <v/>
      </c>
    </row>
    <row r="1523" spans="138:141" x14ac:dyDescent="0.25">
      <c r="EH1523" s="313">
        <v>1520</v>
      </c>
      <c r="EI1523" s="314">
        <v>18.025700000000001</v>
      </c>
      <c r="EJ1523" s="247">
        <f t="shared" si="102"/>
        <v>1</v>
      </c>
      <c r="EK1523">
        <f t="shared" si="103"/>
        <v>1.8393571428571427</v>
      </c>
    </row>
    <row r="1524" spans="138:141" x14ac:dyDescent="0.25">
      <c r="EH1524" s="313">
        <v>1521</v>
      </c>
      <c r="EI1524" s="314"/>
      <c r="EJ1524" s="247" t="str">
        <f t="shared" si="102"/>
        <v/>
      </c>
      <c r="EK1524" t="str">
        <f t="shared" si="103"/>
        <v/>
      </c>
    </row>
    <row r="1525" spans="138:141" x14ac:dyDescent="0.25">
      <c r="EH1525" s="313">
        <v>1522</v>
      </c>
      <c r="EI1525" s="314"/>
      <c r="EJ1525" s="247" t="str">
        <f t="shared" si="102"/>
        <v/>
      </c>
      <c r="EK1525" t="str">
        <f t="shared" si="103"/>
        <v/>
      </c>
    </row>
    <row r="1526" spans="138:141" x14ac:dyDescent="0.25">
      <c r="EH1526" s="313">
        <v>1523</v>
      </c>
      <c r="EI1526" s="314"/>
      <c r="EJ1526" s="247" t="str">
        <f t="shared" si="102"/>
        <v/>
      </c>
      <c r="EK1526" t="str">
        <f t="shared" si="103"/>
        <v/>
      </c>
    </row>
    <row r="1527" spans="138:141" x14ac:dyDescent="0.25">
      <c r="EH1527" s="313">
        <v>1524</v>
      </c>
      <c r="EI1527" s="314"/>
      <c r="EJ1527" s="247" t="str">
        <f t="shared" si="102"/>
        <v/>
      </c>
      <c r="EK1527" t="str">
        <f t="shared" si="103"/>
        <v/>
      </c>
    </row>
    <row r="1528" spans="138:141" x14ac:dyDescent="0.25">
      <c r="EH1528" s="313">
        <v>1525</v>
      </c>
      <c r="EI1528" s="314"/>
      <c r="EJ1528" s="247" t="str">
        <f t="shared" si="102"/>
        <v/>
      </c>
      <c r="EK1528" t="str">
        <f t="shared" si="103"/>
        <v/>
      </c>
    </row>
    <row r="1529" spans="138:141" x14ac:dyDescent="0.25">
      <c r="EH1529" s="313">
        <v>1526</v>
      </c>
      <c r="EI1529" s="314"/>
      <c r="EJ1529" s="247" t="str">
        <f t="shared" si="102"/>
        <v/>
      </c>
      <c r="EK1529" t="str">
        <f t="shared" si="103"/>
        <v/>
      </c>
    </row>
    <row r="1530" spans="138:141" x14ac:dyDescent="0.25">
      <c r="EH1530" s="313">
        <v>1527</v>
      </c>
      <c r="EI1530" s="314"/>
      <c r="EJ1530" s="247" t="str">
        <f t="shared" si="102"/>
        <v/>
      </c>
      <c r="EK1530" t="str">
        <f t="shared" si="103"/>
        <v/>
      </c>
    </row>
    <row r="1531" spans="138:141" x14ac:dyDescent="0.25">
      <c r="EH1531" s="313">
        <v>1528</v>
      </c>
      <c r="EI1531" s="314"/>
      <c r="EJ1531" s="247" t="str">
        <f t="shared" si="102"/>
        <v/>
      </c>
      <c r="EK1531" t="str">
        <f t="shared" si="103"/>
        <v/>
      </c>
    </row>
    <row r="1532" spans="138:141" x14ac:dyDescent="0.25">
      <c r="EH1532" s="313">
        <v>1529</v>
      </c>
      <c r="EI1532" s="314"/>
      <c r="EJ1532" s="247" t="str">
        <f t="shared" si="102"/>
        <v/>
      </c>
      <c r="EK1532" t="str">
        <f t="shared" si="103"/>
        <v/>
      </c>
    </row>
    <row r="1533" spans="138:141" x14ac:dyDescent="0.25">
      <c r="EH1533" s="313">
        <v>1530</v>
      </c>
      <c r="EI1533" s="314">
        <v>18.142499999999998</v>
      </c>
      <c r="EJ1533" s="247">
        <f t="shared" si="102"/>
        <v>1</v>
      </c>
      <c r="EK1533">
        <f t="shared" si="103"/>
        <v>1.8512755102040814</v>
      </c>
    </row>
    <row r="1534" spans="138:141" x14ac:dyDescent="0.25">
      <c r="EH1534" s="313">
        <v>1531</v>
      </c>
      <c r="EI1534" s="314"/>
      <c r="EJ1534" s="247" t="str">
        <f t="shared" si="102"/>
        <v/>
      </c>
      <c r="EK1534" t="str">
        <f t="shared" si="103"/>
        <v/>
      </c>
    </row>
    <row r="1535" spans="138:141" x14ac:dyDescent="0.25">
      <c r="EH1535" s="313">
        <v>1532</v>
      </c>
      <c r="EI1535" s="314"/>
      <c r="EJ1535" s="247" t="str">
        <f t="shared" si="102"/>
        <v/>
      </c>
      <c r="EK1535" t="str">
        <f t="shared" si="103"/>
        <v/>
      </c>
    </row>
    <row r="1536" spans="138:141" x14ac:dyDescent="0.25">
      <c r="EH1536" s="313">
        <v>1533</v>
      </c>
      <c r="EI1536" s="314"/>
      <c r="EJ1536" s="247" t="str">
        <f t="shared" si="102"/>
        <v/>
      </c>
      <c r="EK1536" t="str">
        <f t="shared" si="103"/>
        <v/>
      </c>
    </row>
    <row r="1537" spans="138:141" x14ac:dyDescent="0.25">
      <c r="EH1537" s="313">
        <v>1534</v>
      </c>
      <c r="EI1537" s="314"/>
      <c r="EJ1537" s="247" t="str">
        <f t="shared" si="102"/>
        <v/>
      </c>
      <c r="EK1537" t="str">
        <f t="shared" si="103"/>
        <v/>
      </c>
    </row>
    <row r="1538" spans="138:141" x14ac:dyDescent="0.25">
      <c r="EH1538" s="313">
        <v>1535</v>
      </c>
      <c r="EI1538" s="314"/>
      <c r="EJ1538" s="247" t="str">
        <f t="shared" si="102"/>
        <v/>
      </c>
      <c r="EK1538" t="str">
        <f t="shared" si="103"/>
        <v/>
      </c>
    </row>
    <row r="1539" spans="138:141" x14ac:dyDescent="0.25">
      <c r="EH1539" s="313">
        <v>1536</v>
      </c>
      <c r="EI1539" s="314"/>
      <c r="EJ1539" s="247" t="str">
        <f t="shared" si="102"/>
        <v/>
      </c>
      <c r="EK1539" t="str">
        <f t="shared" si="103"/>
        <v/>
      </c>
    </row>
    <row r="1540" spans="138:141" x14ac:dyDescent="0.25">
      <c r="EH1540" s="313">
        <v>1537</v>
      </c>
      <c r="EI1540" s="314"/>
      <c r="EJ1540" s="247" t="str">
        <f t="shared" si="102"/>
        <v/>
      </c>
      <c r="EK1540" t="str">
        <f t="shared" si="103"/>
        <v/>
      </c>
    </row>
    <row r="1541" spans="138:141" x14ac:dyDescent="0.25">
      <c r="EH1541" s="313">
        <v>1538</v>
      </c>
      <c r="EI1541" s="314"/>
      <c r="EJ1541" s="247" t="str">
        <f t="shared" ref="EJ1541:EJ1604" si="104">IF(EI1541="","",1)</f>
        <v/>
      </c>
      <c r="EK1541" t="str">
        <f t="shared" ref="EK1541:EK1604" si="105">IF(EI1541="","",EI1541/9.8)</f>
        <v/>
      </c>
    </row>
    <row r="1542" spans="138:141" x14ac:dyDescent="0.25">
      <c r="EH1542" s="313">
        <v>1539</v>
      </c>
      <c r="EI1542" s="314"/>
      <c r="EJ1542" s="247" t="str">
        <f t="shared" si="104"/>
        <v/>
      </c>
      <c r="EK1542" t="str">
        <f t="shared" si="105"/>
        <v/>
      </c>
    </row>
    <row r="1543" spans="138:141" x14ac:dyDescent="0.25">
      <c r="EH1543" s="313">
        <v>1540</v>
      </c>
      <c r="EI1543" s="314">
        <v>18.2593</v>
      </c>
      <c r="EJ1543" s="247">
        <f t="shared" si="104"/>
        <v>1</v>
      </c>
      <c r="EK1543">
        <f t="shared" si="105"/>
        <v>1.8631938775510202</v>
      </c>
    </row>
    <row r="1544" spans="138:141" x14ac:dyDescent="0.25">
      <c r="EH1544" s="313">
        <v>1541</v>
      </c>
      <c r="EI1544" s="314"/>
      <c r="EJ1544" s="247" t="str">
        <f t="shared" si="104"/>
        <v/>
      </c>
      <c r="EK1544" t="str">
        <f t="shared" si="105"/>
        <v/>
      </c>
    </row>
    <row r="1545" spans="138:141" x14ac:dyDescent="0.25">
      <c r="EH1545" s="313">
        <v>1542</v>
      </c>
      <c r="EI1545" s="314"/>
      <c r="EJ1545" s="247" t="str">
        <f t="shared" si="104"/>
        <v/>
      </c>
      <c r="EK1545" t="str">
        <f t="shared" si="105"/>
        <v/>
      </c>
    </row>
    <row r="1546" spans="138:141" x14ac:dyDescent="0.25">
      <c r="EH1546" s="313">
        <v>1543</v>
      </c>
      <c r="EI1546" s="314"/>
      <c r="EJ1546" s="247" t="str">
        <f t="shared" si="104"/>
        <v/>
      </c>
      <c r="EK1546" t="str">
        <f t="shared" si="105"/>
        <v/>
      </c>
    </row>
    <row r="1547" spans="138:141" x14ac:dyDescent="0.25">
      <c r="EH1547" s="313">
        <v>1544</v>
      </c>
      <c r="EI1547" s="314"/>
      <c r="EJ1547" s="247" t="str">
        <f t="shared" si="104"/>
        <v/>
      </c>
      <c r="EK1547" t="str">
        <f t="shared" si="105"/>
        <v/>
      </c>
    </row>
    <row r="1548" spans="138:141" x14ac:dyDescent="0.25">
      <c r="EH1548" s="313">
        <v>1545</v>
      </c>
      <c r="EI1548" s="314"/>
      <c r="EJ1548" s="247" t="str">
        <f t="shared" si="104"/>
        <v/>
      </c>
      <c r="EK1548" t="str">
        <f t="shared" si="105"/>
        <v/>
      </c>
    </row>
    <row r="1549" spans="138:141" x14ac:dyDescent="0.25">
      <c r="EH1549" s="313">
        <v>1546</v>
      </c>
      <c r="EI1549" s="314"/>
      <c r="EJ1549" s="247" t="str">
        <f t="shared" si="104"/>
        <v/>
      </c>
      <c r="EK1549" t="str">
        <f t="shared" si="105"/>
        <v/>
      </c>
    </row>
    <row r="1550" spans="138:141" x14ac:dyDescent="0.25">
      <c r="EH1550" s="313">
        <v>1547</v>
      </c>
      <c r="EI1550" s="314"/>
      <c r="EJ1550" s="247" t="str">
        <f t="shared" si="104"/>
        <v/>
      </c>
      <c r="EK1550" t="str">
        <f t="shared" si="105"/>
        <v/>
      </c>
    </row>
    <row r="1551" spans="138:141" x14ac:dyDescent="0.25">
      <c r="EH1551" s="313">
        <v>1548</v>
      </c>
      <c r="EI1551" s="314"/>
      <c r="EJ1551" s="247" t="str">
        <f t="shared" si="104"/>
        <v/>
      </c>
      <c r="EK1551" t="str">
        <f t="shared" si="105"/>
        <v/>
      </c>
    </row>
    <row r="1552" spans="138:141" x14ac:dyDescent="0.25">
      <c r="EH1552" s="313">
        <v>1549</v>
      </c>
      <c r="EI1552" s="314"/>
      <c r="EJ1552" s="247" t="str">
        <f t="shared" si="104"/>
        <v/>
      </c>
      <c r="EK1552" t="str">
        <f t="shared" si="105"/>
        <v/>
      </c>
    </row>
    <row r="1553" spans="138:141" x14ac:dyDescent="0.25">
      <c r="EH1553" s="313">
        <v>1550</v>
      </c>
      <c r="EI1553" s="314">
        <v>18.376100000000001</v>
      </c>
      <c r="EJ1553" s="247">
        <f t="shared" si="104"/>
        <v>1</v>
      </c>
      <c r="EK1553">
        <f t="shared" si="105"/>
        <v>1.8751122448979591</v>
      </c>
    </row>
    <row r="1554" spans="138:141" x14ac:dyDescent="0.25">
      <c r="EH1554" s="313">
        <v>1551</v>
      </c>
      <c r="EI1554" s="314"/>
      <c r="EJ1554" s="247" t="str">
        <f t="shared" si="104"/>
        <v/>
      </c>
      <c r="EK1554" t="str">
        <f t="shared" si="105"/>
        <v/>
      </c>
    </row>
    <row r="1555" spans="138:141" x14ac:dyDescent="0.25">
      <c r="EH1555" s="313">
        <v>1552</v>
      </c>
      <c r="EI1555" s="314"/>
      <c r="EJ1555" s="247" t="str">
        <f t="shared" si="104"/>
        <v/>
      </c>
      <c r="EK1555" t="str">
        <f t="shared" si="105"/>
        <v/>
      </c>
    </row>
    <row r="1556" spans="138:141" x14ac:dyDescent="0.25">
      <c r="EH1556" s="313">
        <v>1553</v>
      </c>
      <c r="EI1556" s="314"/>
      <c r="EJ1556" s="247" t="str">
        <f t="shared" si="104"/>
        <v/>
      </c>
      <c r="EK1556" t="str">
        <f t="shared" si="105"/>
        <v/>
      </c>
    </row>
    <row r="1557" spans="138:141" x14ac:dyDescent="0.25">
      <c r="EH1557" s="313">
        <v>1554</v>
      </c>
      <c r="EI1557" s="314"/>
      <c r="EJ1557" s="247" t="str">
        <f t="shared" si="104"/>
        <v/>
      </c>
      <c r="EK1557" t="str">
        <f t="shared" si="105"/>
        <v/>
      </c>
    </row>
    <row r="1558" spans="138:141" x14ac:dyDescent="0.25">
      <c r="EH1558" s="313">
        <v>1555</v>
      </c>
      <c r="EI1558" s="314"/>
      <c r="EJ1558" s="247" t="str">
        <f t="shared" si="104"/>
        <v/>
      </c>
      <c r="EK1558" t="str">
        <f t="shared" si="105"/>
        <v/>
      </c>
    </row>
    <row r="1559" spans="138:141" x14ac:dyDescent="0.25">
      <c r="EH1559" s="313">
        <v>1556</v>
      </c>
      <c r="EI1559" s="314"/>
      <c r="EJ1559" s="247" t="str">
        <f t="shared" si="104"/>
        <v/>
      </c>
      <c r="EK1559" t="str">
        <f t="shared" si="105"/>
        <v/>
      </c>
    </row>
    <row r="1560" spans="138:141" x14ac:dyDescent="0.25">
      <c r="EH1560" s="313">
        <v>1557</v>
      </c>
      <c r="EI1560" s="314"/>
      <c r="EJ1560" s="247" t="str">
        <f t="shared" si="104"/>
        <v/>
      </c>
      <c r="EK1560" t="str">
        <f t="shared" si="105"/>
        <v/>
      </c>
    </row>
    <row r="1561" spans="138:141" x14ac:dyDescent="0.25">
      <c r="EH1561" s="313">
        <v>1558</v>
      </c>
      <c r="EI1561" s="314"/>
      <c r="EJ1561" s="247" t="str">
        <f t="shared" si="104"/>
        <v/>
      </c>
      <c r="EK1561" t="str">
        <f t="shared" si="105"/>
        <v/>
      </c>
    </row>
    <row r="1562" spans="138:141" x14ac:dyDescent="0.25">
      <c r="EH1562" s="313">
        <v>1559</v>
      </c>
      <c r="EI1562" s="314"/>
      <c r="EJ1562" s="247" t="str">
        <f t="shared" si="104"/>
        <v/>
      </c>
      <c r="EK1562" t="str">
        <f t="shared" si="105"/>
        <v/>
      </c>
    </row>
    <row r="1563" spans="138:141" x14ac:dyDescent="0.25">
      <c r="EH1563" s="313">
        <v>1560</v>
      </c>
      <c r="EI1563" s="314">
        <v>18.492899999999999</v>
      </c>
      <c r="EJ1563" s="247">
        <f t="shared" si="104"/>
        <v>1</v>
      </c>
      <c r="EK1563">
        <f t="shared" si="105"/>
        <v>1.8870306122448977</v>
      </c>
    </row>
    <row r="1564" spans="138:141" x14ac:dyDescent="0.25">
      <c r="EH1564" s="313">
        <v>1561</v>
      </c>
      <c r="EI1564" s="314"/>
      <c r="EJ1564" s="247" t="str">
        <f t="shared" si="104"/>
        <v/>
      </c>
      <c r="EK1564" t="str">
        <f t="shared" si="105"/>
        <v/>
      </c>
    </row>
    <row r="1565" spans="138:141" x14ac:dyDescent="0.25">
      <c r="EH1565" s="313">
        <v>1562</v>
      </c>
      <c r="EI1565" s="314"/>
      <c r="EJ1565" s="247" t="str">
        <f t="shared" si="104"/>
        <v/>
      </c>
      <c r="EK1565" t="str">
        <f t="shared" si="105"/>
        <v/>
      </c>
    </row>
    <row r="1566" spans="138:141" x14ac:dyDescent="0.25">
      <c r="EH1566" s="313">
        <v>1563</v>
      </c>
      <c r="EI1566" s="314"/>
      <c r="EJ1566" s="247" t="str">
        <f t="shared" si="104"/>
        <v/>
      </c>
      <c r="EK1566" t="str">
        <f t="shared" si="105"/>
        <v/>
      </c>
    </row>
    <row r="1567" spans="138:141" x14ac:dyDescent="0.25">
      <c r="EH1567" s="313">
        <v>1564</v>
      </c>
      <c r="EI1567" s="314"/>
      <c r="EJ1567" s="247" t="str">
        <f t="shared" si="104"/>
        <v/>
      </c>
      <c r="EK1567" t="str">
        <f t="shared" si="105"/>
        <v/>
      </c>
    </row>
    <row r="1568" spans="138:141" x14ac:dyDescent="0.25">
      <c r="EH1568" s="313">
        <v>1565</v>
      </c>
      <c r="EI1568" s="314"/>
      <c r="EJ1568" s="247" t="str">
        <f t="shared" si="104"/>
        <v/>
      </c>
      <c r="EK1568" t="str">
        <f t="shared" si="105"/>
        <v/>
      </c>
    </row>
    <row r="1569" spans="138:141" x14ac:dyDescent="0.25">
      <c r="EH1569" s="313">
        <v>1566</v>
      </c>
      <c r="EI1569" s="314"/>
      <c r="EJ1569" s="247" t="str">
        <f t="shared" si="104"/>
        <v/>
      </c>
      <c r="EK1569" t="str">
        <f t="shared" si="105"/>
        <v/>
      </c>
    </row>
    <row r="1570" spans="138:141" x14ac:dyDescent="0.25">
      <c r="EH1570" s="313">
        <v>1567</v>
      </c>
      <c r="EI1570" s="314"/>
      <c r="EJ1570" s="247" t="str">
        <f t="shared" si="104"/>
        <v/>
      </c>
      <c r="EK1570" t="str">
        <f t="shared" si="105"/>
        <v/>
      </c>
    </row>
    <row r="1571" spans="138:141" x14ac:dyDescent="0.25">
      <c r="EH1571" s="313">
        <v>1568</v>
      </c>
      <c r="EI1571" s="314"/>
      <c r="EJ1571" s="247" t="str">
        <f t="shared" si="104"/>
        <v/>
      </c>
      <c r="EK1571" t="str">
        <f t="shared" si="105"/>
        <v/>
      </c>
    </row>
    <row r="1572" spans="138:141" x14ac:dyDescent="0.25">
      <c r="EH1572" s="313">
        <v>1569</v>
      </c>
      <c r="EI1572" s="314"/>
      <c r="EJ1572" s="247" t="str">
        <f t="shared" si="104"/>
        <v/>
      </c>
      <c r="EK1572" t="str">
        <f t="shared" si="105"/>
        <v/>
      </c>
    </row>
    <row r="1573" spans="138:141" x14ac:dyDescent="0.25">
      <c r="EH1573" s="313">
        <v>1570</v>
      </c>
      <c r="EI1573" s="314">
        <v>18.6098</v>
      </c>
      <c r="EJ1573" s="247">
        <f t="shared" si="104"/>
        <v>1</v>
      </c>
      <c r="EK1573">
        <f t="shared" si="105"/>
        <v>1.8989591836734692</v>
      </c>
    </row>
    <row r="1574" spans="138:141" x14ac:dyDescent="0.25">
      <c r="EH1574" s="313">
        <v>1571</v>
      </c>
      <c r="EI1574" s="314"/>
      <c r="EJ1574" s="247" t="str">
        <f t="shared" si="104"/>
        <v/>
      </c>
      <c r="EK1574" t="str">
        <f t="shared" si="105"/>
        <v/>
      </c>
    </row>
    <row r="1575" spans="138:141" x14ac:dyDescent="0.25">
      <c r="EH1575" s="313">
        <v>1572</v>
      </c>
      <c r="EI1575" s="314"/>
      <c r="EJ1575" s="247" t="str">
        <f t="shared" si="104"/>
        <v/>
      </c>
      <c r="EK1575" t="str">
        <f t="shared" si="105"/>
        <v/>
      </c>
    </row>
    <row r="1576" spans="138:141" x14ac:dyDescent="0.25">
      <c r="EH1576" s="313">
        <v>1573</v>
      </c>
      <c r="EI1576" s="314"/>
      <c r="EJ1576" s="247" t="str">
        <f t="shared" si="104"/>
        <v/>
      </c>
      <c r="EK1576" t="str">
        <f t="shared" si="105"/>
        <v/>
      </c>
    </row>
    <row r="1577" spans="138:141" x14ac:dyDescent="0.25">
      <c r="EH1577" s="313">
        <v>1574</v>
      </c>
      <c r="EI1577" s="314"/>
      <c r="EJ1577" s="247" t="str">
        <f t="shared" si="104"/>
        <v/>
      </c>
      <c r="EK1577" t="str">
        <f t="shared" si="105"/>
        <v/>
      </c>
    </row>
    <row r="1578" spans="138:141" x14ac:dyDescent="0.25">
      <c r="EH1578" s="313">
        <v>1575</v>
      </c>
      <c r="EI1578" s="314"/>
      <c r="EJ1578" s="247" t="str">
        <f t="shared" si="104"/>
        <v/>
      </c>
      <c r="EK1578" t="str">
        <f t="shared" si="105"/>
        <v/>
      </c>
    </row>
    <row r="1579" spans="138:141" x14ac:dyDescent="0.25">
      <c r="EH1579" s="313">
        <v>1576</v>
      </c>
      <c r="EI1579" s="314"/>
      <c r="EJ1579" s="247" t="str">
        <f t="shared" si="104"/>
        <v/>
      </c>
      <c r="EK1579" t="str">
        <f t="shared" si="105"/>
        <v/>
      </c>
    </row>
    <row r="1580" spans="138:141" x14ac:dyDescent="0.25">
      <c r="EH1580" s="313">
        <v>1577</v>
      </c>
      <c r="EI1580" s="314"/>
      <c r="EJ1580" s="247" t="str">
        <f t="shared" si="104"/>
        <v/>
      </c>
      <c r="EK1580" t="str">
        <f t="shared" si="105"/>
        <v/>
      </c>
    </row>
    <row r="1581" spans="138:141" x14ac:dyDescent="0.25">
      <c r="EH1581" s="313">
        <v>1578</v>
      </c>
      <c r="EI1581" s="314"/>
      <c r="EJ1581" s="247" t="str">
        <f t="shared" si="104"/>
        <v/>
      </c>
      <c r="EK1581" t="str">
        <f t="shared" si="105"/>
        <v/>
      </c>
    </row>
    <row r="1582" spans="138:141" x14ac:dyDescent="0.25">
      <c r="EH1582" s="313">
        <v>1579</v>
      </c>
      <c r="EI1582" s="314"/>
      <c r="EJ1582" s="247" t="str">
        <f t="shared" si="104"/>
        <v/>
      </c>
      <c r="EK1582" t="str">
        <f t="shared" si="105"/>
        <v/>
      </c>
    </row>
    <row r="1583" spans="138:141" x14ac:dyDescent="0.25">
      <c r="EH1583" s="313">
        <v>1580</v>
      </c>
      <c r="EI1583" s="314">
        <v>18.726600000000001</v>
      </c>
      <c r="EJ1583" s="247">
        <f t="shared" si="104"/>
        <v>1</v>
      </c>
      <c r="EK1583">
        <f t="shared" si="105"/>
        <v>1.9108775510204081</v>
      </c>
    </row>
    <row r="1584" spans="138:141" x14ac:dyDescent="0.25">
      <c r="EH1584" s="313">
        <v>1581</v>
      </c>
      <c r="EI1584" s="314"/>
      <c r="EJ1584" s="247" t="str">
        <f t="shared" si="104"/>
        <v/>
      </c>
      <c r="EK1584" t="str">
        <f t="shared" si="105"/>
        <v/>
      </c>
    </row>
    <row r="1585" spans="138:141" x14ac:dyDescent="0.25">
      <c r="EH1585" s="313">
        <v>1582</v>
      </c>
      <c r="EI1585" s="314"/>
      <c r="EJ1585" s="247" t="str">
        <f t="shared" si="104"/>
        <v/>
      </c>
      <c r="EK1585" t="str">
        <f t="shared" si="105"/>
        <v/>
      </c>
    </row>
    <row r="1586" spans="138:141" x14ac:dyDescent="0.25">
      <c r="EH1586" s="313">
        <v>1583</v>
      </c>
      <c r="EI1586" s="314"/>
      <c r="EJ1586" s="247" t="str">
        <f t="shared" si="104"/>
        <v/>
      </c>
      <c r="EK1586" t="str">
        <f t="shared" si="105"/>
        <v/>
      </c>
    </row>
    <row r="1587" spans="138:141" x14ac:dyDescent="0.25">
      <c r="EH1587" s="313">
        <v>1584</v>
      </c>
      <c r="EI1587" s="314"/>
      <c r="EJ1587" s="247" t="str">
        <f t="shared" si="104"/>
        <v/>
      </c>
      <c r="EK1587" t="str">
        <f t="shared" si="105"/>
        <v/>
      </c>
    </row>
    <row r="1588" spans="138:141" x14ac:dyDescent="0.25">
      <c r="EH1588" s="313">
        <v>1585</v>
      </c>
      <c r="EI1588" s="314"/>
      <c r="EJ1588" s="247" t="str">
        <f t="shared" si="104"/>
        <v/>
      </c>
      <c r="EK1588" t="str">
        <f t="shared" si="105"/>
        <v/>
      </c>
    </row>
    <row r="1589" spans="138:141" x14ac:dyDescent="0.25">
      <c r="EH1589" s="313">
        <v>1586</v>
      </c>
      <c r="EI1589" s="314"/>
      <c r="EJ1589" s="247" t="str">
        <f t="shared" si="104"/>
        <v/>
      </c>
      <c r="EK1589" t="str">
        <f t="shared" si="105"/>
        <v/>
      </c>
    </row>
    <row r="1590" spans="138:141" x14ac:dyDescent="0.25">
      <c r="EH1590" s="313">
        <v>1587</v>
      </c>
      <c r="EI1590" s="314"/>
      <c r="EJ1590" s="247" t="str">
        <f t="shared" si="104"/>
        <v/>
      </c>
      <c r="EK1590" t="str">
        <f t="shared" si="105"/>
        <v/>
      </c>
    </row>
    <row r="1591" spans="138:141" x14ac:dyDescent="0.25">
      <c r="EH1591" s="313">
        <v>1588</v>
      </c>
      <c r="EI1591" s="314"/>
      <c r="EJ1591" s="247" t="str">
        <f t="shared" si="104"/>
        <v/>
      </c>
      <c r="EK1591" t="str">
        <f t="shared" si="105"/>
        <v/>
      </c>
    </row>
    <row r="1592" spans="138:141" x14ac:dyDescent="0.25">
      <c r="EH1592" s="313">
        <v>1589</v>
      </c>
      <c r="EI1592" s="314"/>
      <c r="EJ1592" s="247" t="str">
        <f t="shared" si="104"/>
        <v/>
      </c>
      <c r="EK1592" t="str">
        <f t="shared" si="105"/>
        <v/>
      </c>
    </row>
    <row r="1593" spans="138:141" x14ac:dyDescent="0.25">
      <c r="EH1593" s="313">
        <v>1590</v>
      </c>
      <c r="EI1593" s="314">
        <v>18.843399999999999</v>
      </c>
      <c r="EJ1593" s="247">
        <f t="shared" si="104"/>
        <v>1</v>
      </c>
      <c r="EK1593">
        <f t="shared" si="105"/>
        <v>1.9227959183673466</v>
      </c>
    </row>
    <row r="1594" spans="138:141" x14ac:dyDescent="0.25">
      <c r="EH1594" s="313">
        <v>1591</v>
      </c>
      <c r="EI1594" s="314"/>
      <c r="EJ1594" s="247" t="str">
        <f t="shared" si="104"/>
        <v/>
      </c>
      <c r="EK1594" t="str">
        <f t="shared" si="105"/>
        <v/>
      </c>
    </row>
    <row r="1595" spans="138:141" x14ac:dyDescent="0.25">
      <c r="EH1595" s="313">
        <v>1592</v>
      </c>
      <c r="EI1595" s="314"/>
      <c r="EJ1595" s="247" t="str">
        <f t="shared" si="104"/>
        <v/>
      </c>
      <c r="EK1595" t="str">
        <f t="shared" si="105"/>
        <v/>
      </c>
    </row>
    <row r="1596" spans="138:141" x14ac:dyDescent="0.25">
      <c r="EH1596" s="313">
        <v>1593</v>
      </c>
      <c r="EI1596" s="314"/>
      <c r="EJ1596" s="247" t="str">
        <f t="shared" si="104"/>
        <v/>
      </c>
      <c r="EK1596" t="str">
        <f t="shared" si="105"/>
        <v/>
      </c>
    </row>
    <row r="1597" spans="138:141" x14ac:dyDescent="0.25">
      <c r="EH1597" s="313">
        <v>1594</v>
      </c>
      <c r="EI1597" s="314"/>
      <c r="EJ1597" s="247" t="str">
        <f t="shared" si="104"/>
        <v/>
      </c>
      <c r="EK1597" t="str">
        <f t="shared" si="105"/>
        <v/>
      </c>
    </row>
    <row r="1598" spans="138:141" x14ac:dyDescent="0.25">
      <c r="EH1598" s="313">
        <v>1595</v>
      </c>
      <c r="EI1598" s="314"/>
      <c r="EJ1598" s="247" t="str">
        <f t="shared" si="104"/>
        <v/>
      </c>
      <c r="EK1598" t="str">
        <f t="shared" si="105"/>
        <v/>
      </c>
    </row>
    <row r="1599" spans="138:141" x14ac:dyDescent="0.25">
      <c r="EH1599" s="313">
        <v>1596</v>
      </c>
      <c r="EI1599" s="314"/>
      <c r="EJ1599" s="247" t="str">
        <f t="shared" si="104"/>
        <v/>
      </c>
      <c r="EK1599" t="str">
        <f t="shared" si="105"/>
        <v/>
      </c>
    </row>
    <row r="1600" spans="138:141" x14ac:dyDescent="0.25">
      <c r="EH1600" s="313">
        <v>1597</v>
      </c>
      <c r="EI1600" s="314"/>
      <c r="EJ1600" s="247" t="str">
        <f t="shared" si="104"/>
        <v/>
      </c>
      <c r="EK1600" t="str">
        <f t="shared" si="105"/>
        <v/>
      </c>
    </row>
    <row r="1601" spans="138:141" x14ac:dyDescent="0.25">
      <c r="EH1601" s="313">
        <v>1598</v>
      </c>
      <c r="EI1601" s="314"/>
      <c r="EJ1601" s="247" t="str">
        <f t="shared" si="104"/>
        <v/>
      </c>
      <c r="EK1601" t="str">
        <f t="shared" si="105"/>
        <v/>
      </c>
    </row>
    <row r="1602" spans="138:141" x14ac:dyDescent="0.25">
      <c r="EH1602" s="313">
        <v>1599</v>
      </c>
      <c r="EI1602" s="314"/>
      <c r="EJ1602" s="247" t="str">
        <f t="shared" si="104"/>
        <v/>
      </c>
      <c r="EK1602" t="str">
        <f t="shared" si="105"/>
        <v/>
      </c>
    </row>
    <row r="1603" spans="138:141" x14ac:dyDescent="0.25">
      <c r="EH1603" s="313">
        <v>1600</v>
      </c>
      <c r="EI1603" s="314">
        <v>18.9602</v>
      </c>
      <c r="EJ1603" s="247">
        <f t="shared" si="104"/>
        <v>1</v>
      </c>
      <c r="EK1603">
        <f t="shared" si="105"/>
        <v>1.9347142857142856</v>
      </c>
    </row>
    <row r="1604" spans="138:141" x14ac:dyDescent="0.25">
      <c r="EH1604" s="313">
        <v>1601</v>
      </c>
      <c r="EI1604" s="314"/>
      <c r="EJ1604" s="247" t="str">
        <f t="shared" si="104"/>
        <v/>
      </c>
      <c r="EK1604" t="str">
        <f t="shared" si="105"/>
        <v/>
      </c>
    </row>
    <row r="1605" spans="138:141" x14ac:dyDescent="0.25">
      <c r="EH1605" s="313">
        <v>1602</v>
      </c>
      <c r="EI1605" s="314"/>
      <c r="EJ1605" s="247" t="str">
        <f t="shared" ref="EJ1605:EJ1668" si="106">IF(EI1605="","",1)</f>
        <v/>
      </c>
      <c r="EK1605" t="str">
        <f t="shared" ref="EK1605:EK1668" si="107">IF(EI1605="","",EI1605/9.8)</f>
        <v/>
      </c>
    </row>
    <row r="1606" spans="138:141" x14ac:dyDescent="0.25">
      <c r="EH1606" s="313">
        <v>1603</v>
      </c>
      <c r="EI1606" s="314"/>
      <c r="EJ1606" s="247" t="str">
        <f t="shared" si="106"/>
        <v/>
      </c>
      <c r="EK1606" t="str">
        <f t="shared" si="107"/>
        <v/>
      </c>
    </row>
    <row r="1607" spans="138:141" x14ac:dyDescent="0.25">
      <c r="EH1607" s="313">
        <v>1604</v>
      </c>
      <c r="EI1607" s="314"/>
      <c r="EJ1607" s="247" t="str">
        <f t="shared" si="106"/>
        <v/>
      </c>
      <c r="EK1607" t="str">
        <f t="shared" si="107"/>
        <v/>
      </c>
    </row>
    <row r="1608" spans="138:141" x14ac:dyDescent="0.25">
      <c r="EH1608" s="313">
        <v>1605</v>
      </c>
      <c r="EI1608" s="314"/>
      <c r="EJ1608" s="247" t="str">
        <f t="shared" si="106"/>
        <v/>
      </c>
      <c r="EK1608" t="str">
        <f t="shared" si="107"/>
        <v/>
      </c>
    </row>
    <row r="1609" spans="138:141" x14ac:dyDescent="0.25">
      <c r="EH1609" s="313">
        <v>1606</v>
      </c>
      <c r="EI1609" s="314"/>
      <c r="EJ1609" s="247" t="str">
        <f t="shared" si="106"/>
        <v/>
      </c>
      <c r="EK1609" t="str">
        <f t="shared" si="107"/>
        <v/>
      </c>
    </row>
    <row r="1610" spans="138:141" x14ac:dyDescent="0.25">
      <c r="EH1610" s="313">
        <v>1607</v>
      </c>
      <c r="EI1610" s="314"/>
      <c r="EJ1610" s="247" t="str">
        <f t="shared" si="106"/>
        <v/>
      </c>
      <c r="EK1610" t="str">
        <f t="shared" si="107"/>
        <v/>
      </c>
    </row>
    <row r="1611" spans="138:141" x14ac:dyDescent="0.25">
      <c r="EH1611" s="313">
        <v>1608</v>
      </c>
      <c r="EI1611" s="314"/>
      <c r="EJ1611" s="247" t="str">
        <f t="shared" si="106"/>
        <v/>
      </c>
      <c r="EK1611" t="str">
        <f t="shared" si="107"/>
        <v/>
      </c>
    </row>
    <row r="1612" spans="138:141" x14ac:dyDescent="0.25">
      <c r="EH1612" s="313">
        <v>1609</v>
      </c>
      <c r="EI1612" s="314"/>
      <c r="EJ1612" s="247" t="str">
        <f t="shared" si="106"/>
        <v/>
      </c>
      <c r="EK1612" t="str">
        <f t="shared" si="107"/>
        <v/>
      </c>
    </row>
    <row r="1613" spans="138:141" x14ac:dyDescent="0.25">
      <c r="EH1613" s="313">
        <v>1610</v>
      </c>
      <c r="EI1613" s="314">
        <v>19.077100000000002</v>
      </c>
      <c r="EJ1613" s="247">
        <f t="shared" si="106"/>
        <v>1</v>
      </c>
      <c r="EK1613">
        <f t="shared" si="107"/>
        <v>1.9466428571428571</v>
      </c>
    </row>
    <row r="1614" spans="138:141" x14ac:dyDescent="0.25">
      <c r="EH1614" s="313">
        <v>1611</v>
      </c>
      <c r="EI1614" s="314"/>
      <c r="EJ1614" s="247" t="str">
        <f t="shared" si="106"/>
        <v/>
      </c>
      <c r="EK1614" t="str">
        <f t="shared" si="107"/>
        <v/>
      </c>
    </row>
    <row r="1615" spans="138:141" x14ac:dyDescent="0.25">
      <c r="EH1615" s="313">
        <v>1612</v>
      </c>
      <c r="EI1615" s="314"/>
      <c r="EJ1615" s="247" t="str">
        <f t="shared" si="106"/>
        <v/>
      </c>
      <c r="EK1615" t="str">
        <f t="shared" si="107"/>
        <v/>
      </c>
    </row>
    <row r="1616" spans="138:141" x14ac:dyDescent="0.25">
      <c r="EH1616" s="313">
        <v>1613</v>
      </c>
      <c r="EI1616" s="314"/>
      <c r="EJ1616" s="247" t="str">
        <f t="shared" si="106"/>
        <v/>
      </c>
      <c r="EK1616" t="str">
        <f t="shared" si="107"/>
        <v/>
      </c>
    </row>
    <row r="1617" spans="138:141" x14ac:dyDescent="0.25">
      <c r="EH1617" s="313">
        <v>1614</v>
      </c>
      <c r="EI1617" s="314"/>
      <c r="EJ1617" s="247" t="str">
        <f t="shared" si="106"/>
        <v/>
      </c>
      <c r="EK1617" t="str">
        <f t="shared" si="107"/>
        <v/>
      </c>
    </row>
    <row r="1618" spans="138:141" x14ac:dyDescent="0.25">
      <c r="EH1618" s="313">
        <v>1615</v>
      </c>
      <c r="EI1618" s="314"/>
      <c r="EJ1618" s="247" t="str">
        <f t="shared" si="106"/>
        <v/>
      </c>
      <c r="EK1618" t="str">
        <f t="shared" si="107"/>
        <v/>
      </c>
    </row>
    <row r="1619" spans="138:141" x14ac:dyDescent="0.25">
      <c r="EH1619" s="313">
        <v>1616</v>
      </c>
      <c r="EI1619" s="314"/>
      <c r="EJ1619" s="247" t="str">
        <f t="shared" si="106"/>
        <v/>
      </c>
      <c r="EK1619" t="str">
        <f t="shared" si="107"/>
        <v/>
      </c>
    </row>
    <row r="1620" spans="138:141" x14ac:dyDescent="0.25">
      <c r="EH1620" s="313">
        <v>1617</v>
      </c>
      <c r="EI1620" s="314"/>
      <c r="EJ1620" s="247" t="str">
        <f t="shared" si="106"/>
        <v/>
      </c>
      <c r="EK1620" t="str">
        <f t="shared" si="107"/>
        <v/>
      </c>
    </row>
    <row r="1621" spans="138:141" x14ac:dyDescent="0.25">
      <c r="EH1621" s="313">
        <v>1618</v>
      </c>
      <c r="EI1621" s="314"/>
      <c r="EJ1621" s="247" t="str">
        <f t="shared" si="106"/>
        <v/>
      </c>
      <c r="EK1621" t="str">
        <f t="shared" si="107"/>
        <v/>
      </c>
    </row>
    <row r="1622" spans="138:141" x14ac:dyDescent="0.25">
      <c r="EH1622" s="313">
        <v>1619</v>
      </c>
      <c r="EI1622" s="314"/>
      <c r="EJ1622" s="247" t="str">
        <f t="shared" si="106"/>
        <v/>
      </c>
      <c r="EK1622" t="str">
        <f t="shared" si="107"/>
        <v/>
      </c>
    </row>
    <row r="1623" spans="138:141" x14ac:dyDescent="0.25">
      <c r="EH1623" s="313">
        <v>1620</v>
      </c>
      <c r="EI1623" s="314">
        <v>19.193899999999999</v>
      </c>
      <c r="EJ1623" s="247">
        <f t="shared" si="106"/>
        <v>1</v>
      </c>
      <c r="EK1623">
        <f t="shared" si="107"/>
        <v>1.9585612244897956</v>
      </c>
    </row>
    <row r="1624" spans="138:141" x14ac:dyDescent="0.25">
      <c r="EH1624" s="313">
        <v>1621</v>
      </c>
      <c r="EI1624" s="314"/>
      <c r="EJ1624" s="247" t="str">
        <f t="shared" si="106"/>
        <v/>
      </c>
      <c r="EK1624" t="str">
        <f t="shared" si="107"/>
        <v/>
      </c>
    </row>
    <row r="1625" spans="138:141" x14ac:dyDescent="0.25">
      <c r="EH1625" s="313">
        <v>1622</v>
      </c>
      <c r="EI1625" s="314"/>
      <c r="EJ1625" s="247" t="str">
        <f t="shared" si="106"/>
        <v/>
      </c>
      <c r="EK1625" t="str">
        <f t="shared" si="107"/>
        <v/>
      </c>
    </row>
    <row r="1626" spans="138:141" x14ac:dyDescent="0.25">
      <c r="EH1626" s="313">
        <v>1623</v>
      </c>
      <c r="EI1626" s="314"/>
      <c r="EJ1626" s="247" t="str">
        <f t="shared" si="106"/>
        <v/>
      </c>
      <c r="EK1626" t="str">
        <f t="shared" si="107"/>
        <v/>
      </c>
    </row>
    <row r="1627" spans="138:141" x14ac:dyDescent="0.25">
      <c r="EH1627" s="313">
        <v>1624</v>
      </c>
      <c r="EI1627" s="314"/>
      <c r="EJ1627" s="247" t="str">
        <f t="shared" si="106"/>
        <v/>
      </c>
      <c r="EK1627" t="str">
        <f t="shared" si="107"/>
        <v/>
      </c>
    </row>
    <row r="1628" spans="138:141" x14ac:dyDescent="0.25">
      <c r="EH1628" s="313">
        <v>1625</v>
      </c>
      <c r="EI1628" s="314"/>
      <c r="EJ1628" s="247" t="str">
        <f t="shared" si="106"/>
        <v/>
      </c>
      <c r="EK1628" t="str">
        <f t="shared" si="107"/>
        <v/>
      </c>
    </row>
    <row r="1629" spans="138:141" x14ac:dyDescent="0.25">
      <c r="EH1629" s="313">
        <v>1626</v>
      </c>
      <c r="EI1629" s="314"/>
      <c r="EJ1629" s="247" t="str">
        <f t="shared" si="106"/>
        <v/>
      </c>
      <c r="EK1629" t="str">
        <f t="shared" si="107"/>
        <v/>
      </c>
    </row>
    <row r="1630" spans="138:141" x14ac:dyDescent="0.25">
      <c r="EH1630" s="313">
        <v>1627</v>
      </c>
      <c r="EI1630" s="314"/>
      <c r="EJ1630" s="247" t="str">
        <f t="shared" si="106"/>
        <v/>
      </c>
      <c r="EK1630" t="str">
        <f t="shared" si="107"/>
        <v/>
      </c>
    </row>
    <row r="1631" spans="138:141" x14ac:dyDescent="0.25">
      <c r="EH1631" s="313">
        <v>1628</v>
      </c>
      <c r="EI1631" s="314"/>
      <c r="EJ1631" s="247" t="str">
        <f t="shared" si="106"/>
        <v/>
      </c>
      <c r="EK1631" t="str">
        <f t="shared" si="107"/>
        <v/>
      </c>
    </row>
    <row r="1632" spans="138:141" x14ac:dyDescent="0.25">
      <c r="EH1632" s="313">
        <v>1629</v>
      </c>
      <c r="EI1632" s="314"/>
      <c r="EJ1632" s="247" t="str">
        <f t="shared" si="106"/>
        <v/>
      </c>
      <c r="EK1632" t="str">
        <f t="shared" si="107"/>
        <v/>
      </c>
    </row>
    <row r="1633" spans="138:141" x14ac:dyDescent="0.25">
      <c r="EH1633" s="313">
        <v>1630</v>
      </c>
      <c r="EI1633" s="314">
        <v>19.310700000000001</v>
      </c>
      <c r="EJ1633" s="247">
        <f t="shared" si="106"/>
        <v>1</v>
      </c>
      <c r="EK1633">
        <f t="shared" si="107"/>
        <v>1.9704795918367346</v>
      </c>
    </row>
    <row r="1634" spans="138:141" x14ac:dyDescent="0.25">
      <c r="EH1634" s="313">
        <v>1631</v>
      </c>
      <c r="EI1634" s="314"/>
      <c r="EJ1634" s="247" t="str">
        <f t="shared" si="106"/>
        <v/>
      </c>
      <c r="EK1634" t="str">
        <f t="shared" si="107"/>
        <v/>
      </c>
    </row>
    <row r="1635" spans="138:141" x14ac:dyDescent="0.25">
      <c r="EH1635" s="313">
        <v>1632</v>
      </c>
      <c r="EI1635" s="314"/>
      <c r="EJ1635" s="247" t="str">
        <f t="shared" si="106"/>
        <v/>
      </c>
      <c r="EK1635" t="str">
        <f t="shared" si="107"/>
        <v/>
      </c>
    </row>
    <row r="1636" spans="138:141" x14ac:dyDescent="0.25">
      <c r="EH1636" s="313">
        <v>1633</v>
      </c>
      <c r="EI1636" s="314"/>
      <c r="EJ1636" s="247" t="str">
        <f t="shared" si="106"/>
        <v/>
      </c>
      <c r="EK1636" t="str">
        <f t="shared" si="107"/>
        <v/>
      </c>
    </row>
    <row r="1637" spans="138:141" x14ac:dyDescent="0.25">
      <c r="EH1637" s="313">
        <v>1634</v>
      </c>
      <c r="EI1637" s="314"/>
      <c r="EJ1637" s="247" t="str">
        <f t="shared" si="106"/>
        <v/>
      </c>
      <c r="EK1637" t="str">
        <f t="shared" si="107"/>
        <v/>
      </c>
    </row>
    <row r="1638" spans="138:141" x14ac:dyDescent="0.25">
      <c r="EH1638" s="313">
        <v>1635</v>
      </c>
      <c r="EI1638" s="314"/>
      <c r="EJ1638" s="247" t="str">
        <f t="shared" si="106"/>
        <v/>
      </c>
      <c r="EK1638" t="str">
        <f t="shared" si="107"/>
        <v/>
      </c>
    </row>
    <row r="1639" spans="138:141" x14ac:dyDescent="0.25">
      <c r="EH1639" s="313">
        <v>1636</v>
      </c>
      <c r="EI1639" s="314"/>
      <c r="EJ1639" s="247" t="str">
        <f t="shared" si="106"/>
        <v/>
      </c>
      <c r="EK1639" t="str">
        <f t="shared" si="107"/>
        <v/>
      </c>
    </row>
    <row r="1640" spans="138:141" x14ac:dyDescent="0.25">
      <c r="EH1640" s="313">
        <v>1637</v>
      </c>
      <c r="EI1640" s="314"/>
      <c r="EJ1640" s="247" t="str">
        <f t="shared" si="106"/>
        <v/>
      </c>
      <c r="EK1640" t="str">
        <f t="shared" si="107"/>
        <v/>
      </c>
    </row>
    <row r="1641" spans="138:141" x14ac:dyDescent="0.25">
      <c r="EH1641" s="313">
        <v>1638</v>
      </c>
      <c r="EI1641" s="314"/>
      <c r="EJ1641" s="247" t="str">
        <f t="shared" si="106"/>
        <v/>
      </c>
      <c r="EK1641" t="str">
        <f t="shared" si="107"/>
        <v/>
      </c>
    </row>
    <row r="1642" spans="138:141" x14ac:dyDescent="0.25">
      <c r="EH1642" s="313">
        <v>1639</v>
      </c>
      <c r="EI1642" s="314"/>
      <c r="EJ1642" s="247" t="str">
        <f t="shared" si="106"/>
        <v/>
      </c>
      <c r="EK1642" t="str">
        <f t="shared" si="107"/>
        <v/>
      </c>
    </row>
    <row r="1643" spans="138:141" x14ac:dyDescent="0.25">
      <c r="EH1643" s="313">
        <v>1640</v>
      </c>
      <c r="EI1643" s="314">
        <v>19.427499999999998</v>
      </c>
      <c r="EJ1643" s="247">
        <f t="shared" si="106"/>
        <v>1</v>
      </c>
      <c r="EK1643">
        <f t="shared" si="107"/>
        <v>1.9823979591836731</v>
      </c>
    </row>
    <row r="1644" spans="138:141" x14ac:dyDescent="0.25">
      <c r="EH1644" s="313">
        <v>1641</v>
      </c>
      <c r="EI1644" s="314"/>
      <c r="EJ1644" s="247" t="str">
        <f t="shared" si="106"/>
        <v/>
      </c>
      <c r="EK1644" t="str">
        <f t="shared" si="107"/>
        <v/>
      </c>
    </row>
    <row r="1645" spans="138:141" x14ac:dyDescent="0.25">
      <c r="EH1645" s="313">
        <v>1642</v>
      </c>
      <c r="EI1645" s="314"/>
      <c r="EJ1645" s="247" t="str">
        <f t="shared" si="106"/>
        <v/>
      </c>
      <c r="EK1645" t="str">
        <f t="shared" si="107"/>
        <v/>
      </c>
    </row>
    <row r="1646" spans="138:141" x14ac:dyDescent="0.25">
      <c r="EH1646" s="313">
        <v>1643</v>
      </c>
      <c r="EI1646" s="314"/>
      <c r="EJ1646" s="247" t="str">
        <f t="shared" si="106"/>
        <v/>
      </c>
      <c r="EK1646" t="str">
        <f t="shared" si="107"/>
        <v/>
      </c>
    </row>
    <row r="1647" spans="138:141" x14ac:dyDescent="0.25">
      <c r="EH1647" s="313">
        <v>1644</v>
      </c>
      <c r="EI1647" s="314"/>
      <c r="EJ1647" s="247" t="str">
        <f t="shared" si="106"/>
        <v/>
      </c>
      <c r="EK1647" t="str">
        <f t="shared" si="107"/>
        <v/>
      </c>
    </row>
    <row r="1648" spans="138:141" x14ac:dyDescent="0.25">
      <c r="EH1648" s="313">
        <v>1645</v>
      </c>
      <c r="EI1648" s="314"/>
      <c r="EJ1648" s="247" t="str">
        <f t="shared" si="106"/>
        <v/>
      </c>
      <c r="EK1648" t="str">
        <f t="shared" si="107"/>
        <v/>
      </c>
    </row>
    <row r="1649" spans="138:141" x14ac:dyDescent="0.25">
      <c r="EH1649" s="313">
        <v>1646</v>
      </c>
      <c r="EI1649" s="314"/>
      <c r="EJ1649" s="247" t="str">
        <f t="shared" si="106"/>
        <v/>
      </c>
      <c r="EK1649" t="str">
        <f t="shared" si="107"/>
        <v/>
      </c>
    </row>
    <row r="1650" spans="138:141" x14ac:dyDescent="0.25">
      <c r="EH1650" s="313">
        <v>1647</v>
      </c>
      <c r="EI1650" s="314"/>
      <c r="EJ1650" s="247" t="str">
        <f t="shared" si="106"/>
        <v/>
      </c>
      <c r="EK1650" t="str">
        <f t="shared" si="107"/>
        <v/>
      </c>
    </row>
    <row r="1651" spans="138:141" x14ac:dyDescent="0.25">
      <c r="EH1651" s="313">
        <v>1648</v>
      </c>
      <c r="EI1651" s="314"/>
      <c r="EJ1651" s="247" t="str">
        <f t="shared" si="106"/>
        <v/>
      </c>
      <c r="EK1651" t="str">
        <f t="shared" si="107"/>
        <v/>
      </c>
    </row>
    <row r="1652" spans="138:141" x14ac:dyDescent="0.25">
      <c r="EH1652" s="313">
        <v>1649</v>
      </c>
      <c r="EI1652" s="314"/>
      <c r="EJ1652" s="247" t="str">
        <f t="shared" si="106"/>
        <v/>
      </c>
      <c r="EK1652" t="str">
        <f t="shared" si="107"/>
        <v/>
      </c>
    </row>
    <row r="1653" spans="138:141" x14ac:dyDescent="0.25">
      <c r="EH1653" s="313">
        <v>1650</v>
      </c>
      <c r="EI1653" s="314">
        <v>19.5443</v>
      </c>
      <c r="EJ1653" s="247">
        <f t="shared" si="106"/>
        <v>1</v>
      </c>
      <c r="EK1653">
        <f t="shared" si="107"/>
        <v>1.9943163265306121</v>
      </c>
    </row>
    <row r="1654" spans="138:141" x14ac:dyDescent="0.25">
      <c r="EH1654" s="313">
        <v>1651</v>
      </c>
      <c r="EI1654" s="314"/>
      <c r="EJ1654" s="247" t="str">
        <f t="shared" si="106"/>
        <v/>
      </c>
      <c r="EK1654" t="str">
        <f t="shared" si="107"/>
        <v/>
      </c>
    </row>
    <row r="1655" spans="138:141" x14ac:dyDescent="0.25">
      <c r="EH1655" s="313">
        <v>1652</v>
      </c>
      <c r="EI1655" s="314"/>
      <c r="EJ1655" s="247" t="str">
        <f t="shared" si="106"/>
        <v/>
      </c>
      <c r="EK1655" t="str">
        <f t="shared" si="107"/>
        <v/>
      </c>
    </row>
    <row r="1656" spans="138:141" x14ac:dyDescent="0.25">
      <c r="EH1656" s="313">
        <v>1653</v>
      </c>
      <c r="EI1656" s="314"/>
      <c r="EJ1656" s="247" t="str">
        <f t="shared" si="106"/>
        <v/>
      </c>
      <c r="EK1656" t="str">
        <f t="shared" si="107"/>
        <v/>
      </c>
    </row>
    <row r="1657" spans="138:141" x14ac:dyDescent="0.25">
      <c r="EH1657" s="313">
        <v>1654</v>
      </c>
      <c r="EI1657" s="314"/>
      <c r="EJ1657" s="247" t="str">
        <f t="shared" si="106"/>
        <v/>
      </c>
      <c r="EK1657" t="str">
        <f t="shared" si="107"/>
        <v/>
      </c>
    </row>
    <row r="1658" spans="138:141" x14ac:dyDescent="0.25">
      <c r="EH1658" s="313">
        <v>1655</v>
      </c>
      <c r="EI1658" s="314"/>
      <c r="EJ1658" s="247" t="str">
        <f t="shared" si="106"/>
        <v/>
      </c>
      <c r="EK1658" t="str">
        <f t="shared" si="107"/>
        <v/>
      </c>
    </row>
    <row r="1659" spans="138:141" x14ac:dyDescent="0.25">
      <c r="EH1659" s="313">
        <v>1656</v>
      </c>
      <c r="EI1659" s="314"/>
      <c r="EJ1659" s="247" t="str">
        <f t="shared" si="106"/>
        <v/>
      </c>
      <c r="EK1659" t="str">
        <f t="shared" si="107"/>
        <v/>
      </c>
    </row>
    <row r="1660" spans="138:141" x14ac:dyDescent="0.25">
      <c r="EH1660" s="313">
        <v>1657</v>
      </c>
      <c r="EI1660" s="314"/>
      <c r="EJ1660" s="247" t="str">
        <f t="shared" si="106"/>
        <v/>
      </c>
      <c r="EK1660" t="str">
        <f t="shared" si="107"/>
        <v/>
      </c>
    </row>
    <row r="1661" spans="138:141" x14ac:dyDescent="0.25">
      <c r="EH1661" s="313">
        <v>1658</v>
      </c>
      <c r="EI1661" s="314"/>
      <c r="EJ1661" s="247" t="str">
        <f t="shared" si="106"/>
        <v/>
      </c>
      <c r="EK1661" t="str">
        <f t="shared" si="107"/>
        <v/>
      </c>
    </row>
    <row r="1662" spans="138:141" x14ac:dyDescent="0.25">
      <c r="EH1662" s="313">
        <v>1659</v>
      </c>
      <c r="EI1662" s="314"/>
      <c r="EJ1662" s="247" t="str">
        <f t="shared" si="106"/>
        <v/>
      </c>
      <c r="EK1662" t="str">
        <f t="shared" si="107"/>
        <v/>
      </c>
    </row>
    <row r="1663" spans="138:141" x14ac:dyDescent="0.25">
      <c r="EH1663" s="313">
        <v>1660</v>
      </c>
      <c r="EI1663" s="314">
        <v>19.661200000000001</v>
      </c>
      <c r="EJ1663" s="247">
        <f t="shared" si="106"/>
        <v>1</v>
      </c>
      <c r="EK1663">
        <f t="shared" si="107"/>
        <v>2.0062448979591836</v>
      </c>
    </row>
    <row r="1664" spans="138:141" x14ac:dyDescent="0.25">
      <c r="EH1664" s="313">
        <v>1661</v>
      </c>
      <c r="EI1664" s="314"/>
      <c r="EJ1664" s="247" t="str">
        <f t="shared" si="106"/>
        <v/>
      </c>
      <c r="EK1664" t="str">
        <f t="shared" si="107"/>
        <v/>
      </c>
    </row>
    <row r="1665" spans="138:141" x14ac:dyDescent="0.25">
      <c r="EH1665" s="313">
        <v>1662</v>
      </c>
      <c r="EI1665" s="314"/>
      <c r="EJ1665" s="247" t="str">
        <f t="shared" si="106"/>
        <v/>
      </c>
      <c r="EK1665" t="str">
        <f t="shared" si="107"/>
        <v/>
      </c>
    </row>
    <row r="1666" spans="138:141" x14ac:dyDescent="0.25">
      <c r="EH1666" s="313">
        <v>1663</v>
      </c>
      <c r="EI1666" s="314"/>
      <c r="EJ1666" s="247" t="str">
        <f t="shared" si="106"/>
        <v/>
      </c>
      <c r="EK1666" t="str">
        <f t="shared" si="107"/>
        <v/>
      </c>
    </row>
    <row r="1667" spans="138:141" x14ac:dyDescent="0.25">
      <c r="EH1667" s="313">
        <v>1664</v>
      </c>
      <c r="EI1667" s="314"/>
      <c r="EJ1667" s="247" t="str">
        <f t="shared" si="106"/>
        <v/>
      </c>
      <c r="EK1667" t="str">
        <f t="shared" si="107"/>
        <v/>
      </c>
    </row>
    <row r="1668" spans="138:141" x14ac:dyDescent="0.25">
      <c r="EH1668" s="313">
        <v>1665</v>
      </c>
      <c r="EI1668" s="314"/>
      <c r="EJ1668" s="247" t="str">
        <f t="shared" si="106"/>
        <v/>
      </c>
      <c r="EK1668" t="str">
        <f t="shared" si="107"/>
        <v/>
      </c>
    </row>
    <row r="1669" spans="138:141" x14ac:dyDescent="0.25">
      <c r="EH1669" s="313">
        <v>1666</v>
      </c>
      <c r="EI1669" s="314"/>
      <c r="EJ1669" s="247" t="str">
        <f t="shared" ref="EJ1669:EJ1732" si="108">IF(EI1669="","",1)</f>
        <v/>
      </c>
      <c r="EK1669" t="str">
        <f t="shared" ref="EK1669:EK1732" si="109">IF(EI1669="","",EI1669/9.8)</f>
        <v/>
      </c>
    </row>
    <row r="1670" spans="138:141" x14ac:dyDescent="0.25">
      <c r="EH1670" s="313">
        <v>1667</v>
      </c>
      <c r="EI1670" s="314"/>
      <c r="EJ1670" s="247" t="str">
        <f t="shared" si="108"/>
        <v/>
      </c>
      <c r="EK1670" t="str">
        <f t="shared" si="109"/>
        <v/>
      </c>
    </row>
    <row r="1671" spans="138:141" x14ac:dyDescent="0.25">
      <c r="EH1671" s="313">
        <v>1668</v>
      </c>
      <c r="EI1671" s="314"/>
      <c r="EJ1671" s="247" t="str">
        <f t="shared" si="108"/>
        <v/>
      </c>
      <c r="EK1671" t="str">
        <f t="shared" si="109"/>
        <v/>
      </c>
    </row>
    <row r="1672" spans="138:141" x14ac:dyDescent="0.25">
      <c r="EH1672" s="313">
        <v>1669</v>
      </c>
      <c r="EI1672" s="314"/>
      <c r="EJ1672" s="247" t="str">
        <f t="shared" si="108"/>
        <v/>
      </c>
      <c r="EK1672" t="str">
        <f t="shared" si="109"/>
        <v/>
      </c>
    </row>
    <row r="1673" spans="138:141" x14ac:dyDescent="0.25">
      <c r="EH1673" s="313">
        <v>1670</v>
      </c>
      <c r="EI1673" s="314">
        <v>19.777999999999999</v>
      </c>
      <c r="EJ1673" s="247">
        <f t="shared" si="108"/>
        <v>1</v>
      </c>
      <c r="EK1673">
        <f t="shared" si="109"/>
        <v>2.0181632653061223</v>
      </c>
    </row>
    <row r="1674" spans="138:141" x14ac:dyDescent="0.25">
      <c r="EH1674" s="313">
        <v>1671</v>
      </c>
      <c r="EI1674" s="314"/>
      <c r="EJ1674" s="247" t="str">
        <f t="shared" si="108"/>
        <v/>
      </c>
      <c r="EK1674" t="str">
        <f t="shared" si="109"/>
        <v/>
      </c>
    </row>
    <row r="1675" spans="138:141" x14ac:dyDescent="0.25">
      <c r="EH1675" s="313">
        <v>1672</v>
      </c>
      <c r="EI1675" s="314"/>
      <c r="EJ1675" s="247" t="str">
        <f t="shared" si="108"/>
        <v/>
      </c>
      <c r="EK1675" t="str">
        <f t="shared" si="109"/>
        <v/>
      </c>
    </row>
    <row r="1676" spans="138:141" x14ac:dyDescent="0.25">
      <c r="EH1676" s="313">
        <v>1673</v>
      </c>
      <c r="EI1676" s="314"/>
      <c r="EJ1676" s="247" t="str">
        <f t="shared" si="108"/>
        <v/>
      </c>
      <c r="EK1676" t="str">
        <f t="shared" si="109"/>
        <v/>
      </c>
    </row>
    <row r="1677" spans="138:141" x14ac:dyDescent="0.25">
      <c r="EH1677" s="313">
        <v>1674</v>
      </c>
      <c r="EI1677" s="314"/>
      <c r="EJ1677" s="247" t="str">
        <f t="shared" si="108"/>
        <v/>
      </c>
      <c r="EK1677" t="str">
        <f t="shared" si="109"/>
        <v/>
      </c>
    </row>
    <row r="1678" spans="138:141" x14ac:dyDescent="0.25">
      <c r="EH1678" s="313">
        <v>1675</v>
      </c>
      <c r="EI1678" s="314"/>
      <c r="EJ1678" s="247" t="str">
        <f t="shared" si="108"/>
        <v/>
      </c>
      <c r="EK1678" t="str">
        <f t="shared" si="109"/>
        <v/>
      </c>
    </row>
    <row r="1679" spans="138:141" x14ac:dyDescent="0.25">
      <c r="EH1679" s="313">
        <v>1676</v>
      </c>
      <c r="EI1679" s="314"/>
      <c r="EJ1679" s="247" t="str">
        <f t="shared" si="108"/>
        <v/>
      </c>
      <c r="EK1679" t="str">
        <f t="shared" si="109"/>
        <v/>
      </c>
    </row>
    <row r="1680" spans="138:141" x14ac:dyDescent="0.25">
      <c r="EH1680" s="313">
        <v>1677</v>
      </c>
      <c r="EI1680" s="314"/>
      <c r="EJ1680" s="247" t="str">
        <f t="shared" si="108"/>
        <v/>
      </c>
      <c r="EK1680" t="str">
        <f t="shared" si="109"/>
        <v/>
      </c>
    </row>
    <row r="1681" spans="138:141" x14ac:dyDescent="0.25">
      <c r="EH1681" s="313">
        <v>1678</v>
      </c>
      <c r="EI1681" s="314"/>
      <c r="EJ1681" s="247" t="str">
        <f t="shared" si="108"/>
        <v/>
      </c>
      <c r="EK1681" t="str">
        <f t="shared" si="109"/>
        <v/>
      </c>
    </row>
    <row r="1682" spans="138:141" x14ac:dyDescent="0.25">
      <c r="EH1682" s="313">
        <v>1679</v>
      </c>
      <c r="EI1682" s="314"/>
      <c r="EJ1682" s="247" t="str">
        <f t="shared" si="108"/>
        <v/>
      </c>
      <c r="EK1682" t="str">
        <f t="shared" si="109"/>
        <v/>
      </c>
    </row>
    <row r="1683" spans="138:141" x14ac:dyDescent="0.25">
      <c r="EH1683" s="313">
        <v>1680</v>
      </c>
      <c r="EI1683" s="314">
        <v>19.8948</v>
      </c>
      <c r="EJ1683" s="247">
        <f t="shared" si="108"/>
        <v>1</v>
      </c>
      <c r="EK1683">
        <f t="shared" si="109"/>
        <v>2.0300816326530611</v>
      </c>
    </row>
    <row r="1684" spans="138:141" x14ac:dyDescent="0.25">
      <c r="EH1684" s="313">
        <v>1681</v>
      </c>
      <c r="EI1684" s="314"/>
      <c r="EJ1684" s="247" t="str">
        <f t="shared" si="108"/>
        <v/>
      </c>
      <c r="EK1684" t="str">
        <f t="shared" si="109"/>
        <v/>
      </c>
    </row>
    <row r="1685" spans="138:141" x14ac:dyDescent="0.25">
      <c r="EH1685" s="313">
        <v>1682</v>
      </c>
      <c r="EI1685" s="314"/>
      <c r="EJ1685" s="247" t="str">
        <f t="shared" si="108"/>
        <v/>
      </c>
      <c r="EK1685" t="str">
        <f t="shared" si="109"/>
        <v/>
      </c>
    </row>
    <row r="1686" spans="138:141" x14ac:dyDescent="0.25">
      <c r="EH1686" s="313">
        <v>1683</v>
      </c>
      <c r="EI1686" s="314"/>
      <c r="EJ1686" s="247" t="str">
        <f t="shared" si="108"/>
        <v/>
      </c>
      <c r="EK1686" t="str">
        <f t="shared" si="109"/>
        <v/>
      </c>
    </row>
    <row r="1687" spans="138:141" x14ac:dyDescent="0.25">
      <c r="EH1687" s="313">
        <v>1684</v>
      </c>
      <c r="EI1687" s="314"/>
      <c r="EJ1687" s="247" t="str">
        <f t="shared" si="108"/>
        <v/>
      </c>
      <c r="EK1687" t="str">
        <f t="shared" si="109"/>
        <v/>
      </c>
    </row>
    <row r="1688" spans="138:141" x14ac:dyDescent="0.25">
      <c r="EH1688" s="313">
        <v>1685</v>
      </c>
      <c r="EI1688" s="314"/>
      <c r="EJ1688" s="247" t="str">
        <f t="shared" si="108"/>
        <v/>
      </c>
      <c r="EK1688" t="str">
        <f t="shared" si="109"/>
        <v/>
      </c>
    </row>
    <row r="1689" spans="138:141" x14ac:dyDescent="0.25">
      <c r="EH1689" s="313">
        <v>1686</v>
      </c>
      <c r="EI1689" s="314"/>
      <c r="EJ1689" s="247" t="str">
        <f t="shared" si="108"/>
        <v/>
      </c>
      <c r="EK1689" t="str">
        <f t="shared" si="109"/>
        <v/>
      </c>
    </row>
    <row r="1690" spans="138:141" x14ac:dyDescent="0.25">
      <c r="EH1690" s="313">
        <v>1687</v>
      </c>
      <c r="EI1690" s="314"/>
      <c r="EJ1690" s="247" t="str">
        <f t="shared" si="108"/>
        <v/>
      </c>
      <c r="EK1690" t="str">
        <f t="shared" si="109"/>
        <v/>
      </c>
    </row>
    <row r="1691" spans="138:141" x14ac:dyDescent="0.25">
      <c r="EH1691" s="313">
        <v>1688</v>
      </c>
      <c r="EI1691" s="314"/>
      <c r="EJ1691" s="247" t="str">
        <f t="shared" si="108"/>
        <v/>
      </c>
      <c r="EK1691" t="str">
        <f t="shared" si="109"/>
        <v/>
      </c>
    </row>
    <row r="1692" spans="138:141" x14ac:dyDescent="0.25">
      <c r="EH1692" s="313">
        <v>1689</v>
      </c>
      <c r="EI1692" s="314"/>
      <c r="EJ1692" s="247" t="str">
        <f t="shared" si="108"/>
        <v/>
      </c>
      <c r="EK1692" t="str">
        <f t="shared" si="109"/>
        <v/>
      </c>
    </row>
    <row r="1693" spans="138:141" x14ac:dyDescent="0.25">
      <c r="EH1693" s="313">
        <v>1690</v>
      </c>
      <c r="EI1693" s="314">
        <v>20.011600000000001</v>
      </c>
      <c r="EJ1693" s="247">
        <f t="shared" si="108"/>
        <v>1</v>
      </c>
      <c r="EK1693">
        <f t="shared" si="109"/>
        <v>2.0419999999999998</v>
      </c>
    </row>
    <row r="1694" spans="138:141" x14ac:dyDescent="0.25">
      <c r="EH1694" s="313">
        <v>1691</v>
      </c>
      <c r="EI1694" s="314"/>
      <c r="EJ1694" s="247" t="str">
        <f t="shared" si="108"/>
        <v/>
      </c>
      <c r="EK1694" t="str">
        <f t="shared" si="109"/>
        <v/>
      </c>
    </row>
    <row r="1695" spans="138:141" x14ac:dyDescent="0.25">
      <c r="EH1695" s="313">
        <v>1692</v>
      </c>
      <c r="EI1695" s="314"/>
      <c r="EJ1695" s="247" t="str">
        <f t="shared" si="108"/>
        <v/>
      </c>
      <c r="EK1695" t="str">
        <f t="shared" si="109"/>
        <v/>
      </c>
    </row>
    <row r="1696" spans="138:141" x14ac:dyDescent="0.25">
      <c r="EH1696" s="313">
        <v>1693</v>
      </c>
      <c r="EI1696" s="314"/>
      <c r="EJ1696" s="247" t="str">
        <f t="shared" si="108"/>
        <v/>
      </c>
      <c r="EK1696" t="str">
        <f t="shared" si="109"/>
        <v/>
      </c>
    </row>
    <row r="1697" spans="138:141" x14ac:dyDescent="0.25">
      <c r="EH1697" s="313">
        <v>1694</v>
      </c>
      <c r="EI1697" s="314"/>
      <c r="EJ1697" s="247" t="str">
        <f t="shared" si="108"/>
        <v/>
      </c>
      <c r="EK1697" t="str">
        <f t="shared" si="109"/>
        <v/>
      </c>
    </row>
    <row r="1698" spans="138:141" x14ac:dyDescent="0.25">
      <c r="EH1698" s="313">
        <v>1695</v>
      </c>
      <c r="EI1698" s="314"/>
      <c r="EJ1698" s="247" t="str">
        <f t="shared" si="108"/>
        <v/>
      </c>
      <c r="EK1698" t="str">
        <f t="shared" si="109"/>
        <v/>
      </c>
    </row>
    <row r="1699" spans="138:141" x14ac:dyDescent="0.25">
      <c r="EH1699" s="313">
        <v>1696</v>
      </c>
      <c r="EI1699" s="314"/>
      <c r="EJ1699" s="247" t="str">
        <f t="shared" si="108"/>
        <v/>
      </c>
      <c r="EK1699" t="str">
        <f t="shared" si="109"/>
        <v/>
      </c>
    </row>
    <row r="1700" spans="138:141" x14ac:dyDescent="0.25">
      <c r="EH1700" s="313">
        <v>1697</v>
      </c>
      <c r="EI1700" s="314"/>
      <c r="EJ1700" s="247" t="str">
        <f t="shared" si="108"/>
        <v/>
      </c>
      <c r="EK1700" t="str">
        <f t="shared" si="109"/>
        <v/>
      </c>
    </row>
    <row r="1701" spans="138:141" x14ac:dyDescent="0.25">
      <c r="EH1701" s="313">
        <v>1698</v>
      </c>
      <c r="EI1701" s="314"/>
      <c r="EJ1701" s="247" t="str">
        <f t="shared" si="108"/>
        <v/>
      </c>
      <c r="EK1701" t="str">
        <f t="shared" si="109"/>
        <v/>
      </c>
    </row>
    <row r="1702" spans="138:141" x14ac:dyDescent="0.25">
      <c r="EH1702" s="313">
        <v>1699</v>
      </c>
      <c r="EI1702" s="314"/>
      <c r="EJ1702" s="247" t="str">
        <f t="shared" si="108"/>
        <v/>
      </c>
      <c r="EK1702" t="str">
        <f t="shared" si="109"/>
        <v/>
      </c>
    </row>
    <row r="1703" spans="138:141" x14ac:dyDescent="0.25">
      <c r="EH1703" s="313">
        <v>1700</v>
      </c>
      <c r="EI1703" s="314">
        <v>20.1279</v>
      </c>
      <c r="EJ1703" s="247">
        <f t="shared" si="108"/>
        <v>1</v>
      </c>
      <c r="EK1703">
        <f t="shared" si="109"/>
        <v>2.0538673469387754</v>
      </c>
    </row>
    <row r="1704" spans="138:141" x14ac:dyDescent="0.25">
      <c r="EH1704" s="313">
        <v>1701</v>
      </c>
      <c r="EI1704" s="314"/>
      <c r="EJ1704" s="247" t="str">
        <f t="shared" si="108"/>
        <v/>
      </c>
      <c r="EK1704" t="str">
        <f t="shared" si="109"/>
        <v/>
      </c>
    </row>
    <row r="1705" spans="138:141" x14ac:dyDescent="0.25">
      <c r="EH1705" s="313">
        <v>1702</v>
      </c>
      <c r="EI1705" s="314"/>
      <c r="EJ1705" s="247" t="str">
        <f t="shared" si="108"/>
        <v/>
      </c>
      <c r="EK1705" t="str">
        <f t="shared" si="109"/>
        <v/>
      </c>
    </row>
    <row r="1706" spans="138:141" x14ac:dyDescent="0.25">
      <c r="EH1706" s="313">
        <v>1703</v>
      </c>
      <c r="EI1706" s="314"/>
      <c r="EJ1706" s="247" t="str">
        <f t="shared" si="108"/>
        <v/>
      </c>
      <c r="EK1706" t="str">
        <f t="shared" si="109"/>
        <v/>
      </c>
    </row>
    <row r="1707" spans="138:141" x14ac:dyDescent="0.25">
      <c r="EH1707" s="313">
        <v>1704</v>
      </c>
      <c r="EI1707" s="314"/>
      <c r="EJ1707" s="247" t="str">
        <f t="shared" si="108"/>
        <v/>
      </c>
      <c r="EK1707" t="str">
        <f t="shared" si="109"/>
        <v/>
      </c>
    </row>
    <row r="1708" spans="138:141" x14ac:dyDescent="0.25">
      <c r="EH1708" s="313">
        <v>1705</v>
      </c>
      <c r="EI1708" s="314"/>
      <c r="EJ1708" s="247" t="str">
        <f t="shared" si="108"/>
        <v/>
      </c>
      <c r="EK1708" t="str">
        <f t="shared" si="109"/>
        <v/>
      </c>
    </row>
    <row r="1709" spans="138:141" x14ac:dyDescent="0.25">
      <c r="EH1709" s="313">
        <v>1706</v>
      </c>
      <c r="EI1709" s="314"/>
      <c r="EJ1709" s="247" t="str">
        <f t="shared" si="108"/>
        <v/>
      </c>
      <c r="EK1709" t="str">
        <f t="shared" si="109"/>
        <v/>
      </c>
    </row>
    <row r="1710" spans="138:141" x14ac:dyDescent="0.25">
      <c r="EH1710" s="313">
        <v>1707</v>
      </c>
      <c r="EI1710" s="314"/>
      <c r="EJ1710" s="247" t="str">
        <f t="shared" si="108"/>
        <v/>
      </c>
      <c r="EK1710" t="str">
        <f t="shared" si="109"/>
        <v/>
      </c>
    </row>
    <row r="1711" spans="138:141" x14ac:dyDescent="0.25">
      <c r="EH1711" s="313">
        <v>1708</v>
      </c>
      <c r="EI1711" s="314"/>
      <c r="EJ1711" s="247" t="str">
        <f t="shared" si="108"/>
        <v/>
      </c>
      <c r="EK1711" t="str">
        <f t="shared" si="109"/>
        <v/>
      </c>
    </row>
    <row r="1712" spans="138:141" x14ac:dyDescent="0.25">
      <c r="EH1712" s="313">
        <v>1709</v>
      </c>
      <c r="EI1712" s="314"/>
      <c r="EJ1712" s="247" t="str">
        <f t="shared" si="108"/>
        <v/>
      </c>
      <c r="EK1712" t="str">
        <f t="shared" si="109"/>
        <v/>
      </c>
    </row>
    <row r="1713" spans="138:141" x14ac:dyDescent="0.25">
      <c r="EH1713" s="313">
        <v>1710</v>
      </c>
      <c r="EI1713" s="314">
        <v>20.2441</v>
      </c>
      <c r="EJ1713" s="247">
        <f t="shared" si="108"/>
        <v>1</v>
      </c>
      <c r="EK1713">
        <f t="shared" si="109"/>
        <v>2.0657244897959184</v>
      </c>
    </row>
    <row r="1714" spans="138:141" x14ac:dyDescent="0.25">
      <c r="EH1714" s="313">
        <v>1711</v>
      </c>
      <c r="EI1714" s="314"/>
      <c r="EJ1714" s="247" t="str">
        <f t="shared" si="108"/>
        <v/>
      </c>
      <c r="EK1714" t="str">
        <f t="shared" si="109"/>
        <v/>
      </c>
    </row>
    <row r="1715" spans="138:141" x14ac:dyDescent="0.25">
      <c r="EH1715" s="313">
        <v>1712</v>
      </c>
      <c r="EI1715" s="314"/>
      <c r="EJ1715" s="247" t="str">
        <f t="shared" si="108"/>
        <v/>
      </c>
      <c r="EK1715" t="str">
        <f t="shared" si="109"/>
        <v/>
      </c>
    </row>
    <row r="1716" spans="138:141" x14ac:dyDescent="0.25">
      <c r="EH1716" s="313">
        <v>1713</v>
      </c>
      <c r="EI1716" s="314"/>
      <c r="EJ1716" s="247" t="str">
        <f t="shared" si="108"/>
        <v/>
      </c>
      <c r="EK1716" t="str">
        <f t="shared" si="109"/>
        <v/>
      </c>
    </row>
    <row r="1717" spans="138:141" x14ac:dyDescent="0.25">
      <c r="EH1717" s="313">
        <v>1714</v>
      </c>
      <c r="EI1717" s="314"/>
      <c r="EJ1717" s="247" t="str">
        <f t="shared" si="108"/>
        <v/>
      </c>
      <c r="EK1717" t="str">
        <f t="shared" si="109"/>
        <v/>
      </c>
    </row>
    <row r="1718" spans="138:141" x14ac:dyDescent="0.25">
      <c r="EH1718" s="313">
        <v>1715</v>
      </c>
      <c r="EI1718" s="314"/>
      <c r="EJ1718" s="247" t="str">
        <f t="shared" si="108"/>
        <v/>
      </c>
      <c r="EK1718" t="str">
        <f t="shared" si="109"/>
        <v/>
      </c>
    </row>
    <row r="1719" spans="138:141" x14ac:dyDescent="0.25">
      <c r="EH1719" s="313">
        <v>1716</v>
      </c>
      <c r="EI1719" s="314"/>
      <c r="EJ1719" s="247" t="str">
        <f t="shared" si="108"/>
        <v/>
      </c>
      <c r="EK1719" t="str">
        <f t="shared" si="109"/>
        <v/>
      </c>
    </row>
    <row r="1720" spans="138:141" x14ac:dyDescent="0.25">
      <c r="EH1720" s="313">
        <v>1717</v>
      </c>
      <c r="EI1720" s="314"/>
      <c r="EJ1720" s="247" t="str">
        <f t="shared" si="108"/>
        <v/>
      </c>
      <c r="EK1720" t="str">
        <f t="shared" si="109"/>
        <v/>
      </c>
    </row>
    <row r="1721" spans="138:141" x14ac:dyDescent="0.25">
      <c r="EH1721" s="313">
        <v>1718</v>
      </c>
      <c r="EI1721" s="314"/>
      <c r="EJ1721" s="247" t="str">
        <f t="shared" si="108"/>
        <v/>
      </c>
      <c r="EK1721" t="str">
        <f t="shared" si="109"/>
        <v/>
      </c>
    </row>
    <row r="1722" spans="138:141" x14ac:dyDescent="0.25">
      <c r="EH1722" s="313">
        <v>1719</v>
      </c>
      <c r="EI1722" s="314"/>
      <c r="EJ1722" s="247" t="str">
        <f t="shared" si="108"/>
        <v/>
      </c>
      <c r="EK1722" t="str">
        <f t="shared" si="109"/>
        <v/>
      </c>
    </row>
    <row r="1723" spans="138:141" x14ac:dyDescent="0.25">
      <c r="EH1723" s="313">
        <v>1720</v>
      </c>
      <c r="EI1723" s="314">
        <v>20.360399999999998</v>
      </c>
      <c r="EJ1723" s="247">
        <f t="shared" si="108"/>
        <v>1</v>
      </c>
      <c r="EK1723">
        <f t="shared" si="109"/>
        <v>2.0775918367346935</v>
      </c>
    </row>
    <row r="1724" spans="138:141" x14ac:dyDescent="0.25">
      <c r="EH1724" s="313">
        <v>1721</v>
      </c>
      <c r="EI1724" s="314"/>
      <c r="EJ1724" s="247" t="str">
        <f t="shared" si="108"/>
        <v/>
      </c>
      <c r="EK1724" t="str">
        <f t="shared" si="109"/>
        <v/>
      </c>
    </row>
    <row r="1725" spans="138:141" x14ac:dyDescent="0.25">
      <c r="EH1725" s="313">
        <v>1722</v>
      </c>
      <c r="EI1725" s="314"/>
      <c r="EJ1725" s="247" t="str">
        <f t="shared" si="108"/>
        <v/>
      </c>
      <c r="EK1725" t="str">
        <f t="shared" si="109"/>
        <v/>
      </c>
    </row>
    <row r="1726" spans="138:141" x14ac:dyDescent="0.25">
      <c r="EH1726" s="313">
        <v>1723</v>
      </c>
      <c r="EI1726" s="314"/>
      <c r="EJ1726" s="247" t="str">
        <f t="shared" si="108"/>
        <v/>
      </c>
      <c r="EK1726" t="str">
        <f t="shared" si="109"/>
        <v/>
      </c>
    </row>
    <row r="1727" spans="138:141" x14ac:dyDescent="0.25">
      <c r="EH1727" s="313">
        <v>1724</v>
      </c>
      <c r="EI1727" s="314"/>
      <c r="EJ1727" s="247" t="str">
        <f t="shared" si="108"/>
        <v/>
      </c>
      <c r="EK1727" t="str">
        <f t="shared" si="109"/>
        <v/>
      </c>
    </row>
    <row r="1728" spans="138:141" x14ac:dyDescent="0.25">
      <c r="EH1728" s="313">
        <v>1725</v>
      </c>
      <c r="EI1728" s="314"/>
      <c r="EJ1728" s="247" t="str">
        <f t="shared" si="108"/>
        <v/>
      </c>
      <c r="EK1728" t="str">
        <f t="shared" si="109"/>
        <v/>
      </c>
    </row>
    <row r="1729" spans="138:141" x14ac:dyDescent="0.25">
      <c r="EH1729" s="313">
        <v>1726</v>
      </c>
      <c r="EI1729" s="314"/>
      <c r="EJ1729" s="247" t="str">
        <f t="shared" si="108"/>
        <v/>
      </c>
      <c r="EK1729" t="str">
        <f t="shared" si="109"/>
        <v/>
      </c>
    </row>
    <row r="1730" spans="138:141" x14ac:dyDescent="0.25">
      <c r="EH1730" s="313">
        <v>1727</v>
      </c>
      <c r="EI1730" s="314"/>
      <c r="EJ1730" s="247" t="str">
        <f t="shared" si="108"/>
        <v/>
      </c>
      <c r="EK1730" t="str">
        <f t="shared" si="109"/>
        <v/>
      </c>
    </row>
    <row r="1731" spans="138:141" x14ac:dyDescent="0.25">
      <c r="EH1731" s="313">
        <v>1728</v>
      </c>
      <c r="EI1731" s="314"/>
      <c r="EJ1731" s="247" t="str">
        <f t="shared" si="108"/>
        <v/>
      </c>
      <c r="EK1731" t="str">
        <f t="shared" si="109"/>
        <v/>
      </c>
    </row>
    <row r="1732" spans="138:141" x14ac:dyDescent="0.25">
      <c r="EH1732" s="313">
        <v>1729</v>
      </c>
      <c r="EI1732" s="314"/>
      <c r="EJ1732" s="247" t="str">
        <f t="shared" si="108"/>
        <v/>
      </c>
      <c r="EK1732" t="str">
        <f t="shared" si="109"/>
        <v/>
      </c>
    </row>
    <row r="1733" spans="138:141" x14ac:dyDescent="0.25">
      <c r="EH1733" s="313">
        <v>1730</v>
      </c>
      <c r="EI1733" s="314">
        <v>20.476700000000001</v>
      </c>
      <c r="EJ1733" s="247">
        <f t="shared" ref="EJ1733:EJ1796" si="110">IF(EI1733="","",1)</f>
        <v>1</v>
      </c>
      <c r="EK1733">
        <f t="shared" ref="EK1733:EK1796" si="111">IF(EI1733="","",EI1733/9.8)</f>
        <v>2.0894591836734695</v>
      </c>
    </row>
    <row r="1734" spans="138:141" x14ac:dyDescent="0.25">
      <c r="EH1734" s="313">
        <v>1731</v>
      </c>
      <c r="EI1734" s="314"/>
      <c r="EJ1734" s="247" t="str">
        <f t="shared" si="110"/>
        <v/>
      </c>
      <c r="EK1734" t="str">
        <f t="shared" si="111"/>
        <v/>
      </c>
    </row>
    <row r="1735" spans="138:141" x14ac:dyDescent="0.25">
      <c r="EH1735" s="313">
        <v>1732</v>
      </c>
      <c r="EI1735" s="314"/>
      <c r="EJ1735" s="247" t="str">
        <f t="shared" si="110"/>
        <v/>
      </c>
      <c r="EK1735" t="str">
        <f t="shared" si="111"/>
        <v/>
      </c>
    </row>
    <row r="1736" spans="138:141" x14ac:dyDescent="0.25">
      <c r="EH1736" s="313">
        <v>1733</v>
      </c>
      <c r="EI1736" s="314"/>
      <c r="EJ1736" s="247" t="str">
        <f t="shared" si="110"/>
        <v/>
      </c>
      <c r="EK1736" t="str">
        <f t="shared" si="111"/>
        <v/>
      </c>
    </row>
    <row r="1737" spans="138:141" x14ac:dyDescent="0.25">
      <c r="EH1737" s="313">
        <v>1734</v>
      </c>
      <c r="EI1737" s="314"/>
      <c r="EJ1737" s="247" t="str">
        <f t="shared" si="110"/>
        <v/>
      </c>
      <c r="EK1737" t="str">
        <f t="shared" si="111"/>
        <v/>
      </c>
    </row>
    <row r="1738" spans="138:141" x14ac:dyDescent="0.25">
      <c r="EH1738" s="313">
        <v>1735</v>
      </c>
      <c r="EI1738" s="314"/>
      <c r="EJ1738" s="247" t="str">
        <f t="shared" si="110"/>
        <v/>
      </c>
      <c r="EK1738" t="str">
        <f t="shared" si="111"/>
        <v/>
      </c>
    </row>
    <row r="1739" spans="138:141" x14ac:dyDescent="0.25">
      <c r="EH1739" s="313">
        <v>1736</v>
      </c>
      <c r="EI1739" s="314"/>
      <c r="EJ1739" s="247" t="str">
        <f t="shared" si="110"/>
        <v/>
      </c>
      <c r="EK1739" t="str">
        <f t="shared" si="111"/>
        <v/>
      </c>
    </row>
    <row r="1740" spans="138:141" x14ac:dyDescent="0.25">
      <c r="EH1740" s="313">
        <v>1737</v>
      </c>
      <c r="EI1740" s="314"/>
      <c r="EJ1740" s="247" t="str">
        <f t="shared" si="110"/>
        <v/>
      </c>
      <c r="EK1740" t="str">
        <f t="shared" si="111"/>
        <v/>
      </c>
    </row>
    <row r="1741" spans="138:141" x14ac:dyDescent="0.25">
      <c r="EH1741" s="313">
        <v>1738</v>
      </c>
      <c r="EI1741" s="314"/>
      <c r="EJ1741" s="247" t="str">
        <f t="shared" si="110"/>
        <v/>
      </c>
      <c r="EK1741" t="str">
        <f t="shared" si="111"/>
        <v/>
      </c>
    </row>
    <row r="1742" spans="138:141" x14ac:dyDescent="0.25">
      <c r="EH1742" s="313">
        <v>1739</v>
      </c>
      <c r="EI1742" s="314"/>
      <c r="EJ1742" s="247" t="str">
        <f t="shared" si="110"/>
        <v/>
      </c>
      <c r="EK1742" t="str">
        <f t="shared" si="111"/>
        <v/>
      </c>
    </row>
    <row r="1743" spans="138:141" x14ac:dyDescent="0.25">
      <c r="EH1743" s="313">
        <v>1740</v>
      </c>
      <c r="EI1743" s="314">
        <v>20.593</v>
      </c>
      <c r="EJ1743" s="247">
        <f t="shared" si="110"/>
        <v>1</v>
      </c>
      <c r="EK1743">
        <f t="shared" si="111"/>
        <v>2.1013265306122446</v>
      </c>
    </row>
    <row r="1744" spans="138:141" x14ac:dyDescent="0.25">
      <c r="EH1744" s="313">
        <v>1741</v>
      </c>
      <c r="EI1744" s="314"/>
      <c r="EJ1744" s="247" t="str">
        <f t="shared" si="110"/>
        <v/>
      </c>
      <c r="EK1744" t="str">
        <f t="shared" si="111"/>
        <v/>
      </c>
    </row>
    <row r="1745" spans="138:141" x14ac:dyDescent="0.25">
      <c r="EH1745" s="313">
        <v>1742</v>
      </c>
      <c r="EI1745" s="314"/>
      <c r="EJ1745" s="247" t="str">
        <f t="shared" si="110"/>
        <v/>
      </c>
      <c r="EK1745" t="str">
        <f t="shared" si="111"/>
        <v/>
      </c>
    </row>
    <row r="1746" spans="138:141" x14ac:dyDescent="0.25">
      <c r="EH1746" s="313">
        <v>1743</v>
      </c>
      <c r="EI1746" s="314"/>
      <c r="EJ1746" s="247" t="str">
        <f t="shared" si="110"/>
        <v/>
      </c>
      <c r="EK1746" t="str">
        <f t="shared" si="111"/>
        <v/>
      </c>
    </row>
    <row r="1747" spans="138:141" x14ac:dyDescent="0.25">
      <c r="EH1747" s="313">
        <v>1744</v>
      </c>
      <c r="EI1747" s="314"/>
      <c r="EJ1747" s="247" t="str">
        <f t="shared" si="110"/>
        <v/>
      </c>
      <c r="EK1747" t="str">
        <f t="shared" si="111"/>
        <v/>
      </c>
    </row>
    <row r="1748" spans="138:141" x14ac:dyDescent="0.25">
      <c r="EH1748" s="313">
        <v>1745</v>
      </c>
      <c r="EI1748" s="314"/>
      <c r="EJ1748" s="247" t="str">
        <f t="shared" si="110"/>
        <v/>
      </c>
      <c r="EK1748" t="str">
        <f t="shared" si="111"/>
        <v/>
      </c>
    </row>
    <row r="1749" spans="138:141" x14ac:dyDescent="0.25">
      <c r="EH1749" s="313">
        <v>1746</v>
      </c>
      <c r="EI1749" s="314"/>
      <c r="EJ1749" s="247" t="str">
        <f t="shared" si="110"/>
        <v/>
      </c>
      <c r="EK1749" t="str">
        <f t="shared" si="111"/>
        <v/>
      </c>
    </row>
    <row r="1750" spans="138:141" x14ac:dyDescent="0.25">
      <c r="EH1750" s="313">
        <v>1747</v>
      </c>
      <c r="EI1750" s="314"/>
      <c r="EJ1750" s="247" t="str">
        <f t="shared" si="110"/>
        <v/>
      </c>
      <c r="EK1750" t="str">
        <f t="shared" si="111"/>
        <v/>
      </c>
    </row>
    <row r="1751" spans="138:141" x14ac:dyDescent="0.25">
      <c r="EH1751" s="313">
        <v>1748</v>
      </c>
      <c r="EI1751" s="314"/>
      <c r="EJ1751" s="247" t="str">
        <f t="shared" si="110"/>
        <v/>
      </c>
      <c r="EK1751" t="str">
        <f t="shared" si="111"/>
        <v/>
      </c>
    </row>
    <row r="1752" spans="138:141" x14ac:dyDescent="0.25">
      <c r="EH1752" s="313">
        <v>1749</v>
      </c>
      <c r="EI1752" s="314"/>
      <c r="EJ1752" s="247" t="str">
        <f t="shared" si="110"/>
        <v/>
      </c>
      <c r="EK1752" t="str">
        <f t="shared" si="111"/>
        <v/>
      </c>
    </row>
    <row r="1753" spans="138:141" x14ac:dyDescent="0.25">
      <c r="EH1753" s="313">
        <v>1750</v>
      </c>
      <c r="EI1753" s="314">
        <v>20.709299999999999</v>
      </c>
      <c r="EJ1753" s="247">
        <f t="shared" si="110"/>
        <v>1</v>
      </c>
      <c r="EK1753">
        <f t="shared" si="111"/>
        <v>2.1131938775510202</v>
      </c>
    </row>
    <row r="1754" spans="138:141" x14ac:dyDescent="0.25">
      <c r="EH1754" s="313">
        <v>1751</v>
      </c>
      <c r="EI1754" s="314"/>
      <c r="EJ1754" s="247" t="str">
        <f t="shared" si="110"/>
        <v/>
      </c>
      <c r="EK1754" t="str">
        <f t="shared" si="111"/>
        <v/>
      </c>
    </row>
    <row r="1755" spans="138:141" x14ac:dyDescent="0.25">
      <c r="EH1755" s="313">
        <v>1752</v>
      </c>
      <c r="EI1755" s="314"/>
      <c r="EJ1755" s="247" t="str">
        <f t="shared" si="110"/>
        <v/>
      </c>
      <c r="EK1755" t="str">
        <f t="shared" si="111"/>
        <v/>
      </c>
    </row>
    <row r="1756" spans="138:141" x14ac:dyDescent="0.25">
      <c r="EH1756" s="313">
        <v>1753</v>
      </c>
      <c r="EI1756" s="314"/>
      <c r="EJ1756" s="247" t="str">
        <f t="shared" si="110"/>
        <v/>
      </c>
      <c r="EK1756" t="str">
        <f t="shared" si="111"/>
        <v/>
      </c>
    </row>
    <row r="1757" spans="138:141" x14ac:dyDescent="0.25">
      <c r="EH1757" s="313">
        <v>1754</v>
      </c>
      <c r="EI1757" s="314"/>
      <c r="EJ1757" s="247" t="str">
        <f t="shared" si="110"/>
        <v/>
      </c>
      <c r="EK1757" t="str">
        <f t="shared" si="111"/>
        <v/>
      </c>
    </row>
    <row r="1758" spans="138:141" x14ac:dyDescent="0.25">
      <c r="EH1758" s="313">
        <v>1755</v>
      </c>
      <c r="EI1758" s="314"/>
      <c r="EJ1758" s="247" t="str">
        <f t="shared" si="110"/>
        <v/>
      </c>
      <c r="EK1758" t="str">
        <f t="shared" si="111"/>
        <v/>
      </c>
    </row>
    <row r="1759" spans="138:141" x14ac:dyDescent="0.25">
      <c r="EH1759" s="313">
        <v>1756</v>
      </c>
      <c r="EI1759" s="314"/>
      <c r="EJ1759" s="247" t="str">
        <f t="shared" si="110"/>
        <v/>
      </c>
      <c r="EK1759" t="str">
        <f t="shared" si="111"/>
        <v/>
      </c>
    </row>
    <row r="1760" spans="138:141" x14ac:dyDescent="0.25">
      <c r="EH1760" s="313">
        <v>1757</v>
      </c>
      <c r="EI1760" s="314"/>
      <c r="EJ1760" s="247" t="str">
        <f t="shared" si="110"/>
        <v/>
      </c>
      <c r="EK1760" t="str">
        <f t="shared" si="111"/>
        <v/>
      </c>
    </row>
    <row r="1761" spans="138:141" x14ac:dyDescent="0.25">
      <c r="EH1761" s="313">
        <v>1758</v>
      </c>
      <c r="EI1761" s="314"/>
      <c r="EJ1761" s="247" t="str">
        <f t="shared" si="110"/>
        <v/>
      </c>
      <c r="EK1761" t="str">
        <f t="shared" si="111"/>
        <v/>
      </c>
    </row>
    <row r="1762" spans="138:141" x14ac:dyDescent="0.25">
      <c r="EH1762" s="313">
        <v>1759</v>
      </c>
      <c r="EI1762" s="314"/>
      <c r="EJ1762" s="247" t="str">
        <f t="shared" si="110"/>
        <v/>
      </c>
      <c r="EK1762" t="str">
        <f t="shared" si="111"/>
        <v/>
      </c>
    </row>
    <row r="1763" spans="138:141" x14ac:dyDescent="0.25">
      <c r="EH1763" s="313">
        <v>1760</v>
      </c>
      <c r="EI1763" s="314">
        <v>20.825500000000002</v>
      </c>
      <c r="EJ1763" s="247">
        <f t="shared" si="110"/>
        <v>1</v>
      </c>
      <c r="EK1763">
        <f t="shared" si="111"/>
        <v>2.1250510204081632</v>
      </c>
    </row>
    <row r="1764" spans="138:141" x14ac:dyDescent="0.25">
      <c r="EH1764" s="313">
        <v>1761</v>
      </c>
      <c r="EI1764" s="314"/>
      <c r="EJ1764" s="247" t="str">
        <f t="shared" si="110"/>
        <v/>
      </c>
      <c r="EK1764" t="str">
        <f t="shared" si="111"/>
        <v/>
      </c>
    </row>
    <row r="1765" spans="138:141" x14ac:dyDescent="0.25">
      <c r="EH1765" s="313">
        <v>1762</v>
      </c>
      <c r="EI1765" s="314"/>
      <c r="EJ1765" s="247" t="str">
        <f t="shared" si="110"/>
        <v/>
      </c>
      <c r="EK1765" t="str">
        <f t="shared" si="111"/>
        <v/>
      </c>
    </row>
    <row r="1766" spans="138:141" x14ac:dyDescent="0.25">
      <c r="EH1766" s="313">
        <v>1763</v>
      </c>
      <c r="EI1766" s="314"/>
      <c r="EJ1766" s="247" t="str">
        <f t="shared" si="110"/>
        <v/>
      </c>
      <c r="EK1766" t="str">
        <f t="shared" si="111"/>
        <v/>
      </c>
    </row>
    <row r="1767" spans="138:141" x14ac:dyDescent="0.25">
      <c r="EH1767" s="313">
        <v>1764</v>
      </c>
      <c r="EI1767" s="314"/>
      <c r="EJ1767" s="247" t="str">
        <f t="shared" si="110"/>
        <v/>
      </c>
      <c r="EK1767" t="str">
        <f t="shared" si="111"/>
        <v/>
      </c>
    </row>
    <row r="1768" spans="138:141" x14ac:dyDescent="0.25">
      <c r="EH1768" s="313">
        <v>1765</v>
      </c>
      <c r="EI1768" s="314"/>
      <c r="EJ1768" s="247" t="str">
        <f t="shared" si="110"/>
        <v/>
      </c>
      <c r="EK1768" t="str">
        <f t="shared" si="111"/>
        <v/>
      </c>
    </row>
    <row r="1769" spans="138:141" x14ac:dyDescent="0.25">
      <c r="EH1769" s="313">
        <v>1766</v>
      </c>
      <c r="EI1769" s="314"/>
      <c r="EJ1769" s="247" t="str">
        <f t="shared" si="110"/>
        <v/>
      </c>
      <c r="EK1769" t="str">
        <f t="shared" si="111"/>
        <v/>
      </c>
    </row>
    <row r="1770" spans="138:141" x14ac:dyDescent="0.25">
      <c r="EH1770" s="313">
        <v>1767</v>
      </c>
      <c r="EI1770" s="314"/>
      <c r="EJ1770" s="247" t="str">
        <f t="shared" si="110"/>
        <v/>
      </c>
      <c r="EK1770" t="str">
        <f t="shared" si="111"/>
        <v/>
      </c>
    </row>
    <row r="1771" spans="138:141" x14ac:dyDescent="0.25">
      <c r="EH1771" s="313">
        <v>1768</v>
      </c>
      <c r="EI1771" s="314"/>
      <c r="EJ1771" s="247" t="str">
        <f t="shared" si="110"/>
        <v/>
      </c>
      <c r="EK1771" t="str">
        <f t="shared" si="111"/>
        <v/>
      </c>
    </row>
    <row r="1772" spans="138:141" x14ac:dyDescent="0.25">
      <c r="EH1772" s="313">
        <v>1769</v>
      </c>
      <c r="EI1772" s="314"/>
      <c r="EJ1772" s="247" t="str">
        <f t="shared" si="110"/>
        <v/>
      </c>
      <c r="EK1772" t="str">
        <f t="shared" si="111"/>
        <v/>
      </c>
    </row>
    <row r="1773" spans="138:141" x14ac:dyDescent="0.25">
      <c r="EH1773" s="313">
        <v>1770</v>
      </c>
      <c r="EI1773" s="314">
        <v>20.941800000000001</v>
      </c>
      <c r="EJ1773" s="247">
        <f t="shared" si="110"/>
        <v>1</v>
      </c>
      <c r="EK1773">
        <f t="shared" si="111"/>
        <v>2.1369183673469387</v>
      </c>
    </row>
    <row r="1774" spans="138:141" x14ac:dyDescent="0.25">
      <c r="EH1774" s="313">
        <v>1771</v>
      </c>
      <c r="EI1774" s="314"/>
      <c r="EJ1774" s="247" t="str">
        <f t="shared" si="110"/>
        <v/>
      </c>
      <c r="EK1774" t="str">
        <f t="shared" si="111"/>
        <v/>
      </c>
    </row>
    <row r="1775" spans="138:141" x14ac:dyDescent="0.25">
      <c r="EH1775" s="313">
        <v>1772</v>
      </c>
      <c r="EI1775" s="314"/>
      <c r="EJ1775" s="247" t="str">
        <f t="shared" si="110"/>
        <v/>
      </c>
      <c r="EK1775" t="str">
        <f t="shared" si="111"/>
        <v/>
      </c>
    </row>
    <row r="1776" spans="138:141" x14ac:dyDescent="0.25">
      <c r="EH1776" s="313">
        <v>1773</v>
      </c>
      <c r="EI1776" s="314"/>
      <c r="EJ1776" s="247" t="str">
        <f t="shared" si="110"/>
        <v/>
      </c>
      <c r="EK1776" t="str">
        <f t="shared" si="111"/>
        <v/>
      </c>
    </row>
    <row r="1777" spans="138:141" x14ac:dyDescent="0.25">
      <c r="EH1777" s="313">
        <v>1774</v>
      </c>
      <c r="EI1777" s="314"/>
      <c r="EJ1777" s="247" t="str">
        <f t="shared" si="110"/>
        <v/>
      </c>
      <c r="EK1777" t="str">
        <f t="shared" si="111"/>
        <v/>
      </c>
    </row>
    <row r="1778" spans="138:141" x14ac:dyDescent="0.25">
      <c r="EH1778" s="313">
        <v>1775</v>
      </c>
      <c r="EI1778" s="314"/>
      <c r="EJ1778" s="247" t="str">
        <f t="shared" si="110"/>
        <v/>
      </c>
      <c r="EK1778" t="str">
        <f t="shared" si="111"/>
        <v/>
      </c>
    </row>
    <row r="1779" spans="138:141" x14ac:dyDescent="0.25">
      <c r="EH1779" s="313">
        <v>1776</v>
      </c>
      <c r="EI1779" s="314"/>
      <c r="EJ1779" s="247" t="str">
        <f t="shared" si="110"/>
        <v/>
      </c>
      <c r="EK1779" t="str">
        <f t="shared" si="111"/>
        <v/>
      </c>
    </row>
    <row r="1780" spans="138:141" x14ac:dyDescent="0.25">
      <c r="EH1780" s="313">
        <v>1777</v>
      </c>
      <c r="EI1780" s="314"/>
      <c r="EJ1780" s="247" t="str">
        <f t="shared" si="110"/>
        <v/>
      </c>
      <c r="EK1780" t="str">
        <f t="shared" si="111"/>
        <v/>
      </c>
    </row>
    <row r="1781" spans="138:141" x14ac:dyDescent="0.25">
      <c r="EH1781" s="313">
        <v>1778</v>
      </c>
      <c r="EI1781" s="314"/>
      <c r="EJ1781" s="247" t="str">
        <f t="shared" si="110"/>
        <v/>
      </c>
      <c r="EK1781" t="str">
        <f t="shared" si="111"/>
        <v/>
      </c>
    </row>
    <row r="1782" spans="138:141" x14ac:dyDescent="0.25">
      <c r="EH1782" s="313">
        <v>1779</v>
      </c>
      <c r="EI1782" s="314"/>
      <c r="EJ1782" s="247" t="str">
        <f t="shared" si="110"/>
        <v/>
      </c>
      <c r="EK1782" t="str">
        <f t="shared" si="111"/>
        <v/>
      </c>
    </row>
    <row r="1783" spans="138:141" x14ac:dyDescent="0.25">
      <c r="EH1783" s="313">
        <v>1780</v>
      </c>
      <c r="EI1783" s="314">
        <v>21.0581</v>
      </c>
      <c r="EJ1783" s="247">
        <f t="shared" si="110"/>
        <v>1</v>
      </c>
      <c r="EK1783">
        <f t="shared" si="111"/>
        <v>2.1487857142857143</v>
      </c>
    </row>
    <row r="1784" spans="138:141" x14ac:dyDescent="0.25">
      <c r="EH1784" s="313">
        <v>1781</v>
      </c>
      <c r="EI1784" s="314"/>
      <c r="EJ1784" s="247" t="str">
        <f t="shared" si="110"/>
        <v/>
      </c>
      <c r="EK1784" t="str">
        <f t="shared" si="111"/>
        <v/>
      </c>
    </row>
    <row r="1785" spans="138:141" x14ac:dyDescent="0.25">
      <c r="EH1785" s="313">
        <v>1782</v>
      </c>
      <c r="EI1785" s="314"/>
      <c r="EJ1785" s="247" t="str">
        <f t="shared" si="110"/>
        <v/>
      </c>
      <c r="EK1785" t="str">
        <f t="shared" si="111"/>
        <v/>
      </c>
    </row>
    <row r="1786" spans="138:141" x14ac:dyDescent="0.25">
      <c r="EH1786" s="313">
        <v>1783</v>
      </c>
      <c r="EI1786" s="314"/>
      <c r="EJ1786" s="247" t="str">
        <f t="shared" si="110"/>
        <v/>
      </c>
      <c r="EK1786" t="str">
        <f t="shared" si="111"/>
        <v/>
      </c>
    </row>
    <row r="1787" spans="138:141" x14ac:dyDescent="0.25">
      <c r="EH1787" s="313">
        <v>1784</v>
      </c>
      <c r="EI1787" s="314"/>
      <c r="EJ1787" s="247" t="str">
        <f t="shared" si="110"/>
        <v/>
      </c>
      <c r="EK1787" t="str">
        <f t="shared" si="111"/>
        <v/>
      </c>
    </row>
    <row r="1788" spans="138:141" x14ac:dyDescent="0.25">
      <c r="EH1788" s="313">
        <v>1785</v>
      </c>
      <c r="EI1788" s="314"/>
      <c r="EJ1788" s="247" t="str">
        <f t="shared" si="110"/>
        <v/>
      </c>
      <c r="EK1788" t="str">
        <f t="shared" si="111"/>
        <v/>
      </c>
    </row>
    <row r="1789" spans="138:141" x14ac:dyDescent="0.25">
      <c r="EH1789" s="313">
        <v>1786</v>
      </c>
      <c r="EI1789" s="314"/>
      <c r="EJ1789" s="247" t="str">
        <f t="shared" si="110"/>
        <v/>
      </c>
      <c r="EK1789" t="str">
        <f t="shared" si="111"/>
        <v/>
      </c>
    </row>
    <row r="1790" spans="138:141" x14ac:dyDescent="0.25">
      <c r="EH1790" s="313">
        <v>1787</v>
      </c>
      <c r="EI1790" s="314"/>
      <c r="EJ1790" s="247" t="str">
        <f t="shared" si="110"/>
        <v/>
      </c>
      <c r="EK1790" t="str">
        <f t="shared" si="111"/>
        <v/>
      </c>
    </row>
    <row r="1791" spans="138:141" x14ac:dyDescent="0.25">
      <c r="EH1791" s="313">
        <v>1788</v>
      </c>
      <c r="EI1791" s="314"/>
      <c r="EJ1791" s="247" t="str">
        <f t="shared" si="110"/>
        <v/>
      </c>
      <c r="EK1791" t="str">
        <f t="shared" si="111"/>
        <v/>
      </c>
    </row>
    <row r="1792" spans="138:141" x14ac:dyDescent="0.25">
      <c r="EH1792" s="313">
        <v>1789</v>
      </c>
      <c r="EI1792" s="314"/>
      <c r="EJ1792" s="247" t="str">
        <f t="shared" si="110"/>
        <v/>
      </c>
      <c r="EK1792" t="str">
        <f t="shared" si="111"/>
        <v/>
      </c>
    </row>
    <row r="1793" spans="138:141" x14ac:dyDescent="0.25">
      <c r="EH1793" s="313">
        <v>1790</v>
      </c>
      <c r="EI1793" s="314">
        <v>21.174399999999999</v>
      </c>
      <c r="EJ1793" s="247">
        <f t="shared" si="110"/>
        <v>1</v>
      </c>
      <c r="EK1793">
        <f t="shared" si="111"/>
        <v>2.1606530612244894</v>
      </c>
    </row>
    <row r="1794" spans="138:141" x14ac:dyDescent="0.25">
      <c r="EH1794" s="313">
        <v>1791</v>
      </c>
      <c r="EI1794" s="314"/>
      <c r="EJ1794" s="247" t="str">
        <f t="shared" si="110"/>
        <v/>
      </c>
      <c r="EK1794" t="str">
        <f t="shared" si="111"/>
        <v/>
      </c>
    </row>
    <row r="1795" spans="138:141" x14ac:dyDescent="0.25">
      <c r="EH1795" s="313">
        <v>1792</v>
      </c>
      <c r="EI1795" s="314"/>
      <c r="EJ1795" s="247" t="str">
        <f t="shared" si="110"/>
        <v/>
      </c>
      <c r="EK1795" t="str">
        <f t="shared" si="111"/>
        <v/>
      </c>
    </row>
    <row r="1796" spans="138:141" x14ac:dyDescent="0.25">
      <c r="EH1796" s="313">
        <v>1793</v>
      </c>
      <c r="EI1796" s="314"/>
      <c r="EJ1796" s="247" t="str">
        <f t="shared" si="110"/>
        <v/>
      </c>
      <c r="EK1796" t="str">
        <f t="shared" si="111"/>
        <v/>
      </c>
    </row>
    <row r="1797" spans="138:141" x14ac:dyDescent="0.25">
      <c r="EH1797" s="313">
        <v>1794</v>
      </c>
      <c r="EI1797" s="314"/>
      <c r="EJ1797" s="247" t="str">
        <f t="shared" ref="EJ1797:EJ1860" si="112">IF(EI1797="","",1)</f>
        <v/>
      </c>
      <c r="EK1797" t="str">
        <f t="shared" ref="EK1797:EK1860" si="113">IF(EI1797="","",EI1797/9.8)</f>
        <v/>
      </c>
    </row>
    <row r="1798" spans="138:141" x14ac:dyDescent="0.25">
      <c r="EH1798" s="313">
        <v>1795</v>
      </c>
      <c r="EI1798" s="314"/>
      <c r="EJ1798" s="247" t="str">
        <f t="shared" si="112"/>
        <v/>
      </c>
      <c r="EK1798" t="str">
        <f t="shared" si="113"/>
        <v/>
      </c>
    </row>
    <row r="1799" spans="138:141" x14ac:dyDescent="0.25">
      <c r="EH1799" s="313">
        <v>1796</v>
      </c>
      <c r="EI1799" s="314"/>
      <c r="EJ1799" s="247" t="str">
        <f t="shared" si="112"/>
        <v/>
      </c>
      <c r="EK1799" t="str">
        <f t="shared" si="113"/>
        <v/>
      </c>
    </row>
    <row r="1800" spans="138:141" x14ac:dyDescent="0.25">
      <c r="EH1800" s="313">
        <v>1797</v>
      </c>
      <c r="EI1800" s="314"/>
      <c r="EJ1800" s="247" t="str">
        <f t="shared" si="112"/>
        <v/>
      </c>
      <c r="EK1800" t="str">
        <f t="shared" si="113"/>
        <v/>
      </c>
    </row>
    <row r="1801" spans="138:141" x14ac:dyDescent="0.25">
      <c r="EH1801" s="313">
        <v>1798</v>
      </c>
      <c r="EI1801" s="314"/>
      <c r="EJ1801" s="247" t="str">
        <f t="shared" si="112"/>
        <v/>
      </c>
      <c r="EK1801" t="str">
        <f t="shared" si="113"/>
        <v/>
      </c>
    </row>
    <row r="1802" spans="138:141" x14ac:dyDescent="0.25">
      <c r="EH1802" s="313">
        <v>1799</v>
      </c>
      <c r="EI1802" s="314"/>
      <c r="EJ1802" s="247" t="str">
        <f t="shared" si="112"/>
        <v/>
      </c>
      <c r="EK1802" t="str">
        <f t="shared" si="113"/>
        <v/>
      </c>
    </row>
    <row r="1803" spans="138:141" x14ac:dyDescent="0.25">
      <c r="EH1803" s="313">
        <v>1800</v>
      </c>
      <c r="EI1803" s="314">
        <v>21.290600000000001</v>
      </c>
      <c r="EJ1803" s="247">
        <f t="shared" si="112"/>
        <v>1</v>
      </c>
      <c r="EK1803">
        <f t="shared" si="113"/>
        <v>2.1725102040816324</v>
      </c>
    </row>
    <row r="1804" spans="138:141" x14ac:dyDescent="0.25">
      <c r="EH1804" s="313">
        <v>1801</v>
      </c>
      <c r="EI1804" s="314"/>
      <c r="EJ1804" s="247" t="str">
        <f t="shared" si="112"/>
        <v/>
      </c>
      <c r="EK1804" t="str">
        <f t="shared" si="113"/>
        <v/>
      </c>
    </row>
    <row r="1805" spans="138:141" x14ac:dyDescent="0.25">
      <c r="EH1805" s="313">
        <v>1802</v>
      </c>
      <c r="EI1805" s="314"/>
      <c r="EJ1805" s="247" t="str">
        <f t="shared" si="112"/>
        <v/>
      </c>
      <c r="EK1805" t="str">
        <f t="shared" si="113"/>
        <v/>
      </c>
    </row>
    <row r="1806" spans="138:141" x14ac:dyDescent="0.25">
      <c r="EH1806" s="313">
        <v>1803</v>
      </c>
      <c r="EI1806" s="314"/>
      <c r="EJ1806" s="247" t="str">
        <f t="shared" si="112"/>
        <v/>
      </c>
      <c r="EK1806" t="str">
        <f t="shared" si="113"/>
        <v/>
      </c>
    </row>
    <row r="1807" spans="138:141" x14ac:dyDescent="0.25">
      <c r="EH1807" s="313">
        <v>1804</v>
      </c>
      <c r="EI1807" s="314"/>
      <c r="EJ1807" s="247" t="str">
        <f t="shared" si="112"/>
        <v/>
      </c>
      <c r="EK1807" t="str">
        <f t="shared" si="113"/>
        <v/>
      </c>
    </row>
    <row r="1808" spans="138:141" x14ac:dyDescent="0.25">
      <c r="EH1808" s="313">
        <v>1805</v>
      </c>
      <c r="EI1808" s="314"/>
      <c r="EJ1808" s="247" t="str">
        <f t="shared" si="112"/>
        <v/>
      </c>
      <c r="EK1808" t="str">
        <f t="shared" si="113"/>
        <v/>
      </c>
    </row>
    <row r="1809" spans="138:141" x14ac:dyDescent="0.25">
      <c r="EH1809" s="313">
        <v>1806</v>
      </c>
      <c r="EI1809" s="314"/>
      <c r="EJ1809" s="247" t="str">
        <f t="shared" si="112"/>
        <v/>
      </c>
      <c r="EK1809" t="str">
        <f t="shared" si="113"/>
        <v/>
      </c>
    </row>
    <row r="1810" spans="138:141" x14ac:dyDescent="0.25">
      <c r="EH1810" s="313">
        <v>1807</v>
      </c>
      <c r="EI1810" s="314"/>
      <c r="EJ1810" s="247" t="str">
        <f t="shared" si="112"/>
        <v/>
      </c>
      <c r="EK1810" t="str">
        <f t="shared" si="113"/>
        <v/>
      </c>
    </row>
    <row r="1811" spans="138:141" x14ac:dyDescent="0.25">
      <c r="EH1811" s="313">
        <v>1808</v>
      </c>
      <c r="EI1811" s="314"/>
      <c r="EJ1811" s="247" t="str">
        <f t="shared" si="112"/>
        <v/>
      </c>
      <c r="EK1811" t="str">
        <f t="shared" si="113"/>
        <v/>
      </c>
    </row>
    <row r="1812" spans="138:141" x14ac:dyDescent="0.25">
      <c r="EH1812" s="313">
        <v>1809</v>
      </c>
      <c r="EI1812" s="314"/>
      <c r="EJ1812" s="247" t="str">
        <f t="shared" si="112"/>
        <v/>
      </c>
      <c r="EK1812" t="str">
        <f t="shared" si="113"/>
        <v/>
      </c>
    </row>
    <row r="1813" spans="138:141" x14ac:dyDescent="0.25">
      <c r="EH1813" s="313">
        <v>1810</v>
      </c>
      <c r="EI1813" s="314">
        <v>21.4069</v>
      </c>
      <c r="EJ1813" s="247">
        <f t="shared" si="112"/>
        <v>1</v>
      </c>
      <c r="EK1813">
        <f t="shared" si="113"/>
        <v>2.184377551020408</v>
      </c>
    </row>
    <row r="1814" spans="138:141" x14ac:dyDescent="0.25">
      <c r="EH1814" s="313">
        <v>1811</v>
      </c>
      <c r="EI1814" s="314"/>
      <c r="EJ1814" s="247" t="str">
        <f t="shared" si="112"/>
        <v/>
      </c>
      <c r="EK1814" t="str">
        <f t="shared" si="113"/>
        <v/>
      </c>
    </row>
    <row r="1815" spans="138:141" x14ac:dyDescent="0.25">
      <c r="EH1815" s="313">
        <v>1812</v>
      </c>
      <c r="EI1815" s="314"/>
      <c r="EJ1815" s="247" t="str">
        <f t="shared" si="112"/>
        <v/>
      </c>
      <c r="EK1815" t="str">
        <f t="shared" si="113"/>
        <v/>
      </c>
    </row>
    <row r="1816" spans="138:141" x14ac:dyDescent="0.25">
      <c r="EH1816" s="313">
        <v>1813</v>
      </c>
      <c r="EI1816" s="314"/>
      <c r="EJ1816" s="247" t="str">
        <f t="shared" si="112"/>
        <v/>
      </c>
      <c r="EK1816" t="str">
        <f t="shared" si="113"/>
        <v/>
      </c>
    </row>
    <row r="1817" spans="138:141" x14ac:dyDescent="0.25">
      <c r="EH1817" s="313">
        <v>1814</v>
      </c>
      <c r="EI1817" s="314"/>
      <c r="EJ1817" s="247" t="str">
        <f t="shared" si="112"/>
        <v/>
      </c>
      <c r="EK1817" t="str">
        <f t="shared" si="113"/>
        <v/>
      </c>
    </row>
    <row r="1818" spans="138:141" x14ac:dyDescent="0.25">
      <c r="EH1818" s="313">
        <v>1815</v>
      </c>
      <c r="EI1818" s="314"/>
      <c r="EJ1818" s="247" t="str">
        <f t="shared" si="112"/>
        <v/>
      </c>
      <c r="EK1818" t="str">
        <f t="shared" si="113"/>
        <v/>
      </c>
    </row>
    <row r="1819" spans="138:141" x14ac:dyDescent="0.25">
      <c r="EH1819" s="313">
        <v>1816</v>
      </c>
      <c r="EI1819" s="314"/>
      <c r="EJ1819" s="247" t="str">
        <f t="shared" si="112"/>
        <v/>
      </c>
      <c r="EK1819" t="str">
        <f t="shared" si="113"/>
        <v/>
      </c>
    </row>
    <row r="1820" spans="138:141" x14ac:dyDescent="0.25">
      <c r="EH1820" s="313">
        <v>1817</v>
      </c>
      <c r="EI1820" s="314"/>
      <c r="EJ1820" s="247" t="str">
        <f t="shared" si="112"/>
        <v/>
      </c>
      <c r="EK1820" t="str">
        <f t="shared" si="113"/>
        <v/>
      </c>
    </row>
    <row r="1821" spans="138:141" x14ac:dyDescent="0.25">
      <c r="EH1821" s="313">
        <v>1818</v>
      </c>
      <c r="EI1821" s="314"/>
      <c r="EJ1821" s="247" t="str">
        <f t="shared" si="112"/>
        <v/>
      </c>
      <c r="EK1821" t="str">
        <f t="shared" si="113"/>
        <v/>
      </c>
    </row>
    <row r="1822" spans="138:141" x14ac:dyDescent="0.25">
      <c r="EH1822" s="313">
        <v>1819</v>
      </c>
      <c r="EI1822" s="314"/>
      <c r="EJ1822" s="247" t="str">
        <f t="shared" si="112"/>
        <v/>
      </c>
      <c r="EK1822" t="str">
        <f t="shared" si="113"/>
        <v/>
      </c>
    </row>
    <row r="1823" spans="138:141" x14ac:dyDescent="0.25">
      <c r="EH1823" s="313">
        <v>1820</v>
      </c>
      <c r="EI1823" s="314">
        <v>21.523199999999999</v>
      </c>
      <c r="EJ1823" s="247">
        <f t="shared" si="112"/>
        <v>1</v>
      </c>
      <c r="EK1823">
        <f t="shared" si="113"/>
        <v>2.1962448979591835</v>
      </c>
    </row>
    <row r="1824" spans="138:141" x14ac:dyDescent="0.25">
      <c r="EH1824" s="313">
        <v>1821</v>
      </c>
      <c r="EI1824" s="314"/>
      <c r="EJ1824" s="247" t="str">
        <f t="shared" si="112"/>
        <v/>
      </c>
      <c r="EK1824" t="str">
        <f t="shared" si="113"/>
        <v/>
      </c>
    </row>
    <row r="1825" spans="138:141" x14ac:dyDescent="0.25">
      <c r="EH1825" s="313">
        <v>1822</v>
      </c>
      <c r="EI1825" s="314"/>
      <c r="EJ1825" s="247" t="str">
        <f t="shared" si="112"/>
        <v/>
      </c>
      <c r="EK1825" t="str">
        <f t="shared" si="113"/>
        <v/>
      </c>
    </row>
    <row r="1826" spans="138:141" x14ac:dyDescent="0.25">
      <c r="EH1826" s="313">
        <v>1823</v>
      </c>
      <c r="EI1826" s="314"/>
      <c r="EJ1826" s="247" t="str">
        <f t="shared" si="112"/>
        <v/>
      </c>
      <c r="EK1826" t="str">
        <f t="shared" si="113"/>
        <v/>
      </c>
    </row>
    <row r="1827" spans="138:141" x14ac:dyDescent="0.25">
      <c r="EH1827" s="313">
        <v>1824</v>
      </c>
      <c r="EI1827" s="314"/>
      <c r="EJ1827" s="247" t="str">
        <f t="shared" si="112"/>
        <v/>
      </c>
      <c r="EK1827" t="str">
        <f t="shared" si="113"/>
        <v/>
      </c>
    </row>
    <row r="1828" spans="138:141" x14ac:dyDescent="0.25">
      <c r="EH1828" s="313">
        <v>1825</v>
      </c>
      <c r="EI1828" s="314"/>
      <c r="EJ1828" s="247" t="str">
        <f t="shared" si="112"/>
        <v/>
      </c>
      <c r="EK1828" t="str">
        <f t="shared" si="113"/>
        <v/>
      </c>
    </row>
    <row r="1829" spans="138:141" x14ac:dyDescent="0.25">
      <c r="EH1829" s="313">
        <v>1826</v>
      </c>
      <c r="EI1829" s="314"/>
      <c r="EJ1829" s="247" t="str">
        <f t="shared" si="112"/>
        <v/>
      </c>
      <c r="EK1829" t="str">
        <f t="shared" si="113"/>
        <v/>
      </c>
    </row>
    <row r="1830" spans="138:141" x14ac:dyDescent="0.25">
      <c r="EH1830" s="313">
        <v>1827</v>
      </c>
      <c r="EI1830" s="314"/>
      <c r="EJ1830" s="247" t="str">
        <f t="shared" si="112"/>
        <v/>
      </c>
      <c r="EK1830" t="str">
        <f t="shared" si="113"/>
        <v/>
      </c>
    </row>
    <row r="1831" spans="138:141" x14ac:dyDescent="0.25">
      <c r="EH1831" s="313">
        <v>1828</v>
      </c>
      <c r="EI1831" s="314"/>
      <c r="EJ1831" s="247" t="str">
        <f t="shared" si="112"/>
        <v/>
      </c>
      <c r="EK1831" t="str">
        <f t="shared" si="113"/>
        <v/>
      </c>
    </row>
    <row r="1832" spans="138:141" x14ac:dyDescent="0.25">
      <c r="EH1832" s="313">
        <v>1829</v>
      </c>
      <c r="EI1832" s="314"/>
      <c r="EJ1832" s="247" t="str">
        <f t="shared" si="112"/>
        <v/>
      </c>
      <c r="EK1832" t="str">
        <f t="shared" si="113"/>
        <v/>
      </c>
    </row>
    <row r="1833" spans="138:141" x14ac:dyDescent="0.25">
      <c r="EH1833" s="313">
        <v>1830</v>
      </c>
      <c r="EI1833" s="314">
        <v>21.639500000000002</v>
      </c>
      <c r="EJ1833" s="247">
        <f t="shared" si="112"/>
        <v>1</v>
      </c>
      <c r="EK1833">
        <f t="shared" si="113"/>
        <v>2.2081122448979591</v>
      </c>
    </row>
    <row r="1834" spans="138:141" x14ac:dyDescent="0.25">
      <c r="EH1834" s="313">
        <v>1831</v>
      </c>
      <c r="EI1834" s="314"/>
      <c r="EJ1834" s="247" t="str">
        <f t="shared" si="112"/>
        <v/>
      </c>
      <c r="EK1834" t="str">
        <f t="shared" si="113"/>
        <v/>
      </c>
    </row>
    <row r="1835" spans="138:141" x14ac:dyDescent="0.25">
      <c r="EH1835" s="313">
        <v>1832</v>
      </c>
      <c r="EI1835" s="314"/>
      <c r="EJ1835" s="247" t="str">
        <f t="shared" si="112"/>
        <v/>
      </c>
      <c r="EK1835" t="str">
        <f t="shared" si="113"/>
        <v/>
      </c>
    </row>
    <row r="1836" spans="138:141" x14ac:dyDescent="0.25">
      <c r="EH1836" s="313">
        <v>1833</v>
      </c>
      <c r="EI1836" s="314"/>
      <c r="EJ1836" s="247" t="str">
        <f t="shared" si="112"/>
        <v/>
      </c>
      <c r="EK1836" t="str">
        <f t="shared" si="113"/>
        <v/>
      </c>
    </row>
    <row r="1837" spans="138:141" x14ac:dyDescent="0.25">
      <c r="EH1837" s="313">
        <v>1834</v>
      </c>
      <c r="EI1837" s="314"/>
      <c r="EJ1837" s="247" t="str">
        <f t="shared" si="112"/>
        <v/>
      </c>
      <c r="EK1837" t="str">
        <f t="shared" si="113"/>
        <v/>
      </c>
    </row>
    <row r="1838" spans="138:141" x14ac:dyDescent="0.25">
      <c r="EH1838" s="313">
        <v>1835</v>
      </c>
      <c r="EI1838" s="314"/>
      <c r="EJ1838" s="247" t="str">
        <f t="shared" si="112"/>
        <v/>
      </c>
      <c r="EK1838" t="str">
        <f t="shared" si="113"/>
        <v/>
      </c>
    </row>
    <row r="1839" spans="138:141" x14ac:dyDescent="0.25">
      <c r="EH1839" s="313">
        <v>1836</v>
      </c>
      <c r="EI1839" s="314"/>
      <c r="EJ1839" s="247" t="str">
        <f t="shared" si="112"/>
        <v/>
      </c>
      <c r="EK1839" t="str">
        <f t="shared" si="113"/>
        <v/>
      </c>
    </row>
    <row r="1840" spans="138:141" x14ac:dyDescent="0.25">
      <c r="EH1840" s="313">
        <v>1837</v>
      </c>
      <c r="EI1840" s="314"/>
      <c r="EJ1840" s="247" t="str">
        <f t="shared" si="112"/>
        <v/>
      </c>
      <c r="EK1840" t="str">
        <f t="shared" si="113"/>
        <v/>
      </c>
    </row>
    <row r="1841" spans="138:141" x14ac:dyDescent="0.25">
      <c r="EH1841" s="313">
        <v>1838</v>
      </c>
      <c r="EI1841" s="314"/>
      <c r="EJ1841" s="247" t="str">
        <f t="shared" si="112"/>
        <v/>
      </c>
      <c r="EK1841" t="str">
        <f t="shared" si="113"/>
        <v/>
      </c>
    </row>
    <row r="1842" spans="138:141" x14ac:dyDescent="0.25">
      <c r="EH1842" s="313">
        <v>1839</v>
      </c>
      <c r="EI1842" s="314"/>
      <c r="EJ1842" s="247" t="str">
        <f t="shared" si="112"/>
        <v/>
      </c>
      <c r="EK1842" t="str">
        <f t="shared" si="113"/>
        <v/>
      </c>
    </row>
    <row r="1843" spans="138:141" x14ac:dyDescent="0.25">
      <c r="EH1843" s="313">
        <v>1840</v>
      </c>
      <c r="EI1843" s="314">
        <v>21.755800000000001</v>
      </c>
      <c r="EJ1843" s="247">
        <f t="shared" si="112"/>
        <v>1</v>
      </c>
      <c r="EK1843">
        <f t="shared" si="113"/>
        <v>2.2199795918367347</v>
      </c>
    </row>
    <row r="1844" spans="138:141" x14ac:dyDescent="0.25">
      <c r="EH1844" s="313">
        <v>1841</v>
      </c>
      <c r="EI1844" s="314"/>
      <c r="EJ1844" s="247" t="str">
        <f t="shared" si="112"/>
        <v/>
      </c>
      <c r="EK1844" t="str">
        <f t="shared" si="113"/>
        <v/>
      </c>
    </row>
    <row r="1845" spans="138:141" x14ac:dyDescent="0.25">
      <c r="EH1845" s="313">
        <v>1842</v>
      </c>
      <c r="EI1845" s="314"/>
      <c r="EJ1845" s="247" t="str">
        <f t="shared" si="112"/>
        <v/>
      </c>
      <c r="EK1845" t="str">
        <f t="shared" si="113"/>
        <v/>
      </c>
    </row>
    <row r="1846" spans="138:141" x14ac:dyDescent="0.25">
      <c r="EH1846" s="313">
        <v>1843</v>
      </c>
      <c r="EI1846" s="314"/>
      <c r="EJ1846" s="247" t="str">
        <f t="shared" si="112"/>
        <v/>
      </c>
      <c r="EK1846" t="str">
        <f t="shared" si="113"/>
        <v/>
      </c>
    </row>
    <row r="1847" spans="138:141" x14ac:dyDescent="0.25">
      <c r="EH1847" s="313">
        <v>1844</v>
      </c>
      <c r="EI1847" s="314"/>
      <c r="EJ1847" s="247" t="str">
        <f t="shared" si="112"/>
        <v/>
      </c>
      <c r="EK1847" t="str">
        <f t="shared" si="113"/>
        <v/>
      </c>
    </row>
    <row r="1848" spans="138:141" x14ac:dyDescent="0.25">
      <c r="EH1848" s="313">
        <v>1845</v>
      </c>
      <c r="EI1848" s="314"/>
      <c r="EJ1848" s="247" t="str">
        <f t="shared" si="112"/>
        <v/>
      </c>
      <c r="EK1848" t="str">
        <f t="shared" si="113"/>
        <v/>
      </c>
    </row>
    <row r="1849" spans="138:141" x14ac:dyDescent="0.25">
      <c r="EH1849" s="313">
        <v>1846</v>
      </c>
      <c r="EI1849" s="314"/>
      <c r="EJ1849" s="247" t="str">
        <f t="shared" si="112"/>
        <v/>
      </c>
      <c r="EK1849" t="str">
        <f t="shared" si="113"/>
        <v/>
      </c>
    </row>
    <row r="1850" spans="138:141" x14ac:dyDescent="0.25">
      <c r="EH1850" s="313">
        <v>1847</v>
      </c>
      <c r="EI1850" s="314"/>
      <c r="EJ1850" s="247" t="str">
        <f t="shared" si="112"/>
        <v/>
      </c>
      <c r="EK1850" t="str">
        <f t="shared" si="113"/>
        <v/>
      </c>
    </row>
    <row r="1851" spans="138:141" x14ac:dyDescent="0.25">
      <c r="EH1851" s="313">
        <v>1848</v>
      </c>
      <c r="EI1851" s="314"/>
      <c r="EJ1851" s="247" t="str">
        <f t="shared" si="112"/>
        <v/>
      </c>
      <c r="EK1851" t="str">
        <f t="shared" si="113"/>
        <v/>
      </c>
    </row>
    <row r="1852" spans="138:141" x14ac:dyDescent="0.25">
      <c r="EH1852" s="313">
        <v>1849</v>
      </c>
      <c r="EI1852" s="314"/>
      <c r="EJ1852" s="247" t="str">
        <f t="shared" si="112"/>
        <v/>
      </c>
      <c r="EK1852" t="str">
        <f t="shared" si="113"/>
        <v/>
      </c>
    </row>
    <row r="1853" spans="138:141" x14ac:dyDescent="0.25">
      <c r="EH1853" s="313">
        <v>1850</v>
      </c>
      <c r="EI1853" s="314">
        <v>21.872</v>
      </c>
      <c r="EJ1853" s="247">
        <f t="shared" si="112"/>
        <v>1</v>
      </c>
      <c r="EK1853">
        <f t="shared" si="113"/>
        <v>2.2318367346938772</v>
      </c>
    </row>
    <row r="1854" spans="138:141" x14ac:dyDescent="0.25">
      <c r="EH1854" s="313">
        <v>1851</v>
      </c>
      <c r="EI1854" s="314"/>
      <c r="EJ1854" s="247" t="str">
        <f t="shared" si="112"/>
        <v/>
      </c>
      <c r="EK1854" t="str">
        <f t="shared" si="113"/>
        <v/>
      </c>
    </row>
    <row r="1855" spans="138:141" x14ac:dyDescent="0.25">
      <c r="EH1855" s="313">
        <v>1852</v>
      </c>
      <c r="EI1855" s="314"/>
      <c r="EJ1855" s="247" t="str">
        <f t="shared" si="112"/>
        <v/>
      </c>
      <c r="EK1855" t="str">
        <f t="shared" si="113"/>
        <v/>
      </c>
    </row>
    <row r="1856" spans="138:141" x14ac:dyDescent="0.25">
      <c r="EH1856" s="313">
        <v>1853</v>
      </c>
      <c r="EI1856" s="314"/>
      <c r="EJ1856" s="247" t="str">
        <f t="shared" si="112"/>
        <v/>
      </c>
      <c r="EK1856" t="str">
        <f t="shared" si="113"/>
        <v/>
      </c>
    </row>
    <row r="1857" spans="138:141" x14ac:dyDescent="0.25">
      <c r="EH1857" s="313">
        <v>1854</v>
      </c>
      <c r="EI1857" s="314"/>
      <c r="EJ1857" s="247" t="str">
        <f t="shared" si="112"/>
        <v/>
      </c>
      <c r="EK1857" t="str">
        <f t="shared" si="113"/>
        <v/>
      </c>
    </row>
    <row r="1858" spans="138:141" x14ac:dyDescent="0.25">
      <c r="EH1858" s="313">
        <v>1855</v>
      </c>
      <c r="EI1858" s="314"/>
      <c r="EJ1858" s="247" t="str">
        <f t="shared" si="112"/>
        <v/>
      </c>
      <c r="EK1858" t="str">
        <f t="shared" si="113"/>
        <v/>
      </c>
    </row>
    <row r="1859" spans="138:141" x14ac:dyDescent="0.25">
      <c r="EH1859" s="313">
        <v>1856</v>
      </c>
      <c r="EI1859" s="314"/>
      <c r="EJ1859" s="247" t="str">
        <f t="shared" si="112"/>
        <v/>
      </c>
      <c r="EK1859" t="str">
        <f t="shared" si="113"/>
        <v/>
      </c>
    </row>
    <row r="1860" spans="138:141" x14ac:dyDescent="0.25">
      <c r="EH1860" s="313">
        <v>1857</v>
      </c>
      <c r="EI1860" s="314"/>
      <c r="EJ1860" s="247" t="str">
        <f t="shared" si="112"/>
        <v/>
      </c>
      <c r="EK1860" t="str">
        <f t="shared" si="113"/>
        <v/>
      </c>
    </row>
    <row r="1861" spans="138:141" x14ac:dyDescent="0.25">
      <c r="EH1861" s="313">
        <v>1858</v>
      </c>
      <c r="EI1861" s="314"/>
      <c r="EJ1861" s="247" t="str">
        <f t="shared" ref="EJ1861:EJ1924" si="114">IF(EI1861="","",1)</f>
        <v/>
      </c>
      <c r="EK1861" t="str">
        <f t="shared" ref="EK1861:EK1924" si="115">IF(EI1861="","",EI1861/9.8)</f>
        <v/>
      </c>
    </row>
    <row r="1862" spans="138:141" x14ac:dyDescent="0.25">
      <c r="EH1862" s="313">
        <v>1859</v>
      </c>
      <c r="EI1862" s="314"/>
      <c r="EJ1862" s="247" t="str">
        <f t="shared" si="114"/>
        <v/>
      </c>
      <c r="EK1862" t="str">
        <f t="shared" si="115"/>
        <v/>
      </c>
    </row>
    <row r="1863" spans="138:141" x14ac:dyDescent="0.25">
      <c r="EH1863" s="313">
        <v>1860</v>
      </c>
      <c r="EI1863" s="314">
        <v>21.988299999999999</v>
      </c>
      <c r="EJ1863" s="247">
        <f t="shared" si="114"/>
        <v>1</v>
      </c>
      <c r="EK1863">
        <f t="shared" si="115"/>
        <v>2.2437040816326528</v>
      </c>
    </row>
    <row r="1864" spans="138:141" x14ac:dyDescent="0.25">
      <c r="EH1864" s="313">
        <v>1861</v>
      </c>
      <c r="EI1864" s="314"/>
      <c r="EJ1864" s="247" t="str">
        <f t="shared" si="114"/>
        <v/>
      </c>
      <c r="EK1864" t="str">
        <f t="shared" si="115"/>
        <v/>
      </c>
    </row>
    <row r="1865" spans="138:141" x14ac:dyDescent="0.25">
      <c r="EH1865" s="313">
        <v>1862</v>
      </c>
      <c r="EI1865" s="314"/>
      <c r="EJ1865" s="247" t="str">
        <f t="shared" si="114"/>
        <v/>
      </c>
      <c r="EK1865" t="str">
        <f t="shared" si="115"/>
        <v/>
      </c>
    </row>
    <row r="1866" spans="138:141" x14ac:dyDescent="0.25">
      <c r="EH1866" s="313">
        <v>1863</v>
      </c>
      <c r="EI1866" s="314"/>
      <c r="EJ1866" s="247" t="str">
        <f t="shared" si="114"/>
        <v/>
      </c>
      <c r="EK1866" t="str">
        <f t="shared" si="115"/>
        <v/>
      </c>
    </row>
    <row r="1867" spans="138:141" x14ac:dyDescent="0.25">
      <c r="EH1867" s="313">
        <v>1864</v>
      </c>
      <c r="EI1867" s="314"/>
      <c r="EJ1867" s="247" t="str">
        <f t="shared" si="114"/>
        <v/>
      </c>
      <c r="EK1867" t="str">
        <f t="shared" si="115"/>
        <v/>
      </c>
    </row>
    <row r="1868" spans="138:141" x14ac:dyDescent="0.25">
      <c r="EH1868" s="313">
        <v>1865</v>
      </c>
      <c r="EI1868" s="314"/>
      <c r="EJ1868" s="247" t="str">
        <f t="shared" si="114"/>
        <v/>
      </c>
      <c r="EK1868" t="str">
        <f t="shared" si="115"/>
        <v/>
      </c>
    </row>
    <row r="1869" spans="138:141" x14ac:dyDescent="0.25">
      <c r="EH1869" s="313">
        <v>1866</v>
      </c>
      <c r="EI1869" s="314"/>
      <c r="EJ1869" s="247" t="str">
        <f t="shared" si="114"/>
        <v/>
      </c>
      <c r="EK1869" t="str">
        <f t="shared" si="115"/>
        <v/>
      </c>
    </row>
    <row r="1870" spans="138:141" x14ac:dyDescent="0.25">
      <c r="EH1870" s="313">
        <v>1867</v>
      </c>
      <c r="EI1870" s="314"/>
      <c r="EJ1870" s="247" t="str">
        <f t="shared" si="114"/>
        <v/>
      </c>
      <c r="EK1870" t="str">
        <f t="shared" si="115"/>
        <v/>
      </c>
    </row>
    <row r="1871" spans="138:141" x14ac:dyDescent="0.25">
      <c r="EH1871" s="313">
        <v>1868</v>
      </c>
      <c r="EI1871" s="314"/>
      <c r="EJ1871" s="247" t="str">
        <f t="shared" si="114"/>
        <v/>
      </c>
      <c r="EK1871" t="str">
        <f t="shared" si="115"/>
        <v/>
      </c>
    </row>
    <row r="1872" spans="138:141" x14ac:dyDescent="0.25">
      <c r="EH1872" s="313">
        <v>1869</v>
      </c>
      <c r="EI1872" s="314"/>
      <c r="EJ1872" s="247" t="str">
        <f t="shared" si="114"/>
        <v/>
      </c>
      <c r="EK1872" t="str">
        <f t="shared" si="115"/>
        <v/>
      </c>
    </row>
    <row r="1873" spans="138:141" x14ac:dyDescent="0.25">
      <c r="EH1873" s="313">
        <v>1870</v>
      </c>
      <c r="EI1873" s="314">
        <v>22.104600000000001</v>
      </c>
      <c r="EJ1873" s="247">
        <f t="shared" si="114"/>
        <v>1</v>
      </c>
      <c r="EK1873">
        <f t="shared" si="115"/>
        <v>2.2555714285714283</v>
      </c>
    </row>
    <row r="1874" spans="138:141" x14ac:dyDescent="0.25">
      <c r="EH1874" s="313">
        <v>1871</v>
      </c>
      <c r="EI1874" s="314"/>
      <c r="EJ1874" s="247" t="str">
        <f t="shared" si="114"/>
        <v/>
      </c>
      <c r="EK1874" t="str">
        <f t="shared" si="115"/>
        <v/>
      </c>
    </row>
    <row r="1875" spans="138:141" x14ac:dyDescent="0.25">
      <c r="EH1875" s="313">
        <v>1872</v>
      </c>
      <c r="EI1875" s="314"/>
      <c r="EJ1875" s="247" t="str">
        <f t="shared" si="114"/>
        <v/>
      </c>
      <c r="EK1875" t="str">
        <f t="shared" si="115"/>
        <v/>
      </c>
    </row>
    <row r="1876" spans="138:141" x14ac:dyDescent="0.25">
      <c r="EH1876" s="313">
        <v>1873</v>
      </c>
      <c r="EI1876" s="314"/>
      <c r="EJ1876" s="247" t="str">
        <f t="shared" si="114"/>
        <v/>
      </c>
      <c r="EK1876" t="str">
        <f t="shared" si="115"/>
        <v/>
      </c>
    </row>
    <row r="1877" spans="138:141" x14ac:dyDescent="0.25">
      <c r="EH1877" s="313">
        <v>1874</v>
      </c>
      <c r="EI1877" s="314"/>
      <c r="EJ1877" s="247" t="str">
        <f t="shared" si="114"/>
        <v/>
      </c>
      <c r="EK1877" t="str">
        <f t="shared" si="115"/>
        <v/>
      </c>
    </row>
    <row r="1878" spans="138:141" x14ac:dyDescent="0.25">
      <c r="EH1878" s="313">
        <v>1875</v>
      </c>
      <c r="EI1878" s="314"/>
      <c r="EJ1878" s="247" t="str">
        <f t="shared" si="114"/>
        <v/>
      </c>
      <c r="EK1878" t="str">
        <f t="shared" si="115"/>
        <v/>
      </c>
    </row>
    <row r="1879" spans="138:141" x14ac:dyDescent="0.25">
      <c r="EH1879" s="313">
        <v>1876</v>
      </c>
      <c r="EI1879" s="314"/>
      <c r="EJ1879" s="247" t="str">
        <f t="shared" si="114"/>
        <v/>
      </c>
      <c r="EK1879" t="str">
        <f t="shared" si="115"/>
        <v/>
      </c>
    </row>
    <row r="1880" spans="138:141" x14ac:dyDescent="0.25">
      <c r="EH1880" s="313">
        <v>1877</v>
      </c>
      <c r="EI1880" s="314"/>
      <c r="EJ1880" s="247" t="str">
        <f t="shared" si="114"/>
        <v/>
      </c>
      <c r="EK1880" t="str">
        <f t="shared" si="115"/>
        <v/>
      </c>
    </row>
    <row r="1881" spans="138:141" x14ac:dyDescent="0.25">
      <c r="EH1881" s="313">
        <v>1878</v>
      </c>
      <c r="EI1881" s="314"/>
      <c r="EJ1881" s="247" t="str">
        <f t="shared" si="114"/>
        <v/>
      </c>
      <c r="EK1881" t="str">
        <f t="shared" si="115"/>
        <v/>
      </c>
    </row>
    <row r="1882" spans="138:141" x14ac:dyDescent="0.25">
      <c r="EH1882" s="313">
        <v>1879</v>
      </c>
      <c r="EI1882" s="314"/>
      <c r="EJ1882" s="247" t="str">
        <f t="shared" si="114"/>
        <v/>
      </c>
      <c r="EK1882" t="str">
        <f t="shared" si="115"/>
        <v/>
      </c>
    </row>
    <row r="1883" spans="138:141" x14ac:dyDescent="0.25">
      <c r="EH1883" s="313">
        <v>1880</v>
      </c>
      <c r="EI1883" s="314">
        <v>22.2209</v>
      </c>
      <c r="EJ1883" s="247">
        <f t="shared" si="114"/>
        <v>1</v>
      </c>
      <c r="EK1883">
        <f t="shared" si="115"/>
        <v>2.2674387755102039</v>
      </c>
    </row>
    <row r="1884" spans="138:141" x14ac:dyDescent="0.25">
      <c r="EH1884" s="313">
        <v>1881</v>
      </c>
      <c r="EI1884" s="314"/>
      <c r="EJ1884" s="247" t="str">
        <f t="shared" si="114"/>
        <v/>
      </c>
      <c r="EK1884" t="str">
        <f t="shared" si="115"/>
        <v/>
      </c>
    </row>
    <row r="1885" spans="138:141" x14ac:dyDescent="0.25">
      <c r="EH1885" s="313">
        <v>1882</v>
      </c>
      <c r="EI1885" s="314"/>
      <c r="EJ1885" s="247" t="str">
        <f t="shared" si="114"/>
        <v/>
      </c>
      <c r="EK1885" t="str">
        <f t="shared" si="115"/>
        <v/>
      </c>
    </row>
    <row r="1886" spans="138:141" x14ac:dyDescent="0.25">
      <c r="EH1886" s="313">
        <v>1883</v>
      </c>
      <c r="EI1886" s="314"/>
      <c r="EJ1886" s="247" t="str">
        <f t="shared" si="114"/>
        <v/>
      </c>
      <c r="EK1886" t="str">
        <f t="shared" si="115"/>
        <v/>
      </c>
    </row>
    <row r="1887" spans="138:141" x14ac:dyDescent="0.25">
      <c r="EH1887" s="313">
        <v>1884</v>
      </c>
      <c r="EI1887" s="314"/>
      <c r="EJ1887" s="247" t="str">
        <f t="shared" si="114"/>
        <v/>
      </c>
      <c r="EK1887" t="str">
        <f t="shared" si="115"/>
        <v/>
      </c>
    </row>
    <row r="1888" spans="138:141" x14ac:dyDescent="0.25">
      <c r="EH1888" s="313">
        <v>1885</v>
      </c>
      <c r="EI1888" s="314"/>
      <c r="EJ1888" s="247" t="str">
        <f t="shared" si="114"/>
        <v/>
      </c>
      <c r="EK1888" t="str">
        <f t="shared" si="115"/>
        <v/>
      </c>
    </row>
    <row r="1889" spans="138:141" x14ac:dyDescent="0.25">
      <c r="EH1889" s="313">
        <v>1886</v>
      </c>
      <c r="EI1889" s="314"/>
      <c r="EJ1889" s="247" t="str">
        <f t="shared" si="114"/>
        <v/>
      </c>
      <c r="EK1889" t="str">
        <f t="shared" si="115"/>
        <v/>
      </c>
    </row>
    <row r="1890" spans="138:141" x14ac:dyDescent="0.25">
      <c r="EH1890" s="313">
        <v>1887</v>
      </c>
      <c r="EI1890" s="314"/>
      <c r="EJ1890" s="247" t="str">
        <f t="shared" si="114"/>
        <v/>
      </c>
      <c r="EK1890" t="str">
        <f t="shared" si="115"/>
        <v/>
      </c>
    </row>
    <row r="1891" spans="138:141" x14ac:dyDescent="0.25">
      <c r="EH1891" s="313">
        <v>1888</v>
      </c>
      <c r="EI1891" s="314"/>
      <c r="EJ1891" s="247" t="str">
        <f t="shared" si="114"/>
        <v/>
      </c>
      <c r="EK1891" t="str">
        <f t="shared" si="115"/>
        <v/>
      </c>
    </row>
    <row r="1892" spans="138:141" x14ac:dyDescent="0.25">
      <c r="EH1892" s="313">
        <v>1889</v>
      </c>
      <c r="EI1892" s="314"/>
      <c r="EJ1892" s="247" t="str">
        <f t="shared" si="114"/>
        <v/>
      </c>
      <c r="EK1892" t="str">
        <f t="shared" si="115"/>
        <v/>
      </c>
    </row>
    <row r="1893" spans="138:141" x14ac:dyDescent="0.25">
      <c r="EH1893" s="313">
        <v>1890</v>
      </c>
      <c r="EI1893" s="314">
        <v>22.337199999999999</v>
      </c>
      <c r="EJ1893" s="247">
        <f t="shared" si="114"/>
        <v>1</v>
      </c>
      <c r="EK1893">
        <f t="shared" si="115"/>
        <v>2.2793061224489795</v>
      </c>
    </row>
    <row r="1894" spans="138:141" x14ac:dyDescent="0.25">
      <c r="EH1894" s="313">
        <v>1891</v>
      </c>
      <c r="EI1894" s="314"/>
      <c r="EJ1894" s="247" t="str">
        <f t="shared" si="114"/>
        <v/>
      </c>
      <c r="EK1894" t="str">
        <f t="shared" si="115"/>
        <v/>
      </c>
    </row>
    <row r="1895" spans="138:141" x14ac:dyDescent="0.25">
      <c r="EH1895" s="313">
        <v>1892</v>
      </c>
      <c r="EI1895" s="314"/>
      <c r="EJ1895" s="247" t="str">
        <f t="shared" si="114"/>
        <v/>
      </c>
      <c r="EK1895" t="str">
        <f t="shared" si="115"/>
        <v/>
      </c>
    </row>
    <row r="1896" spans="138:141" x14ac:dyDescent="0.25">
      <c r="EH1896" s="313">
        <v>1893</v>
      </c>
      <c r="EI1896" s="314"/>
      <c r="EJ1896" s="247" t="str">
        <f t="shared" si="114"/>
        <v/>
      </c>
      <c r="EK1896" t="str">
        <f t="shared" si="115"/>
        <v/>
      </c>
    </row>
    <row r="1897" spans="138:141" x14ac:dyDescent="0.25">
      <c r="EH1897" s="313">
        <v>1894</v>
      </c>
      <c r="EI1897" s="314"/>
      <c r="EJ1897" s="247" t="str">
        <f t="shared" si="114"/>
        <v/>
      </c>
      <c r="EK1897" t="str">
        <f t="shared" si="115"/>
        <v/>
      </c>
    </row>
    <row r="1898" spans="138:141" x14ac:dyDescent="0.25">
      <c r="EH1898" s="313">
        <v>1895</v>
      </c>
      <c r="EI1898" s="314"/>
      <c r="EJ1898" s="247" t="str">
        <f t="shared" si="114"/>
        <v/>
      </c>
      <c r="EK1898" t="str">
        <f t="shared" si="115"/>
        <v/>
      </c>
    </row>
    <row r="1899" spans="138:141" x14ac:dyDescent="0.25">
      <c r="EH1899" s="313">
        <v>1896</v>
      </c>
      <c r="EI1899" s="314"/>
      <c r="EJ1899" s="247" t="str">
        <f t="shared" si="114"/>
        <v/>
      </c>
      <c r="EK1899" t="str">
        <f t="shared" si="115"/>
        <v/>
      </c>
    </row>
    <row r="1900" spans="138:141" x14ac:dyDescent="0.25">
      <c r="EH1900" s="313">
        <v>1897</v>
      </c>
      <c r="EI1900" s="314"/>
      <c r="EJ1900" s="247" t="str">
        <f t="shared" si="114"/>
        <v/>
      </c>
      <c r="EK1900" t="str">
        <f t="shared" si="115"/>
        <v/>
      </c>
    </row>
    <row r="1901" spans="138:141" x14ac:dyDescent="0.25">
      <c r="EH1901" s="313">
        <v>1898</v>
      </c>
      <c r="EI1901" s="314"/>
      <c r="EJ1901" s="247" t="str">
        <f t="shared" si="114"/>
        <v/>
      </c>
      <c r="EK1901" t="str">
        <f t="shared" si="115"/>
        <v/>
      </c>
    </row>
    <row r="1902" spans="138:141" x14ac:dyDescent="0.25">
      <c r="EH1902" s="313">
        <v>1899</v>
      </c>
      <c r="EI1902" s="314"/>
      <c r="EJ1902" s="247" t="str">
        <f t="shared" si="114"/>
        <v/>
      </c>
      <c r="EK1902" t="str">
        <f t="shared" si="115"/>
        <v/>
      </c>
    </row>
    <row r="1903" spans="138:141" x14ac:dyDescent="0.25">
      <c r="EH1903" s="313">
        <v>1900</v>
      </c>
      <c r="EI1903" s="314">
        <v>22.453399999999998</v>
      </c>
      <c r="EJ1903" s="247">
        <f t="shared" si="114"/>
        <v>1</v>
      </c>
      <c r="EK1903">
        <f t="shared" si="115"/>
        <v>2.291163265306122</v>
      </c>
    </row>
    <row r="1904" spans="138:141" x14ac:dyDescent="0.25">
      <c r="EH1904" s="313">
        <v>1901</v>
      </c>
      <c r="EI1904" s="314"/>
      <c r="EJ1904" s="247" t="str">
        <f t="shared" si="114"/>
        <v/>
      </c>
      <c r="EK1904" t="str">
        <f t="shared" si="115"/>
        <v/>
      </c>
    </row>
    <row r="1905" spans="138:141" x14ac:dyDescent="0.25">
      <c r="EH1905" s="313">
        <v>1902</v>
      </c>
      <c r="EI1905" s="314"/>
      <c r="EJ1905" s="247" t="str">
        <f t="shared" si="114"/>
        <v/>
      </c>
      <c r="EK1905" t="str">
        <f t="shared" si="115"/>
        <v/>
      </c>
    </row>
    <row r="1906" spans="138:141" x14ac:dyDescent="0.25">
      <c r="EH1906" s="313">
        <v>1903</v>
      </c>
      <c r="EI1906" s="314"/>
      <c r="EJ1906" s="247" t="str">
        <f t="shared" si="114"/>
        <v/>
      </c>
      <c r="EK1906" t="str">
        <f t="shared" si="115"/>
        <v/>
      </c>
    </row>
    <row r="1907" spans="138:141" x14ac:dyDescent="0.25">
      <c r="EH1907" s="313">
        <v>1904</v>
      </c>
      <c r="EI1907" s="314"/>
      <c r="EJ1907" s="247" t="str">
        <f t="shared" si="114"/>
        <v/>
      </c>
      <c r="EK1907" t="str">
        <f t="shared" si="115"/>
        <v/>
      </c>
    </row>
    <row r="1908" spans="138:141" x14ac:dyDescent="0.25">
      <c r="EH1908" s="313">
        <v>1905</v>
      </c>
      <c r="EI1908" s="314"/>
      <c r="EJ1908" s="247" t="str">
        <f t="shared" si="114"/>
        <v/>
      </c>
      <c r="EK1908" t="str">
        <f t="shared" si="115"/>
        <v/>
      </c>
    </row>
    <row r="1909" spans="138:141" x14ac:dyDescent="0.25">
      <c r="EH1909" s="313">
        <v>1906</v>
      </c>
      <c r="EI1909" s="314"/>
      <c r="EJ1909" s="247" t="str">
        <f t="shared" si="114"/>
        <v/>
      </c>
      <c r="EK1909" t="str">
        <f t="shared" si="115"/>
        <v/>
      </c>
    </row>
    <row r="1910" spans="138:141" x14ac:dyDescent="0.25">
      <c r="EH1910" s="313">
        <v>1907</v>
      </c>
      <c r="EI1910" s="314"/>
      <c r="EJ1910" s="247" t="str">
        <f t="shared" si="114"/>
        <v/>
      </c>
      <c r="EK1910" t="str">
        <f t="shared" si="115"/>
        <v/>
      </c>
    </row>
    <row r="1911" spans="138:141" x14ac:dyDescent="0.25">
      <c r="EH1911" s="313">
        <v>1908</v>
      </c>
      <c r="EI1911" s="314"/>
      <c r="EJ1911" s="247" t="str">
        <f t="shared" si="114"/>
        <v/>
      </c>
      <c r="EK1911" t="str">
        <f t="shared" si="115"/>
        <v/>
      </c>
    </row>
    <row r="1912" spans="138:141" x14ac:dyDescent="0.25">
      <c r="EH1912" s="313">
        <v>1909</v>
      </c>
      <c r="EI1912" s="314"/>
      <c r="EJ1912" s="247" t="str">
        <f t="shared" si="114"/>
        <v/>
      </c>
      <c r="EK1912" t="str">
        <f t="shared" si="115"/>
        <v/>
      </c>
    </row>
    <row r="1913" spans="138:141" x14ac:dyDescent="0.25">
      <c r="EH1913" s="313">
        <v>1910</v>
      </c>
      <c r="EI1913" s="314">
        <v>22.570699999999999</v>
      </c>
      <c r="EJ1913" s="247">
        <f t="shared" si="114"/>
        <v>1</v>
      </c>
      <c r="EK1913">
        <f t="shared" si="115"/>
        <v>2.3031326530612244</v>
      </c>
    </row>
    <row r="1914" spans="138:141" x14ac:dyDescent="0.25">
      <c r="EH1914" s="313">
        <v>1911</v>
      </c>
      <c r="EI1914" s="314"/>
      <c r="EJ1914" s="247" t="str">
        <f t="shared" si="114"/>
        <v/>
      </c>
      <c r="EK1914" t="str">
        <f t="shared" si="115"/>
        <v/>
      </c>
    </row>
    <row r="1915" spans="138:141" x14ac:dyDescent="0.25">
      <c r="EH1915" s="313">
        <v>1912</v>
      </c>
      <c r="EI1915" s="314"/>
      <c r="EJ1915" s="247" t="str">
        <f t="shared" si="114"/>
        <v/>
      </c>
      <c r="EK1915" t="str">
        <f t="shared" si="115"/>
        <v/>
      </c>
    </row>
    <row r="1916" spans="138:141" x14ac:dyDescent="0.25">
      <c r="EH1916" s="313">
        <v>1913</v>
      </c>
      <c r="EI1916" s="314"/>
      <c r="EJ1916" s="247" t="str">
        <f t="shared" si="114"/>
        <v/>
      </c>
      <c r="EK1916" t="str">
        <f t="shared" si="115"/>
        <v/>
      </c>
    </row>
    <row r="1917" spans="138:141" x14ac:dyDescent="0.25">
      <c r="EH1917" s="313">
        <v>1914</v>
      </c>
      <c r="EI1917" s="314"/>
      <c r="EJ1917" s="247" t="str">
        <f t="shared" si="114"/>
        <v/>
      </c>
      <c r="EK1917" t="str">
        <f t="shared" si="115"/>
        <v/>
      </c>
    </row>
    <row r="1918" spans="138:141" x14ac:dyDescent="0.25">
      <c r="EH1918" s="313">
        <v>1915</v>
      </c>
      <c r="EI1918" s="314"/>
      <c r="EJ1918" s="247" t="str">
        <f t="shared" si="114"/>
        <v/>
      </c>
      <c r="EK1918" t="str">
        <f t="shared" si="115"/>
        <v/>
      </c>
    </row>
    <row r="1919" spans="138:141" x14ac:dyDescent="0.25">
      <c r="EH1919" s="313">
        <v>1916</v>
      </c>
      <c r="EI1919" s="314"/>
      <c r="EJ1919" s="247" t="str">
        <f t="shared" si="114"/>
        <v/>
      </c>
      <c r="EK1919" t="str">
        <f t="shared" si="115"/>
        <v/>
      </c>
    </row>
    <row r="1920" spans="138:141" x14ac:dyDescent="0.25">
      <c r="EH1920" s="313">
        <v>1917</v>
      </c>
      <c r="EI1920" s="314"/>
      <c r="EJ1920" s="247" t="str">
        <f t="shared" si="114"/>
        <v/>
      </c>
      <c r="EK1920" t="str">
        <f t="shared" si="115"/>
        <v/>
      </c>
    </row>
    <row r="1921" spans="138:141" x14ac:dyDescent="0.25">
      <c r="EH1921" s="313">
        <v>1918</v>
      </c>
      <c r="EI1921" s="314"/>
      <c r="EJ1921" s="247" t="str">
        <f t="shared" si="114"/>
        <v/>
      </c>
      <c r="EK1921" t="str">
        <f t="shared" si="115"/>
        <v/>
      </c>
    </row>
    <row r="1922" spans="138:141" x14ac:dyDescent="0.25">
      <c r="EH1922" s="313">
        <v>1919</v>
      </c>
      <c r="EI1922" s="314"/>
      <c r="EJ1922" s="247" t="str">
        <f t="shared" si="114"/>
        <v/>
      </c>
      <c r="EK1922" t="str">
        <f t="shared" si="115"/>
        <v/>
      </c>
    </row>
    <row r="1923" spans="138:141" x14ac:dyDescent="0.25">
      <c r="EH1923" s="313">
        <v>1920</v>
      </c>
      <c r="EI1923" s="314">
        <v>22.688600000000001</v>
      </c>
      <c r="EJ1923" s="247">
        <f t="shared" si="114"/>
        <v>1</v>
      </c>
      <c r="EK1923">
        <f t="shared" si="115"/>
        <v>2.3151632653061225</v>
      </c>
    </row>
    <row r="1924" spans="138:141" x14ac:dyDescent="0.25">
      <c r="EH1924" s="313">
        <v>1921</v>
      </c>
      <c r="EI1924" s="314"/>
      <c r="EJ1924" s="247" t="str">
        <f t="shared" si="114"/>
        <v/>
      </c>
      <c r="EK1924" t="str">
        <f t="shared" si="115"/>
        <v/>
      </c>
    </row>
    <row r="1925" spans="138:141" x14ac:dyDescent="0.25">
      <c r="EH1925" s="313">
        <v>1922</v>
      </c>
      <c r="EI1925" s="314"/>
      <c r="EJ1925" s="247" t="str">
        <f t="shared" ref="EJ1925:EJ1988" si="116">IF(EI1925="","",1)</f>
        <v/>
      </c>
      <c r="EK1925" t="str">
        <f t="shared" ref="EK1925:EK1988" si="117">IF(EI1925="","",EI1925/9.8)</f>
        <v/>
      </c>
    </row>
    <row r="1926" spans="138:141" x14ac:dyDescent="0.25">
      <c r="EH1926" s="313">
        <v>1923</v>
      </c>
      <c r="EI1926" s="314"/>
      <c r="EJ1926" s="247" t="str">
        <f t="shared" si="116"/>
        <v/>
      </c>
      <c r="EK1926" t="str">
        <f t="shared" si="117"/>
        <v/>
      </c>
    </row>
    <row r="1927" spans="138:141" x14ac:dyDescent="0.25">
      <c r="EH1927" s="313">
        <v>1924</v>
      </c>
      <c r="EI1927" s="314"/>
      <c r="EJ1927" s="247" t="str">
        <f t="shared" si="116"/>
        <v/>
      </c>
      <c r="EK1927" t="str">
        <f t="shared" si="117"/>
        <v/>
      </c>
    </row>
    <row r="1928" spans="138:141" x14ac:dyDescent="0.25">
      <c r="EH1928" s="313">
        <v>1925</v>
      </c>
      <c r="EI1928" s="314"/>
      <c r="EJ1928" s="247" t="str">
        <f t="shared" si="116"/>
        <v/>
      </c>
      <c r="EK1928" t="str">
        <f t="shared" si="117"/>
        <v/>
      </c>
    </row>
    <row r="1929" spans="138:141" x14ac:dyDescent="0.25">
      <c r="EH1929" s="313">
        <v>1926</v>
      </c>
      <c r="EI1929" s="314"/>
      <c r="EJ1929" s="247" t="str">
        <f t="shared" si="116"/>
        <v/>
      </c>
      <c r="EK1929" t="str">
        <f t="shared" si="117"/>
        <v/>
      </c>
    </row>
    <row r="1930" spans="138:141" x14ac:dyDescent="0.25">
      <c r="EH1930" s="313">
        <v>1927</v>
      </c>
      <c r="EI1930" s="314"/>
      <c r="EJ1930" s="247" t="str">
        <f t="shared" si="116"/>
        <v/>
      </c>
      <c r="EK1930" t="str">
        <f t="shared" si="117"/>
        <v/>
      </c>
    </row>
    <row r="1931" spans="138:141" x14ac:dyDescent="0.25">
      <c r="EH1931" s="313">
        <v>1928</v>
      </c>
      <c r="EI1931" s="314"/>
      <c r="EJ1931" s="247" t="str">
        <f t="shared" si="116"/>
        <v/>
      </c>
      <c r="EK1931" t="str">
        <f t="shared" si="117"/>
        <v/>
      </c>
    </row>
    <row r="1932" spans="138:141" x14ac:dyDescent="0.25">
      <c r="EH1932" s="313">
        <v>1929</v>
      </c>
      <c r="EI1932" s="314"/>
      <c r="EJ1932" s="247" t="str">
        <f t="shared" si="116"/>
        <v/>
      </c>
      <c r="EK1932" t="str">
        <f t="shared" si="117"/>
        <v/>
      </c>
    </row>
    <row r="1933" spans="138:141" x14ac:dyDescent="0.25">
      <c r="EH1933" s="313">
        <v>1930</v>
      </c>
      <c r="EI1933" s="314">
        <v>22.8066</v>
      </c>
      <c r="EJ1933" s="247">
        <f t="shared" si="116"/>
        <v>1</v>
      </c>
      <c r="EK1933">
        <f t="shared" si="117"/>
        <v>2.3272040816326527</v>
      </c>
    </row>
    <row r="1934" spans="138:141" x14ac:dyDescent="0.25">
      <c r="EH1934" s="313">
        <v>1931</v>
      </c>
      <c r="EI1934" s="314"/>
      <c r="EJ1934" s="247" t="str">
        <f t="shared" si="116"/>
        <v/>
      </c>
      <c r="EK1934" t="str">
        <f t="shared" si="117"/>
        <v/>
      </c>
    </row>
    <row r="1935" spans="138:141" x14ac:dyDescent="0.25">
      <c r="EH1935" s="313">
        <v>1932</v>
      </c>
      <c r="EI1935" s="314"/>
      <c r="EJ1935" s="247" t="str">
        <f t="shared" si="116"/>
        <v/>
      </c>
      <c r="EK1935" t="str">
        <f t="shared" si="117"/>
        <v/>
      </c>
    </row>
    <row r="1936" spans="138:141" x14ac:dyDescent="0.25">
      <c r="EH1936" s="313">
        <v>1933</v>
      </c>
      <c r="EI1936" s="314"/>
      <c r="EJ1936" s="247" t="str">
        <f t="shared" si="116"/>
        <v/>
      </c>
      <c r="EK1936" t="str">
        <f t="shared" si="117"/>
        <v/>
      </c>
    </row>
    <row r="1937" spans="138:141" x14ac:dyDescent="0.25">
      <c r="EH1937" s="313">
        <v>1934</v>
      </c>
      <c r="EI1937" s="314"/>
      <c r="EJ1937" s="247" t="str">
        <f t="shared" si="116"/>
        <v/>
      </c>
      <c r="EK1937" t="str">
        <f t="shared" si="117"/>
        <v/>
      </c>
    </row>
    <row r="1938" spans="138:141" x14ac:dyDescent="0.25">
      <c r="EH1938" s="313">
        <v>1935</v>
      </c>
      <c r="EI1938" s="314"/>
      <c r="EJ1938" s="247" t="str">
        <f t="shared" si="116"/>
        <v/>
      </c>
      <c r="EK1938" t="str">
        <f t="shared" si="117"/>
        <v/>
      </c>
    </row>
    <row r="1939" spans="138:141" x14ac:dyDescent="0.25">
      <c r="EH1939" s="313">
        <v>1936</v>
      </c>
      <c r="EI1939" s="314"/>
      <c r="EJ1939" s="247" t="str">
        <f t="shared" si="116"/>
        <v/>
      </c>
      <c r="EK1939" t="str">
        <f t="shared" si="117"/>
        <v/>
      </c>
    </row>
    <row r="1940" spans="138:141" x14ac:dyDescent="0.25">
      <c r="EH1940" s="313">
        <v>1937</v>
      </c>
      <c r="EI1940" s="314"/>
      <c r="EJ1940" s="247" t="str">
        <f t="shared" si="116"/>
        <v/>
      </c>
      <c r="EK1940" t="str">
        <f t="shared" si="117"/>
        <v/>
      </c>
    </row>
    <row r="1941" spans="138:141" x14ac:dyDescent="0.25">
      <c r="EH1941" s="313">
        <v>1938</v>
      </c>
      <c r="EI1941" s="314"/>
      <c r="EJ1941" s="247" t="str">
        <f t="shared" si="116"/>
        <v/>
      </c>
      <c r="EK1941" t="str">
        <f t="shared" si="117"/>
        <v/>
      </c>
    </row>
    <row r="1942" spans="138:141" x14ac:dyDescent="0.25">
      <c r="EH1942" s="313">
        <v>1939</v>
      </c>
      <c r="EI1942" s="314"/>
      <c r="EJ1942" s="247" t="str">
        <f t="shared" si="116"/>
        <v/>
      </c>
      <c r="EK1942" t="str">
        <f t="shared" si="117"/>
        <v/>
      </c>
    </row>
    <row r="1943" spans="138:141" x14ac:dyDescent="0.25">
      <c r="EH1943" s="313">
        <v>1940</v>
      </c>
      <c r="EI1943" s="314">
        <v>22.924499999999998</v>
      </c>
      <c r="EJ1943" s="247">
        <f t="shared" si="116"/>
        <v>1</v>
      </c>
      <c r="EK1943">
        <f t="shared" si="117"/>
        <v>2.3392346938775508</v>
      </c>
    </row>
    <row r="1944" spans="138:141" x14ac:dyDescent="0.25">
      <c r="EH1944" s="313">
        <v>1941</v>
      </c>
      <c r="EI1944" s="314"/>
      <c r="EJ1944" s="247" t="str">
        <f t="shared" si="116"/>
        <v/>
      </c>
      <c r="EK1944" t="str">
        <f t="shared" si="117"/>
        <v/>
      </c>
    </row>
    <row r="1945" spans="138:141" x14ac:dyDescent="0.25">
      <c r="EH1945" s="313">
        <v>1942</v>
      </c>
      <c r="EI1945" s="314"/>
      <c r="EJ1945" s="247" t="str">
        <f t="shared" si="116"/>
        <v/>
      </c>
      <c r="EK1945" t="str">
        <f t="shared" si="117"/>
        <v/>
      </c>
    </row>
    <row r="1946" spans="138:141" x14ac:dyDescent="0.25">
      <c r="EH1946" s="313">
        <v>1943</v>
      </c>
      <c r="EI1946" s="314"/>
      <c r="EJ1946" s="247" t="str">
        <f t="shared" si="116"/>
        <v/>
      </c>
      <c r="EK1946" t="str">
        <f t="shared" si="117"/>
        <v/>
      </c>
    </row>
    <row r="1947" spans="138:141" x14ac:dyDescent="0.25">
      <c r="EH1947" s="313">
        <v>1944</v>
      </c>
      <c r="EI1947" s="314"/>
      <c r="EJ1947" s="247" t="str">
        <f t="shared" si="116"/>
        <v/>
      </c>
      <c r="EK1947" t="str">
        <f t="shared" si="117"/>
        <v/>
      </c>
    </row>
    <row r="1948" spans="138:141" x14ac:dyDescent="0.25">
      <c r="EH1948" s="313">
        <v>1945</v>
      </c>
      <c r="EI1948" s="314"/>
      <c r="EJ1948" s="247" t="str">
        <f t="shared" si="116"/>
        <v/>
      </c>
      <c r="EK1948" t="str">
        <f t="shared" si="117"/>
        <v/>
      </c>
    </row>
    <row r="1949" spans="138:141" x14ac:dyDescent="0.25">
      <c r="EH1949" s="313">
        <v>1946</v>
      </c>
      <c r="EI1949" s="314"/>
      <c r="EJ1949" s="247" t="str">
        <f t="shared" si="116"/>
        <v/>
      </c>
      <c r="EK1949" t="str">
        <f t="shared" si="117"/>
        <v/>
      </c>
    </row>
    <row r="1950" spans="138:141" x14ac:dyDescent="0.25">
      <c r="EH1950" s="313">
        <v>1947</v>
      </c>
      <c r="EI1950" s="314"/>
      <c r="EJ1950" s="247" t="str">
        <f t="shared" si="116"/>
        <v/>
      </c>
      <c r="EK1950" t="str">
        <f t="shared" si="117"/>
        <v/>
      </c>
    </row>
    <row r="1951" spans="138:141" x14ac:dyDescent="0.25">
      <c r="EH1951" s="313">
        <v>1948</v>
      </c>
      <c r="EI1951" s="314"/>
      <c r="EJ1951" s="247" t="str">
        <f t="shared" si="116"/>
        <v/>
      </c>
      <c r="EK1951" t="str">
        <f t="shared" si="117"/>
        <v/>
      </c>
    </row>
    <row r="1952" spans="138:141" x14ac:dyDescent="0.25">
      <c r="EH1952" s="313">
        <v>1949</v>
      </c>
      <c r="EI1952" s="314"/>
      <c r="EJ1952" s="247" t="str">
        <f t="shared" si="116"/>
        <v/>
      </c>
      <c r="EK1952" t="str">
        <f t="shared" si="117"/>
        <v/>
      </c>
    </row>
    <row r="1953" spans="138:141" x14ac:dyDescent="0.25">
      <c r="EH1953" s="313">
        <v>1950</v>
      </c>
      <c r="EI1953" s="314">
        <v>23.042400000000001</v>
      </c>
      <c r="EJ1953" s="247">
        <f t="shared" si="116"/>
        <v>1</v>
      </c>
      <c r="EK1953">
        <f t="shared" si="117"/>
        <v>2.3512653061224489</v>
      </c>
    </row>
    <row r="1954" spans="138:141" x14ac:dyDescent="0.25">
      <c r="EH1954" s="313">
        <v>1951</v>
      </c>
      <c r="EI1954" s="314"/>
      <c r="EJ1954" s="247" t="str">
        <f t="shared" si="116"/>
        <v/>
      </c>
      <c r="EK1954" t="str">
        <f t="shared" si="117"/>
        <v/>
      </c>
    </row>
    <row r="1955" spans="138:141" x14ac:dyDescent="0.25">
      <c r="EH1955" s="313">
        <v>1952</v>
      </c>
      <c r="EI1955" s="314"/>
      <c r="EJ1955" s="247" t="str">
        <f t="shared" si="116"/>
        <v/>
      </c>
      <c r="EK1955" t="str">
        <f t="shared" si="117"/>
        <v/>
      </c>
    </row>
    <row r="1956" spans="138:141" x14ac:dyDescent="0.25">
      <c r="EH1956" s="313">
        <v>1953</v>
      </c>
      <c r="EI1956" s="314"/>
      <c r="EJ1956" s="247" t="str">
        <f t="shared" si="116"/>
        <v/>
      </c>
      <c r="EK1956" t="str">
        <f t="shared" si="117"/>
        <v/>
      </c>
    </row>
    <row r="1957" spans="138:141" x14ac:dyDescent="0.25">
      <c r="EH1957" s="313">
        <v>1954</v>
      </c>
      <c r="EI1957" s="314"/>
      <c r="EJ1957" s="247" t="str">
        <f t="shared" si="116"/>
        <v/>
      </c>
      <c r="EK1957" t="str">
        <f t="shared" si="117"/>
        <v/>
      </c>
    </row>
    <row r="1958" spans="138:141" x14ac:dyDescent="0.25">
      <c r="EH1958" s="313">
        <v>1955</v>
      </c>
      <c r="EI1958" s="314"/>
      <c r="EJ1958" s="247" t="str">
        <f t="shared" si="116"/>
        <v/>
      </c>
      <c r="EK1958" t="str">
        <f t="shared" si="117"/>
        <v/>
      </c>
    </row>
    <row r="1959" spans="138:141" x14ac:dyDescent="0.25">
      <c r="EH1959" s="313">
        <v>1956</v>
      </c>
      <c r="EI1959" s="314"/>
      <c r="EJ1959" s="247" t="str">
        <f t="shared" si="116"/>
        <v/>
      </c>
      <c r="EK1959" t="str">
        <f t="shared" si="117"/>
        <v/>
      </c>
    </row>
    <row r="1960" spans="138:141" x14ac:dyDescent="0.25">
      <c r="EH1960" s="313">
        <v>1957</v>
      </c>
      <c r="EI1960" s="314"/>
      <c r="EJ1960" s="247" t="str">
        <f t="shared" si="116"/>
        <v/>
      </c>
      <c r="EK1960" t="str">
        <f t="shared" si="117"/>
        <v/>
      </c>
    </row>
    <row r="1961" spans="138:141" x14ac:dyDescent="0.25">
      <c r="EH1961" s="313">
        <v>1958</v>
      </c>
      <c r="EI1961" s="314"/>
      <c r="EJ1961" s="247" t="str">
        <f t="shared" si="116"/>
        <v/>
      </c>
      <c r="EK1961" t="str">
        <f t="shared" si="117"/>
        <v/>
      </c>
    </row>
    <row r="1962" spans="138:141" x14ac:dyDescent="0.25">
      <c r="EH1962" s="313">
        <v>1959</v>
      </c>
      <c r="EI1962" s="314"/>
      <c r="EJ1962" s="247" t="str">
        <f t="shared" si="116"/>
        <v/>
      </c>
      <c r="EK1962" t="str">
        <f t="shared" si="117"/>
        <v/>
      </c>
    </row>
    <row r="1963" spans="138:141" x14ac:dyDescent="0.25">
      <c r="EH1963" s="313">
        <v>1960</v>
      </c>
      <c r="EI1963" s="314">
        <v>23.160299999999999</v>
      </c>
      <c r="EJ1963" s="247">
        <f t="shared" si="116"/>
        <v>1</v>
      </c>
      <c r="EK1963">
        <f t="shared" si="117"/>
        <v>2.3632959183673465</v>
      </c>
    </row>
    <row r="1964" spans="138:141" x14ac:dyDescent="0.25">
      <c r="EH1964" s="313">
        <v>1961</v>
      </c>
      <c r="EI1964" s="314"/>
      <c r="EJ1964" s="247" t="str">
        <f t="shared" si="116"/>
        <v/>
      </c>
      <c r="EK1964" t="str">
        <f t="shared" si="117"/>
        <v/>
      </c>
    </row>
    <row r="1965" spans="138:141" x14ac:dyDescent="0.25">
      <c r="EH1965" s="313">
        <v>1962</v>
      </c>
      <c r="EI1965" s="314"/>
      <c r="EJ1965" s="247" t="str">
        <f t="shared" si="116"/>
        <v/>
      </c>
      <c r="EK1965" t="str">
        <f t="shared" si="117"/>
        <v/>
      </c>
    </row>
    <row r="1966" spans="138:141" x14ac:dyDescent="0.25">
      <c r="EH1966" s="313">
        <v>1963</v>
      </c>
      <c r="EI1966" s="314"/>
      <c r="EJ1966" s="247" t="str">
        <f t="shared" si="116"/>
        <v/>
      </c>
      <c r="EK1966" t="str">
        <f t="shared" si="117"/>
        <v/>
      </c>
    </row>
    <row r="1967" spans="138:141" x14ac:dyDescent="0.25">
      <c r="EH1967" s="313">
        <v>1964</v>
      </c>
      <c r="EI1967" s="314"/>
      <c r="EJ1967" s="247" t="str">
        <f t="shared" si="116"/>
        <v/>
      </c>
      <c r="EK1967" t="str">
        <f t="shared" si="117"/>
        <v/>
      </c>
    </row>
    <row r="1968" spans="138:141" x14ac:dyDescent="0.25">
      <c r="EH1968" s="313">
        <v>1965</v>
      </c>
      <c r="EI1968" s="314"/>
      <c r="EJ1968" s="247" t="str">
        <f t="shared" si="116"/>
        <v/>
      </c>
      <c r="EK1968" t="str">
        <f t="shared" si="117"/>
        <v/>
      </c>
    </row>
    <row r="1969" spans="138:141" x14ac:dyDescent="0.25">
      <c r="EH1969" s="313">
        <v>1966</v>
      </c>
      <c r="EI1969" s="314"/>
      <c r="EJ1969" s="247" t="str">
        <f t="shared" si="116"/>
        <v/>
      </c>
      <c r="EK1969" t="str">
        <f t="shared" si="117"/>
        <v/>
      </c>
    </row>
    <row r="1970" spans="138:141" x14ac:dyDescent="0.25">
      <c r="EH1970" s="313">
        <v>1967</v>
      </c>
      <c r="EI1970" s="314"/>
      <c r="EJ1970" s="247" t="str">
        <f t="shared" si="116"/>
        <v/>
      </c>
      <c r="EK1970" t="str">
        <f t="shared" si="117"/>
        <v/>
      </c>
    </row>
    <row r="1971" spans="138:141" x14ac:dyDescent="0.25">
      <c r="EH1971" s="313">
        <v>1968</v>
      </c>
      <c r="EI1971" s="314"/>
      <c r="EJ1971" s="247" t="str">
        <f t="shared" si="116"/>
        <v/>
      </c>
      <c r="EK1971" t="str">
        <f t="shared" si="117"/>
        <v/>
      </c>
    </row>
    <row r="1972" spans="138:141" x14ac:dyDescent="0.25">
      <c r="EH1972" s="313">
        <v>1969</v>
      </c>
      <c r="EI1972" s="314"/>
      <c r="EJ1972" s="247" t="str">
        <f t="shared" si="116"/>
        <v/>
      </c>
      <c r="EK1972" t="str">
        <f t="shared" si="117"/>
        <v/>
      </c>
    </row>
    <row r="1973" spans="138:141" x14ac:dyDescent="0.25">
      <c r="EH1973" s="313">
        <v>1970</v>
      </c>
      <c r="EI1973" s="314">
        <v>23.278300000000002</v>
      </c>
      <c r="EJ1973" s="247">
        <f t="shared" si="116"/>
        <v>1</v>
      </c>
      <c r="EK1973">
        <f t="shared" si="117"/>
        <v>2.3753367346938776</v>
      </c>
    </row>
    <row r="1974" spans="138:141" x14ac:dyDescent="0.25">
      <c r="EH1974" s="313">
        <v>1971</v>
      </c>
      <c r="EI1974" s="314"/>
      <c r="EJ1974" s="247" t="str">
        <f t="shared" si="116"/>
        <v/>
      </c>
      <c r="EK1974" t="str">
        <f t="shared" si="117"/>
        <v/>
      </c>
    </row>
    <row r="1975" spans="138:141" x14ac:dyDescent="0.25">
      <c r="EH1975" s="313">
        <v>1972</v>
      </c>
      <c r="EI1975" s="314"/>
      <c r="EJ1975" s="247" t="str">
        <f t="shared" si="116"/>
        <v/>
      </c>
      <c r="EK1975" t="str">
        <f t="shared" si="117"/>
        <v/>
      </c>
    </row>
    <row r="1976" spans="138:141" x14ac:dyDescent="0.25">
      <c r="EH1976" s="313">
        <v>1973</v>
      </c>
      <c r="EI1976" s="314"/>
      <c r="EJ1976" s="247" t="str">
        <f t="shared" si="116"/>
        <v/>
      </c>
      <c r="EK1976" t="str">
        <f t="shared" si="117"/>
        <v/>
      </c>
    </row>
    <row r="1977" spans="138:141" x14ac:dyDescent="0.25">
      <c r="EH1977" s="313">
        <v>1974</v>
      </c>
      <c r="EI1977" s="314"/>
      <c r="EJ1977" s="247" t="str">
        <f t="shared" si="116"/>
        <v/>
      </c>
      <c r="EK1977" t="str">
        <f t="shared" si="117"/>
        <v/>
      </c>
    </row>
    <row r="1978" spans="138:141" x14ac:dyDescent="0.25">
      <c r="EH1978" s="313">
        <v>1975</v>
      </c>
      <c r="EI1978" s="314"/>
      <c r="EJ1978" s="247" t="str">
        <f t="shared" si="116"/>
        <v/>
      </c>
      <c r="EK1978" t="str">
        <f t="shared" si="117"/>
        <v/>
      </c>
    </row>
    <row r="1979" spans="138:141" x14ac:dyDescent="0.25">
      <c r="EH1979" s="313">
        <v>1976</v>
      </c>
      <c r="EI1979" s="314"/>
      <c r="EJ1979" s="247" t="str">
        <f t="shared" si="116"/>
        <v/>
      </c>
      <c r="EK1979" t="str">
        <f t="shared" si="117"/>
        <v/>
      </c>
    </row>
    <row r="1980" spans="138:141" x14ac:dyDescent="0.25">
      <c r="EH1980" s="313">
        <v>1977</v>
      </c>
      <c r="EI1980" s="314"/>
      <c r="EJ1980" s="247" t="str">
        <f t="shared" si="116"/>
        <v/>
      </c>
      <c r="EK1980" t="str">
        <f t="shared" si="117"/>
        <v/>
      </c>
    </row>
    <row r="1981" spans="138:141" x14ac:dyDescent="0.25">
      <c r="EH1981" s="313">
        <v>1978</v>
      </c>
      <c r="EI1981" s="314"/>
      <c r="EJ1981" s="247" t="str">
        <f t="shared" si="116"/>
        <v/>
      </c>
      <c r="EK1981" t="str">
        <f t="shared" si="117"/>
        <v/>
      </c>
    </row>
    <row r="1982" spans="138:141" x14ac:dyDescent="0.25">
      <c r="EH1982" s="313">
        <v>1979</v>
      </c>
      <c r="EI1982" s="314"/>
      <c r="EJ1982" s="247" t="str">
        <f t="shared" si="116"/>
        <v/>
      </c>
      <c r="EK1982" t="str">
        <f t="shared" si="117"/>
        <v/>
      </c>
    </row>
    <row r="1983" spans="138:141" x14ac:dyDescent="0.25">
      <c r="EH1983" s="313">
        <v>1980</v>
      </c>
      <c r="EI1983" s="314">
        <v>23.3962</v>
      </c>
      <c r="EJ1983" s="247">
        <f t="shared" si="116"/>
        <v>1</v>
      </c>
      <c r="EK1983">
        <f t="shared" si="117"/>
        <v>2.3873673469387753</v>
      </c>
    </row>
    <row r="1984" spans="138:141" x14ac:dyDescent="0.25">
      <c r="EH1984" s="313">
        <v>1981</v>
      </c>
      <c r="EI1984" s="314"/>
      <c r="EJ1984" s="247" t="str">
        <f t="shared" si="116"/>
        <v/>
      </c>
      <c r="EK1984" t="str">
        <f t="shared" si="117"/>
        <v/>
      </c>
    </row>
    <row r="1985" spans="138:141" x14ac:dyDescent="0.25">
      <c r="EH1985" s="313">
        <v>1982</v>
      </c>
      <c r="EI1985" s="314"/>
      <c r="EJ1985" s="247" t="str">
        <f t="shared" si="116"/>
        <v/>
      </c>
      <c r="EK1985" t="str">
        <f t="shared" si="117"/>
        <v/>
      </c>
    </row>
    <row r="1986" spans="138:141" x14ac:dyDescent="0.25">
      <c r="EH1986" s="313">
        <v>1983</v>
      </c>
      <c r="EI1986" s="314"/>
      <c r="EJ1986" s="247" t="str">
        <f t="shared" si="116"/>
        <v/>
      </c>
      <c r="EK1986" t="str">
        <f t="shared" si="117"/>
        <v/>
      </c>
    </row>
    <row r="1987" spans="138:141" x14ac:dyDescent="0.25">
      <c r="EH1987" s="313">
        <v>1984</v>
      </c>
      <c r="EI1987" s="314"/>
      <c r="EJ1987" s="247" t="str">
        <f t="shared" si="116"/>
        <v/>
      </c>
      <c r="EK1987" t="str">
        <f t="shared" si="117"/>
        <v/>
      </c>
    </row>
    <row r="1988" spans="138:141" x14ac:dyDescent="0.25">
      <c r="EH1988" s="313">
        <v>1985</v>
      </c>
      <c r="EI1988" s="314"/>
      <c r="EJ1988" s="247" t="str">
        <f t="shared" si="116"/>
        <v/>
      </c>
      <c r="EK1988" t="str">
        <f t="shared" si="117"/>
        <v/>
      </c>
    </row>
    <row r="1989" spans="138:141" x14ac:dyDescent="0.25">
      <c r="EH1989" s="313">
        <v>1986</v>
      </c>
      <c r="EI1989" s="314"/>
      <c r="EJ1989" s="247" t="str">
        <f t="shared" ref="EJ1989:EJ2052" si="118">IF(EI1989="","",1)</f>
        <v/>
      </c>
      <c r="EK1989" t="str">
        <f t="shared" ref="EK1989:EK2052" si="119">IF(EI1989="","",EI1989/9.8)</f>
        <v/>
      </c>
    </row>
    <row r="1990" spans="138:141" x14ac:dyDescent="0.25">
      <c r="EH1990" s="313">
        <v>1987</v>
      </c>
      <c r="EI1990" s="314"/>
      <c r="EJ1990" s="247" t="str">
        <f t="shared" si="118"/>
        <v/>
      </c>
      <c r="EK1990" t="str">
        <f t="shared" si="119"/>
        <v/>
      </c>
    </row>
    <row r="1991" spans="138:141" x14ac:dyDescent="0.25">
      <c r="EH1991" s="313">
        <v>1988</v>
      </c>
      <c r="EI1991" s="314"/>
      <c r="EJ1991" s="247" t="str">
        <f t="shared" si="118"/>
        <v/>
      </c>
      <c r="EK1991" t="str">
        <f t="shared" si="119"/>
        <v/>
      </c>
    </row>
    <row r="1992" spans="138:141" x14ac:dyDescent="0.25">
      <c r="EH1992" s="313">
        <v>1989</v>
      </c>
      <c r="EI1992" s="314"/>
      <c r="EJ1992" s="247" t="str">
        <f t="shared" si="118"/>
        <v/>
      </c>
      <c r="EK1992" t="str">
        <f t="shared" si="119"/>
        <v/>
      </c>
    </row>
    <row r="1993" spans="138:141" x14ac:dyDescent="0.25">
      <c r="EH1993" s="313">
        <v>1990</v>
      </c>
      <c r="EI1993" s="314">
        <v>23.514099999999999</v>
      </c>
      <c r="EJ1993" s="247">
        <f t="shared" si="118"/>
        <v>1</v>
      </c>
      <c r="EK1993">
        <f t="shared" si="119"/>
        <v>2.3993979591836734</v>
      </c>
    </row>
    <row r="1994" spans="138:141" x14ac:dyDescent="0.25">
      <c r="EH1994" s="313">
        <v>1991</v>
      </c>
      <c r="EI1994" s="314"/>
      <c r="EJ1994" s="247" t="str">
        <f t="shared" si="118"/>
        <v/>
      </c>
      <c r="EK1994" t="str">
        <f t="shared" si="119"/>
        <v/>
      </c>
    </row>
    <row r="1995" spans="138:141" x14ac:dyDescent="0.25">
      <c r="EH1995" s="313">
        <v>1992</v>
      </c>
      <c r="EI1995" s="314"/>
      <c r="EJ1995" s="247" t="str">
        <f t="shared" si="118"/>
        <v/>
      </c>
      <c r="EK1995" t="str">
        <f t="shared" si="119"/>
        <v/>
      </c>
    </row>
    <row r="1996" spans="138:141" x14ac:dyDescent="0.25">
      <c r="EH1996" s="313">
        <v>1993</v>
      </c>
      <c r="EI1996" s="314"/>
      <c r="EJ1996" s="247" t="str">
        <f t="shared" si="118"/>
        <v/>
      </c>
      <c r="EK1996" t="str">
        <f t="shared" si="119"/>
        <v/>
      </c>
    </row>
    <row r="1997" spans="138:141" x14ac:dyDescent="0.25">
      <c r="EH1997" s="313">
        <v>1994</v>
      </c>
      <c r="EI1997" s="314"/>
      <c r="EJ1997" s="247" t="str">
        <f t="shared" si="118"/>
        <v/>
      </c>
      <c r="EK1997" t="str">
        <f t="shared" si="119"/>
        <v/>
      </c>
    </row>
    <row r="1998" spans="138:141" x14ac:dyDescent="0.25">
      <c r="EH1998" s="313">
        <v>1995</v>
      </c>
      <c r="EI1998" s="314"/>
      <c r="EJ1998" s="247" t="str">
        <f t="shared" si="118"/>
        <v/>
      </c>
      <c r="EK1998" t="str">
        <f t="shared" si="119"/>
        <v/>
      </c>
    </row>
    <row r="1999" spans="138:141" x14ac:dyDescent="0.25">
      <c r="EH1999" s="313">
        <v>1996</v>
      </c>
      <c r="EI1999" s="314"/>
      <c r="EJ1999" s="247" t="str">
        <f t="shared" si="118"/>
        <v/>
      </c>
      <c r="EK1999" t="str">
        <f t="shared" si="119"/>
        <v/>
      </c>
    </row>
    <row r="2000" spans="138:141" x14ac:dyDescent="0.25">
      <c r="EH2000" s="313">
        <v>1997</v>
      </c>
      <c r="EI2000" s="314"/>
      <c r="EJ2000" s="247" t="str">
        <f t="shared" si="118"/>
        <v/>
      </c>
      <c r="EK2000" t="str">
        <f t="shared" si="119"/>
        <v/>
      </c>
    </row>
    <row r="2001" spans="138:141" x14ac:dyDescent="0.25">
      <c r="EH2001" s="313">
        <v>1998</v>
      </c>
      <c r="EI2001" s="314"/>
      <c r="EJ2001" s="247" t="str">
        <f t="shared" si="118"/>
        <v/>
      </c>
      <c r="EK2001" t="str">
        <f t="shared" si="119"/>
        <v/>
      </c>
    </row>
    <row r="2002" spans="138:141" x14ac:dyDescent="0.25">
      <c r="EH2002" s="313">
        <v>1999</v>
      </c>
      <c r="EI2002" s="314"/>
      <c r="EJ2002" s="247" t="str">
        <f t="shared" si="118"/>
        <v/>
      </c>
      <c r="EK2002" t="str">
        <f t="shared" si="119"/>
        <v/>
      </c>
    </row>
    <row r="2003" spans="138:141" x14ac:dyDescent="0.25">
      <c r="EH2003" s="313">
        <v>2000</v>
      </c>
      <c r="EI2003" s="314">
        <v>23.632000000000001</v>
      </c>
      <c r="EJ2003" s="247">
        <f t="shared" si="118"/>
        <v>1</v>
      </c>
      <c r="EK2003">
        <f t="shared" si="119"/>
        <v>2.4114285714285715</v>
      </c>
    </row>
    <row r="2004" spans="138:141" x14ac:dyDescent="0.25">
      <c r="EH2004" s="313">
        <v>2001</v>
      </c>
      <c r="EI2004" s="314"/>
      <c r="EJ2004" s="247" t="str">
        <f t="shared" si="118"/>
        <v/>
      </c>
      <c r="EK2004" t="str">
        <f t="shared" si="119"/>
        <v/>
      </c>
    </row>
    <row r="2005" spans="138:141" x14ac:dyDescent="0.25">
      <c r="EH2005" s="313">
        <v>2002</v>
      </c>
      <c r="EI2005" s="314"/>
      <c r="EJ2005" s="247" t="str">
        <f t="shared" si="118"/>
        <v/>
      </c>
      <c r="EK2005" t="str">
        <f t="shared" si="119"/>
        <v/>
      </c>
    </row>
    <row r="2006" spans="138:141" x14ac:dyDescent="0.25">
      <c r="EH2006" s="313">
        <v>2003</v>
      </c>
      <c r="EI2006" s="314"/>
      <c r="EJ2006" s="247" t="str">
        <f t="shared" si="118"/>
        <v/>
      </c>
      <c r="EK2006" t="str">
        <f t="shared" si="119"/>
        <v/>
      </c>
    </row>
    <row r="2007" spans="138:141" x14ac:dyDescent="0.25">
      <c r="EH2007" s="313">
        <v>2004</v>
      </c>
      <c r="EI2007" s="314"/>
      <c r="EJ2007" s="247" t="str">
        <f t="shared" si="118"/>
        <v/>
      </c>
      <c r="EK2007" t="str">
        <f t="shared" si="119"/>
        <v/>
      </c>
    </row>
    <row r="2008" spans="138:141" x14ac:dyDescent="0.25">
      <c r="EH2008" s="313">
        <v>2005</v>
      </c>
      <c r="EI2008" s="314"/>
      <c r="EJ2008" s="247" t="str">
        <f t="shared" si="118"/>
        <v/>
      </c>
      <c r="EK2008" t="str">
        <f t="shared" si="119"/>
        <v/>
      </c>
    </row>
    <row r="2009" spans="138:141" x14ac:dyDescent="0.25">
      <c r="EH2009" s="313">
        <v>2006</v>
      </c>
      <c r="EI2009" s="314"/>
      <c r="EJ2009" s="247" t="str">
        <f t="shared" si="118"/>
        <v/>
      </c>
      <c r="EK2009" t="str">
        <f t="shared" si="119"/>
        <v/>
      </c>
    </row>
    <row r="2010" spans="138:141" x14ac:dyDescent="0.25">
      <c r="EH2010" s="313">
        <v>2007</v>
      </c>
      <c r="EI2010" s="314"/>
      <c r="EJ2010" s="247" t="str">
        <f t="shared" si="118"/>
        <v/>
      </c>
      <c r="EK2010" t="str">
        <f t="shared" si="119"/>
        <v/>
      </c>
    </row>
    <row r="2011" spans="138:141" x14ac:dyDescent="0.25">
      <c r="EH2011" s="313">
        <v>2008</v>
      </c>
      <c r="EI2011" s="314"/>
      <c r="EJ2011" s="247" t="str">
        <f t="shared" si="118"/>
        <v/>
      </c>
      <c r="EK2011" t="str">
        <f t="shared" si="119"/>
        <v/>
      </c>
    </row>
    <row r="2012" spans="138:141" x14ac:dyDescent="0.25">
      <c r="EH2012" s="313">
        <v>2009</v>
      </c>
      <c r="EI2012" s="314"/>
      <c r="EJ2012" s="247" t="str">
        <f t="shared" si="118"/>
        <v/>
      </c>
      <c r="EK2012" t="str">
        <f t="shared" si="119"/>
        <v/>
      </c>
    </row>
    <row r="2013" spans="138:141" x14ac:dyDescent="0.25">
      <c r="EH2013" s="313">
        <v>2010</v>
      </c>
      <c r="EI2013" s="314">
        <v>23.7499</v>
      </c>
      <c r="EJ2013" s="247">
        <f t="shared" si="118"/>
        <v>1</v>
      </c>
      <c r="EK2013">
        <f t="shared" si="119"/>
        <v>2.4234591836734691</v>
      </c>
    </row>
    <row r="2014" spans="138:141" x14ac:dyDescent="0.25">
      <c r="EH2014" s="313">
        <v>2011</v>
      </c>
      <c r="EI2014" s="314"/>
      <c r="EJ2014" s="247" t="str">
        <f t="shared" si="118"/>
        <v/>
      </c>
      <c r="EK2014" t="str">
        <f t="shared" si="119"/>
        <v/>
      </c>
    </row>
    <row r="2015" spans="138:141" x14ac:dyDescent="0.25">
      <c r="EH2015" s="313">
        <v>2012</v>
      </c>
      <c r="EI2015" s="314"/>
      <c r="EJ2015" s="247" t="str">
        <f t="shared" si="118"/>
        <v/>
      </c>
      <c r="EK2015" t="str">
        <f t="shared" si="119"/>
        <v/>
      </c>
    </row>
    <row r="2016" spans="138:141" x14ac:dyDescent="0.25">
      <c r="EH2016" s="313">
        <v>2013</v>
      </c>
      <c r="EI2016" s="314"/>
      <c r="EJ2016" s="247" t="str">
        <f t="shared" si="118"/>
        <v/>
      </c>
      <c r="EK2016" t="str">
        <f t="shared" si="119"/>
        <v/>
      </c>
    </row>
    <row r="2017" spans="138:141" x14ac:dyDescent="0.25">
      <c r="EH2017" s="313">
        <v>2014</v>
      </c>
      <c r="EI2017" s="314"/>
      <c r="EJ2017" s="247" t="str">
        <f t="shared" si="118"/>
        <v/>
      </c>
      <c r="EK2017" t="str">
        <f t="shared" si="119"/>
        <v/>
      </c>
    </row>
    <row r="2018" spans="138:141" x14ac:dyDescent="0.25">
      <c r="EH2018" s="313">
        <v>2015</v>
      </c>
      <c r="EI2018" s="314"/>
      <c r="EJ2018" s="247" t="str">
        <f t="shared" si="118"/>
        <v/>
      </c>
      <c r="EK2018" t="str">
        <f t="shared" si="119"/>
        <v/>
      </c>
    </row>
    <row r="2019" spans="138:141" x14ac:dyDescent="0.25">
      <c r="EH2019" s="313">
        <v>2016</v>
      </c>
      <c r="EI2019" s="314"/>
      <c r="EJ2019" s="247" t="str">
        <f t="shared" si="118"/>
        <v/>
      </c>
      <c r="EK2019" t="str">
        <f t="shared" si="119"/>
        <v/>
      </c>
    </row>
    <row r="2020" spans="138:141" x14ac:dyDescent="0.25">
      <c r="EH2020" s="313">
        <v>2017</v>
      </c>
      <c r="EI2020" s="314"/>
      <c r="EJ2020" s="247" t="str">
        <f t="shared" si="118"/>
        <v/>
      </c>
      <c r="EK2020" t="str">
        <f t="shared" si="119"/>
        <v/>
      </c>
    </row>
    <row r="2021" spans="138:141" x14ac:dyDescent="0.25">
      <c r="EH2021" s="313">
        <v>2018</v>
      </c>
      <c r="EI2021" s="314"/>
      <c r="EJ2021" s="247" t="str">
        <f t="shared" si="118"/>
        <v/>
      </c>
      <c r="EK2021" t="str">
        <f t="shared" si="119"/>
        <v/>
      </c>
    </row>
    <row r="2022" spans="138:141" x14ac:dyDescent="0.25">
      <c r="EH2022" s="313">
        <v>2019</v>
      </c>
      <c r="EI2022" s="314"/>
      <c r="EJ2022" s="247" t="str">
        <f t="shared" si="118"/>
        <v/>
      </c>
      <c r="EK2022" t="str">
        <f t="shared" si="119"/>
        <v/>
      </c>
    </row>
    <row r="2023" spans="138:141" x14ac:dyDescent="0.25">
      <c r="EH2023" s="313">
        <v>2020</v>
      </c>
      <c r="EI2023" s="314">
        <v>23.867899999999999</v>
      </c>
      <c r="EJ2023" s="247">
        <f t="shared" si="118"/>
        <v>1</v>
      </c>
      <c r="EK2023">
        <f t="shared" si="119"/>
        <v>2.4354999999999998</v>
      </c>
    </row>
    <row r="2024" spans="138:141" x14ac:dyDescent="0.25">
      <c r="EH2024" s="313">
        <v>2021</v>
      </c>
      <c r="EI2024" s="314"/>
      <c r="EJ2024" s="247" t="str">
        <f t="shared" si="118"/>
        <v/>
      </c>
      <c r="EK2024" t="str">
        <f t="shared" si="119"/>
        <v/>
      </c>
    </row>
    <row r="2025" spans="138:141" x14ac:dyDescent="0.25">
      <c r="EH2025" s="313">
        <v>2022</v>
      </c>
      <c r="EI2025" s="314"/>
      <c r="EJ2025" s="247" t="str">
        <f t="shared" si="118"/>
        <v/>
      </c>
      <c r="EK2025" t="str">
        <f t="shared" si="119"/>
        <v/>
      </c>
    </row>
    <row r="2026" spans="138:141" x14ac:dyDescent="0.25">
      <c r="EH2026" s="313">
        <v>2023</v>
      </c>
      <c r="EI2026" s="314"/>
      <c r="EJ2026" s="247" t="str">
        <f t="shared" si="118"/>
        <v/>
      </c>
      <c r="EK2026" t="str">
        <f t="shared" si="119"/>
        <v/>
      </c>
    </row>
    <row r="2027" spans="138:141" x14ac:dyDescent="0.25">
      <c r="EH2027" s="313">
        <v>2024</v>
      </c>
      <c r="EI2027" s="314"/>
      <c r="EJ2027" s="247" t="str">
        <f t="shared" si="118"/>
        <v/>
      </c>
      <c r="EK2027" t="str">
        <f t="shared" si="119"/>
        <v/>
      </c>
    </row>
    <row r="2028" spans="138:141" x14ac:dyDescent="0.25">
      <c r="EH2028" s="313">
        <v>2025</v>
      </c>
      <c r="EI2028" s="314"/>
      <c r="EJ2028" s="247" t="str">
        <f t="shared" si="118"/>
        <v/>
      </c>
      <c r="EK2028" t="str">
        <f t="shared" si="119"/>
        <v/>
      </c>
    </row>
    <row r="2029" spans="138:141" x14ac:dyDescent="0.25">
      <c r="EH2029" s="313">
        <v>2026</v>
      </c>
      <c r="EI2029" s="314"/>
      <c r="EJ2029" s="247" t="str">
        <f t="shared" si="118"/>
        <v/>
      </c>
      <c r="EK2029" t="str">
        <f t="shared" si="119"/>
        <v/>
      </c>
    </row>
    <row r="2030" spans="138:141" x14ac:dyDescent="0.25">
      <c r="EH2030" s="313">
        <v>2027</v>
      </c>
      <c r="EI2030" s="314"/>
      <c r="EJ2030" s="247" t="str">
        <f t="shared" si="118"/>
        <v/>
      </c>
      <c r="EK2030" t="str">
        <f t="shared" si="119"/>
        <v/>
      </c>
    </row>
    <row r="2031" spans="138:141" x14ac:dyDescent="0.25">
      <c r="EH2031" s="313">
        <v>2028</v>
      </c>
      <c r="EI2031" s="314"/>
      <c r="EJ2031" s="247" t="str">
        <f t="shared" si="118"/>
        <v/>
      </c>
      <c r="EK2031" t="str">
        <f t="shared" si="119"/>
        <v/>
      </c>
    </row>
    <row r="2032" spans="138:141" x14ac:dyDescent="0.25">
      <c r="EH2032" s="313">
        <v>2029</v>
      </c>
      <c r="EI2032" s="314"/>
      <c r="EJ2032" s="247" t="str">
        <f t="shared" si="118"/>
        <v/>
      </c>
      <c r="EK2032" t="str">
        <f t="shared" si="119"/>
        <v/>
      </c>
    </row>
    <row r="2033" spans="138:141" x14ac:dyDescent="0.25">
      <c r="EH2033" s="313">
        <v>2030</v>
      </c>
      <c r="EI2033" s="314">
        <v>23.985800000000001</v>
      </c>
      <c r="EJ2033" s="247">
        <f t="shared" si="118"/>
        <v>1</v>
      </c>
      <c r="EK2033">
        <f t="shared" si="119"/>
        <v>2.4475306122448979</v>
      </c>
    </row>
    <row r="2034" spans="138:141" x14ac:dyDescent="0.25">
      <c r="EH2034" s="313">
        <v>2031</v>
      </c>
      <c r="EI2034" s="314"/>
      <c r="EJ2034" s="247" t="str">
        <f t="shared" si="118"/>
        <v/>
      </c>
      <c r="EK2034" t="str">
        <f t="shared" si="119"/>
        <v/>
      </c>
    </row>
    <row r="2035" spans="138:141" x14ac:dyDescent="0.25">
      <c r="EH2035" s="313">
        <v>2032</v>
      </c>
      <c r="EI2035" s="314"/>
      <c r="EJ2035" s="247" t="str">
        <f t="shared" si="118"/>
        <v/>
      </c>
      <c r="EK2035" t="str">
        <f t="shared" si="119"/>
        <v/>
      </c>
    </row>
    <row r="2036" spans="138:141" x14ac:dyDescent="0.25">
      <c r="EH2036" s="313">
        <v>2033</v>
      </c>
      <c r="EI2036" s="314"/>
      <c r="EJ2036" s="247" t="str">
        <f t="shared" si="118"/>
        <v/>
      </c>
      <c r="EK2036" t="str">
        <f t="shared" si="119"/>
        <v/>
      </c>
    </row>
    <row r="2037" spans="138:141" x14ac:dyDescent="0.25">
      <c r="EH2037" s="313">
        <v>2034</v>
      </c>
      <c r="EI2037" s="314"/>
      <c r="EJ2037" s="247" t="str">
        <f t="shared" si="118"/>
        <v/>
      </c>
      <c r="EK2037" t="str">
        <f t="shared" si="119"/>
        <v/>
      </c>
    </row>
    <row r="2038" spans="138:141" x14ac:dyDescent="0.25">
      <c r="EH2038" s="313">
        <v>2035</v>
      </c>
      <c r="EI2038" s="314"/>
      <c r="EJ2038" s="247" t="str">
        <f t="shared" si="118"/>
        <v/>
      </c>
      <c r="EK2038" t="str">
        <f t="shared" si="119"/>
        <v/>
      </c>
    </row>
    <row r="2039" spans="138:141" x14ac:dyDescent="0.25">
      <c r="EH2039" s="313">
        <v>2036</v>
      </c>
      <c r="EI2039" s="314"/>
      <c r="EJ2039" s="247" t="str">
        <f t="shared" si="118"/>
        <v/>
      </c>
      <c r="EK2039" t="str">
        <f t="shared" si="119"/>
        <v/>
      </c>
    </row>
    <row r="2040" spans="138:141" x14ac:dyDescent="0.25">
      <c r="EH2040" s="313">
        <v>2037</v>
      </c>
      <c r="EI2040" s="314"/>
      <c r="EJ2040" s="247" t="str">
        <f t="shared" si="118"/>
        <v/>
      </c>
      <c r="EK2040" t="str">
        <f t="shared" si="119"/>
        <v/>
      </c>
    </row>
    <row r="2041" spans="138:141" x14ac:dyDescent="0.25">
      <c r="EH2041" s="313">
        <v>2038</v>
      </c>
      <c r="EI2041" s="314"/>
      <c r="EJ2041" s="247" t="str">
        <f t="shared" si="118"/>
        <v/>
      </c>
      <c r="EK2041" t="str">
        <f t="shared" si="119"/>
        <v/>
      </c>
    </row>
    <row r="2042" spans="138:141" x14ac:dyDescent="0.25">
      <c r="EH2042" s="313">
        <v>2039</v>
      </c>
      <c r="EI2042" s="314"/>
      <c r="EJ2042" s="247" t="str">
        <f t="shared" si="118"/>
        <v/>
      </c>
      <c r="EK2042" t="str">
        <f t="shared" si="119"/>
        <v/>
      </c>
    </row>
    <row r="2043" spans="138:141" x14ac:dyDescent="0.25">
      <c r="EH2043" s="313">
        <v>2040</v>
      </c>
      <c r="EI2043" s="314">
        <v>24.1037</v>
      </c>
      <c r="EJ2043" s="247">
        <f t="shared" si="118"/>
        <v>1</v>
      </c>
      <c r="EK2043">
        <f t="shared" si="119"/>
        <v>2.4595612244897955</v>
      </c>
    </row>
    <row r="2044" spans="138:141" x14ac:dyDescent="0.25">
      <c r="EH2044" s="313">
        <v>2041</v>
      </c>
      <c r="EI2044" s="314"/>
      <c r="EJ2044" s="247" t="str">
        <f t="shared" si="118"/>
        <v/>
      </c>
      <c r="EK2044" t="str">
        <f t="shared" si="119"/>
        <v/>
      </c>
    </row>
    <row r="2045" spans="138:141" x14ac:dyDescent="0.25">
      <c r="EH2045" s="313">
        <v>2042</v>
      </c>
      <c r="EI2045" s="314"/>
      <c r="EJ2045" s="247" t="str">
        <f t="shared" si="118"/>
        <v/>
      </c>
      <c r="EK2045" t="str">
        <f t="shared" si="119"/>
        <v/>
      </c>
    </row>
    <row r="2046" spans="138:141" x14ac:dyDescent="0.25">
      <c r="EH2046" s="313">
        <v>2043</v>
      </c>
      <c r="EI2046" s="314"/>
      <c r="EJ2046" s="247" t="str">
        <f t="shared" si="118"/>
        <v/>
      </c>
      <c r="EK2046" t="str">
        <f t="shared" si="119"/>
        <v/>
      </c>
    </row>
    <row r="2047" spans="138:141" x14ac:dyDescent="0.25">
      <c r="EH2047" s="313">
        <v>2044</v>
      </c>
      <c r="EI2047" s="314"/>
      <c r="EJ2047" s="247" t="str">
        <f t="shared" si="118"/>
        <v/>
      </c>
      <c r="EK2047" t="str">
        <f t="shared" si="119"/>
        <v/>
      </c>
    </row>
    <row r="2048" spans="138:141" x14ac:dyDescent="0.25">
      <c r="EH2048" s="313">
        <v>2045</v>
      </c>
      <c r="EI2048" s="314"/>
      <c r="EJ2048" s="247" t="str">
        <f t="shared" si="118"/>
        <v/>
      </c>
      <c r="EK2048" t="str">
        <f t="shared" si="119"/>
        <v/>
      </c>
    </row>
    <row r="2049" spans="138:141" x14ac:dyDescent="0.25">
      <c r="EH2049" s="313">
        <v>2046</v>
      </c>
      <c r="EI2049" s="314"/>
      <c r="EJ2049" s="247" t="str">
        <f t="shared" si="118"/>
        <v/>
      </c>
      <c r="EK2049" t="str">
        <f t="shared" si="119"/>
        <v/>
      </c>
    </row>
    <row r="2050" spans="138:141" x14ac:dyDescent="0.25">
      <c r="EH2050" s="313">
        <v>2047</v>
      </c>
      <c r="EI2050" s="314"/>
      <c r="EJ2050" s="247" t="str">
        <f t="shared" si="118"/>
        <v/>
      </c>
      <c r="EK2050" t="str">
        <f t="shared" si="119"/>
        <v/>
      </c>
    </row>
    <row r="2051" spans="138:141" x14ac:dyDescent="0.25">
      <c r="EH2051" s="313">
        <v>2048</v>
      </c>
      <c r="EI2051" s="314"/>
      <c r="EJ2051" s="247" t="str">
        <f t="shared" si="118"/>
        <v/>
      </c>
      <c r="EK2051" t="str">
        <f t="shared" si="119"/>
        <v/>
      </c>
    </row>
    <row r="2052" spans="138:141" x14ac:dyDescent="0.25">
      <c r="EH2052" s="313">
        <v>2049</v>
      </c>
      <c r="EI2052" s="314"/>
      <c r="EJ2052" s="247" t="str">
        <f t="shared" si="118"/>
        <v/>
      </c>
      <c r="EK2052" t="str">
        <f t="shared" si="119"/>
        <v/>
      </c>
    </row>
    <row r="2053" spans="138:141" x14ac:dyDescent="0.25">
      <c r="EH2053" s="313">
        <v>2050</v>
      </c>
      <c r="EI2053" s="314">
        <v>24.221599999999999</v>
      </c>
      <c r="EJ2053" s="247">
        <f t="shared" ref="EJ2053:EJ2116" si="120">IF(EI2053="","",1)</f>
        <v>1</v>
      </c>
      <c r="EK2053">
        <f t="shared" ref="EK2053:EK2116" si="121">IF(EI2053="","",EI2053/9.8)</f>
        <v>2.4715918367346936</v>
      </c>
    </row>
    <row r="2054" spans="138:141" x14ac:dyDescent="0.25">
      <c r="EH2054" s="313">
        <v>2051</v>
      </c>
      <c r="EI2054" s="314"/>
      <c r="EJ2054" s="247" t="str">
        <f t="shared" si="120"/>
        <v/>
      </c>
      <c r="EK2054" t="str">
        <f t="shared" si="121"/>
        <v/>
      </c>
    </row>
    <row r="2055" spans="138:141" x14ac:dyDescent="0.25">
      <c r="EH2055" s="313">
        <v>2052</v>
      </c>
      <c r="EI2055" s="314"/>
      <c r="EJ2055" s="247" t="str">
        <f t="shared" si="120"/>
        <v/>
      </c>
      <c r="EK2055" t="str">
        <f t="shared" si="121"/>
        <v/>
      </c>
    </row>
    <row r="2056" spans="138:141" x14ac:dyDescent="0.25">
      <c r="EH2056" s="313">
        <v>2053</v>
      </c>
      <c r="EI2056" s="314"/>
      <c r="EJ2056" s="247" t="str">
        <f t="shared" si="120"/>
        <v/>
      </c>
      <c r="EK2056" t="str">
        <f t="shared" si="121"/>
        <v/>
      </c>
    </row>
    <row r="2057" spans="138:141" x14ac:dyDescent="0.25">
      <c r="EH2057" s="313">
        <v>2054</v>
      </c>
      <c r="EI2057" s="314"/>
      <c r="EJ2057" s="247" t="str">
        <f t="shared" si="120"/>
        <v/>
      </c>
      <c r="EK2057" t="str">
        <f t="shared" si="121"/>
        <v/>
      </c>
    </row>
    <row r="2058" spans="138:141" x14ac:dyDescent="0.25">
      <c r="EH2058" s="313">
        <v>2055</v>
      </c>
      <c r="EI2058" s="314"/>
      <c r="EJ2058" s="247" t="str">
        <f t="shared" si="120"/>
        <v/>
      </c>
      <c r="EK2058" t="str">
        <f t="shared" si="121"/>
        <v/>
      </c>
    </row>
    <row r="2059" spans="138:141" x14ac:dyDescent="0.25">
      <c r="EH2059" s="313">
        <v>2056</v>
      </c>
      <c r="EI2059" s="314"/>
      <c r="EJ2059" s="247" t="str">
        <f t="shared" si="120"/>
        <v/>
      </c>
      <c r="EK2059" t="str">
        <f t="shared" si="121"/>
        <v/>
      </c>
    </row>
    <row r="2060" spans="138:141" x14ac:dyDescent="0.25">
      <c r="EH2060" s="313">
        <v>2057</v>
      </c>
      <c r="EI2060" s="314"/>
      <c r="EJ2060" s="247" t="str">
        <f t="shared" si="120"/>
        <v/>
      </c>
      <c r="EK2060" t="str">
        <f t="shared" si="121"/>
        <v/>
      </c>
    </row>
    <row r="2061" spans="138:141" x14ac:dyDescent="0.25">
      <c r="EH2061" s="313">
        <v>2058</v>
      </c>
      <c r="EI2061" s="314"/>
      <c r="EJ2061" s="247" t="str">
        <f t="shared" si="120"/>
        <v/>
      </c>
      <c r="EK2061" t="str">
        <f t="shared" si="121"/>
        <v/>
      </c>
    </row>
    <row r="2062" spans="138:141" x14ac:dyDescent="0.25">
      <c r="EH2062" s="313">
        <v>2059</v>
      </c>
      <c r="EI2062" s="314"/>
      <c r="EJ2062" s="247" t="str">
        <f t="shared" si="120"/>
        <v/>
      </c>
      <c r="EK2062" t="str">
        <f t="shared" si="121"/>
        <v/>
      </c>
    </row>
    <row r="2063" spans="138:141" x14ac:dyDescent="0.25">
      <c r="EH2063" s="313">
        <v>2060</v>
      </c>
      <c r="EI2063" s="314">
        <v>24.339600000000001</v>
      </c>
      <c r="EJ2063" s="247">
        <f t="shared" si="120"/>
        <v>1</v>
      </c>
      <c r="EK2063">
        <f t="shared" si="121"/>
        <v>2.4836326530612243</v>
      </c>
    </row>
    <row r="2064" spans="138:141" x14ac:dyDescent="0.25">
      <c r="EH2064" s="313">
        <v>2061</v>
      </c>
      <c r="EI2064" s="314"/>
      <c r="EJ2064" s="247" t="str">
        <f t="shared" si="120"/>
        <v/>
      </c>
      <c r="EK2064" t="str">
        <f t="shared" si="121"/>
        <v/>
      </c>
    </row>
    <row r="2065" spans="138:141" x14ac:dyDescent="0.25">
      <c r="EH2065" s="313">
        <v>2062</v>
      </c>
      <c r="EI2065" s="314"/>
      <c r="EJ2065" s="247" t="str">
        <f t="shared" si="120"/>
        <v/>
      </c>
      <c r="EK2065" t="str">
        <f t="shared" si="121"/>
        <v/>
      </c>
    </row>
    <row r="2066" spans="138:141" x14ac:dyDescent="0.25">
      <c r="EH2066" s="313">
        <v>2063</v>
      </c>
      <c r="EI2066" s="314"/>
      <c r="EJ2066" s="247" t="str">
        <f t="shared" si="120"/>
        <v/>
      </c>
      <c r="EK2066" t="str">
        <f t="shared" si="121"/>
        <v/>
      </c>
    </row>
    <row r="2067" spans="138:141" x14ac:dyDescent="0.25">
      <c r="EH2067" s="313">
        <v>2064</v>
      </c>
      <c r="EI2067" s="314"/>
      <c r="EJ2067" s="247" t="str">
        <f t="shared" si="120"/>
        <v/>
      </c>
      <c r="EK2067" t="str">
        <f t="shared" si="121"/>
        <v/>
      </c>
    </row>
    <row r="2068" spans="138:141" x14ac:dyDescent="0.25">
      <c r="EH2068" s="313">
        <v>2065</v>
      </c>
      <c r="EI2068" s="314"/>
      <c r="EJ2068" s="247" t="str">
        <f t="shared" si="120"/>
        <v/>
      </c>
      <c r="EK2068" t="str">
        <f t="shared" si="121"/>
        <v/>
      </c>
    </row>
    <row r="2069" spans="138:141" x14ac:dyDescent="0.25">
      <c r="EH2069" s="313">
        <v>2066</v>
      </c>
      <c r="EI2069" s="314"/>
      <c r="EJ2069" s="247" t="str">
        <f t="shared" si="120"/>
        <v/>
      </c>
      <c r="EK2069" t="str">
        <f t="shared" si="121"/>
        <v/>
      </c>
    </row>
    <row r="2070" spans="138:141" x14ac:dyDescent="0.25">
      <c r="EH2070" s="313">
        <v>2067</v>
      </c>
      <c r="EI2070" s="314"/>
      <c r="EJ2070" s="247" t="str">
        <f t="shared" si="120"/>
        <v/>
      </c>
      <c r="EK2070" t="str">
        <f t="shared" si="121"/>
        <v/>
      </c>
    </row>
    <row r="2071" spans="138:141" x14ac:dyDescent="0.25">
      <c r="EH2071" s="313">
        <v>2068</v>
      </c>
      <c r="EI2071" s="314"/>
      <c r="EJ2071" s="247" t="str">
        <f t="shared" si="120"/>
        <v/>
      </c>
      <c r="EK2071" t="str">
        <f t="shared" si="121"/>
        <v/>
      </c>
    </row>
    <row r="2072" spans="138:141" x14ac:dyDescent="0.25">
      <c r="EH2072" s="313">
        <v>2069</v>
      </c>
      <c r="EI2072" s="314"/>
      <c r="EJ2072" s="247" t="str">
        <f t="shared" si="120"/>
        <v/>
      </c>
      <c r="EK2072" t="str">
        <f t="shared" si="121"/>
        <v/>
      </c>
    </row>
    <row r="2073" spans="138:141" x14ac:dyDescent="0.25">
      <c r="EH2073" s="313">
        <v>2070</v>
      </c>
      <c r="EI2073" s="314">
        <v>24.4575</v>
      </c>
      <c r="EJ2073" s="247">
        <f t="shared" si="120"/>
        <v>1</v>
      </c>
      <c r="EK2073">
        <f t="shared" si="121"/>
        <v>2.4956632653061224</v>
      </c>
    </row>
    <row r="2074" spans="138:141" x14ac:dyDescent="0.25">
      <c r="EH2074" s="313">
        <v>2071</v>
      </c>
      <c r="EI2074" s="314"/>
      <c r="EJ2074" s="247" t="str">
        <f t="shared" si="120"/>
        <v/>
      </c>
      <c r="EK2074" t="str">
        <f t="shared" si="121"/>
        <v/>
      </c>
    </row>
    <row r="2075" spans="138:141" x14ac:dyDescent="0.25">
      <c r="EH2075" s="313">
        <v>2072</v>
      </c>
      <c r="EI2075" s="314"/>
      <c r="EJ2075" s="247" t="str">
        <f t="shared" si="120"/>
        <v/>
      </c>
      <c r="EK2075" t="str">
        <f t="shared" si="121"/>
        <v/>
      </c>
    </row>
    <row r="2076" spans="138:141" x14ac:dyDescent="0.25">
      <c r="EH2076" s="313">
        <v>2073</v>
      </c>
      <c r="EI2076" s="314"/>
      <c r="EJ2076" s="247" t="str">
        <f t="shared" si="120"/>
        <v/>
      </c>
      <c r="EK2076" t="str">
        <f t="shared" si="121"/>
        <v/>
      </c>
    </row>
    <row r="2077" spans="138:141" x14ac:dyDescent="0.25">
      <c r="EH2077" s="313">
        <v>2074</v>
      </c>
      <c r="EI2077" s="314"/>
      <c r="EJ2077" s="247" t="str">
        <f t="shared" si="120"/>
        <v/>
      </c>
      <c r="EK2077" t="str">
        <f t="shared" si="121"/>
        <v/>
      </c>
    </row>
    <row r="2078" spans="138:141" x14ac:dyDescent="0.25">
      <c r="EH2078" s="313">
        <v>2075</v>
      </c>
      <c r="EI2078" s="314"/>
      <c r="EJ2078" s="247" t="str">
        <f t="shared" si="120"/>
        <v/>
      </c>
      <c r="EK2078" t="str">
        <f t="shared" si="121"/>
        <v/>
      </c>
    </row>
    <row r="2079" spans="138:141" x14ac:dyDescent="0.25">
      <c r="EH2079" s="313">
        <v>2076</v>
      </c>
      <c r="EI2079" s="314"/>
      <c r="EJ2079" s="247" t="str">
        <f t="shared" si="120"/>
        <v/>
      </c>
      <c r="EK2079" t="str">
        <f t="shared" si="121"/>
        <v/>
      </c>
    </row>
    <row r="2080" spans="138:141" x14ac:dyDescent="0.25">
      <c r="EH2080" s="313">
        <v>2077</v>
      </c>
      <c r="EI2080" s="314"/>
      <c r="EJ2080" s="247" t="str">
        <f t="shared" si="120"/>
        <v/>
      </c>
      <c r="EK2080" t="str">
        <f t="shared" si="121"/>
        <v/>
      </c>
    </row>
    <row r="2081" spans="138:141" x14ac:dyDescent="0.25">
      <c r="EH2081" s="313">
        <v>2078</v>
      </c>
      <c r="EI2081" s="314"/>
      <c r="EJ2081" s="247" t="str">
        <f t="shared" si="120"/>
        <v/>
      </c>
      <c r="EK2081" t="str">
        <f t="shared" si="121"/>
        <v/>
      </c>
    </row>
    <row r="2082" spans="138:141" x14ac:dyDescent="0.25">
      <c r="EH2082" s="313">
        <v>2079</v>
      </c>
      <c r="EI2082" s="314"/>
      <c r="EJ2082" s="247" t="str">
        <f t="shared" si="120"/>
        <v/>
      </c>
      <c r="EK2082" t="str">
        <f t="shared" si="121"/>
        <v/>
      </c>
    </row>
    <row r="2083" spans="138:141" x14ac:dyDescent="0.25">
      <c r="EH2083" s="313">
        <v>2080</v>
      </c>
      <c r="EI2083" s="314">
        <v>24.575399999999998</v>
      </c>
      <c r="EJ2083" s="247">
        <f t="shared" si="120"/>
        <v>1</v>
      </c>
      <c r="EK2083">
        <f t="shared" si="121"/>
        <v>2.50769387755102</v>
      </c>
    </row>
    <row r="2084" spans="138:141" x14ac:dyDescent="0.25">
      <c r="EH2084" s="313">
        <v>2081</v>
      </c>
      <c r="EI2084" s="314"/>
      <c r="EJ2084" s="247" t="str">
        <f t="shared" si="120"/>
        <v/>
      </c>
      <c r="EK2084" t="str">
        <f t="shared" si="121"/>
        <v/>
      </c>
    </row>
    <row r="2085" spans="138:141" x14ac:dyDescent="0.25">
      <c r="EH2085" s="313">
        <v>2082</v>
      </c>
      <c r="EI2085" s="314"/>
      <c r="EJ2085" s="247" t="str">
        <f t="shared" si="120"/>
        <v/>
      </c>
      <c r="EK2085" t="str">
        <f t="shared" si="121"/>
        <v/>
      </c>
    </row>
    <row r="2086" spans="138:141" x14ac:dyDescent="0.25">
      <c r="EH2086" s="313">
        <v>2083</v>
      </c>
      <c r="EI2086" s="314"/>
      <c r="EJ2086" s="247" t="str">
        <f t="shared" si="120"/>
        <v/>
      </c>
      <c r="EK2086" t="str">
        <f t="shared" si="121"/>
        <v/>
      </c>
    </row>
    <row r="2087" spans="138:141" x14ac:dyDescent="0.25">
      <c r="EH2087" s="313">
        <v>2084</v>
      </c>
      <c r="EI2087" s="314"/>
      <c r="EJ2087" s="247" t="str">
        <f t="shared" si="120"/>
        <v/>
      </c>
      <c r="EK2087" t="str">
        <f t="shared" si="121"/>
        <v/>
      </c>
    </row>
    <row r="2088" spans="138:141" x14ac:dyDescent="0.25">
      <c r="EH2088" s="313">
        <v>2085</v>
      </c>
      <c r="EI2088" s="314"/>
      <c r="EJ2088" s="247" t="str">
        <f t="shared" si="120"/>
        <v/>
      </c>
      <c r="EK2088" t="str">
        <f t="shared" si="121"/>
        <v/>
      </c>
    </row>
    <row r="2089" spans="138:141" x14ac:dyDescent="0.25">
      <c r="EH2089" s="313">
        <v>2086</v>
      </c>
      <c r="EI2089" s="314"/>
      <c r="EJ2089" s="247" t="str">
        <f t="shared" si="120"/>
        <v/>
      </c>
      <c r="EK2089" t="str">
        <f t="shared" si="121"/>
        <v/>
      </c>
    </row>
    <row r="2090" spans="138:141" x14ac:dyDescent="0.25">
      <c r="EH2090" s="313">
        <v>2087</v>
      </c>
      <c r="EI2090" s="314"/>
      <c r="EJ2090" s="247" t="str">
        <f t="shared" si="120"/>
        <v/>
      </c>
      <c r="EK2090" t="str">
        <f t="shared" si="121"/>
        <v/>
      </c>
    </row>
    <row r="2091" spans="138:141" x14ac:dyDescent="0.25">
      <c r="EH2091" s="313">
        <v>2088</v>
      </c>
      <c r="EI2091" s="314"/>
      <c r="EJ2091" s="247" t="str">
        <f t="shared" si="120"/>
        <v/>
      </c>
      <c r="EK2091" t="str">
        <f t="shared" si="121"/>
        <v/>
      </c>
    </row>
    <row r="2092" spans="138:141" x14ac:dyDescent="0.25">
      <c r="EH2092" s="313">
        <v>2089</v>
      </c>
      <c r="EI2092" s="314"/>
      <c r="EJ2092" s="247" t="str">
        <f t="shared" si="120"/>
        <v/>
      </c>
      <c r="EK2092" t="str">
        <f t="shared" si="121"/>
        <v/>
      </c>
    </row>
    <row r="2093" spans="138:141" x14ac:dyDescent="0.25">
      <c r="EH2093" s="313">
        <v>2090</v>
      </c>
      <c r="EI2093" s="314">
        <v>24.693300000000001</v>
      </c>
      <c r="EJ2093" s="247">
        <f t="shared" si="120"/>
        <v>1</v>
      </c>
      <c r="EK2093">
        <f t="shared" si="121"/>
        <v>2.5197244897959181</v>
      </c>
    </row>
    <row r="2094" spans="138:141" x14ac:dyDescent="0.25">
      <c r="EH2094" s="313">
        <v>2091</v>
      </c>
      <c r="EI2094" s="314"/>
      <c r="EJ2094" s="247" t="str">
        <f t="shared" si="120"/>
        <v/>
      </c>
      <c r="EK2094" t="str">
        <f t="shared" si="121"/>
        <v/>
      </c>
    </row>
    <row r="2095" spans="138:141" x14ac:dyDescent="0.25">
      <c r="EH2095" s="313">
        <v>2092</v>
      </c>
      <c r="EI2095" s="314"/>
      <c r="EJ2095" s="247" t="str">
        <f t="shared" si="120"/>
        <v/>
      </c>
      <c r="EK2095" t="str">
        <f t="shared" si="121"/>
        <v/>
      </c>
    </row>
    <row r="2096" spans="138:141" x14ac:dyDescent="0.25">
      <c r="EH2096" s="313">
        <v>2093</v>
      </c>
      <c r="EI2096" s="314"/>
      <c r="EJ2096" s="247" t="str">
        <f t="shared" si="120"/>
        <v/>
      </c>
      <c r="EK2096" t="str">
        <f t="shared" si="121"/>
        <v/>
      </c>
    </row>
    <row r="2097" spans="138:141" x14ac:dyDescent="0.25">
      <c r="EH2097" s="313">
        <v>2094</v>
      </c>
      <c r="EI2097" s="314"/>
      <c r="EJ2097" s="247" t="str">
        <f t="shared" si="120"/>
        <v/>
      </c>
      <c r="EK2097" t="str">
        <f t="shared" si="121"/>
        <v/>
      </c>
    </row>
    <row r="2098" spans="138:141" x14ac:dyDescent="0.25">
      <c r="EH2098" s="313">
        <v>2095</v>
      </c>
      <c r="EI2098" s="314"/>
      <c r="EJ2098" s="247" t="str">
        <f t="shared" si="120"/>
        <v/>
      </c>
      <c r="EK2098" t="str">
        <f t="shared" si="121"/>
        <v/>
      </c>
    </row>
    <row r="2099" spans="138:141" x14ac:dyDescent="0.25">
      <c r="EH2099" s="313">
        <v>2096</v>
      </c>
      <c r="EI2099" s="314"/>
      <c r="EJ2099" s="247" t="str">
        <f t="shared" si="120"/>
        <v/>
      </c>
      <c r="EK2099" t="str">
        <f t="shared" si="121"/>
        <v/>
      </c>
    </row>
    <row r="2100" spans="138:141" x14ac:dyDescent="0.25">
      <c r="EH2100" s="313">
        <v>2097</v>
      </c>
      <c r="EI2100" s="314"/>
      <c r="EJ2100" s="247" t="str">
        <f t="shared" si="120"/>
        <v/>
      </c>
      <c r="EK2100" t="str">
        <f t="shared" si="121"/>
        <v/>
      </c>
    </row>
    <row r="2101" spans="138:141" x14ac:dyDescent="0.25">
      <c r="EH2101" s="313">
        <v>2098</v>
      </c>
      <c r="EI2101" s="314"/>
      <c r="EJ2101" s="247" t="str">
        <f t="shared" si="120"/>
        <v/>
      </c>
      <c r="EK2101" t="str">
        <f t="shared" si="121"/>
        <v/>
      </c>
    </row>
    <row r="2102" spans="138:141" x14ac:dyDescent="0.25">
      <c r="EH2102" s="313">
        <v>2099</v>
      </c>
      <c r="EI2102" s="314"/>
      <c r="EJ2102" s="247" t="str">
        <f t="shared" si="120"/>
        <v/>
      </c>
      <c r="EK2102" t="str">
        <f t="shared" si="121"/>
        <v/>
      </c>
    </row>
    <row r="2103" spans="138:141" x14ac:dyDescent="0.25">
      <c r="EH2103" s="313">
        <v>2100</v>
      </c>
      <c r="EI2103" s="314">
        <v>24.811299999999999</v>
      </c>
      <c r="EJ2103" s="247">
        <f t="shared" si="120"/>
        <v>1</v>
      </c>
      <c r="EK2103">
        <f t="shared" si="121"/>
        <v>2.5317653061224488</v>
      </c>
    </row>
    <row r="2104" spans="138:141" x14ac:dyDescent="0.25">
      <c r="EH2104" s="313">
        <v>2101</v>
      </c>
      <c r="EI2104" s="314"/>
      <c r="EJ2104" s="247" t="str">
        <f t="shared" si="120"/>
        <v/>
      </c>
      <c r="EK2104" t="str">
        <f t="shared" si="121"/>
        <v/>
      </c>
    </row>
    <row r="2105" spans="138:141" x14ac:dyDescent="0.25">
      <c r="EH2105" s="313">
        <v>2102</v>
      </c>
      <c r="EI2105" s="314"/>
      <c r="EJ2105" s="247" t="str">
        <f t="shared" si="120"/>
        <v/>
      </c>
      <c r="EK2105" t="str">
        <f t="shared" si="121"/>
        <v/>
      </c>
    </row>
    <row r="2106" spans="138:141" x14ac:dyDescent="0.25">
      <c r="EH2106" s="313">
        <v>2103</v>
      </c>
      <c r="EI2106" s="314"/>
      <c r="EJ2106" s="247" t="str">
        <f t="shared" si="120"/>
        <v/>
      </c>
      <c r="EK2106" t="str">
        <f t="shared" si="121"/>
        <v/>
      </c>
    </row>
    <row r="2107" spans="138:141" x14ac:dyDescent="0.25">
      <c r="EH2107" s="313">
        <v>2104</v>
      </c>
      <c r="EI2107" s="314"/>
      <c r="EJ2107" s="247" t="str">
        <f t="shared" si="120"/>
        <v/>
      </c>
      <c r="EK2107" t="str">
        <f t="shared" si="121"/>
        <v/>
      </c>
    </row>
    <row r="2108" spans="138:141" x14ac:dyDescent="0.25">
      <c r="EH2108" s="313">
        <v>2105</v>
      </c>
      <c r="EI2108" s="314"/>
      <c r="EJ2108" s="247" t="str">
        <f t="shared" si="120"/>
        <v/>
      </c>
      <c r="EK2108" t="str">
        <f t="shared" si="121"/>
        <v/>
      </c>
    </row>
    <row r="2109" spans="138:141" x14ac:dyDescent="0.25">
      <c r="EH2109" s="313">
        <v>2106</v>
      </c>
      <c r="EI2109" s="314"/>
      <c r="EJ2109" s="247" t="str">
        <f t="shared" si="120"/>
        <v/>
      </c>
      <c r="EK2109" t="str">
        <f t="shared" si="121"/>
        <v/>
      </c>
    </row>
    <row r="2110" spans="138:141" x14ac:dyDescent="0.25">
      <c r="EH2110" s="313">
        <v>2107</v>
      </c>
      <c r="EI2110" s="314"/>
      <c r="EJ2110" s="247" t="str">
        <f t="shared" si="120"/>
        <v/>
      </c>
      <c r="EK2110" t="str">
        <f t="shared" si="121"/>
        <v/>
      </c>
    </row>
    <row r="2111" spans="138:141" x14ac:dyDescent="0.25">
      <c r="EH2111" s="313">
        <v>2108</v>
      </c>
      <c r="EI2111" s="314"/>
      <c r="EJ2111" s="247" t="str">
        <f t="shared" si="120"/>
        <v/>
      </c>
      <c r="EK2111" t="str">
        <f t="shared" si="121"/>
        <v/>
      </c>
    </row>
    <row r="2112" spans="138:141" x14ac:dyDescent="0.25">
      <c r="EH2112" s="313">
        <v>2109</v>
      </c>
      <c r="EI2112" s="314"/>
      <c r="EJ2112" s="247" t="str">
        <f t="shared" si="120"/>
        <v/>
      </c>
      <c r="EK2112" t="str">
        <f t="shared" si="121"/>
        <v/>
      </c>
    </row>
    <row r="2113" spans="138:141" x14ac:dyDescent="0.25">
      <c r="EH2113" s="313">
        <v>2110</v>
      </c>
      <c r="EI2113" s="314">
        <v>24.929200000000002</v>
      </c>
      <c r="EJ2113" s="247">
        <f t="shared" si="120"/>
        <v>1</v>
      </c>
      <c r="EK2113">
        <f t="shared" si="121"/>
        <v>2.5437959183673469</v>
      </c>
    </row>
    <row r="2114" spans="138:141" x14ac:dyDescent="0.25">
      <c r="EH2114" s="313">
        <v>2111</v>
      </c>
      <c r="EI2114" s="314"/>
      <c r="EJ2114" s="247" t="str">
        <f t="shared" si="120"/>
        <v/>
      </c>
      <c r="EK2114" t="str">
        <f t="shared" si="121"/>
        <v/>
      </c>
    </row>
    <row r="2115" spans="138:141" x14ac:dyDescent="0.25">
      <c r="EH2115" s="313">
        <v>2112</v>
      </c>
      <c r="EI2115" s="314"/>
      <c r="EJ2115" s="247" t="str">
        <f t="shared" si="120"/>
        <v/>
      </c>
      <c r="EK2115" t="str">
        <f t="shared" si="121"/>
        <v/>
      </c>
    </row>
    <row r="2116" spans="138:141" x14ac:dyDescent="0.25">
      <c r="EH2116" s="313">
        <v>2113</v>
      </c>
      <c r="EI2116" s="314"/>
      <c r="EJ2116" s="247" t="str">
        <f t="shared" si="120"/>
        <v/>
      </c>
      <c r="EK2116" t="str">
        <f t="shared" si="121"/>
        <v/>
      </c>
    </row>
    <row r="2117" spans="138:141" x14ac:dyDescent="0.25">
      <c r="EH2117" s="313">
        <v>2114</v>
      </c>
      <c r="EI2117" s="314"/>
      <c r="EJ2117" s="247" t="str">
        <f t="shared" ref="EJ2117:EJ2180" si="122">IF(EI2117="","",1)</f>
        <v/>
      </c>
      <c r="EK2117" t="str">
        <f t="shared" ref="EK2117:EK2180" si="123">IF(EI2117="","",EI2117/9.8)</f>
        <v/>
      </c>
    </row>
    <row r="2118" spans="138:141" x14ac:dyDescent="0.25">
      <c r="EH2118" s="313">
        <v>2115</v>
      </c>
      <c r="EI2118" s="314"/>
      <c r="EJ2118" s="247" t="str">
        <f t="shared" si="122"/>
        <v/>
      </c>
      <c r="EK2118" t="str">
        <f t="shared" si="123"/>
        <v/>
      </c>
    </row>
    <row r="2119" spans="138:141" x14ac:dyDescent="0.25">
      <c r="EH2119" s="313">
        <v>2116</v>
      </c>
      <c r="EI2119" s="314"/>
      <c r="EJ2119" s="247" t="str">
        <f t="shared" si="122"/>
        <v/>
      </c>
      <c r="EK2119" t="str">
        <f t="shared" si="123"/>
        <v/>
      </c>
    </row>
    <row r="2120" spans="138:141" x14ac:dyDescent="0.25">
      <c r="EH2120" s="313">
        <v>2117</v>
      </c>
      <c r="EI2120" s="314"/>
      <c r="EJ2120" s="247" t="str">
        <f t="shared" si="122"/>
        <v/>
      </c>
      <c r="EK2120" t="str">
        <f t="shared" si="123"/>
        <v/>
      </c>
    </row>
    <row r="2121" spans="138:141" x14ac:dyDescent="0.25">
      <c r="EH2121" s="313">
        <v>2118</v>
      </c>
      <c r="EI2121" s="314"/>
      <c r="EJ2121" s="247" t="str">
        <f t="shared" si="122"/>
        <v/>
      </c>
      <c r="EK2121" t="str">
        <f t="shared" si="123"/>
        <v/>
      </c>
    </row>
    <row r="2122" spans="138:141" x14ac:dyDescent="0.25">
      <c r="EH2122" s="313">
        <v>2119</v>
      </c>
      <c r="EI2122" s="314"/>
      <c r="EJ2122" s="247" t="str">
        <f t="shared" si="122"/>
        <v/>
      </c>
      <c r="EK2122" t="str">
        <f t="shared" si="123"/>
        <v/>
      </c>
    </row>
    <row r="2123" spans="138:141" x14ac:dyDescent="0.25">
      <c r="EH2123" s="313">
        <v>2120</v>
      </c>
      <c r="EI2123" s="314">
        <v>25.046900000000001</v>
      </c>
      <c r="EJ2123" s="247">
        <f t="shared" si="122"/>
        <v>1</v>
      </c>
      <c r="EK2123">
        <f t="shared" si="123"/>
        <v>2.5558061224489794</v>
      </c>
    </row>
    <row r="2124" spans="138:141" x14ac:dyDescent="0.25">
      <c r="EH2124" s="313">
        <v>2121</v>
      </c>
      <c r="EI2124" s="314"/>
      <c r="EJ2124" s="247" t="str">
        <f t="shared" si="122"/>
        <v/>
      </c>
      <c r="EK2124" t="str">
        <f t="shared" si="123"/>
        <v/>
      </c>
    </row>
    <row r="2125" spans="138:141" x14ac:dyDescent="0.25">
      <c r="EH2125" s="313">
        <v>2122</v>
      </c>
      <c r="EI2125" s="314"/>
      <c r="EJ2125" s="247" t="str">
        <f t="shared" si="122"/>
        <v/>
      </c>
      <c r="EK2125" t="str">
        <f t="shared" si="123"/>
        <v/>
      </c>
    </row>
    <row r="2126" spans="138:141" x14ac:dyDescent="0.25">
      <c r="EH2126" s="313">
        <v>2123</v>
      </c>
      <c r="EI2126" s="314"/>
      <c r="EJ2126" s="247" t="str">
        <f t="shared" si="122"/>
        <v/>
      </c>
      <c r="EK2126" t="str">
        <f t="shared" si="123"/>
        <v/>
      </c>
    </row>
    <row r="2127" spans="138:141" x14ac:dyDescent="0.25">
      <c r="EH2127" s="313">
        <v>2124</v>
      </c>
      <c r="EI2127" s="314"/>
      <c r="EJ2127" s="247" t="str">
        <f t="shared" si="122"/>
        <v/>
      </c>
      <c r="EK2127" t="str">
        <f t="shared" si="123"/>
        <v/>
      </c>
    </row>
    <row r="2128" spans="138:141" x14ac:dyDescent="0.25">
      <c r="EH2128" s="313">
        <v>2125</v>
      </c>
      <c r="EI2128" s="314"/>
      <c r="EJ2128" s="247" t="str">
        <f t="shared" si="122"/>
        <v/>
      </c>
      <c r="EK2128" t="str">
        <f t="shared" si="123"/>
        <v/>
      </c>
    </row>
    <row r="2129" spans="138:141" x14ac:dyDescent="0.25">
      <c r="EH2129" s="313">
        <v>2126</v>
      </c>
      <c r="EI2129" s="314"/>
      <c r="EJ2129" s="247" t="str">
        <f t="shared" si="122"/>
        <v/>
      </c>
      <c r="EK2129" t="str">
        <f t="shared" si="123"/>
        <v/>
      </c>
    </row>
    <row r="2130" spans="138:141" x14ac:dyDescent="0.25">
      <c r="EH2130" s="313">
        <v>2127</v>
      </c>
      <c r="EI2130" s="314"/>
      <c r="EJ2130" s="247" t="str">
        <f t="shared" si="122"/>
        <v/>
      </c>
      <c r="EK2130" t="str">
        <f t="shared" si="123"/>
        <v/>
      </c>
    </row>
    <row r="2131" spans="138:141" x14ac:dyDescent="0.25">
      <c r="EH2131" s="313">
        <v>2128</v>
      </c>
      <c r="EI2131" s="314"/>
      <c r="EJ2131" s="247" t="str">
        <f t="shared" si="122"/>
        <v/>
      </c>
      <c r="EK2131" t="str">
        <f t="shared" si="123"/>
        <v/>
      </c>
    </row>
    <row r="2132" spans="138:141" x14ac:dyDescent="0.25">
      <c r="EH2132" s="313">
        <v>2129</v>
      </c>
      <c r="EI2132" s="314"/>
      <c r="EJ2132" s="247" t="str">
        <f t="shared" si="122"/>
        <v/>
      </c>
      <c r="EK2132" t="str">
        <f t="shared" si="123"/>
        <v/>
      </c>
    </row>
    <row r="2133" spans="138:141" x14ac:dyDescent="0.25">
      <c r="EH2133" s="313">
        <v>2130</v>
      </c>
      <c r="EI2133" s="314">
        <v>25.164300000000001</v>
      </c>
      <c r="EJ2133" s="247">
        <f t="shared" si="122"/>
        <v>1</v>
      </c>
      <c r="EK2133">
        <f t="shared" si="123"/>
        <v>2.5677857142857143</v>
      </c>
    </row>
    <row r="2134" spans="138:141" x14ac:dyDescent="0.25">
      <c r="EH2134" s="313">
        <v>2131</v>
      </c>
      <c r="EI2134" s="314"/>
      <c r="EJ2134" s="247" t="str">
        <f t="shared" si="122"/>
        <v/>
      </c>
      <c r="EK2134" t="str">
        <f t="shared" si="123"/>
        <v/>
      </c>
    </row>
    <row r="2135" spans="138:141" x14ac:dyDescent="0.25">
      <c r="EH2135" s="313">
        <v>2132</v>
      </c>
      <c r="EI2135" s="314"/>
      <c r="EJ2135" s="247" t="str">
        <f t="shared" si="122"/>
        <v/>
      </c>
      <c r="EK2135" t="str">
        <f t="shared" si="123"/>
        <v/>
      </c>
    </row>
    <row r="2136" spans="138:141" x14ac:dyDescent="0.25">
      <c r="EH2136" s="313">
        <v>2133</v>
      </c>
      <c r="EI2136" s="314"/>
      <c r="EJ2136" s="247" t="str">
        <f t="shared" si="122"/>
        <v/>
      </c>
      <c r="EK2136" t="str">
        <f t="shared" si="123"/>
        <v/>
      </c>
    </row>
    <row r="2137" spans="138:141" x14ac:dyDescent="0.25">
      <c r="EH2137" s="313">
        <v>2134</v>
      </c>
      <c r="EI2137" s="314"/>
      <c r="EJ2137" s="247" t="str">
        <f t="shared" si="122"/>
        <v/>
      </c>
      <c r="EK2137" t="str">
        <f t="shared" si="123"/>
        <v/>
      </c>
    </row>
    <row r="2138" spans="138:141" x14ac:dyDescent="0.25">
      <c r="EH2138" s="313">
        <v>2135</v>
      </c>
      <c r="EI2138" s="314"/>
      <c r="EJ2138" s="247" t="str">
        <f t="shared" si="122"/>
        <v/>
      </c>
      <c r="EK2138" t="str">
        <f t="shared" si="123"/>
        <v/>
      </c>
    </row>
    <row r="2139" spans="138:141" x14ac:dyDescent="0.25">
      <c r="EH2139" s="313">
        <v>2136</v>
      </c>
      <c r="EI2139" s="314"/>
      <c r="EJ2139" s="247" t="str">
        <f t="shared" si="122"/>
        <v/>
      </c>
      <c r="EK2139" t="str">
        <f t="shared" si="123"/>
        <v/>
      </c>
    </row>
    <row r="2140" spans="138:141" x14ac:dyDescent="0.25">
      <c r="EH2140" s="313">
        <v>2137</v>
      </c>
      <c r="EI2140" s="314"/>
      <c r="EJ2140" s="247" t="str">
        <f t="shared" si="122"/>
        <v/>
      </c>
      <c r="EK2140" t="str">
        <f t="shared" si="123"/>
        <v/>
      </c>
    </row>
    <row r="2141" spans="138:141" x14ac:dyDescent="0.25">
      <c r="EH2141" s="313">
        <v>2138</v>
      </c>
      <c r="EI2141" s="314"/>
      <c r="EJ2141" s="247" t="str">
        <f t="shared" si="122"/>
        <v/>
      </c>
      <c r="EK2141" t="str">
        <f t="shared" si="123"/>
        <v/>
      </c>
    </row>
    <row r="2142" spans="138:141" x14ac:dyDescent="0.25">
      <c r="EH2142" s="313">
        <v>2139</v>
      </c>
      <c r="EI2142" s="314"/>
      <c r="EJ2142" s="247" t="str">
        <f t="shared" si="122"/>
        <v/>
      </c>
      <c r="EK2142" t="str">
        <f t="shared" si="123"/>
        <v/>
      </c>
    </row>
    <row r="2143" spans="138:141" x14ac:dyDescent="0.25">
      <c r="EH2143" s="313">
        <v>2140</v>
      </c>
      <c r="EI2143" s="314">
        <v>25.281600000000001</v>
      </c>
      <c r="EJ2143" s="247">
        <f t="shared" si="122"/>
        <v>1</v>
      </c>
      <c r="EK2143">
        <f t="shared" si="123"/>
        <v>2.5797551020408163</v>
      </c>
    </row>
    <row r="2144" spans="138:141" x14ac:dyDescent="0.25">
      <c r="EH2144" s="313">
        <v>2141</v>
      </c>
      <c r="EI2144" s="314"/>
      <c r="EJ2144" s="247" t="str">
        <f t="shared" si="122"/>
        <v/>
      </c>
      <c r="EK2144" t="str">
        <f t="shared" si="123"/>
        <v/>
      </c>
    </row>
    <row r="2145" spans="138:141" x14ac:dyDescent="0.25">
      <c r="EH2145" s="313">
        <v>2142</v>
      </c>
      <c r="EI2145" s="314"/>
      <c r="EJ2145" s="247" t="str">
        <f t="shared" si="122"/>
        <v/>
      </c>
      <c r="EK2145" t="str">
        <f t="shared" si="123"/>
        <v/>
      </c>
    </row>
    <row r="2146" spans="138:141" x14ac:dyDescent="0.25">
      <c r="EH2146" s="313">
        <v>2143</v>
      </c>
      <c r="EI2146" s="314"/>
      <c r="EJ2146" s="247" t="str">
        <f t="shared" si="122"/>
        <v/>
      </c>
      <c r="EK2146" t="str">
        <f t="shared" si="123"/>
        <v/>
      </c>
    </row>
    <row r="2147" spans="138:141" x14ac:dyDescent="0.25">
      <c r="EH2147" s="313">
        <v>2144</v>
      </c>
      <c r="EI2147" s="314"/>
      <c r="EJ2147" s="247" t="str">
        <f t="shared" si="122"/>
        <v/>
      </c>
      <c r="EK2147" t="str">
        <f t="shared" si="123"/>
        <v/>
      </c>
    </row>
    <row r="2148" spans="138:141" x14ac:dyDescent="0.25">
      <c r="EH2148" s="313">
        <v>2145</v>
      </c>
      <c r="EI2148" s="314"/>
      <c r="EJ2148" s="247" t="str">
        <f t="shared" si="122"/>
        <v/>
      </c>
      <c r="EK2148" t="str">
        <f t="shared" si="123"/>
        <v/>
      </c>
    </row>
    <row r="2149" spans="138:141" x14ac:dyDescent="0.25">
      <c r="EH2149" s="313">
        <v>2146</v>
      </c>
      <c r="EI2149" s="314"/>
      <c r="EJ2149" s="247" t="str">
        <f t="shared" si="122"/>
        <v/>
      </c>
      <c r="EK2149" t="str">
        <f t="shared" si="123"/>
        <v/>
      </c>
    </row>
    <row r="2150" spans="138:141" x14ac:dyDescent="0.25">
      <c r="EH2150" s="313">
        <v>2147</v>
      </c>
      <c r="EI2150" s="314"/>
      <c r="EJ2150" s="247" t="str">
        <f t="shared" si="122"/>
        <v/>
      </c>
      <c r="EK2150" t="str">
        <f t="shared" si="123"/>
        <v/>
      </c>
    </row>
    <row r="2151" spans="138:141" x14ac:dyDescent="0.25">
      <c r="EH2151" s="313">
        <v>2148</v>
      </c>
      <c r="EI2151" s="314"/>
      <c r="EJ2151" s="247" t="str">
        <f t="shared" si="122"/>
        <v/>
      </c>
      <c r="EK2151" t="str">
        <f t="shared" si="123"/>
        <v/>
      </c>
    </row>
    <row r="2152" spans="138:141" x14ac:dyDescent="0.25">
      <c r="EH2152" s="313">
        <v>2149</v>
      </c>
      <c r="EI2152" s="314"/>
      <c r="EJ2152" s="247" t="str">
        <f t="shared" si="122"/>
        <v/>
      </c>
      <c r="EK2152" t="str">
        <f t="shared" si="123"/>
        <v/>
      </c>
    </row>
    <row r="2153" spans="138:141" x14ac:dyDescent="0.25">
      <c r="EH2153" s="313">
        <v>2150</v>
      </c>
      <c r="EI2153" s="314">
        <v>25.399000000000001</v>
      </c>
      <c r="EJ2153" s="247">
        <f t="shared" si="122"/>
        <v>1</v>
      </c>
      <c r="EK2153">
        <f t="shared" si="123"/>
        <v>2.5917346938775507</v>
      </c>
    </row>
    <row r="2154" spans="138:141" x14ac:dyDescent="0.25">
      <c r="EH2154" s="313">
        <v>2151</v>
      </c>
      <c r="EI2154" s="314"/>
      <c r="EJ2154" s="247" t="str">
        <f t="shared" si="122"/>
        <v/>
      </c>
      <c r="EK2154" t="str">
        <f t="shared" si="123"/>
        <v/>
      </c>
    </row>
    <row r="2155" spans="138:141" x14ac:dyDescent="0.25">
      <c r="EH2155" s="313">
        <v>2152</v>
      </c>
      <c r="EI2155" s="314"/>
      <c r="EJ2155" s="247" t="str">
        <f t="shared" si="122"/>
        <v/>
      </c>
      <c r="EK2155" t="str">
        <f t="shared" si="123"/>
        <v/>
      </c>
    </row>
    <row r="2156" spans="138:141" x14ac:dyDescent="0.25">
      <c r="EH2156" s="313">
        <v>2153</v>
      </c>
      <c r="EI2156" s="314"/>
      <c r="EJ2156" s="247" t="str">
        <f t="shared" si="122"/>
        <v/>
      </c>
      <c r="EK2156" t="str">
        <f t="shared" si="123"/>
        <v/>
      </c>
    </row>
    <row r="2157" spans="138:141" x14ac:dyDescent="0.25">
      <c r="EH2157" s="313">
        <v>2154</v>
      </c>
      <c r="EI2157" s="314"/>
      <c r="EJ2157" s="247" t="str">
        <f t="shared" si="122"/>
        <v/>
      </c>
      <c r="EK2157" t="str">
        <f t="shared" si="123"/>
        <v/>
      </c>
    </row>
    <row r="2158" spans="138:141" x14ac:dyDescent="0.25">
      <c r="EH2158" s="313">
        <v>2155</v>
      </c>
      <c r="EI2158" s="314"/>
      <c r="EJ2158" s="247" t="str">
        <f t="shared" si="122"/>
        <v/>
      </c>
      <c r="EK2158" t="str">
        <f t="shared" si="123"/>
        <v/>
      </c>
    </row>
    <row r="2159" spans="138:141" x14ac:dyDescent="0.25">
      <c r="EH2159" s="313">
        <v>2156</v>
      </c>
      <c r="EI2159" s="314"/>
      <c r="EJ2159" s="247" t="str">
        <f t="shared" si="122"/>
        <v/>
      </c>
      <c r="EK2159" t="str">
        <f t="shared" si="123"/>
        <v/>
      </c>
    </row>
    <row r="2160" spans="138:141" x14ac:dyDescent="0.25">
      <c r="EH2160" s="313">
        <v>2157</v>
      </c>
      <c r="EI2160" s="314"/>
      <c r="EJ2160" s="247" t="str">
        <f t="shared" si="122"/>
        <v/>
      </c>
      <c r="EK2160" t="str">
        <f t="shared" si="123"/>
        <v/>
      </c>
    </row>
    <row r="2161" spans="138:141" x14ac:dyDescent="0.25">
      <c r="EH2161" s="313">
        <v>2158</v>
      </c>
      <c r="EI2161" s="314"/>
      <c r="EJ2161" s="247" t="str">
        <f t="shared" si="122"/>
        <v/>
      </c>
      <c r="EK2161" t="str">
        <f t="shared" si="123"/>
        <v/>
      </c>
    </row>
    <row r="2162" spans="138:141" x14ac:dyDescent="0.25">
      <c r="EH2162" s="313">
        <v>2159</v>
      </c>
      <c r="EI2162" s="314"/>
      <c r="EJ2162" s="247" t="str">
        <f t="shared" si="122"/>
        <v/>
      </c>
      <c r="EK2162" t="str">
        <f t="shared" si="123"/>
        <v/>
      </c>
    </row>
    <row r="2163" spans="138:141" x14ac:dyDescent="0.25">
      <c r="EH2163" s="313">
        <v>2160</v>
      </c>
      <c r="EI2163" s="314">
        <v>25.516400000000001</v>
      </c>
      <c r="EJ2163" s="247">
        <f t="shared" si="122"/>
        <v>1</v>
      </c>
      <c r="EK2163">
        <f t="shared" si="123"/>
        <v>2.6037142857142856</v>
      </c>
    </row>
    <row r="2164" spans="138:141" x14ac:dyDescent="0.25">
      <c r="EH2164" s="313">
        <v>2161</v>
      </c>
      <c r="EI2164" s="314"/>
      <c r="EJ2164" s="247" t="str">
        <f t="shared" si="122"/>
        <v/>
      </c>
      <c r="EK2164" t="str">
        <f t="shared" si="123"/>
        <v/>
      </c>
    </row>
    <row r="2165" spans="138:141" x14ac:dyDescent="0.25">
      <c r="EH2165" s="313">
        <v>2162</v>
      </c>
      <c r="EI2165" s="314"/>
      <c r="EJ2165" s="247" t="str">
        <f t="shared" si="122"/>
        <v/>
      </c>
      <c r="EK2165" t="str">
        <f t="shared" si="123"/>
        <v/>
      </c>
    </row>
    <row r="2166" spans="138:141" x14ac:dyDescent="0.25">
      <c r="EH2166" s="313">
        <v>2163</v>
      </c>
      <c r="EI2166" s="314"/>
      <c r="EJ2166" s="247" t="str">
        <f t="shared" si="122"/>
        <v/>
      </c>
      <c r="EK2166" t="str">
        <f t="shared" si="123"/>
        <v/>
      </c>
    </row>
    <row r="2167" spans="138:141" x14ac:dyDescent="0.25">
      <c r="EH2167" s="313">
        <v>2164</v>
      </c>
      <c r="EI2167" s="314"/>
      <c r="EJ2167" s="247" t="str">
        <f t="shared" si="122"/>
        <v/>
      </c>
      <c r="EK2167" t="str">
        <f t="shared" si="123"/>
        <v/>
      </c>
    </row>
    <row r="2168" spans="138:141" x14ac:dyDescent="0.25">
      <c r="EH2168" s="313">
        <v>2165</v>
      </c>
      <c r="EI2168" s="314"/>
      <c r="EJ2168" s="247" t="str">
        <f t="shared" si="122"/>
        <v/>
      </c>
      <c r="EK2168" t="str">
        <f t="shared" si="123"/>
        <v/>
      </c>
    </row>
    <row r="2169" spans="138:141" x14ac:dyDescent="0.25">
      <c r="EH2169" s="313">
        <v>2166</v>
      </c>
      <c r="EI2169" s="314"/>
      <c r="EJ2169" s="247" t="str">
        <f t="shared" si="122"/>
        <v/>
      </c>
      <c r="EK2169" t="str">
        <f t="shared" si="123"/>
        <v/>
      </c>
    </row>
    <row r="2170" spans="138:141" x14ac:dyDescent="0.25">
      <c r="EH2170" s="313">
        <v>2167</v>
      </c>
      <c r="EI2170" s="314"/>
      <c r="EJ2170" s="247" t="str">
        <f t="shared" si="122"/>
        <v/>
      </c>
      <c r="EK2170" t="str">
        <f t="shared" si="123"/>
        <v/>
      </c>
    </row>
    <row r="2171" spans="138:141" x14ac:dyDescent="0.25">
      <c r="EH2171" s="313">
        <v>2168</v>
      </c>
      <c r="EI2171" s="314"/>
      <c r="EJ2171" s="247" t="str">
        <f t="shared" si="122"/>
        <v/>
      </c>
      <c r="EK2171" t="str">
        <f t="shared" si="123"/>
        <v/>
      </c>
    </row>
    <row r="2172" spans="138:141" x14ac:dyDescent="0.25">
      <c r="EH2172" s="313">
        <v>2169</v>
      </c>
      <c r="EI2172" s="314"/>
      <c r="EJ2172" s="247" t="str">
        <f t="shared" si="122"/>
        <v/>
      </c>
      <c r="EK2172" t="str">
        <f t="shared" si="123"/>
        <v/>
      </c>
    </row>
    <row r="2173" spans="138:141" x14ac:dyDescent="0.25">
      <c r="EH2173" s="313">
        <v>2170</v>
      </c>
      <c r="EI2173" s="314">
        <v>25.633800000000001</v>
      </c>
      <c r="EJ2173" s="247">
        <f t="shared" si="122"/>
        <v>1</v>
      </c>
      <c r="EK2173">
        <f t="shared" si="123"/>
        <v>2.6156938775510201</v>
      </c>
    </row>
    <row r="2174" spans="138:141" x14ac:dyDescent="0.25">
      <c r="EH2174" s="313">
        <v>2171</v>
      </c>
      <c r="EI2174" s="314"/>
      <c r="EJ2174" s="247" t="str">
        <f t="shared" si="122"/>
        <v/>
      </c>
      <c r="EK2174" t="str">
        <f t="shared" si="123"/>
        <v/>
      </c>
    </row>
    <row r="2175" spans="138:141" x14ac:dyDescent="0.25">
      <c r="EH2175" s="313">
        <v>2172</v>
      </c>
      <c r="EI2175" s="314"/>
      <c r="EJ2175" s="247" t="str">
        <f t="shared" si="122"/>
        <v/>
      </c>
      <c r="EK2175" t="str">
        <f t="shared" si="123"/>
        <v/>
      </c>
    </row>
    <row r="2176" spans="138:141" x14ac:dyDescent="0.25">
      <c r="EH2176" s="313">
        <v>2173</v>
      </c>
      <c r="EI2176" s="314"/>
      <c r="EJ2176" s="247" t="str">
        <f t="shared" si="122"/>
        <v/>
      </c>
      <c r="EK2176" t="str">
        <f t="shared" si="123"/>
        <v/>
      </c>
    </row>
    <row r="2177" spans="138:141" x14ac:dyDescent="0.25">
      <c r="EH2177" s="313">
        <v>2174</v>
      </c>
      <c r="EI2177" s="314"/>
      <c r="EJ2177" s="247" t="str">
        <f t="shared" si="122"/>
        <v/>
      </c>
      <c r="EK2177" t="str">
        <f t="shared" si="123"/>
        <v/>
      </c>
    </row>
    <row r="2178" spans="138:141" x14ac:dyDescent="0.25">
      <c r="EH2178" s="313">
        <v>2175</v>
      </c>
      <c r="EI2178" s="314"/>
      <c r="EJ2178" s="247" t="str">
        <f t="shared" si="122"/>
        <v/>
      </c>
      <c r="EK2178" t="str">
        <f t="shared" si="123"/>
        <v/>
      </c>
    </row>
    <row r="2179" spans="138:141" x14ac:dyDescent="0.25">
      <c r="EH2179" s="313">
        <v>2176</v>
      </c>
      <c r="EI2179" s="314"/>
      <c r="EJ2179" s="247" t="str">
        <f t="shared" si="122"/>
        <v/>
      </c>
      <c r="EK2179" t="str">
        <f t="shared" si="123"/>
        <v/>
      </c>
    </row>
    <row r="2180" spans="138:141" x14ac:dyDescent="0.25">
      <c r="EH2180" s="313">
        <v>2177</v>
      </c>
      <c r="EI2180" s="314"/>
      <c r="EJ2180" s="247" t="str">
        <f t="shared" si="122"/>
        <v/>
      </c>
      <c r="EK2180" t="str">
        <f t="shared" si="123"/>
        <v/>
      </c>
    </row>
    <row r="2181" spans="138:141" x14ac:dyDescent="0.25">
      <c r="EH2181" s="313">
        <v>2178</v>
      </c>
      <c r="EI2181" s="314"/>
      <c r="EJ2181" s="247" t="str">
        <f t="shared" ref="EJ2181:EJ2244" si="124">IF(EI2181="","",1)</f>
        <v/>
      </c>
      <c r="EK2181" t="str">
        <f t="shared" ref="EK2181:EK2244" si="125">IF(EI2181="","",EI2181/9.8)</f>
        <v/>
      </c>
    </row>
    <row r="2182" spans="138:141" x14ac:dyDescent="0.25">
      <c r="EH2182" s="313">
        <v>2179</v>
      </c>
      <c r="EI2182" s="314"/>
      <c r="EJ2182" s="247" t="str">
        <f t="shared" si="124"/>
        <v/>
      </c>
      <c r="EK2182" t="str">
        <f t="shared" si="125"/>
        <v/>
      </c>
    </row>
    <row r="2183" spans="138:141" x14ac:dyDescent="0.25">
      <c r="EH2183" s="313">
        <v>2180</v>
      </c>
      <c r="EI2183" s="314">
        <v>25.751100000000001</v>
      </c>
      <c r="EJ2183" s="247">
        <f t="shared" si="124"/>
        <v>1</v>
      </c>
      <c r="EK2183">
        <f t="shared" si="125"/>
        <v>2.6276632653061225</v>
      </c>
    </row>
    <row r="2184" spans="138:141" x14ac:dyDescent="0.25">
      <c r="EH2184" s="313">
        <v>2181</v>
      </c>
      <c r="EI2184" s="314"/>
      <c r="EJ2184" s="247" t="str">
        <f t="shared" si="124"/>
        <v/>
      </c>
      <c r="EK2184" t="str">
        <f t="shared" si="125"/>
        <v/>
      </c>
    </row>
    <row r="2185" spans="138:141" x14ac:dyDescent="0.25">
      <c r="EH2185" s="313">
        <v>2182</v>
      </c>
      <c r="EI2185" s="314"/>
      <c r="EJ2185" s="247" t="str">
        <f t="shared" si="124"/>
        <v/>
      </c>
      <c r="EK2185" t="str">
        <f t="shared" si="125"/>
        <v/>
      </c>
    </row>
    <row r="2186" spans="138:141" x14ac:dyDescent="0.25">
      <c r="EH2186" s="313">
        <v>2183</v>
      </c>
      <c r="EI2186" s="314"/>
      <c r="EJ2186" s="247" t="str">
        <f t="shared" si="124"/>
        <v/>
      </c>
      <c r="EK2186" t="str">
        <f t="shared" si="125"/>
        <v/>
      </c>
    </row>
    <row r="2187" spans="138:141" x14ac:dyDescent="0.25">
      <c r="EH2187" s="313">
        <v>2184</v>
      </c>
      <c r="EI2187" s="314"/>
      <c r="EJ2187" s="247" t="str">
        <f t="shared" si="124"/>
        <v/>
      </c>
      <c r="EK2187" t="str">
        <f t="shared" si="125"/>
        <v/>
      </c>
    </row>
    <row r="2188" spans="138:141" x14ac:dyDescent="0.25">
      <c r="EH2188" s="313">
        <v>2185</v>
      </c>
      <c r="EI2188" s="314"/>
      <c r="EJ2188" s="247" t="str">
        <f t="shared" si="124"/>
        <v/>
      </c>
      <c r="EK2188" t="str">
        <f t="shared" si="125"/>
        <v/>
      </c>
    </row>
    <row r="2189" spans="138:141" x14ac:dyDescent="0.25">
      <c r="EH2189" s="313">
        <v>2186</v>
      </c>
      <c r="EI2189" s="314"/>
      <c r="EJ2189" s="247" t="str">
        <f t="shared" si="124"/>
        <v/>
      </c>
      <c r="EK2189" t="str">
        <f t="shared" si="125"/>
        <v/>
      </c>
    </row>
    <row r="2190" spans="138:141" x14ac:dyDescent="0.25">
      <c r="EH2190" s="313">
        <v>2187</v>
      </c>
      <c r="EI2190" s="314"/>
      <c r="EJ2190" s="247" t="str">
        <f t="shared" si="124"/>
        <v/>
      </c>
      <c r="EK2190" t="str">
        <f t="shared" si="125"/>
        <v/>
      </c>
    </row>
    <row r="2191" spans="138:141" x14ac:dyDescent="0.25">
      <c r="EH2191" s="313">
        <v>2188</v>
      </c>
      <c r="EI2191" s="314"/>
      <c r="EJ2191" s="247" t="str">
        <f t="shared" si="124"/>
        <v/>
      </c>
      <c r="EK2191" t="str">
        <f t="shared" si="125"/>
        <v/>
      </c>
    </row>
    <row r="2192" spans="138:141" x14ac:dyDescent="0.25">
      <c r="EH2192" s="313">
        <v>2189</v>
      </c>
      <c r="EI2192" s="314"/>
      <c r="EJ2192" s="247" t="str">
        <f t="shared" si="124"/>
        <v/>
      </c>
      <c r="EK2192" t="str">
        <f t="shared" si="125"/>
        <v/>
      </c>
    </row>
    <row r="2193" spans="138:141" x14ac:dyDescent="0.25">
      <c r="EH2193" s="313">
        <v>2190</v>
      </c>
      <c r="EI2193" s="314">
        <v>25.868500000000001</v>
      </c>
      <c r="EJ2193" s="247">
        <f t="shared" si="124"/>
        <v>1</v>
      </c>
      <c r="EK2193">
        <f t="shared" si="125"/>
        <v>2.639642857142857</v>
      </c>
    </row>
    <row r="2194" spans="138:141" x14ac:dyDescent="0.25">
      <c r="EH2194" s="313">
        <v>2191</v>
      </c>
      <c r="EI2194" s="314"/>
      <c r="EJ2194" s="247" t="str">
        <f t="shared" si="124"/>
        <v/>
      </c>
      <c r="EK2194" t="str">
        <f t="shared" si="125"/>
        <v/>
      </c>
    </row>
    <row r="2195" spans="138:141" x14ac:dyDescent="0.25">
      <c r="EH2195" s="313">
        <v>2192</v>
      </c>
      <c r="EI2195" s="314"/>
      <c r="EJ2195" s="247" t="str">
        <f t="shared" si="124"/>
        <v/>
      </c>
      <c r="EK2195" t="str">
        <f t="shared" si="125"/>
        <v/>
      </c>
    </row>
    <row r="2196" spans="138:141" x14ac:dyDescent="0.25">
      <c r="EH2196" s="313">
        <v>2193</v>
      </c>
      <c r="EI2196" s="314"/>
      <c r="EJ2196" s="247" t="str">
        <f t="shared" si="124"/>
        <v/>
      </c>
      <c r="EK2196" t="str">
        <f t="shared" si="125"/>
        <v/>
      </c>
    </row>
    <row r="2197" spans="138:141" x14ac:dyDescent="0.25">
      <c r="EH2197" s="313">
        <v>2194</v>
      </c>
      <c r="EI2197" s="314"/>
      <c r="EJ2197" s="247" t="str">
        <f t="shared" si="124"/>
        <v/>
      </c>
      <c r="EK2197" t="str">
        <f t="shared" si="125"/>
        <v/>
      </c>
    </row>
    <row r="2198" spans="138:141" x14ac:dyDescent="0.25">
      <c r="EH2198" s="313">
        <v>2195</v>
      </c>
      <c r="EI2198" s="314"/>
      <c r="EJ2198" s="247" t="str">
        <f t="shared" si="124"/>
        <v/>
      </c>
      <c r="EK2198" t="str">
        <f t="shared" si="125"/>
        <v/>
      </c>
    </row>
    <row r="2199" spans="138:141" x14ac:dyDescent="0.25">
      <c r="EH2199" s="313">
        <v>2196</v>
      </c>
      <c r="EI2199" s="314"/>
      <c r="EJ2199" s="247" t="str">
        <f t="shared" si="124"/>
        <v/>
      </c>
      <c r="EK2199" t="str">
        <f t="shared" si="125"/>
        <v/>
      </c>
    </row>
    <row r="2200" spans="138:141" x14ac:dyDescent="0.25">
      <c r="EH2200" s="313">
        <v>2197</v>
      </c>
      <c r="EI2200" s="314"/>
      <c r="EJ2200" s="247" t="str">
        <f t="shared" si="124"/>
        <v/>
      </c>
      <c r="EK2200" t="str">
        <f t="shared" si="125"/>
        <v/>
      </c>
    </row>
    <row r="2201" spans="138:141" x14ac:dyDescent="0.25">
      <c r="EH2201" s="313">
        <v>2198</v>
      </c>
      <c r="EI2201" s="314"/>
      <c r="EJ2201" s="247" t="str">
        <f t="shared" si="124"/>
        <v/>
      </c>
      <c r="EK2201" t="str">
        <f t="shared" si="125"/>
        <v/>
      </c>
    </row>
    <row r="2202" spans="138:141" x14ac:dyDescent="0.25">
      <c r="EH2202" s="313">
        <v>2199</v>
      </c>
      <c r="EI2202" s="314"/>
      <c r="EJ2202" s="247" t="str">
        <f t="shared" si="124"/>
        <v/>
      </c>
      <c r="EK2202" t="str">
        <f t="shared" si="125"/>
        <v/>
      </c>
    </row>
    <row r="2203" spans="138:141" x14ac:dyDescent="0.25">
      <c r="EH2203" s="313">
        <v>2200</v>
      </c>
      <c r="EI2203" s="314">
        <v>25.985900000000001</v>
      </c>
      <c r="EJ2203" s="247">
        <f t="shared" si="124"/>
        <v>1</v>
      </c>
      <c r="EK2203">
        <f t="shared" si="125"/>
        <v>2.6516224489795919</v>
      </c>
    </row>
    <row r="2204" spans="138:141" x14ac:dyDescent="0.25">
      <c r="EH2204" s="313">
        <v>2201</v>
      </c>
      <c r="EI2204" s="314"/>
      <c r="EJ2204" s="247" t="str">
        <f t="shared" si="124"/>
        <v/>
      </c>
      <c r="EK2204" t="str">
        <f t="shared" si="125"/>
        <v/>
      </c>
    </row>
    <row r="2205" spans="138:141" x14ac:dyDescent="0.25">
      <c r="EH2205" s="313">
        <v>2202</v>
      </c>
      <c r="EI2205" s="314"/>
      <c r="EJ2205" s="247" t="str">
        <f t="shared" si="124"/>
        <v/>
      </c>
      <c r="EK2205" t="str">
        <f t="shared" si="125"/>
        <v/>
      </c>
    </row>
    <row r="2206" spans="138:141" x14ac:dyDescent="0.25">
      <c r="EH2206" s="313">
        <v>2203</v>
      </c>
      <c r="EI2206" s="314"/>
      <c r="EJ2206" s="247" t="str">
        <f t="shared" si="124"/>
        <v/>
      </c>
      <c r="EK2206" t="str">
        <f t="shared" si="125"/>
        <v/>
      </c>
    </row>
    <row r="2207" spans="138:141" x14ac:dyDescent="0.25">
      <c r="EH2207" s="313">
        <v>2204</v>
      </c>
      <c r="EI2207" s="314"/>
      <c r="EJ2207" s="247" t="str">
        <f t="shared" si="124"/>
        <v/>
      </c>
      <c r="EK2207" t="str">
        <f t="shared" si="125"/>
        <v/>
      </c>
    </row>
    <row r="2208" spans="138:141" x14ac:dyDescent="0.25">
      <c r="EH2208" s="313">
        <v>2205</v>
      </c>
      <c r="EI2208" s="314"/>
      <c r="EJ2208" s="247" t="str">
        <f t="shared" si="124"/>
        <v/>
      </c>
      <c r="EK2208" t="str">
        <f t="shared" si="125"/>
        <v/>
      </c>
    </row>
    <row r="2209" spans="138:141" x14ac:dyDescent="0.25">
      <c r="EH2209" s="313">
        <v>2206</v>
      </c>
      <c r="EI2209" s="314"/>
      <c r="EJ2209" s="247" t="str">
        <f t="shared" si="124"/>
        <v/>
      </c>
      <c r="EK2209" t="str">
        <f t="shared" si="125"/>
        <v/>
      </c>
    </row>
    <row r="2210" spans="138:141" x14ac:dyDescent="0.25">
      <c r="EH2210" s="313">
        <v>2207</v>
      </c>
      <c r="EI2210" s="314"/>
      <c r="EJ2210" s="247" t="str">
        <f t="shared" si="124"/>
        <v/>
      </c>
      <c r="EK2210" t="str">
        <f t="shared" si="125"/>
        <v/>
      </c>
    </row>
    <row r="2211" spans="138:141" x14ac:dyDescent="0.25">
      <c r="EH2211" s="313">
        <v>2208</v>
      </c>
      <c r="EI2211" s="314"/>
      <c r="EJ2211" s="247" t="str">
        <f t="shared" si="124"/>
        <v/>
      </c>
      <c r="EK2211" t="str">
        <f t="shared" si="125"/>
        <v/>
      </c>
    </row>
    <row r="2212" spans="138:141" x14ac:dyDescent="0.25">
      <c r="EH2212" s="313">
        <v>2209</v>
      </c>
      <c r="EI2212" s="314"/>
      <c r="EJ2212" s="247" t="str">
        <f t="shared" si="124"/>
        <v/>
      </c>
      <c r="EK2212" t="str">
        <f t="shared" si="125"/>
        <v/>
      </c>
    </row>
    <row r="2213" spans="138:141" x14ac:dyDescent="0.25">
      <c r="EH2213" s="313">
        <v>2210</v>
      </c>
      <c r="EI2213" s="314">
        <v>26.103200000000001</v>
      </c>
      <c r="EJ2213" s="247">
        <f t="shared" si="124"/>
        <v>1</v>
      </c>
      <c r="EK2213">
        <f t="shared" si="125"/>
        <v>2.6635918367346938</v>
      </c>
    </row>
    <row r="2214" spans="138:141" x14ac:dyDescent="0.25">
      <c r="EH2214" s="313">
        <v>2211</v>
      </c>
      <c r="EI2214" s="314"/>
      <c r="EJ2214" s="247" t="str">
        <f t="shared" si="124"/>
        <v/>
      </c>
      <c r="EK2214" t="str">
        <f t="shared" si="125"/>
        <v/>
      </c>
    </row>
    <row r="2215" spans="138:141" x14ac:dyDescent="0.25">
      <c r="EH2215" s="313">
        <v>2212</v>
      </c>
      <c r="EI2215" s="314"/>
      <c r="EJ2215" s="247" t="str">
        <f t="shared" si="124"/>
        <v/>
      </c>
      <c r="EK2215" t="str">
        <f t="shared" si="125"/>
        <v/>
      </c>
    </row>
    <row r="2216" spans="138:141" x14ac:dyDescent="0.25">
      <c r="EH2216" s="313">
        <v>2213</v>
      </c>
      <c r="EI2216" s="314"/>
      <c r="EJ2216" s="247" t="str">
        <f t="shared" si="124"/>
        <v/>
      </c>
      <c r="EK2216" t="str">
        <f t="shared" si="125"/>
        <v/>
      </c>
    </row>
    <row r="2217" spans="138:141" x14ac:dyDescent="0.25">
      <c r="EH2217" s="313">
        <v>2214</v>
      </c>
      <c r="EI2217" s="314"/>
      <c r="EJ2217" s="247" t="str">
        <f t="shared" si="124"/>
        <v/>
      </c>
      <c r="EK2217" t="str">
        <f t="shared" si="125"/>
        <v/>
      </c>
    </row>
    <row r="2218" spans="138:141" x14ac:dyDescent="0.25">
      <c r="EH2218" s="313">
        <v>2215</v>
      </c>
      <c r="EI2218" s="314"/>
      <c r="EJ2218" s="247" t="str">
        <f t="shared" si="124"/>
        <v/>
      </c>
      <c r="EK2218" t="str">
        <f t="shared" si="125"/>
        <v/>
      </c>
    </row>
    <row r="2219" spans="138:141" x14ac:dyDescent="0.25">
      <c r="EH2219" s="313">
        <v>2216</v>
      </c>
      <c r="EI2219" s="314"/>
      <c r="EJ2219" s="247" t="str">
        <f t="shared" si="124"/>
        <v/>
      </c>
      <c r="EK2219" t="str">
        <f t="shared" si="125"/>
        <v/>
      </c>
    </row>
    <row r="2220" spans="138:141" x14ac:dyDescent="0.25">
      <c r="EH2220" s="313">
        <v>2217</v>
      </c>
      <c r="EI2220" s="314"/>
      <c r="EJ2220" s="247" t="str">
        <f t="shared" si="124"/>
        <v/>
      </c>
      <c r="EK2220" t="str">
        <f t="shared" si="125"/>
        <v/>
      </c>
    </row>
    <row r="2221" spans="138:141" x14ac:dyDescent="0.25">
      <c r="EH2221" s="313">
        <v>2218</v>
      </c>
      <c r="EI2221" s="314"/>
      <c r="EJ2221" s="247" t="str">
        <f t="shared" si="124"/>
        <v/>
      </c>
      <c r="EK2221" t="str">
        <f t="shared" si="125"/>
        <v/>
      </c>
    </row>
    <row r="2222" spans="138:141" x14ac:dyDescent="0.25">
      <c r="EH2222" s="313">
        <v>2219</v>
      </c>
      <c r="EI2222" s="314"/>
      <c r="EJ2222" s="247" t="str">
        <f t="shared" si="124"/>
        <v/>
      </c>
      <c r="EK2222" t="str">
        <f t="shared" si="125"/>
        <v/>
      </c>
    </row>
    <row r="2223" spans="138:141" x14ac:dyDescent="0.25">
      <c r="EH2223" s="313">
        <v>2220</v>
      </c>
      <c r="EI2223" s="314">
        <v>26.220600000000001</v>
      </c>
      <c r="EJ2223" s="247">
        <f t="shared" si="124"/>
        <v>1</v>
      </c>
      <c r="EK2223">
        <f t="shared" si="125"/>
        <v>2.6755714285714283</v>
      </c>
    </row>
    <row r="2224" spans="138:141" x14ac:dyDescent="0.25">
      <c r="EH2224" s="313">
        <v>2221</v>
      </c>
      <c r="EI2224" s="314"/>
      <c r="EJ2224" s="247" t="str">
        <f t="shared" si="124"/>
        <v/>
      </c>
      <c r="EK2224" t="str">
        <f t="shared" si="125"/>
        <v/>
      </c>
    </row>
    <row r="2225" spans="138:141" x14ac:dyDescent="0.25">
      <c r="EH2225" s="313">
        <v>2222</v>
      </c>
      <c r="EI2225" s="314"/>
      <c r="EJ2225" s="247" t="str">
        <f t="shared" si="124"/>
        <v/>
      </c>
      <c r="EK2225" t="str">
        <f t="shared" si="125"/>
        <v/>
      </c>
    </row>
    <row r="2226" spans="138:141" x14ac:dyDescent="0.25">
      <c r="EH2226" s="313">
        <v>2223</v>
      </c>
      <c r="EI2226" s="314"/>
      <c r="EJ2226" s="247" t="str">
        <f t="shared" si="124"/>
        <v/>
      </c>
      <c r="EK2226" t="str">
        <f t="shared" si="125"/>
        <v/>
      </c>
    </row>
    <row r="2227" spans="138:141" x14ac:dyDescent="0.25">
      <c r="EH2227" s="313">
        <v>2224</v>
      </c>
      <c r="EI2227" s="314"/>
      <c r="EJ2227" s="247" t="str">
        <f t="shared" si="124"/>
        <v/>
      </c>
      <c r="EK2227" t="str">
        <f t="shared" si="125"/>
        <v/>
      </c>
    </row>
    <row r="2228" spans="138:141" x14ac:dyDescent="0.25">
      <c r="EH2228" s="313">
        <v>2225</v>
      </c>
      <c r="EI2228" s="314"/>
      <c r="EJ2228" s="247" t="str">
        <f t="shared" si="124"/>
        <v/>
      </c>
      <c r="EK2228" t="str">
        <f t="shared" si="125"/>
        <v/>
      </c>
    </row>
    <row r="2229" spans="138:141" x14ac:dyDescent="0.25">
      <c r="EH2229" s="313">
        <v>2226</v>
      </c>
      <c r="EI2229" s="314"/>
      <c r="EJ2229" s="247" t="str">
        <f t="shared" si="124"/>
        <v/>
      </c>
      <c r="EK2229" t="str">
        <f t="shared" si="125"/>
        <v/>
      </c>
    </row>
    <row r="2230" spans="138:141" x14ac:dyDescent="0.25">
      <c r="EH2230" s="313">
        <v>2227</v>
      </c>
      <c r="EI2230" s="314"/>
      <c r="EJ2230" s="247" t="str">
        <f t="shared" si="124"/>
        <v/>
      </c>
      <c r="EK2230" t="str">
        <f t="shared" si="125"/>
        <v/>
      </c>
    </row>
    <row r="2231" spans="138:141" x14ac:dyDescent="0.25">
      <c r="EH2231" s="313">
        <v>2228</v>
      </c>
      <c r="EI2231" s="314"/>
      <c r="EJ2231" s="247" t="str">
        <f t="shared" si="124"/>
        <v/>
      </c>
      <c r="EK2231" t="str">
        <f t="shared" si="125"/>
        <v/>
      </c>
    </row>
    <row r="2232" spans="138:141" x14ac:dyDescent="0.25">
      <c r="EH2232" s="313">
        <v>2229</v>
      </c>
      <c r="EI2232" s="314"/>
      <c r="EJ2232" s="247" t="str">
        <f t="shared" si="124"/>
        <v/>
      </c>
      <c r="EK2232" t="str">
        <f t="shared" si="125"/>
        <v/>
      </c>
    </row>
    <row r="2233" spans="138:141" x14ac:dyDescent="0.25">
      <c r="EH2233" s="313">
        <v>2230</v>
      </c>
      <c r="EI2233" s="314">
        <v>26.338000000000001</v>
      </c>
      <c r="EJ2233" s="247">
        <f t="shared" si="124"/>
        <v>1</v>
      </c>
      <c r="EK2233">
        <f t="shared" si="125"/>
        <v>2.6875510204081632</v>
      </c>
    </row>
    <row r="2234" spans="138:141" x14ac:dyDescent="0.25">
      <c r="EH2234" s="313">
        <v>2231</v>
      </c>
      <c r="EI2234" s="314"/>
      <c r="EJ2234" s="247" t="str">
        <f t="shared" si="124"/>
        <v/>
      </c>
      <c r="EK2234" t="str">
        <f t="shared" si="125"/>
        <v/>
      </c>
    </row>
    <row r="2235" spans="138:141" x14ac:dyDescent="0.25">
      <c r="EH2235" s="313">
        <v>2232</v>
      </c>
      <c r="EI2235" s="314"/>
      <c r="EJ2235" s="247" t="str">
        <f t="shared" si="124"/>
        <v/>
      </c>
      <c r="EK2235" t="str">
        <f t="shared" si="125"/>
        <v/>
      </c>
    </row>
    <row r="2236" spans="138:141" x14ac:dyDescent="0.25">
      <c r="EH2236" s="313">
        <v>2233</v>
      </c>
      <c r="EI2236" s="314"/>
      <c r="EJ2236" s="247" t="str">
        <f t="shared" si="124"/>
        <v/>
      </c>
      <c r="EK2236" t="str">
        <f t="shared" si="125"/>
        <v/>
      </c>
    </row>
    <row r="2237" spans="138:141" x14ac:dyDescent="0.25">
      <c r="EH2237" s="313">
        <v>2234</v>
      </c>
      <c r="EI2237" s="314"/>
      <c r="EJ2237" s="247" t="str">
        <f t="shared" si="124"/>
        <v/>
      </c>
      <c r="EK2237" t="str">
        <f t="shared" si="125"/>
        <v/>
      </c>
    </row>
    <row r="2238" spans="138:141" x14ac:dyDescent="0.25">
      <c r="EH2238" s="313">
        <v>2235</v>
      </c>
      <c r="EI2238" s="314"/>
      <c r="EJ2238" s="247" t="str">
        <f t="shared" si="124"/>
        <v/>
      </c>
      <c r="EK2238" t="str">
        <f t="shared" si="125"/>
        <v/>
      </c>
    </row>
    <row r="2239" spans="138:141" x14ac:dyDescent="0.25">
      <c r="EH2239" s="313">
        <v>2236</v>
      </c>
      <c r="EI2239" s="314"/>
      <c r="EJ2239" s="247" t="str">
        <f t="shared" si="124"/>
        <v/>
      </c>
      <c r="EK2239" t="str">
        <f t="shared" si="125"/>
        <v/>
      </c>
    </row>
    <row r="2240" spans="138:141" x14ac:dyDescent="0.25">
      <c r="EH2240" s="313">
        <v>2237</v>
      </c>
      <c r="EI2240" s="314"/>
      <c r="EJ2240" s="247" t="str">
        <f t="shared" si="124"/>
        <v/>
      </c>
      <c r="EK2240" t="str">
        <f t="shared" si="125"/>
        <v/>
      </c>
    </row>
    <row r="2241" spans="138:141" x14ac:dyDescent="0.25">
      <c r="EH2241" s="313">
        <v>2238</v>
      </c>
      <c r="EI2241" s="314"/>
      <c r="EJ2241" s="247" t="str">
        <f t="shared" si="124"/>
        <v/>
      </c>
      <c r="EK2241" t="str">
        <f t="shared" si="125"/>
        <v/>
      </c>
    </row>
    <row r="2242" spans="138:141" x14ac:dyDescent="0.25">
      <c r="EH2242" s="313">
        <v>2239</v>
      </c>
      <c r="EI2242" s="314"/>
      <c r="EJ2242" s="247" t="str">
        <f t="shared" si="124"/>
        <v/>
      </c>
      <c r="EK2242" t="str">
        <f t="shared" si="125"/>
        <v/>
      </c>
    </row>
    <row r="2243" spans="138:141" x14ac:dyDescent="0.25">
      <c r="EH2243" s="313">
        <v>2240</v>
      </c>
      <c r="EI2243" s="314">
        <v>26.455300000000001</v>
      </c>
      <c r="EJ2243" s="247">
        <f t="shared" si="124"/>
        <v>1</v>
      </c>
      <c r="EK2243">
        <f t="shared" si="125"/>
        <v>2.6995204081632651</v>
      </c>
    </row>
    <row r="2244" spans="138:141" x14ac:dyDescent="0.25">
      <c r="EH2244" s="313">
        <v>2241</v>
      </c>
      <c r="EI2244" s="314"/>
      <c r="EJ2244" s="247" t="str">
        <f t="shared" si="124"/>
        <v/>
      </c>
      <c r="EK2244" t="str">
        <f t="shared" si="125"/>
        <v/>
      </c>
    </row>
    <row r="2245" spans="138:141" x14ac:dyDescent="0.25">
      <c r="EH2245" s="313">
        <v>2242</v>
      </c>
      <c r="EI2245" s="314"/>
      <c r="EJ2245" s="247" t="str">
        <f t="shared" ref="EJ2245:EJ2308" si="126">IF(EI2245="","",1)</f>
        <v/>
      </c>
      <c r="EK2245" t="str">
        <f t="shared" ref="EK2245:EK2308" si="127">IF(EI2245="","",EI2245/9.8)</f>
        <v/>
      </c>
    </row>
    <row r="2246" spans="138:141" x14ac:dyDescent="0.25">
      <c r="EH2246" s="313">
        <v>2243</v>
      </c>
      <c r="EI2246" s="314"/>
      <c r="EJ2246" s="247" t="str">
        <f t="shared" si="126"/>
        <v/>
      </c>
      <c r="EK2246" t="str">
        <f t="shared" si="127"/>
        <v/>
      </c>
    </row>
    <row r="2247" spans="138:141" x14ac:dyDescent="0.25">
      <c r="EH2247" s="313">
        <v>2244</v>
      </c>
      <c r="EI2247" s="314"/>
      <c r="EJ2247" s="247" t="str">
        <f t="shared" si="126"/>
        <v/>
      </c>
      <c r="EK2247" t="str">
        <f t="shared" si="127"/>
        <v/>
      </c>
    </row>
    <row r="2248" spans="138:141" x14ac:dyDescent="0.25">
      <c r="EH2248" s="313">
        <v>2245</v>
      </c>
      <c r="EI2248" s="314"/>
      <c r="EJ2248" s="247" t="str">
        <f t="shared" si="126"/>
        <v/>
      </c>
      <c r="EK2248" t="str">
        <f t="shared" si="127"/>
        <v/>
      </c>
    </row>
    <row r="2249" spans="138:141" x14ac:dyDescent="0.25">
      <c r="EH2249" s="313">
        <v>2246</v>
      </c>
      <c r="EI2249" s="314"/>
      <c r="EJ2249" s="247" t="str">
        <f t="shared" si="126"/>
        <v/>
      </c>
      <c r="EK2249" t="str">
        <f t="shared" si="127"/>
        <v/>
      </c>
    </row>
    <row r="2250" spans="138:141" x14ac:dyDescent="0.25">
      <c r="EH2250" s="313">
        <v>2247</v>
      </c>
      <c r="EI2250" s="314"/>
      <c r="EJ2250" s="247" t="str">
        <f t="shared" si="126"/>
        <v/>
      </c>
      <c r="EK2250" t="str">
        <f t="shared" si="127"/>
        <v/>
      </c>
    </row>
    <row r="2251" spans="138:141" x14ac:dyDescent="0.25">
      <c r="EH2251" s="313">
        <v>2248</v>
      </c>
      <c r="EI2251" s="314"/>
      <c r="EJ2251" s="247" t="str">
        <f t="shared" si="126"/>
        <v/>
      </c>
      <c r="EK2251" t="str">
        <f t="shared" si="127"/>
        <v/>
      </c>
    </row>
    <row r="2252" spans="138:141" x14ac:dyDescent="0.25">
      <c r="EH2252" s="313">
        <v>2249</v>
      </c>
      <c r="EI2252" s="314"/>
      <c r="EJ2252" s="247" t="str">
        <f t="shared" si="126"/>
        <v/>
      </c>
      <c r="EK2252" t="str">
        <f t="shared" si="127"/>
        <v/>
      </c>
    </row>
    <row r="2253" spans="138:141" x14ac:dyDescent="0.25">
      <c r="EH2253" s="313">
        <v>2250</v>
      </c>
      <c r="EI2253" s="314">
        <v>26.572700000000001</v>
      </c>
      <c r="EJ2253" s="247">
        <f t="shared" si="126"/>
        <v>1</v>
      </c>
      <c r="EK2253">
        <f t="shared" si="127"/>
        <v>2.7115</v>
      </c>
    </row>
    <row r="2254" spans="138:141" x14ac:dyDescent="0.25">
      <c r="EH2254" s="313">
        <v>2251</v>
      </c>
      <c r="EI2254" s="314"/>
      <c r="EJ2254" s="247" t="str">
        <f t="shared" si="126"/>
        <v/>
      </c>
      <c r="EK2254" t="str">
        <f t="shared" si="127"/>
        <v/>
      </c>
    </row>
    <row r="2255" spans="138:141" x14ac:dyDescent="0.25">
      <c r="EH2255" s="313">
        <v>2252</v>
      </c>
      <c r="EI2255" s="314"/>
      <c r="EJ2255" s="247" t="str">
        <f t="shared" si="126"/>
        <v/>
      </c>
      <c r="EK2255" t="str">
        <f t="shared" si="127"/>
        <v/>
      </c>
    </row>
    <row r="2256" spans="138:141" x14ac:dyDescent="0.25">
      <c r="EH2256" s="313">
        <v>2253</v>
      </c>
      <c r="EI2256" s="314"/>
      <c r="EJ2256" s="247" t="str">
        <f t="shared" si="126"/>
        <v/>
      </c>
      <c r="EK2256" t="str">
        <f t="shared" si="127"/>
        <v/>
      </c>
    </row>
    <row r="2257" spans="138:141" x14ac:dyDescent="0.25">
      <c r="EH2257" s="313">
        <v>2254</v>
      </c>
      <c r="EI2257" s="314"/>
      <c r="EJ2257" s="247" t="str">
        <f t="shared" si="126"/>
        <v/>
      </c>
      <c r="EK2257" t="str">
        <f t="shared" si="127"/>
        <v/>
      </c>
    </row>
    <row r="2258" spans="138:141" x14ac:dyDescent="0.25">
      <c r="EH2258" s="313">
        <v>2255</v>
      </c>
      <c r="EI2258" s="314"/>
      <c r="EJ2258" s="247" t="str">
        <f t="shared" si="126"/>
        <v/>
      </c>
      <c r="EK2258" t="str">
        <f t="shared" si="127"/>
        <v/>
      </c>
    </row>
    <row r="2259" spans="138:141" x14ac:dyDescent="0.25">
      <c r="EH2259" s="313">
        <v>2256</v>
      </c>
      <c r="EI2259" s="314"/>
      <c r="EJ2259" s="247" t="str">
        <f t="shared" si="126"/>
        <v/>
      </c>
      <c r="EK2259" t="str">
        <f t="shared" si="127"/>
        <v/>
      </c>
    </row>
    <row r="2260" spans="138:141" x14ac:dyDescent="0.25">
      <c r="EH2260" s="313">
        <v>2257</v>
      </c>
      <c r="EI2260" s="314"/>
      <c r="EJ2260" s="247" t="str">
        <f t="shared" si="126"/>
        <v/>
      </c>
      <c r="EK2260" t="str">
        <f t="shared" si="127"/>
        <v/>
      </c>
    </row>
    <row r="2261" spans="138:141" x14ac:dyDescent="0.25">
      <c r="EH2261" s="313">
        <v>2258</v>
      </c>
      <c r="EI2261" s="314"/>
      <c r="EJ2261" s="247" t="str">
        <f t="shared" si="126"/>
        <v/>
      </c>
      <c r="EK2261" t="str">
        <f t="shared" si="127"/>
        <v/>
      </c>
    </row>
    <row r="2262" spans="138:141" x14ac:dyDescent="0.25">
      <c r="EH2262" s="313">
        <v>2259</v>
      </c>
      <c r="EI2262" s="314"/>
      <c r="EJ2262" s="247" t="str">
        <f t="shared" si="126"/>
        <v/>
      </c>
      <c r="EK2262" t="str">
        <f t="shared" si="127"/>
        <v/>
      </c>
    </row>
    <row r="2263" spans="138:141" x14ac:dyDescent="0.25">
      <c r="EH2263" s="313">
        <v>2260</v>
      </c>
      <c r="EI2263" s="314">
        <v>26.690100000000001</v>
      </c>
      <c r="EJ2263" s="247">
        <f t="shared" si="126"/>
        <v>1</v>
      </c>
      <c r="EK2263">
        <f t="shared" si="127"/>
        <v>2.7234795918367345</v>
      </c>
    </row>
    <row r="2264" spans="138:141" x14ac:dyDescent="0.25">
      <c r="EH2264" s="313">
        <v>2261</v>
      </c>
      <c r="EI2264" s="314"/>
      <c r="EJ2264" s="247" t="str">
        <f t="shared" si="126"/>
        <v/>
      </c>
      <c r="EK2264" t="str">
        <f t="shared" si="127"/>
        <v/>
      </c>
    </row>
    <row r="2265" spans="138:141" x14ac:dyDescent="0.25">
      <c r="EH2265" s="313">
        <v>2262</v>
      </c>
      <c r="EI2265" s="314"/>
      <c r="EJ2265" s="247" t="str">
        <f t="shared" si="126"/>
        <v/>
      </c>
      <c r="EK2265" t="str">
        <f t="shared" si="127"/>
        <v/>
      </c>
    </row>
    <row r="2266" spans="138:141" x14ac:dyDescent="0.25">
      <c r="EH2266" s="313">
        <v>2263</v>
      </c>
      <c r="EI2266" s="314"/>
      <c r="EJ2266" s="247" t="str">
        <f t="shared" si="126"/>
        <v/>
      </c>
      <c r="EK2266" t="str">
        <f t="shared" si="127"/>
        <v/>
      </c>
    </row>
    <row r="2267" spans="138:141" x14ac:dyDescent="0.25">
      <c r="EH2267" s="313">
        <v>2264</v>
      </c>
      <c r="EI2267" s="314"/>
      <c r="EJ2267" s="247" t="str">
        <f t="shared" si="126"/>
        <v/>
      </c>
      <c r="EK2267" t="str">
        <f t="shared" si="127"/>
        <v/>
      </c>
    </row>
    <row r="2268" spans="138:141" x14ac:dyDescent="0.25">
      <c r="EH2268" s="313">
        <v>2265</v>
      </c>
      <c r="EI2268" s="314"/>
      <c r="EJ2268" s="247" t="str">
        <f t="shared" si="126"/>
        <v/>
      </c>
      <c r="EK2268" t="str">
        <f t="shared" si="127"/>
        <v/>
      </c>
    </row>
    <row r="2269" spans="138:141" x14ac:dyDescent="0.25">
      <c r="EH2269" s="313">
        <v>2266</v>
      </c>
      <c r="EI2269" s="314"/>
      <c r="EJ2269" s="247" t="str">
        <f t="shared" si="126"/>
        <v/>
      </c>
      <c r="EK2269" t="str">
        <f t="shared" si="127"/>
        <v/>
      </c>
    </row>
    <row r="2270" spans="138:141" x14ac:dyDescent="0.25">
      <c r="EH2270" s="313">
        <v>2267</v>
      </c>
      <c r="EI2270" s="314"/>
      <c r="EJ2270" s="247" t="str">
        <f t="shared" si="126"/>
        <v/>
      </c>
      <c r="EK2270" t="str">
        <f t="shared" si="127"/>
        <v/>
      </c>
    </row>
    <row r="2271" spans="138:141" x14ac:dyDescent="0.25">
      <c r="EH2271" s="313">
        <v>2268</v>
      </c>
      <c r="EI2271" s="314"/>
      <c r="EJ2271" s="247" t="str">
        <f t="shared" si="126"/>
        <v/>
      </c>
      <c r="EK2271" t="str">
        <f t="shared" si="127"/>
        <v/>
      </c>
    </row>
    <row r="2272" spans="138:141" x14ac:dyDescent="0.25">
      <c r="EH2272" s="313">
        <v>2269</v>
      </c>
      <c r="EI2272" s="314"/>
      <c r="EJ2272" s="247" t="str">
        <f t="shared" si="126"/>
        <v/>
      </c>
      <c r="EK2272" t="str">
        <f t="shared" si="127"/>
        <v/>
      </c>
    </row>
    <row r="2273" spans="138:141" x14ac:dyDescent="0.25">
      <c r="EH2273" s="313">
        <v>2270</v>
      </c>
      <c r="EI2273" s="314">
        <v>26.807500000000001</v>
      </c>
      <c r="EJ2273" s="247">
        <f t="shared" si="126"/>
        <v>1</v>
      </c>
      <c r="EK2273">
        <f t="shared" si="127"/>
        <v>2.7354591836734694</v>
      </c>
    </row>
    <row r="2274" spans="138:141" x14ac:dyDescent="0.25">
      <c r="EH2274" s="313">
        <v>2271</v>
      </c>
      <c r="EI2274" s="314"/>
      <c r="EJ2274" s="247" t="str">
        <f t="shared" si="126"/>
        <v/>
      </c>
      <c r="EK2274" t="str">
        <f t="shared" si="127"/>
        <v/>
      </c>
    </row>
    <row r="2275" spans="138:141" x14ac:dyDescent="0.25">
      <c r="EH2275" s="313">
        <v>2272</v>
      </c>
      <c r="EI2275" s="314"/>
      <c r="EJ2275" s="247" t="str">
        <f t="shared" si="126"/>
        <v/>
      </c>
      <c r="EK2275" t="str">
        <f t="shared" si="127"/>
        <v/>
      </c>
    </row>
    <row r="2276" spans="138:141" x14ac:dyDescent="0.25">
      <c r="EH2276" s="313">
        <v>2273</v>
      </c>
      <c r="EI2276" s="314"/>
      <c r="EJ2276" s="247" t="str">
        <f t="shared" si="126"/>
        <v/>
      </c>
      <c r="EK2276" t="str">
        <f t="shared" si="127"/>
        <v/>
      </c>
    </row>
    <row r="2277" spans="138:141" x14ac:dyDescent="0.25">
      <c r="EH2277" s="313">
        <v>2274</v>
      </c>
      <c r="EI2277" s="314"/>
      <c r="EJ2277" s="247" t="str">
        <f t="shared" si="126"/>
        <v/>
      </c>
      <c r="EK2277" t="str">
        <f t="shared" si="127"/>
        <v/>
      </c>
    </row>
    <row r="2278" spans="138:141" x14ac:dyDescent="0.25">
      <c r="EH2278" s="313">
        <v>2275</v>
      </c>
      <c r="EI2278" s="314"/>
      <c r="EJ2278" s="247" t="str">
        <f t="shared" si="126"/>
        <v/>
      </c>
      <c r="EK2278" t="str">
        <f t="shared" si="127"/>
        <v/>
      </c>
    </row>
    <row r="2279" spans="138:141" x14ac:dyDescent="0.25">
      <c r="EH2279" s="313">
        <v>2276</v>
      </c>
      <c r="EI2279" s="314"/>
      <c r="EJ2279" s="247" t="str">
        <f t="shared" si="126"/>
        <v/>
      </c>
      <c r="EK2279" t="str">
        <f t="shared" si="127"/>
        <v/>
      </c>
    </row>
    <row r="2280" spans="138:141" x14ac:dyDescent="0.25">
      <c r="EH2280" s="313">
        <v>2277</v>
      </c>
      <c r="EI2280" s="314"/>
      <c r="EJ2280" s="247" t="str">
        <f t="shared" si="126"/>
        <v/>
      </c>
      <c r="EK2280" t="str">
        <f t="shared" si="127"/>
        <v/>
      </c>
    </row>
    <row r="2281" spans="138:141" x14ac:dyDescent="0.25">
      <c r="EH2281" s="313">
        <v>2278</v>
      </c>
      <c r="EI2281" s="314"/>
      <c r="EJ2281" s="247" t="str">
        <f t="shared" si="126"/>
        <v/>
      </c>
      <c r="EK2281" t="str">
        <f t="shared" si="127"/>
        <v/>
      </c>
    </row>
    <row r="2282" spans="138:141" x14ac:dyDescent="0.25">
      <c r="EH2282" s="313">
        <v>2279</v>
      </c>
      <c r="EI2282" s="314"/>
      <c r="EJ2282" s="247" t="str">
        <f t="shared" si="126"/>
        <v/>
      </c>
      <c r="EK2282" t="str">
        <f t="shared" si="127"/>
        <v/>
      </c>
    </row>
    <row r="2283" spans="138:141" x14ac:dyDescent="0.25">
      <c r="EH2283" s="313">
        <v>2280</v>
      </c>
      <c r="EI2283" s="314">
        <v>26.924800000000001</v>
      </c>
      <c r="EJ2283" s="247">
        <f t="shared" si="126"/>
        <v>1</v>
      </c>
      <c r="EK2283">
        <f t="shared" si="127"/>
        <v>2.7474285714285713</v>
      </c>
    </row>
    <row r="2284" spans="138:141" x14ac:dyDescent="0.25">
      <c r="EH2284" s="313">
        <v>2281</v>
      </c>
      <c r="EI2284" s="314"/>
      <c r="EJ2284" s="247" t="str">
        <f t="shared" si="126"/>
        <v/>
      </c>
      <c r="EK2284" t="str">
        <f t="shared" si="127"/>
        <v/>
      </c>
    </row>
    <row r="2285" spans="138:141" x14ac:dyDescent="0.25">
      <c r="EH2285" s="313">
        <v>2282</v>
      </c>
      <c r="EI2285" s="314"/>
      <c r="EJ2285" s="247" t="str">
        <f t="shared" si="126"/>
        <v/>
      </c>
      <c r="EK2285" t="str">
        <f t="shared" si="127"/>
        <v/>
      </c>
    </row>
    <row r="2286" spans="138:141" x14ac:dyDescent="0.25">
      <c r="EH2286" s="313">
        <v>2283</v>
      </c>
      <c r="EI2286" s="314"/>
      <c r="EJ2286" s="247" t="str">
        <f t="shared" si="126"/>
        <v/>
      </c>
      <c r="EK2286" t="str">
        <f t="shared" si="127"/>
        <v/>
      </c>
    </row>
    <row r="2287" spans="138:141" x14ac:dyDescent="0.25">
      <c r="EH2287" s="313">
        <v>2284</v>
      </c>
      <c r="EI2287" s="314"/>
      <c r="EJ2287" s="247" t="str">
        <f t="shared" si="126"/>
        <v/>
      </c>
      <c r="EK2287" t="str">
        <f t="shared" si="127"/>
        <v/>
      </c>
    </row>
    <row r="2288" spans="138:141" x14ac:dyDescent="0.25">
      <c r="EH2288" s="313">
        <v>2285</v>
      </c>
      <c r="EI2288" s="314"/>
      <c r="EJ2288" s="247" t="str">
        <f t="shared" si="126"/>
        <v/>
      </c>
      <c r="EK2288" t="str">
        <f t="shared" si="127"/>
        <v/>
      </c>
    </row>
    <row r="2289" spans="138:141" x14ac:dyDescent="0.25">
      <c r="EH2289" s="313">
        <v>2286</v>
      </c>
      <c r="EI2289" s="314"/>
      <c r="EJ2289" s="247" t="str">
        <f t="shared" si="126"/>
        <v/>
      </c>
      <c r="EK2289" t="str">
        <f t="shared" si="127"/>
        <v/>
      </c>
    </row>
    <row r="2290" spans="138:141" x14ac:dyDescent="0.25">
      <c r="EH2290" s="313">
        <v>2287</v>
      </c>
      <c r="EI2290" s="314"/>
      <c r="EJ2290" s="247" t="str">
        <f t="shared" si="126"/>
        <v/>
      </c>
      <c r="EK2290" t="str">
        <f t="shared" si="127"/>
        <v/>
      </c>
    </row>
    <row r="2291" spans="138:141" x14ac:dyDescent="0.25">
      <c r="EH2291" s="313">
        <v>2288</v>
      </c>
      <c r="EI2291" s="314"/>
      <c r="EJ2291" s="247" t="str">
        <f t="shared" si="126"/>
        <v/>
      </c>
      <c r="EK2291" t="str">
        <f t="shared" si="127"/>
        <v/>
      </c>
    </row>
    <row r="2292" spans="138:141" x14ac:dyDescent="0.25">
      <c r="EH2292" s="313">
        <v>2289</v>
      </c>
      <c r="EI2292" s="314"/>
      <c r="EJ2292" s="247" t="str">
        <f t="shared" si="126"/>
        <v/>
      </c>
      <c r="EK2292" t="str">
        <f t="shared" si="127"/>
        <v/>
      </c>
    </row>
    <row r="2293" spans="138:141" x14ac:dyDescent="0.25">
      <c r="EH2293" s="313">
        <v>2290</v>
      </c>
      <c r="EI2293" s="314">
        <v>27.042200000000001</v>
      </c>
      <c r="EJ2293" s="247">
        <f t="shared" si="126"/>
        <v>1</v>
      </c>
      <c r="EK2293">
        <f t="shared" si="127"/>
        <v>2.7594081632653062</v>
      </c>
    </row>
    <row r="2294" spans="138:141" x14ac:dyDescent="0.25">
      <c r="EH2294" s="313">
        <v>2291</v>
      </c>
      <c r="EI2294" s="314"/>
      <c r="EJ2294" s="247" t="str">
        <f t="shared" si="126"/>
        <v/>
      </c>
      <c r="EK2294" t="str">
        <f t="shared" si="127"/>
        <v/>
      </c>
    </row>
    <row r="2295" spans="138:141" x14ac:dyDescent="0.25">
      <c r="EH2295" s="313">
        <v>2292</v>
      </c>
      <c r="EI2295" s="314"/>
      <c r="EJ2295" s="247" t="str">
        <f t="shared" si="126"/>
        <v/>
      </c>
      <c r="EK2295" t="str">
        <f t="shared" si="127"/>
        <v/>
      </c>
    </row>
    <row r="2296" spans="138:141" x14ac:dyDescent="0.25">
      <c r="EH2296" s="313">
        <v>2293</v>
      </c>
      <c r="EI2296" s="314"/>
      <c r="EJ2296" s="247" t="str">
        <f t="shared" si="126"/>
        <v/>
      </c>
      <c r="EK2296" t="str">
        <f t="shared" si="127"/>
        <v/>
      </c>
    </row>
    <row r="2297" spans="138:141" x14ac:dyDescent="0.25">
      <c r="EH2297" s="313">
        <v>2294</v>
      </c>
      <c r="EI2297" s="314"/>
      <c r="EJ2297" s="247" t="str">
        <f t="shared" si="126"/>
        <v/>
      </c>
      <c r="EK2297" t="str">
        <f t="shared" si="127"/>
        <v/>
      </c>
    </row>
    <row r="2298" spans="138:141" x14ac:dyDescent="0.25">
      <c r="EH2298" s="313">
        <v>2295</v>
      </c>
      <c r="EI2298" s="314"/>
      <c r="EJ2298" s="247" t="str">
        <f t="shared" si="126"/>
        <v/>
      </c>
      <c r="EK2298" t="str">
        <f t="shared" si="127"/>
        <v/>
      </c>
    </row>
    <row r="2299" spans="138:141" x14ac:dyDescent="0.25">
      <c r="EH2299" s="313">
        <v>2296</v>
      </c>
      <c r="EI2299" s="314"/>
      <c r="EJ2299" s="247" t="str">
        <f t="shared" si="126"/>
        <v/>
      </c>
      <c r="EK2299" t="str">
        <f t="shared" si="127"/>
        <v/>
      </c>
    </row>
    <row r="2300" spans="138:141" x14ac:dyDescent="0.25">
      <c r="EH2300" s="313">
        <v>2297</v>
      </c>
      <c r="EI2300" s="314"/>
      <c r="EJ2300" s="247" t="str">
        <f t="shared" si="126"/>
        <v/>
      </c>
      <c r="EK2300" t="str">
        <f t="shared" si="127"/>
        <v/>
      </c>
    </row>
    <row r="2301" spans="138:141" x14ac:dyDescent="0.25">
      <c r="EH2301" s="313">
        <v>2298</v>
      </c>
      <c r="EI2301" s="314"/>
      <c r="EJ2301" s="247" t="str">
        <f t="shared" si="126"/>
        <v/>
      </c>
      <c r="EK2301" t="str">
        <f t="shared" si="127"/>
        <v/>
      </c>
    </row>
    <row r="2302" spans="138:141" x14ac:dyDescent="0.25">
      <c r="EH2302" s="313">
        <v>2299</v>
      </c>
      <c r="EI2302" s="314"/>
      <c r="EJ2302" s="247" t="str">
        <f t="shared" si="126"/>
        <v/>
      </c>
      <c r="EK2302" t="str">
        <f t="shared" si="127"/>
        <v/>
      </c>
    </row>
    <row r="2303" spans="138:141" x14ac:dyDescent="0.25">
      <c r="EH2303" s="313">
        <v>2300</v>
      </c>
      <c r="EI2303" s="314">
        <v>27.159600000000001</v>
      </c>
      <c r="EJ2303" s="247">
        <f t="shared" si="126"/>
        <v>1</v>
      </c>
      <c r="EK2303">
        <f t="shared" si="127"/>
        <v>2.7713877551020407</v>
      </c>
    </row>
    <row r="2304" spans="138:141" x14ac:dyDescent="0.25">
      <c r="EH2304" s="313">
        <v>2301</v>
      </c>
      <c r="EI2304" s="314"/>
      <c r="EJ2304" s="247" t="str">
        <f t="shared" si="126"/>
        <v/>
      </c>
      <c r="EK2304" t="str">
        <f t="shared" si="127"/>
        <v/>
      </c>
    </row>
    <row r="2305" spans="138:141" x14ac:dyDescent="0.25">
      <c r="EH2305" s="313">
        <v>2302</v>
      </c>
      <c r="EI2305" s="314"/>
      <c r="EJ2305" s="247" t="str">
        <f t="shared" si="126"/>
        <v/>
      </c>
      <c r="EK2305" t="str">
        <f t="shared" si="127"/>
        <v/>
      </c>
    </row>
    <row r="2306" spans="138:141" x14ac:dyDescent="0.25">
      <c r="EH2306" s="313">
        <v>2303</v>
      </c>
      <c r="EI2306" s="314"/>
      <c r="EJ2306" s="247" t="str">
        <f t="shared" si="126"/>
        <v/>
      </c>
      <c r="EK2306" t="str">
        <f t="shared" si="127"/>
        <v/>
      </c>
    </row>
    <row r="2307" spans="138:141" x14ac:dyDescent="0.25">
      <c r="EH2307" s="313">
        <v>2304</v>
      </c>
      <c r="EI2307" s="314"/>
      <c r="EJ2307" s="247" t="str">
        <f t="shared" si="126"/>
        <v/>
      </c>
      <c r="EK2307" t="str">
        <f t="shared" si="127"/>
        <v/>
      </c>
    </row>
    <row r="2308" spans="138:141" x14ac:dyDescent="0.25">
      <c r="EH2308" s="313">
        <v>2305</v>
      </c>
      <c r="EI2308" s="314"/>
      <c r="EJ2308" s="247" t="str">
        <f t="shared" si="126"/>
        <v/>
      </c>
      <c r="EK2308" t="str">
        <f t="shared" si="127"/>
        <v/>
      </c>
    </row>
    <row r="2309" spans="138:141" x14ac:dyDescent="0.25">
      <c r="EH2309" s="313">
        <v>2306</v>
      </c>
      <c r="EI2309" s="314"/>
      <c r="EJ2309" s="247" t="str">
        <f t="shared" ref="EJ2309:EJ2372" si="128">IF(EI2309="","",1)</f>
        <v/>
      </c>
      <c r="EK2309" t="str">
        <f t="shared" ref="EK2309:EK2372" si="129">IF(EI2309="","",EI2309/9.8)</f>
        <v/>
      </c>
    </row>
    <row r="2310" spans="138:141" x14ac:dyDescent="0.25">
      <c r="EH2310" s="313">
        <v>2307</v>
      </c>
      <c r="EI2310" s="314"/>
      <c r="EJ2310" s="247" t="str">
        <f t="shared" si="128"/>
        <v/>
      </c>
      <c r="EK2310" t="str">
        <f t="shared" si="129"/>
        <v/>
      </c>
    </row>
    <row r="2311" spans="138:141" x14ac:dyDescent="0.25">
      <c r="EH2311" s="313">
        <v>2308</v>
      </c>
      <c r="EI2311" s="314"/>
      <c r="EJ2311" s="247" t="str">
        <f t="shared" si="128"/>
        <v/>
      </c>
      <c r="EK2311" t="str">
        <f t="shared" si="129"/>
        <v/>
      </c>
    </row>
    <row r="2312" spans="138:141" x14ac:dyDescent="0.25">
      <c r="EH2312" s="313">
        <v>2309</v>
      </c>
      <c r="EI2312" s="314"/>
      <c r="EJ2312" s="247" t="str">
        <f t="shared" si="128"/>
        <v/>
      </c>
      <c r="EK2312" t="str">
        <f t="shared" si="129"/>
        <v/>
      </c>
    </row>
    <row r="2313" spans="138:141" x14ac:dyDescent="0.25">
      <c r="EH2313" s="313">
        <v>2310</v>
      </c>
      <c r="EI2313" s="314">
        <v>27.276900000000001</v>
      </c>
      <c r="EJ2313" s="247">
        <f t="shared" si="128"/>
        <v>1</v>
      </c>
      <c r="EK2313">
        <f t="shared" si="129"/>
        <v>2.7833571428571426</v>
      </c>
    </row>
    <row r="2314" spans="138:141" x14ac:dyDescent="0.25">
      <c r="EH2314" s="313">
        <v>2311</v>
      </c>
      <c r="EI2314" s="314"/>
      <c r="EJ2314" s="247" t="str">
        <f t="shared" si="128"/>
        <v/>
      </c>
      <c r="EK2314" t="str">
        <f t="shared" si="129"/>
        <v/>
      </c>
    </row>
    <row r="2315" spans="138:141" x14ac:dyDescent="0.25">
      <c r="EH2315" s="313">
        <v>2312</v>
      </c>
      <c r="EI2315" s="314"/>
      <c r="EJ2315" s="247" t="str">
        <f t="shared" si="128"/>
        <v/>
      </c>
      <c r="EK2315" t="str">
        <f t="shared" si="129"/>
        <v/>
      </c>
    </row>
    <row r="2316" spans="138:141" x14ac:dyDescent="0.25">
      <c r="EH2316" s="313">
        <v>2313</v>
      </c>
      <c r="EI2316" s="314"/>
      <c r="EJ2316" s="247" t="str">
        <f t="shared" si="128"/>
        <v/>
      </c>
      <c r="EK2316" t="str">
        <f t="shared" si="129"/>
        <v/>
      </c>
    </row>
    <row r="2317" spans="138:141" x14ac:dyDescent="0.25">
      <c r="EH2317" s="313">
        <v>2314</v>
      </c>
      <c r="EI2317" s="314"/>
      <c r="EJ2317" s="247" t="str">
        <f t="shared" si="128"/>
        <v/>
      </c>
      <c r="EK2317" t="str">
        <f t="shared" si="129"/>
        <v/>
      </c>
    </row>
    <row r="2318" spans="138:141" x14ac:dyDescent="0.25">
      <c r="EH2318" s="313">
        <v>2315</v>
      </c>
      <c r="EI2318" s="314"/>
      <c r="EJ2318" s="247" t="str">
        <f t="shared" si="128"/>
        <v/>
      </c>
      <c r="EK2318" t="str">
        <f t="shared" si="129"/>
        <v/>
      </c>
    </row>
    <row r="2319" spans="138:141" x14ac:dyDescent="0.25">
      <c r="EH2319" s="313">
        <v>2316</v>
      </c>
      <c r="EI2319" s="314"/>
      <c r="EJ2319" s="247" t="str">
        <f t="shared" si="128"/>
        <v/>
      </c>
      <c r="EK2319" t="str">
        <f t="shared" si="129"/>
        <v/>
      </c>
    </row>
    <row r="2320" spans="138:141" x14ac:dyDescent="0.25">
      <c r="EH2320" s="313">
        <v>2317</v>
      </c>
      <c r="EI2320" s="314"/>
      <c r="EJ2320" s="247" t="str">
        <f t="shared" si="128"/>
        <v/>
      </c>
      <c r="EK2320" t="str">
        <f t="shared" si="129"/>
        <v/>
      </c>
    </row>
    <row r="2321" spans="138:141" x14ac:dyDescent="0.25">
      <c r="EH2321" s="313">
        <v>2318</v>
      </c>
      <c r="EI2321" s="314"/>
      <c r="EJ2321" s="247" t="str">
        <f t="shared" si="128"/>
        <v/>
      </c>
      <c r="EK2321" t="str">
        <f t="shared" si="129"/>
        <v/>
      </c>
    </row>
    <row r="2322" spans="138:141" x14ac:dyDescent="0.25">
      <c r="EH2322" s="313">
        <v>2319</v>
      </c>
      <c r="EI2322" s="314"/>
      <c r="EJ2322" s="247" t="str">
        <f t="shared" si="128"/>
        <v/>
      </c>
      <c r="EK2322" t="str">
        <f t="shared" si="129"/>
        <v/>
      </c>
    </row>
    <row r="2323" spans="138:141" x14ac:dyDescent="0.25">
      <c r="EH2323" s="313">
        <v>2320</v>
      </c>
      <c r="EI2323" s="314">
        <v>27.394300000000001</v>
      </c>
      <c r="EJ2323" s="247">
        <f t="shared" si="128"/>
        <v>1</v>
      </c>
      <c r="EK2323">
        <f t="shared" si="129"/>
        <v>2.7953367346938776</v>
      </c>
    </row>
    <row r="2324" spans="138:141" x14ac:dyDescent="0.25">
      <c r="EH2324" s="313">
        <v>2321</v>
      </c>
      <c r="EI2324" s="314"/>
      <c r="EJ2324" s="247" t="str">
        <f t="shared" si="128"/>
        <v/>
      </c>
      <c r="EK2324" t="str">
        <f t="shared" si="129"/>
        <v/>
      </c>
    </row>
    <row r="2325" spans="138:141" x14ac:dyDescent="0.25">
      <c r="EH2325" s="313">
        <v>2322</v>
      </c>
      <c r="EI2325" s="314"/>
      <c r="EJ2325" s="247" t="str">
        <f t="shared" si="128"/>
        <v/>
      </c>
      <c r="EK2325" t="str">
        <f t="shared" si="129"/>
        <v/>
      </c>
    </row>
    <row r="2326" spans="138:141" x14ac:dyDescent="0.25">
      <c r="EH2326" s="313">
        <v>2323</v>
      </c>
      <c r="EI2326" s="314"/>
      <c r="EJ2326" s="247" t="str">
        <f t="shared" si="128"/>
        <v/>
      </c>
      <c r="EK2326" t="str">
        <f t="shared" si="129"/>
        <v/>
      </c>
    </row>
    <row r="2327" spans="138:141" x14ac:dyDescent="0.25">
      <c r="EH2327" s="313">
        <v>2324</v>
      </c>
      <c r="EI2327" s="314"/>
      <c r="EJ2327" s="247" t="str">
        <f t="shared" si="128"/>
        <v/>
      </c>
      <c r="EK2327" t="str">
        <f t="shared" si="129"/>
        <v/>
      </c>
    </row>
    <row r="2328" spans="138:141" x14ac:dyDescent="0.25">
      <c r="EH2328" s="313">
        <v>2325</v>
      </c>
      <c r="EI2328" s="314"/>
      <c r="EJ2328" s="247" t="str">
        <f t="shared" si="128"/>
        <v/>
      </c>
      <c r="EK2328" t="str">
        <f t="shared" si="129"/>
        <v/>
      </c>
    </row>
    <row r="2329" spans="138:141" x14ac:dyDescent="0.25">
      <c r="EH2329" s="313">
        <v>2326</v>
      </c>
      <c r="EI2329" s="314"/>
      <c r="EJ2329" s="247" t="str">
        <f t="shared" si="128"/>
        <v/>
      </c>
      <c r="EK2329" t="str">
        <f t="shared" si="129"/>
        <v/>
      </c>
    </row>
    <row r="2330" spans="138:141" x14ac:dyDescent="0.25">
      <c r="EH2330" s="313">
        <v>2327</v>
      </c>
      <c r="EI2330" s="314"/>
      <c r="EJ2330" s="247" t="str">
        <f t="shared" si="128"/>
        <v/>
      </c>
      <c r="EK2330" t="str">
        <f t="shared" si="129"/>
        <v/>
      </c>
    </row>
    <row r="2331" spans="138:141" x14ac:dyDescent="0.25">
      <c r="EH2331" s="313">
        <v>2328</v>
      </c>
      <c r="EI2331" s="314"/>
      <c r="EJ2331" s="247" t="str">
        <f t="shared" si="128"/>
        <v/>
      </c>
      <c r="EK2331" t="str">
        <f t="shared" si="129"/>
        <v/>
      </c>
    </row>
    <row r="2332" spans="138:141" x14ac:dyDescent="0.25">
      <c r="EH2332" s="313">
        <v>2329</v>
      </c>
      <c r="EI2332" s="314"/>
      <c r="EJ2332" s="247" t="str">
        <f t="shared" si="128"/>
        <v/>
      </c>
      <c r="EK2332" t="str">
        <f t="shared" si="129"/>
        <v/>
      </c>
    </row>
    <row r="2333" spans="138:141" x14ac:dyDescent="0.25">
      <c r="EH2333" s="313">
        <v>2330</v>
      </c>
      <c r="EI2333" s="314">
        <v>27.511399999999998</v>
      </c>
      <c r="EJ2333" s="247">
        <f t="shared" si="128"/>
        <v>1</v>
      </c>
      <c r="EK2333">
        <f t="shared" si="129"/>
        <v>2.8072857142857139</v>
      </c>
    </row>
    <row r="2334" spans="138:141" x14ac:dyDescent="0.25">
      <c r="EH2334" s="313">
        <v>2331</v>
      </c>
      <c r="EI2334" s="314"/>
      <c r="EJ2334" s="247" t="str">
        <f t="shared" si="128"/>
        <v/>
      </c>
      <c r="EK2334" t="str">
        <f t="shared" si="129"/>
        <v/>
      </c>
    </row>
    <row r="2335" spans="138:141" x14ac:dyDescent="0.25">
      <c r="EH2335" s="313">
        <v>2332</v>
      </c>
      <c r="EI2335" s="314"/>
      <c r="EJ2335" s="247" t="str">
        <f t="shared" si="128"/>
        <v/>
      </c>
      <c r="EK2335" t="str">
        <f t="shared" si="129"/>
        <v/>
      </c>
    </row>
    <row r="2336" spans="138:141" x14ac:dyDescent="0.25">
      <c r="EH2336" s="313">
        <v>2333</v>
      </c>
      <c r="EI2336" s="314"/>
      <c r="EJ2336" s="247" t="str">
        <f t="shared" si="128"/>
        <v/>
      </c>
      <c r="EK2336" t="str">
        <f t="shared" si="129"/>
        <v/>
      </c>
    </row>
    <row r="2337" spans="138:141" x14ac:dyDescent="0.25">
      <c r="EH2337" s="313">
        <v>2334</v>
      </c>
      <c r="EI2337" s="314"/>
      <c r="EJ2337" s="247" t="str">
        <f t="shared" si="128"/>
        <v/>
      </c>
      <c r="EK2337" t="str">
        <f t="shared" si="129"/>
        <v/>
      </c>
    </row>
    <row r="2338" spans="138:141" x14ac:dyDescent="0.25">
      <c r="EH2338" s="313">
        <v>2335</v>
      </c>
      <c r="EI2338" s="314"/>
      <c r="EJ2338" s="247" t="str">
        <f t="shared" si="128"/>
        <v/>
      </c>
      <c r="EK2338" t="str">
        <f t="shared" si="129"/>
        <v/>
      </c>
    </row>
    <row r="2339" spans="138:141" x14ac:dyDescent="0.25">
      <c r="EH2339" s="313">
        <v>2336</v>
      </c>
      <c r="EI2339" s="314"/>
      <c r="EJ2339" s="247" t="str">
        <f t="shared" si="128"/>
        <v/>
      </c>
      <c r="EK2339" t="str">
        <f t="shared" si="129"/>
        <v/>
      </c>
    </row>
    <row r="2340" spans="138:141" x14ac:dyDescent="0.25">
      <c r="EH2340" s="313">
        <v>2337</v>
      </c>
      <c r="EI2340" s="314"/>
      <c r="EJ2340" s="247" t="str">
        <f t="shared" si="128"/>
        <v/>
      </c>
      <c r="EK2340" t="str">
        <f t="shared" si="129"/>
        <v/>
      </c>
    </row>
    <row r="2341" spans="138:141" x14ac:dyDescent="0.25">
      <c r="EH2341" s="313">
        <v>2338</v>
      </c>
      <c r="EI2341" s="314"/>
      <c r="EJ2341" s="247" t="str">
        <f t="shared" si="128"/>
        <v/>
      </c>
      <c r="EK2341" t="str">
        <f t="shared" si="129"/>
        <v/>
      </c>
    </row>
    <row r="2342" spans="138:141" x14ac:dyDescent="0.25">
      <c r="EH2342" s="313">
        <v>2339</v>
      </c>
      <c r="EI2342" s="314"/>
      <c r="EJ2342" s="247" t="str">
        <f t="shared" si="128"/>
        <v/>
      </c>
      <c r="EK2342" t="str">
        <f t="shared" si="129"/>
        <v/>
      </c>
    </row>
    <row r="2343" spans="138:141" x14ac:dyDescent="0.25">
      <c r="EH2343" s="313">
        <v>2340</v>
      </c>
      <c r="EI2343" s="314">
        <v>27.626100000000001</v>
      </c>
      <c r="EJ2343" s="247">
        <f t="shared" si="128"/>
        <v>1</v>
      </c>
      <c r="EK2343">
        <f t="shared" si="129"/>
        <v>2.8189897959183674</v>
      </c>
    </row>
    <row r="2344" spans="138:141" x14ac:dyDescent="0.25">
      <c r="EH2344" s="313">
        <v>2341</v>
      </c>
      <c r="EI2344" s="314"/>
      <c r="EJ2344" s="247" t="str">
        <f t="shared" si="128"/>
        <v/>
      </c>
      <c r="EK2344" t="str">
        <f t="shared" si="129"/>
        <v/>
      </c>
    </row>
    <row r="2345" spans="138:141" x14ac:dyDescent="0.25">
      <c r="EH2345" s="313">
        <v>2342</v>
      </c>
      <c r="EI2345" s="314"/>
      <c r="EJ2345" s="247" t="str">
        <f t="shared" si="128"/>
        <v/>
      </c>
      <c r="EK2345" t="str">
        <f t="shared" si="129"/>
        <v/>
      </c>
    </row>
    <row r="2346" spans="138:141" x14ac:dyDescent="0.25">
      <c r="EH2346" s="313">
        <v>2343</v>
      </c>
      <c r="EI2346" s="314"/>
      <c r="EJ2346" s="247" t="str">
        <f t="shared" si="128"/>
        <v/>
      </c>
      <c r="EK2346" t="str">
        <f t="shared" si="129"/>
        <v/>
      </c>
    </row>
    <row r="2347" spans="138:141" x14ac:dyDescent="0.25">
      <c r="EH2347" s="313">
        <v>2344</v>
      </c>
      <c r="EI2347" s="314"/>
      <c r="EJ2347" s="247" t="str">
        <f t="shared" si="128"/>
        <v/>
      </c>
      <c r="EK2347" t="str">
        <f t="shared" si="129"/>
        <v/>
      </c>
    </row>
    <row r="2348" spans="138:141" x14ac:dyDescent="0.25">
      <c r="EH2348" s="313">
        <v>2345</v>
      </c>
      <c r="EI2348" s="314"/>
      <c r="EJ2348" s="247" t="str">
        <f t="shared" si="128"/>
        <v/>
      </c>
      <c r="EK2348" t="str">
        <f t="shared" si="129"/>
        <v/>
      </c>
    </row>
    <row r="2349" spans="138:141" x14ac:dyDescent="0.25">
      <c r="EH2349" s="313">
        <v>2346</v>
      </c>
      <c r="EI2349" s="314"/>
      <c r="EJ2349" s="247" t="str">
        <f t="shared" si="128"/>
        <v/>
      </c>
      <c r="EK2349" t="str">
        <f t="shared" si="129"/>
        <v/>
      </c>
    </row>
    <row r="2350" spans="138:141" x14ac:dyDescent="0.25">
      <c r="EH2350" s="313">
        <v>2347</v>
      </c>
      <c r="EI2350" s="314"/>
      <c r="EJ2350" s="247" t="str">
        <f t="shared" si="128"/>
        <v/>
      </c>
      <c r="EK2350" t="str">
        <f t="shared" si="129"/>
        <v/>
      </c>
    </row>
    <row r="2351" spans="138:141" x14ac:dyDescent="0.25">
      <c r="EH2351" s="313">
        <v>2348</v>
      </c>
      <c r="EI2351" s="314"/>
      <c r="EJ2351" s="247" t="str">
        <f t="shared" si="128"/>
        <v/>
      </c>
      <c r="EK2351" t="str">
        <f t="shared" si="129"/>
        <v/>
      </c>
    </row>
    <row r="2352" spans="138:141" x14ac:dyDescent="0.25">
      <c r="EH2352" s="313">
        <v>2349</v>
      </c>
      <c r="EI2352" s="314"/>
      <c r="EJ2352" s="247" t="str">
        <f t="shared" si="128"/>
        <v/>
      </c>
      <c r="EK2352" t="str">
        <f t="shared" si="129"/>
        <v/>
      </c>
    </row>
    <row r="2353" spans="138:141" x14ac:dyDescent="0.25">
      <c r="EH2353" s="313">
        <v>2350</v>
      </c>
      <c r="EI2353" s="314">
        <v>27.7408</v>
      </c>
      <c r="EJ2353" s="247">
        <f t="shared" si="128"/>
        <v>1</v>
      </c>
      <c r="EK2353">
        <f t="shared" si="129"/>
        <v>2.8306938775510204</v>
      </c>
    </row>
    <row r="2354" spans="138:141" x14ac:dyDescent="0.25">
      <c r="EH2354" s="313">
        <v>2351</v>
      </c>
      <c r="EI2354" s="314"/>
      <c r="EJ2354" s="247" t="str">
        <f t="shared" si="128"/>
        <v/>
      </c>
      <c r="EK2354" t="str">
        <f t="shared" si="129"/>
        <v/>
      </c>
    </row>
    <row r="2355" spans="138:141" x14ac:dyDescent="0.25">
      <c r="EH2355" s="313">
        <v>2352</v>
      </c>
      <c r="EI2355" s="314"/>
      <c r="EJ2355" s="247" t="str">
        <f t="shared" si="128"/>
        <v/>
      </c>
      <c r="EK2355" t="str">
        <f t="shared" si="129"/>
        <v/>
      </c>
    </row>
    <row r="2356" spans="138:141" x14ac:dyDescent="0.25">
      <c r="EH2356" s="313">
        <v>2353</v>
      </c>
      <c r="EI2356" s="314"/>
      <c r="EJ2356" s="247" t="str">
        <f t="shared" si="128"/>
        <v/>
      </c>
      <c r="EK2356" t="str">
        <f t="shared" si="129"/>
        <v/>
      </c>
    </row>
    <row r="2357" spans="138:141" x14ac:dyDescent="0.25">
      <c r="EH2357" s="313">
        <v>2354</v>
      </c>
      <c r="EI2357" s="314"/>
      <c r="EJ2357" s="247" t="str">
        <f t="shared" si="128"/>
        <v/>
      </c>
      <c r="EK2357" t="str">
        <f t="shared" si="129"/>
        <v/>
      </c>
    </row>
    <row r="2358" spans="138:141" x14ac:dyDescent="0.25">
      <c r="EH2358" s="313">
        <v>2355</v>
      </c>
      <c r="EI2358" s="314"/>
      <c r="EJ2358" s="247" t="str">
        <f t="shared" si="128"/>
        <v/>
      </c>
      <c r="EK2358" t="str">
        <f t="shared" si="129"/>
        <v/>
      </c>
    </row>
    <row r="2359" spans="138:141" x14ac:dyDescent="0.25">
      <c r="EH2359" s="313">
        <v>2356</v>
      </c>
      <c r="EI2359" s="314"/>
      <c r="EJ2359" s="247" t="str">
        <f t="shared" si="128"/>
        <v/>
      </c>
      <c r="EK2359" t="str">
        <f t="shared" si="129"/>
        <v/>
      </c>
    </row>
    <row r="2360" spans="138:141" x14ac:dyDescent="0.25">
      <c r="EH2360" s="313">
        <v>2357</v>
      </c>
      <c r="EI2360" s="314"/>
      <c r="EJ2360" s="247" t="str">
        <f t="shared" si="128"/>
        <v/>
      </c>
      <c r="EK2360" t="str">
        <f t="shared" si="129"/>
        <v/>
      </c>
    </row>
    <row r="2361" spans="138:141" x14ac:dyDescent="0.25">
      <c r="EH2361" s="313">
        <v>2358</v>
      </c>
      <c r="EI2361" s="314"/>
      <c r="EJ2361" s="247" t="str">
        <f t="shared" si="128"/>
        <v/>
      </c>
      <c r="EK2361" t="str">
        <f t="shared" si="129"/>
        <v/>
      </c>
    </row>
    <row r="2362" spans="138:141" x14ac:dyDescent="0.25">
      <c r="EH2362" s="313">
        <v>2359</v>
      </c>
      <c r="EI2362" s="314"/>
      <c r="EJ2362" s="247" t="str">
        <f t="shared" si="128"/>
        <v/>
      </c>
      <c r="EK2362" t="str">
        <f t="shared" si="129"/>
        <v/>
      </c>
    </row>
    <row r="2363" spans="138:141" x14ac:dyDescent="0.25">
      <c r="EH2363" s="313">
        <v>2360</v>
      </c>
      <c r="EI2363" s="314">
        <v>27.855499999999999</v>
      </c>
      <c r="EJ2363" s="247">
        <f t="shared" si="128"/>
        <v>1</v>
      </c>
      <c r="EK2363">
        <f t="shared" si="129"/>
        <v>2.842397959183673</v>
      </c>
    </row>
    <row r="2364" spans="138:141" x14ac:dyDescent="0.25">
      <c r="EH2364" s="313">
        <v>2361</v>
      </c>
      <c r="EI2364" s="314"/>
      <c r="EJ2364" s="247" t="str">
        <f t="shared" si="128"/>
        <v/>
      </c>
      <c r="EK2364" t="str">
        <f t="shared" si="129"/>
        <v/>
      </c>
    </row>
    <row r="2365" spans="138:141" x14ac:dyDescent="0.25">
      <c r="EH2365" s="313">
        <v>2362</v>
      </c>
      <c r="EI2365" s="314"/>
      <c r="EJ2365" s="247" t="str">
        <f t="shared" si="128"/>
        <v/>
      </c>
      <c r="EK2365" t="str">
        <f t="shared" si="129"/>
        <v/>
      </c>
    </row>
    <row r="2366" spans="138:141" x14ac:dyDescent="0.25">
      <c r="EH2366" s="313">
        <v>2363</v>
      </c>
      <c r="EI2366" s="314"/>
      <c r="EJ2366" s="247" t="str">
        <f t="shared" si="128"/>
        <v/>
      </c>
      <c r="EK2366" t="str">
        <f t="shared" si="129"/>
        <v/>
      </c>
    </row>
    <row r="2367" spans="138:141" x14ac:dyDescent="0.25">
      <c r="EH2367" s="313">
        <v>2364</v>
      </c>
      <c r="EI2367" s="314"/>
      <c r="EJ2367" s="247" t="str">
        <f t="shared" si="128"/>
        <v/>
      </c>
      <c r="EK2367" t="str">
        <f t="shared" si="129"/>
        <v/>
      </c>
    </row>
    <row r="2368" spans="138:141" x14ac:dyDescent="0.25">
      <c r="EH2368" s="313">
        <v>2365</v>
      </c>
      <c r="EI2368" s="314"/>
      <c r="EJ2368" s="247" t="str">
        <f t="shared" si="128"/>
        <v/>
      </c>
      <c r="EK2368" t="str">
        <f t="shared" si="129"/>
        <v/>
      </c>
    </row>
    <row r="2369" spans="138:141" x14ac:dyDescent="0.25">
      <c r="EH2369" s="313">
        <v>2366</v>
      </c>
      <c r="EI2369" s="314"/>
      <c r="EJ2369" s="247" t="str">
        <f t="shared" si="128"/>
        <v/>
      </c>
      <c r="EK2369" t="str">
        <f t="shared" si="129"/>
        <v/>
      </c>
    </row>
    <row r="2370" spans="138:141" x14ac:dyDescent="0.25">
      <c r="EH2370" s="313">
        <v>2367</v>
      </c>
      <c r="EI2370" s="314"/>
      <c r="EJ2370" s="247" t="str">
        <f t="shared" si="128"/>
        <v/>
      </c>
      <c r="EK2370" t="str">
        <f t="shared" si="129"/>
        <v/>
      </c>
    </row>
    <row r="2371" spans="138:141" x14ac:dyDescent="0.25">
      <c r="EH2371" s="313">
        <v>2368</v>
      </c>
      <c r="EI2371" s="314"/>
      <c r="EJ2371" s="247" t="str">
        <f t="shared" si="128"/>
        <v/>
      </c>
      <c r="EK2371" t="str">
        <f t="shared" si="129"/>
        <v/>
      </c>
    </row>
    <row r="2372" spans="138:141" x14ac:dyDescent="0.25">
      <c r="EH2372" s="313">
        <v>2369</v>
      </c>
      <c r="EI2372" s="314"/>
      <c r="EJ2372" s="247" t="str">
        <f t="shared" si="128"/>
        <v/>
      </c>
      <c r="EK2372" t="str">
        <f t="shared" si="129"/>
        <v/>
      </c>
    </row>
    <row r="2373" spans="138:141" x14ac:dyDescent="0.25">
      <c r="EH2373" s="313">
        <v>2370</v>
      </c>
      <c r="EI2373" s="314">
        <v>27.970099999999999</v>
      </c>
      <c r="EJ2373" s="247">
        <f t="shared" ref="EJ2373:EJ2436" si="130">IF(EI2373="","",1)</f>
        <v>1</v>
      </c>
      <c r="EK2373">
        <f t="shared" ref="EK2373:EK2436" si="131">IF(EI2373="","",EI2373/9.8)</f>
        <v>2.8540918367346935</v>
      </c>
    </row>
    <row r="2374" spans="138:141" x14ac:dyDescent="0.25">
      <c r="EH2374" s="313">
        <v>2371</v>
      </c>
      <c r="EI2374" s="314"/>
      <c r="EJ2374" s="247" t="str">
        <f t="shared" si="130"/>
        <v/>
      </c>
      <c r="EK2374" t="str">
        <f t="shared" si="131"/>
        <v/>
      </c>
    </row>
    <row r="2375" spans="138:141" x14ac:dyDescent="0.25">
      <c r="EH2375" s="313">
        <v>2372</v>
      </c>
      <c r="EI2375" s="314"/>
      <c r="EJ2375" s="247" t="str">
        <f t="shared" si="130"/>
        <v/>
      </c>
      <c r="EK2375" t="str">
        <f t="shared" si="131"/>
        <v/>
      </c>
    </row>
    <row r="2376" spans="138:141" x14ac:dyDescent="0.25">
      <c r="EH2376" s="313">
        <v>2373</v>
      </c>
      <c r="EI2376" s="314"/>
      <c r="EJ2376" s="247" t="str">
        <f t="shared" si="130"/>
        <v/>
      </c>
      <c r="EK2376" t="str">
        <f t="shared" si="131"/>
        <v/>
      </c>
    </row>
    <row r="2377" spans="138:141" x14ac:dyDescent="0.25">
      <c r="EH2377" s="313">
        <v>2374</v>
      </c>
      <c r="EI2377" s="314"/>
      <c r="EJ2377" s="247" t="str">
        <f t="shared" si="130"/>
        <v/>
      </c>
      <c r="EK2377" t="str">
        <f t="shared" si="131"/>
        <v/>
      </c>
    </row>
    <row r="2378" spans="138:141" x14ac:dyDescent="0.25">
      <c r="EH2378" s="313">
        <v>2375</v>
      </c>
      <c r="EI2378" s="314"/>
      <c r="EJ2378" s="247" t="str">
        <f t="shared" si="130"/>
        <v/>
      </c>
      <c r="EK2378" t="str">
        <f t="shared" si="131"/>
        <v/>
      </c>
    </row>
    <row r="2379" spans="138:141" x14ac:dyDescent="0.25">
      <c r="EH2379" s="313">
        <v>2376</v>
      </c>
      <c r="EI2379" s="314"/>
      <c r="EJ2379" s="247" t="str">
        <f t="shared" si="130"/>
        <v/>
      </c>
      <c r="EK2379" t="str">
        <f t="shared" si="131"/>
        <v/>
      </c>
    </row>
    <row r="2380" spans="138:141" x14ac:dyDescent="0.25">
      <c r="EH2380" s="313">
        <v>2377</v>
      </c>
      <c r="EI2380" s="314"/>
      <c r="EJ2380" s="247" t="str">
        <f t="shared" si="130"/>
        <v/>
      </c>
      <c r="EK2380" t="str">
        <f t="shared" si="131"/>
        <v/>
      </c>
    </row>
    <row r="2381" spans="138:141" x14ac:dyDescent="0.25">
      <c r="EH2381" s="313">
        <v>2378</v>
      </c>
      <c r="EI2381" s="314"/>
      <c r="EJ2381" s="247" t="str">
        <f t="shared" si="130"/>
        <v/>
      </c>
      <c r="EK2381" t="str">
        <f t="shared" si="131"/>
        <v/>
      </c>
    </row>
    <row r="2382" spans="138:141" x14ac:dyDescent="0.25">
      <c r="EH2382" s="313">
        <v>2379</v>
      </c>
      <c r="EI2382" s="314"/>
      <c r="EJ2382" s="247" t="str">
        <f t="shared" si="130"/>
        <v/>
      </c>
      <c r="EK2382" t="str">
        <f t="shared" si="131"/>
        <v/>
      </c>
    </row>
    <row r="2383" spans="138:141" x14ac:dyDescent="0.25">
      <c r="EH2383" s="313">
        <v>2380</v>
      </c>
      <c r="EI2383" s="314">
        <v>28.084800000000001</v>
      </c>
      <c r="EJ2383" s="247">
        <f t="shared" si="130"/>
        <v>1</v>
      </c>
      <c r="EK2383">
        <f t="shared" si="131"/>
        <v>2.8657959183673469</v>
      </c>
    </row>
    <row r="2384" spans="138:141" x14ac:dyDescent="0.25">
      <c r="EH2384" s="313">
        <v>2381</v>
      </c>
      <c r="EI2384" s="314"/>
      <c r="EJ2384" s="247" t="str">
        <f t="shared" si="130"/>
        <v/>
      </c>
      <c r="EK2384" t="str">
        <f t="shared" si="131"/>
        <v/>
      </c>
    </row>
    <row r="2385" spans="138:141" x14ac:dyDescent="0.25">
      <c r="EH2385" s="313">
        <v>2382</v>
      </c>
      <c r="EI2385" s="314"/>
      <c r="EJ2385" s="247" t="str">
        <f t="shared" si="130"/>
        <v/>
      </c>
      <c r="EK2385" t="str">
        <f t="shared" si="131"/>
        <v/>
      </c>
    </row>
    <row r="2386" spans="138:141" x14ac:dyDescent="0.25">
      <c r="EH2386" s="313">
        <v>2383</v>
      </c>
      <c r="EI2386" s="314"/>
      <c r="EJ2386" s="247" t="str">
        <f t="shared" si="130"/>
        <v/>
      </c>
      <c r="EK2386" t="str">
        <f t="shared" si="131"/>
        <v/>
      </c>
    </row>
    <row r="2387" spans="138:141" x14ac:dyDescent="0.25">
      <c r="EH2387" s="313">
        <v>2384</v>
      </c>
      <c r="EI2387" s="314"/>
      <c r="EJ2387" s="247" t="str">
        <f t="shared" si="130"/>
        <v/>
      </c>
      <c r="EK2387" t="str">
        <f t="shared" si="131"/>
        <v/>
      </c>
    </row>
    <row r="2388" spans="138:141" x14ac:dyDescent="0.25">
      <c r="EH2388" s="313">
        <v>2385</v>
      </c>
      <c r="EI2388" s="314"/>
      <c r="EJ2388" s="247" t="str">
        <f t="shared" si="130"/>
        <v/>
      </c>
      <c r="EK2388" t="str">
        <f t="shared" si="131"/>
        <v/>
      </c>
    </row>
    <row r="2389" spans="138:141" x14ac:dyDescent="0.25">
      <c r="EH2389" s="313">
        <v>2386</v>
      </c>
      <c r="EI2389" s="314"/>
      <c r="EJ2389" s="247" t="str">
        <f t="shared" si="130"/>
        <v/>
      </c>
      <c r="EK2389" t="str">
        <f t="shared" si="131"/>
        <v/>
      </c>
    </row>
    <row r="2390" spans="138:141" x14ac:dyDescent="0.25">
      <c r="EH2390" s="313">
        <v>2387</v>
      </c>
      <c r="EI2390" s="314"/>
      <c r="EJ2390" s="247" t="str">
        <f t="shared" si="130"/>
        <v/>
      </c>
      <c r="EK2390" t="str">
        <f t="shared" si="131"/>
        <v/>
      </c>
    </row>
    <row r="2391" spans="138:141" x14ac:dyDescent="0.25">
      <c r="EH2391" s="313">
        <v>2388</v>
      </c>
      <c r="EI2391" s="314"/>
      <c r="EJ2391" s="247" t="str">
        <f t="shared" si="130"/>
        <v/>
      </c>
      <c r="EK2391" t="str">
        <f t="shared" si="131"/>
        <v/>
      </c>
    </row>
    <row r="2392" spans="138:141" x14ac:dyDescent="0.25">
      <c r="EH2392" s="313">
        <v>2389</v>
      </c>
      <c r="EI2392" s="314"/>
      <c r="EJ2392" s="247" t="str">
        <f t="shared" si="130"/>
        <v/>
      </c>
      <c r="EK2392" t="str">
        <f t="shared" si="131"/>
        <v/>
      </c>
    </row>
    <row r="2393" spans="138:141" x14ac:dyDescent="0.25">
      <c r="EH2393" s="313">
        <v>2390</v>
      </c>
      <c r="EI2393" s="314">
        <v>28.1995</v>
      </c>
      <c r="EJ2393" s="247">
        <f t="shared" si="130"/>
        <v>1</v>
      </c>
      <c r="EK2393">
        <f t="shared" si="131"/>
        <v>2.8774999999999999</v>
      </c>
    </row>
    <row r="2394" spans="138:141" x14ac:dyDescent="0.25">
      <c r="EH2394" s="313">
        <v>2391</v>
      </c>
      <c r="EI2394" s="314"/>
      <c r="EJ2394" s="247" t="str">
        <f t="shared" si="130"/>
        <v/>
      </c>
      <c r="EK2394" t="str">
        <f t="shared" si="131"/>
        <v/>
      </c>
    </row>
    <row r="2395" spans="138:141" x14ac:dyDescent="0.25">
      <c r="EH2395" s="313">
        <v>2392</v>
      </c>
      <c r="EI2395" s="314"/>
      <c r="EJ2395" s="247" t="str">
        <f t="shared" si="130"/>
        <v/>
      </c>
      <c r="EK2395" t="str">
        <f t="shared" si="131"/>
        <v/>
      </c>
    </row>
    <row r="2396" spans="138:141" x14ac:dyDescent="0.25">
      <c r="EH2396" s="313">
        <v>2393</v>
      </c>
      <c r="EI2396" s="314"/>
      <c r="EJ2396" s="247" t="str">
        <f t="shared" si="130"/>
        <v/>
      </c>
      <c r="EK2396" t="str">
        <f t="shared" si="131"/>
        <v/>
      </c>
    </row>
    <row r="2397" spans="138:141" x14ac:dyDescent="0.25">
      <c r="EH2397" s="313">
        <v>2394</v>
      </c>
      <c r="EI2397" s="314"/>
      <c r="EJ2397" s="247" t="str">
        <f t="shared" si="130"/>
        <v/>
      </c>
      <c r="EK2397" t="str">
        <f t="shared" si="131"/>
        <v/>
      </c>
    </row>
    <row r="2398" spans="138:141" x14ac:dyDescent="0.25">
      <c r="EH2398" s="313">
        <v>2395</v>
      </c>
      <c r="EI2398" s="314"/>
      <c r="EJ2398" s="247" t="str">
        <f t="shared" si="130"/>
        <v/>
      </c>
      <c r="EK2398" t="str">
        <f t="shared" si="131"/>
        <v/>
      </c>
    </row>
    <row r="2399" spans="138:141" x14ac:dyDescent="0.25">
      <c r="EH2399" s="313">
        <v>2396</v>
      </c>
      <c r="EI2399" s="314"/>
      <c r="EJ2399" s="247" t="str">
        <f t="shared" si="130"/>
        <v/>
      </c>
      <c r="EK2399" t="str">
        <f t="shared" si="131"/>
        <v/>
      </c>
    </row>
    <row r="2400" spans="138:141" x14ac:dyDescent="0.25">
      <c r="EH2400" s="313">
        <v>2397</v>
      </c>
      <c r="EI2400" s="314"/>
      <c r="EJ2400" s="247" t="str">
        <f t="shared" si="130"/>
        <v/>
      </c>
      <c r="EK2400" t="str">
        <f t="shared" si="131"/>
        <v/>
      </c>
    </row>
    <row r="2401" spans="138:141" x14ac:dyDescent="0.25">
      <c r="EH2401" s="313">
        <v>2398</v>
      </c>
      <c r="EI2401" s="314"/>
      <c r="EJ2401" s="247" t="str">
        <f t="shared" si="130"/>
        <v/>
      </c>
      <c r="EK2401" t="str">
        <f t="shared" si="131"/>
        <v/>
      </c>
    </row>
    <row r="2402" spans="138:141" x14ac:dyDescent="0.25">
      <c r="EH2402" s="313">
        <v>2399</v>
      </c>
      <c r="EI2402" s="314"/>
      <c r="EJ2402" s="247" t="str">
        <f t="shared" si="130"/>
        <v/>
      </c>
      <c r="EK2402" t="str">
        <f t="shared" si="131"/>
        <v/>
      </c>
    </row>
    <row r="2403" spans="138:141" x14ac:dyDescent="0.25">
      <c r="EH2403" s="313">
        <v>2400</v>
      </c>
      <c r="EI2403" s="314">
        <v>28.3142</v>
      </c>
      <c r="EJ2403" s="247">
        <f t="shared" si="130"/>
        <v>1</v>
      </c>
      <c r="EK2403">
        <f t="shared" si="131"/>
        <v>2.889204081632653</v>
      </c>
    </row>
    <row r="2404" spans="138:141" x14ac:dyDescent="0.25">
      <c r="EH2404" s="313">
        <v>2401</v>
      </c>
      <c r="EI2404" s="314"/>
      <c r="EJ2404" s="247" t="str">
        <f t="shared" si="130"/>
        <v/>
      </c>
      <c r="EK2404" t="str">
        <f t="shared" si="131"/>
        <v/>
      </c>
    </row>
    <row r="2405" spans="138:141" x14ac:dyDescent="0.25">
      <c r="EH2405" s="313">
        <v>2402</v>
      </c>
      <c r="EI2405" s="314"/>
      <c r="EJ2405" s="247" t="str">
        <f t="shared" si="130"/>
        <v/>
      </c>
      <c r="EK2405" t="str">
        <f t="shared" si="131"/>
        <v/>
      </c>
    </row>
    <row r="2406" spans="138:141" x14ac:dyDescent="0.25">
      <c r="EH2406" s="313">
        <v>2403</v>
      </c>
      <c r="EI2406" s="314"/>
      <c r="EJ2406" s="247" t="str">
        <f t="shared" si="130"/>
        <v/>
      </c>
      <c r="EK2406" t="str">
        <f t="shared" si="131"/>
        <v/>
      </c>
    </row>
    <row r="2407" spans="138:141" x14ac:dyDescent="0.25">
      <c r="EH2407" s="313">
        <v>2404</v>
      </c>
      <c r="EI2407" s="314"/>
      <c r="EJ2407" s="247" t="str">
        <f t="shared" si="130"/>
        <v/>
      </c>
      <c r="EK2407" t="str">
        <f t="shared" si="131"/>
        <v/>
      </c>
    </row>
    <row r="2408" spans="138:141" x14ac:dyDescent="0.25">
      <c r="EH2408" s="313">
        <v>2405</v>
      </c>
      <c r="EI2408" s="314"/>
      <c r="EJ2408" s="247" t="str">
        <f t="shared" si="130"/>
        <v/>
      </c>
      <c r="EK2408" t="str">
        <f t="shared" si="131"/>
        <v/>
      </c>
    </row>
    <row r="2409" spans="138:141" x14ac:dyDescent="0.25">
      <c r="EH2409" s="313">
        <v>2406</v>
      </c>
      <c r="EI2409" s="314"/>
      <c r="EJ2409" s="247" t="str">
        <f t="shared" si="130"/>
        <v/>
      </c>
      <c r="EK2409" t="str">
        <f t="shared" si="131"/>
        <v/>
      </c>
    </row>
    <row r="2410" spans="138:141" x14ac:dyDescent="0.25">
      <c r="EH2410" s="313">
        <v>2407</v>
      </c>
      <c r="EI2410" s="314"/>
      <c r="EJ2410" s="247" t="str">
        <f t="shared" si="130"/>
        <v/>
      </c>
      <c r="EK2410" t="str">
        <f t="shared" si="131"/>
        <v/>
      </c>
    </row>
    <row r="2411" spans="138:141" x14ac:dyDescent="0.25">
      <c r="EH2411" s="313">
        <v>2408</v>
      </c>
      <c r="EI2411" s="314"/>
      <c r="EJ2411" s="247" t="str">
        <f t="shared" si="130"/>
        <v/>
      </c>
      <c r="EK2411" t="str">
        <f t="shared" si="131"/>
        <v/>
      </c>
    </row>
    <row r="2412" spans="138:141" x14ac:dyDescent="0.25">
      <c r="EH2412" s="313">
        <v>2409</v>
      </c>
      <c r="EI2412" s="314"/>
      <c r="EJ2412" s="247" t="str">
        <f t="shared" si="130"/>
        <v/>
      </c>
      <c r="EK2412" t="str">
        <f t="shared" si="131"/>
        <v/>
      </c>
    </row>
    <row r="2413" spans="138:141" x14ac:dyDescent="0.25">
      <c r="EH2413" s="313">
        <v>2410</v>
      </c>
      <c r="EI2413" s="314">
        <v>28.428799999999999</v>
      </c>
      <c r="EJ2413" s="247">
        <f t="shared" si="130"/>
        <v>1</v>
      </c>
      <c r="EK2413">
        <f t="shared" si="131"/>
        <v>2.900897959183673</v>
      </c>
    </row>
    <row r="2414" spans="138:141" x14ac:dyDescent="0.25">
      <c r="EH2414" s="313">
        <v>2411</v>
      </c>
      <c r="EI2414" s="314"/>
      <c r="EJ2414" s="247" t="str">
        <f t="shared" si="130"/>
        <v/>
      </c>
      <c r="EK2414" t="str">
        <f t="shared" si="131"/>
        <v/>
      </c>
    </row>
    <row r="2415" spans="138:141" x14ac:dyDescent="0.25">
      <c r="EH2415" s="313">
        <v>2412</v>
      </c>
      <c r="EI2415" s="314"/>
      <c r="EJ2415" s="247" t="str">
        <f t="shared" si="130"/>
        <v/>
      </c>
      <c r="EK2415" t="str">
        <f t="shared" si="131"/>
        <v/>
      </c>
    </row>
    <row r="2416" spans="138:141" x14ac:dyDescent="0.25">
      <c r="EH2416" s="313">
        <v>2413</v>
      </c>
      <c r="EI2416" s="314"/>
      <c r="EJ2416" s="247" t="str">
        <f t="shared" si="130"/>
        <v/>
      </c>
      <c r="EK2416" t="str">
        <f t="shared" si="131"/>
        <v/>
      </c>
    </row>
    <row r="2417" spans="138:141" x14ac:dyDescent="0.25">
      <c r="EH2417" s="313">
        <v>2414</v>
      </c>
      <c r="EI2417" s="314"/>
      <c r="EJ2417" s="247" t="str">
        <f t="shared" si="130"/>
        <v/>
      </c>
      <c r="EK2417" t="str">
        <f t="shared" si="131"/>
        <v/>
      </c>
    </row>
    <row r="2418" spans="138:141" x14ac:dyDescent="0.25">
      <c r="EH2418" s="313">
        <v>2415</v>
      </c>
      <c r="EI2418" s="314"/>
      <c r="EJ2418" s="247" t="str">
        <f t="shared" si="130"/>
        <v/>
      </c>
      <c r="EK2418" t="str">
        <f t="shared" si="131"/>
        <v/>
      </c>
    </row>
    <row r="2419" spans="138:141" x14ac:dyDescent="0.25">
      <c r="EH2419" s="313">
        <v>2416</v>
      </c>
      <c r="EI2419" s="314"/>
      <c r="EJ2419" s="247" t="str">
        <f t="shared" si="130"/>
        <v/>
      </c>
      <c r="EK2419" t="str">
        <f t="shared" si="131"/>
        <v/>
      </c>
    </row>
    <row r="2420" spans="138:141" x14ac:dyDescent="0.25">
      <c r="EH2420" s="313">
        <v>2417</v>
      </c>
      <c r="EI2420" s="314"/>
      <c r="EJ2420" s="247" t="str">
        <f t="shared" si="130"/>
        <v/>
      </c>
      <c r="EK2420" t="str">
        <f t="shared" si="131"/>
        <v/>
      </c>
    </row>
    <row r="2421" spans="138:141" x14ac:dyDescent="0.25">
      <c r="EH2421" s="313">
        <v>2418</v>
      </c>
      <c r="EI2421" s="314"/>
      <c r="EJ2421" s="247" t="str">
        <f t="shared" si="130"/>
        <v/>
      </c>
      <c r="EK2421" t="str">
        <f t="shared" si="131"/>
        <v/>
      </c>
    </row>
    <row r="2422" spans="138:141" x14ac:dyDescent="0.25">
      <c r="EH2422" s="313">
        <v>2419</v>
      </c>
      <c r="EI2422" s="314"/>
      <c r="EJ2422" s="247" t="str">
        <f t="shared" si="130"/>
        <v/>
      </c>
      <c r="EK2422" t="str">
        <f t="shared" si="131"/>
        <v/>
      </c>
    </row>
    <row r="2423" spans="138:141" x14ac:dyDescent="0.25">
      <c r="EH2423" s="313">
        <v>2420</v>
      </c>
      <c r="EI2423" s="314">
        <v>28.543500000000002</v>
      </c>
      <c r="EJ2423" s="247">
        <f t="shared" si="130"/>
        <v>1</v>
      </c>
      <c r="EK2423">
        <f t="shared" si="131"/>
        <v>2.9126020408163265</v>
      </c>
    </row>
    <row r="2424" spans="138:141" x14ac:dyDescent="0.25">
      <c r="EH2424" s="313">
        <v>2421</v>
      </c>
      <c r="EI2424" s="314"/>
      <c r="EJ2424" s="247" t="str">
        <f t="shared" si="130"/>
        <v/>
      </c>
      <c r="EK2424" t="str">
        <f t="shared" si="131"/>
        <v/>
      </c>
    </row>
    <row r="2425" spans="138:141" x14ac:dyDescent="0.25">
      <c r="EH2425" s="313">
        <v>2422</v>
      </c>
      <c r="EI2425" s="314"/>
      <c r="EJ2425" s="247" t="str">
        <f t="shared" si="130"/>
        <v/>
      </c>
      <c r="EK2425" t="str">
        <f t="shared" si="131"/>
        <v/>
      </c>
    </row>
    <row r="2426" spans="138:141" x14ac:dyDescent="0.25">
      <c r="EH2426" s="313">
        <v>2423</v>
      </c>
      <c r="EI2426" s="314"/>
      <c r="EJ2426" s="247" t="str">
        <f t="shared" si="130"/>
        <v/>
      </c>
      <c r="EK2426" t="str">
        <f t="shared" si="131"/>
        <v/>
      </c>
    </row>
    <row r="2427" spans="138:141" x14ac:dyDescent="0.25">
      <c r="EH2427" s="313">
        <v>2424</v>
      </c>
      <c r="EI2427" s="314"/>
      <c r="EJ2427" s="247" t="str">
        <f t="shared" si="130"/>
        <v/>
      </c>
      <c r="EK2427" t="str">
        <f t="shared" si="131"/>
        <v/>
      </c>
    </row>
    <row r="2428" spans="138:141" x14ac:dyDescent="0.25">
      <c r="EH2428" s="313">
        <v>2425</v>
      </c>
      <c r="EI2428" s="314"/>
      <c r="EJ2428" s="247" t="str">
        <f t="shared" si="130"/>
        <v/>
      </c>
      <c r="EK2428" t="str">
        <f t="shared" si="131"/>
        <v/>
      </c>
    </row>
    <row r="2429" spans="138:141" x14ac:dyDescent="0.25">
      <c r="EH2429" s="313">
        <v>2426</v>
      </c>
      <c r="EI2429" s="314"/>
      <c r="EJ2429" s="247" t="str">
        <f t="shared" si="130"/>
        <v/>
      </c>
      <c r="EK2429" t="str">
        <f t="shared" si="131"/>
        <v/>
      </c>
    </row>
    <row r="2430" spans="138:141" x14ac:dyDescent="0.25">
      <c r="EH2430" s="313">
        <v>2427</v>
      </c>
      <c r="EI2430" s="314"/>
      <c r="EJ2430" s="247" t="str">
        <f t="shared" si="130"/>
        <v/>
      </c>
      <c r="EK2430" t="str">
        <f t="shared" si="131"/>
        <v/>
      </c>
    </row>
    <row r="2431" spans="138:141" x14ac:dyDescent="0.25">
      <c r="EH2431" s="313">
        <v>2428</v>
      </c>
      <c r="EI2431" s="314"/>
      <c r="EJ2431" s="247" t="str">
        <f t="shared" si="130"/>
        <v/>
      </c>
      <c r="EK2431" t="str">
        <f t="shared" si="131"/>
        <v/>
      </c>
    </row>
    <row r="2432" spans="138:141" x14ac:dyDescent="0.25">
      <c r="EH2432" s="313">
        <v>2429</v>
      </c>
      <c r="EI2432" s="314"/>
      <c r="EJ2432" s="247" t="str">
        <f t="shared" si="130"/>
        <v/>
      </c>
      <c r="EK2432" t="str">
        <f t="shared" si="131"/>
        <v/>
      </c>
    </row>
    <row r="2433" spans="138:141" x14ac:dyDescent="0.25">
      <c r="EH2433" s="313">
        <v>2430</v>
      </c>
      <c r="EI2433" s="314">
        <v>28.658200000000001</v>
      </c>
      <c r="EJ2433" s="247">
        <f t="shared" si="130"/>
        <v>1</v>
      </c>
      <c r="EK2433">
        <f t="shared" si="131"/>
        <v>2.9243061224489795</v>
      </c>
    </row>
    <row r="2434" spans="138:141" x14ac:dyDescent="0.25">
      <c r="EH2434" s="313">
        <v>2431</v>
      </c>
      <c r="EI2434" s="314"/>
      <c r="EJ2434" s="247" t="str">
        <f t="shared" si="130"/>
        <v/>
      </c>
      <c r="EK2434" t="str">
        <f t="shared" si="131"/>
        <v/>
      </c>
    </row>
    <row r="2435" spans="138:141" x14ac:dyDescent="0.25">
      <c r="EH2435" s="313">
        <v>2432</v>
      </c>
      <c r="EI2435" s="314"/>
      <c r="EJ2435" s="247" t="str">
        <f t="shared" si="130"/>
        <v/>
      </c>
      <c r="EK2435" t="str">
        <f t="shared" si="131"/>
        <v/>
      </c>
    </row>
    <row r="2436" spans="138:141" x14ac:dyDescent="0.25">
      <c r="EH2436" s="313">
        <v>2433</v>
      </c>
      <c r="EI2436" s="314"/>
      <c r="EJ2436" s="247" t="str">
        <f t="shared" si="130"/>
        <v/>
      </c>
      <c r="EK2436" t="str">
        <f t="shared" si="131"/>
        <v/>
      </c>
    </row>
    <row r="2437" spans="138:141" x14ac:dyDescent="0.25">
      <c r="EH2437" s="313">
        <v>2434</v>
      </c>
      <c r="EI2437" s="314"/>
      <c r="EJ2437" s="247" t="str">
        <f t="shared" ref="EJ2437:EJ2500" si="132">IF(EI2437="","",1)</f>
        <v/>
      </c>
      <c r="EK2437" t="str">
        <f t="shared" ref="EK2437:EK2500" si="133">IF(EI2437="","",EI2437/9.8)</f>
        <v/>
      </c>
    </row>
    <row r="2438" spans="138:141" x14ac:dyDescent="0.25">
      <c r="EH2438" s="313">
        <v>2435</v>
      </c>
      <c r="EI2438" s="314"/>
      <c r="EJ2438" s="247" t="str">
        <f t="shared" si="132"/>
        <v/>
      </c>
      <c r="EK2438" t="str">
        <f t="shared" si="133"/>
        <v/>
      </c>
    </row>
    <row r="2439" spans="138:141" x14ac:dyDescent="0.25">
      <c r="EH2439" s="313">
        <v>2436</v>
      </c>
      <c r="EI2439" s="314"/>
      <c r="EJ2439" s="247" t="str">
        <f t="shared" si="132"/>
        <v/>
      </c>
      <c r="EK2439" t="str">
        <f t="shared" si="133"/>
        <v/>
      </c>
    </row>
    <row r="2440" spans="138:141" x14ac:dyDescent="0.25">
      <c r="EH2440" s="313">
        <v>2437</v>
      </c>
      <c r="EI2440" s="314"/>
      <c r="EJ2440" s="247" t="str">
        <f t="shared" si="132"/>
        <v/>
      </c>
      <c r="EK2440" t="str">
        <f t="shared" si="133"/>
        <v/>
      </c>
    </row>
    <row r="2441" spans="138:141" x14ac:dyDescent="0.25">
      <c r="EH2441" s="313">
        <v>2438</v>
      </c>
      <c r="EI2441" s="314"/>
      <c r="EJ2441" s="247" t="str">
        <f t="shared" si="132"/>
        <v/>
      </c>
      <c r="EK2441" t="str">
        <f t="shared" si="133"/>
        <v/>
      </c>
    </row>
    <row r="2442" spans="138:141" x14ac:dyDescent="0.25">
      <c r="EH2442" s="313">
        <v>2439</v>
      </c>
      <c r="EI2442" s="314"/>
      <c r="EJ2442" s="247" t="str">
        <f t="shared" si="132"/>
        <v/>
      </c>
      <c r="EK2442" t="str">
        <f t="shared" si="133"/>
        <v/>
      </c>
    </row>
    <row r="2443" spans="138:141" x14ac:dyDescent="0.25">
      <c r="EH2443" s="313">
        <v>2440</v>
      </c>
      <c r="EI2443" s="314">
        <v>28.7729</v>
      </c>
      <c r="EJ2443" s="247">
        <f t="shared" si="132"/>
        <v>1</v>
      </c>
      <c r="EK2443">
        <f t="shared" si="133"/>
        <v>2.9360102040816325</v>
      </c>
    </row>
    <row r="2444" spans="138:141" x14ac:dyDescent="0.25">
      <c r="EH2444" s="313">
        <v>2441</v>
      </c>
      <c r="EI2444" s="314"/>
      <c r="EJ2444" s="247" t="str">
        <f t="shared" si="132"/>
        <v/>
      </c>
      <c r="EK2444" t="str">
        <f t="shared" si="133"/>
        <v/>
      </c>
    </row>
    <row r="2445" spans="138:141" x14ac:dyDescent="0.25">
      <c r="EH2445" s="313">
        <v>2442</v>
      </c>
      <c r="EI2445" s="314"/>
      <c r="EJ2445" s="247" t="str">
        <f t="shared" si="132"/>
        <v/>
      </c>
      <c r="EK2445" t="str">
        <f t="shared" si="133"/>
        <v/>
      </c>
    </row>
    <row r="2446" spans="138:141" x14ac:dyDescent="0.25">
      <c r="EH2446" s="313">
        <v>2443</v>
      </c>
      <c r="EI2446" s="314"/>
      <c r="EJ2446" s="247" t="str">
        <f t="shared" si="132"/>
        <v/>
      </c>
      <c r="EK2446" t="str">
        <f t="shared" si="133"/>
        <v/>
      </c>
    </row>
    <row r="2447" spans="138:141" x14ac:dyDescent="0.25">
      <c r="EH2447" s="313">
        <v>2444</v>
      </c>
      <c r="EI2447" s="314"/>
      <c r="EJ2447" s="247" t="str">
        <f t="shared" si="132"/>
        <v/>
      </c>
      <c r="EK2447" t="str">
        <f t="shared" si="133"/>
        <v/>
      </c>
    </row>
    <row r="2448" spans="138:141" x14ac:dyDescent="0.25">
      <c r="EH2448" s="313">
        <v>2445</v>
      </c>
      <c r="EI2448" s="314"/>
      <c r="EJ2448" s="247" t="str">
        <f t="shared" si="132"/>
        <v/>
      </c>
      <c r="EK2448" t="str">
        <f t="shared" si="133"/>
        <v/>
      </c>
    </row>
    <row r="2449" spans="138:141" x14ac:dyDescent="0.25">
      <c r="EH2449" s="313">
        <v>2446</v>
      </c>
      <c r="EI2449" s="314"/>
      <c r="EJ2449" s="247" t="str">
        <f t="shared" si="132"/>
        <v/>
      </c>
      <c r="EK2449" t="str">
        <f t="shared" si="133"/>
        <v/>
      </c>
    </row>
    <row r="2450" spans="138:141" x14ac:dyDescent="0.25">
      <c r="EH2450" s="313">
        <v>2447</v>
      </c>
      <c r="EI2450" s="314"/>
      <c r="EJ2450" s="247" t="str">
        <f t="shared" si="132"/>
        <v/>
      </c>
      <c r="EK2450" t="str">
        <f t="shared" si="133"/>
        <v/>
      </c>
    </row>
    <row r="2451" spans="138:141" x14ac:dyDescent="0.25">
      <c r="EH2451" s="313">
        <v>2448</v>
      </c>
      <c r="EI2451" s="314"/>
      <c r="EJ2451" s="247" t="str">
        <f t="shared" si="132"/>
        <v/>
      </c>
      <c r="EK2451" t="str">
        <f t="shared" si="133"/>
        <v/>
      </c>
    </row>
    <row r="2452" spans="138:141" x14ac:dyDescent="0.25">
      <c r="EH2452" s="313">
        <v>2449</v>
      </c>
      <c r="EI2452" s="314"/>
      <c r="EJ2452" s="247" t="str">
        <f t="shared" si="132"/>
        <v/>
      </c>
      <c r="EK2452" t="str">
        <f t="shared" si="133"/>
        <v/>
      </c>
    </row>
    <row r="2453" spans="138:141" x14ac:dyDescent="0.25">
      <c r="EH2453" s="313">
        <v>2450</v>
      </c>
      <c r="EI2453" s="314">
        <v>28.887599999999999</v>
      </c>
      <c r="EJ2453" s="247">
        <f t="shared" si="132"/>
        <v>1</v>
      </c>
      <c r="EK2453">
        <f t="shared" si="133"/>
        <v>2.9477142857142855</v>
      </c>
    </row>
    <row r="2454" spans="138:141" x14ac:dyDescent="0.25">
      <c r="EH2454" s="313">
        <v>2451</v>
      </c>
      <c r="EI2454" s="314"/>
      <c r="EJ2454" s="247" t="str">
        <f t="shared" si="132"/>
        <v/>
      </c>
      <c r="EK2454" t="str">
        <f t="shared" si="133"/>
        <v/>
      </c>
    </row>
    <row r="2455" spans="138:141" x14ac:dyDescent="0.25">
      <c r="EH2455" s="313">
        <v>2452</v>
      </c>
      <c r="EI2455" s="314"/>
      <c r="EJ2455" s="247" t="str">
        <f t="shared" si="132"/>
        <v/>
      </c>
      <c r="EK2455" t="str">
        <f t="shared" si="133"/>
        <v/>
      </c>
    </row>
    <row r="2456" spans="138:141" x14ac:dyDescent="0.25">
      <c r="EH2456" s="313">
        <v>2453</v>
      </c>
      <c r="EI2456" s="314"/>
      <c r="EJ2456" s="247" t="str">
        <f t="shared" si="132"/>
        <v/>
      </c>
      <c r="EK2456" t="str">
        <f t="shared" si="133"/>
        <v/>
      </c>
    </row>
    <row r="2457" spans="138:141" x14ac:dyDescent="0.25">
      <c r="EH2457" s="313">
        <v>2454</v>
      </c>
      <c r="EI2457" s="314"/>
      <c r="EJ2457" s="247" t="str">
        <f t="shared" si="132"/>
        <v/>
      </c>
      <c r="EK2457" t="str">
        <f t="shared" si="133"/>
        <v/>
      </c>
    </row>
    <row r="2458" spans="138:141" x14ac:dyDescent="0.25">
      <c r="EH2458" s="313">
        <v>2455</v>
      </c>
      <c r="EI2458" s="314"/>
      <c r="EJ2458" s="247" t="str">
        <f t="shared" si="132"/>
        <v/>
      </c>
      <c r="EK2458" t="str">
        <f t="shared" si="133"/>
        <v/>
      </c>
    </row>
    <row r="2459" spans="138:141" x14ac:dyDescent="0.25">
      <c r="EH2459" s="313">
        <v>2456</v>
      </c>
      <c r="EI2459" s="314"/>
      <c r="EJ2459" s="247" t="str">
        <f t="shared" si="132"/>
        <v/>
      </c>
      <c r="EK2459" t="str">
        <f t="shared" si="133"/>
        <v/>
      </c>
    </row>
    <row r="2460" spans="138:141" x14ac:dyDescent="0.25">
      <c r="EH2460" s="313">
        <v>2457</v>
      </c>
      <c r="EI2460" s="314"/>
      <c r="EJ2460" s="247" t="str">
        <f t="shared" si="132"/>
        <v/>
      </c>
      <c r="EK2460" t="str">
        <f t="shared" si="133"/>
        <v/>
      </c>
    </row>
    <row r="2461" spans="138:141" x14ac:dyDescent="0.25">
      <c r="EH2461" s="313">
        <v>2458</v>
      </c>
      <c r="EI2461" s="314"/>
      <c r="EJ2461" s="247" t="str">
        <f t="shared" si="132"/>
        <v/>
      </c>
      <c r="EK2461" t="str">
        <f t="shared" si="133"/>
        <v/>
      </c>
    </row>
    <row r="2462" spans="138:141" x14ac:dyDescent="0.25">
      <c r="EH2462" s="313">
        <v>2459</v>
      </c>
      <c r="EI2462" s="314"/>
      <c r="EJ2462" s="247" t="str">
        <f t="shared" si="132"/>
        <v/>
      </c>
      <c r="EK2462" t="str">
        <f t="shared" si="133"/>
        <v/>
      </c>
    </row>
    <row r="2463" spans="138:141" x14ac:dyDescent="0.25">
      <c r="EH2463" s="313">
        <v>2460</v>
      </c>
      <c r="EI2463" s="314">
        <v>29.002199999999998</v>
      </c>
      <c r="EJ2463" s="247">
        <f t="shared" si="132"/>
        <v>1</v>
      </c>
      <c r="EK2463">
        <f t="shared" si="133"/>
        <v>2.9594081632653055</v>
      </c>
    </row>
    <row r="2464" spans="138:141" x14ac:dyDescent="0.25">
      <c r="EH2464" s="313">
        <v>2461</v>
      </c>
      <c r="EI2464" s="314"/>
      <c r="EJ2464" s="247" t="str">
        <f t="shared" si="132"/>
        <v/>
      </c>
      <c r="EK2464" t="str">
        <f t="shared" si="133"/>
        <v/>
      </c>
    </row>
    <row r="2465" spans="138:141" x14ac:dyDescent="0.25">
      <c r="EH2465" s="313">
        <v>2462</v>
      </c>
      <c r="EI2465" s="314"/>
      <c r="EJ2465" s="247" t="str">
        <f t="shared" si="132"/>
        <v/>
      </c>
      <c r="EK2465" t="str">
        <f t="shared" si="133"/>
        <v/>
      </c>
    </row>
    <row r="2466" spans="138:141" x14ac:dyDescent="0.25">
      <c r="EH2466" s="313">
        <v>2463</v>
      </c>
      <c r="EI2466" s="314"/>
      <c r="EJ2466" s="247" t="str">
        <f t="shared" si="132"/>
        <v/>
      </c>
      <c r="EK2466" t="str">
        <f t="shared" si="133"/>
        <v/>
      </c>
    </row>
    <row r="2467" spans="138:141" x14ac:dyDescent="0.25">
      <c r="EH2467" s="313">
        <v>2464</v>
      </c>
      <c r="EI2467" s="314"/>
      <c r="EJ2467" s="247" t="str">
        <f t="shared" si="132"/>
        <v/>
      </c>
      <c r="EK2467" t="str">
        <f t="shared" si="133"/>
        <v/>
      </c>
    </row>
    <row r="2468" spans="138:141" x14ac:dyDescent="0.25">
      <c r="EH2468" s="313">
        <v>2465</v>
      </c>
      <c r="EI2468" s="314"/>
      <c r="EJ2468" s="247" t="str">
        <f t="shared" si="132"/>
        <v/>
      </c>
      <c r="EK2468" t="str">
        <f t="shared" si="133"/>
        <v/>
      </c>
    </row>
    <row r="2469" spans="138:141" x14ac:dyDescent="0.25">
      <c r="EH2469" s="313">
        <v>2466</v>
      </c>
      <c r="EI2469" s="314"/>
      <c r="EJ2469" s="247" t="str">
        <f t="shared" si="132"/>
        <v/>
      </c>
      <c r="EK2469" t="str">
        <f t="shared" si="133"/>
        <v/>
      </c>
    </row>
    <row r="2470" spans="138:141" x14ac:dyDescent="0.25">
      <c r="EH2470" s="313">
        <v>2467</v>
      </c>
      <c r="EI2470" s="314"/>
      <c r="EJ2470" s="247" t="str">
        <f t="shared" si="132"/>
        <v/>
      </c>
      <c r="EK2470" t="str">
        <f t="shared" si="133"/>
        <v/>
      </c>
    </row>
    <row r="2471" spans="138:141" x14ac:dyDescent="0.25">
      <c r="EH2471" s="313">
        <v>2468</v>
      </c>
      <c r="EI2471" s="314"/>
      <c r="EJ2471" s="247" t="str">
        <f t="shared" si="132"/>
        <v/>
      </c>
      <c r="EK2471" t="str">
        <f t="shared" si="133"/>
        <v/>
      </c>
    </row>
    <row r="2472" spans="138:141" x14ac:dyDescent="0.25">
      <c r="EH2472" s="313">
        <v>2469</v>
      </c>
      <c r="EI2472" s="314"/>
      <c r="EJ2472" s="247" t="str">
        <f t="shared" si="132"/>
        <v/>
      </c>
      <c r="EK2472" t="str">
        <f t="shared" si="133"/>
        <v/>
      </c>
    </row>
    <row r="2473" spans="138:141" x14ac:dyDescent="0.25">
      <c r="EH2473" s="313">
        <v>2470</v>
      </c>
      <c r="EI2473" s="314">
        <v>29.116900000000001</v>
      </c>
      <c r="EJ2473" s="247">
        <f t="shared" si="132"/>
        <v>1</v>
      </c>
      <c r="EK2473">
        <f t="shared" si="133"/>
        <v>2.971112244897959</v>
      </c>
    </row>
    <row r="2474" spans="138:141" x14ac:dyDescent="0.25">
      <c r="EH2474" s="313">
        <v>2471</v>
      </c>
      <c r="EI2474" s="314"/>
      <c r="EJ2474" s="247" t="str">
        <f t="shared" si="132"/>
        <v/>
      </c>
      <c r="EK2474" t="str">
        <f t="shared" si="133"/>
        <v/>
      </c>
    </row>
    <row r="2475" spans="138:141" x14ac:dyDescent="0.25">
      <c r="EH2475" s="313">
        <v>2472</v>
      </c>
      <c r="EI2475" s="314"/>
      <c r="EJ2475" s="247" t="str">
        <f t="shared" si="132"/>
        <v/>
      </c>
      <c r="EK2475" t="str">
        <f t="shared" si="133"/>
        <v/>
      </c>
    </row>
    <row r="2476" spans="138:141" x14ac:dyDescent="0.25">
      <c r="EH2476" s="313">
        <v>2473</v>
      </c>
      <c r="EI2476" s="314"/>
      <c r="EJ2476" s="247" t="str">
        <f t="shared" si="132"/>
        <v/>
      </c>
      <c r="EK2476" t="str">
        <f t="shared" si="133"/>
        <v/>
      </c>
    </row>
    <row r="2477" spans="138:141" x14ac:dyDescent="0.25">
      <c r="EH2477" s="313">
        <v>2474</v>
      </c>
      <c r="EI2477" s="314"/>
      <c r="EJ2477" s="247" t="str">
        <f t="shared" si="132"/>
        <v/>
      </c>
      <c r="EK2477" t="str">
        <f t="shared" si="133"/>
        <v/>
      </c>
    </row>
    <row r="2478" spans="138:141" x14ac:dyDescent="0.25">
      <c r="EH2478" s="313">
        <v>2475</v>
      </c>
      <c r="EI2478" s="314"/>
      <c r="EJ2478" s="247" t="str">
        <f t="shared" si="132"/>
        <v/>
      </c>
      <c r="EK2478" t="str">
        <f t="shared" si="133"/>
        <v/>
      </c>
    </row>
    <row r="2479" spans="138:141" x14ac:dyDescent="0.25">
      <c r="EH2479" s="313">
        <v>2476</v>
      </c>
      <c r="EI2479" s="314"/>
      <c r="EJ2479" s="247" t="str">
        <f t="shared" si="132"/>
        <v/>
      </c>
      <c r="EK2479" t="str">
        <f t="shared" si="133"/>
        <v/>
      </c>
    </row>
    <row r="2480" spans="138:141" x14ac:dyDescent="0.25">
      <c r="EH2480" s="313">
        <v>2477</v>
      </c>
      <c r="EI2480" s="314"/>
      <c r="EJ2480" s="247" t="str">
        <f t="shared" si="132"/>
        <v/>
      </c>
      <c r="EK2480" t="str">
        <f t="shared" si="133"/>
        <v/>
      </c>
    </row>
    <row r="2481" spans="138:141" x14ac:dyDescent="0.25">
      <c r="EH2481" s="313">
        <v>2478</v>
      </c>
      <c r="EI2481" s="314"/>
      <c r="EJ2481" s="247" t="str">
        <f t="shared" si="132"/>
        <v/>
      </c>
      <c r="EK2481" t="str">
        <f t="shared" si="133"/>
        <v/>
      </c>
    </row>
    <row r="2482" spans="138:141" x14ac:dyDescent="0.25">
      <c r="EH2482" s="313">
        <v>2479</v>
      </c>
      <c r="EI2482" s="314"/>
      <c r="EJ2482" s="247" t="str">
        <f t="shared" si="132"/>
        <v/>
      </c>
      <c r="EK2482" t="str">
        <f t="shared" si="133"/>
        <v/>
      </c>
    </row>
    <row r="2483" spans="138:141" x14ac:dyDescent="0.25">
      <c r="EH2483" s="313">
        <v>2480</v>
      </c>
      <c r="EI2483" s="314">
        <v>29.2316</v>
      </c>
      <c r="EJ2483" s="247">
        <f t="shared" si="132"/>
        <v>1</v>
      </c>
      <c r="EK2483">
        <f t="shared" si="133"/>
        <v>2.982816326530612</v>
      </c>
    </row>
    <row r="2484" spans="138:141" x14ac:dyDescent="0.25">
      <c r="EH2484" s="313">
        <v>2481</v>
      </c>
      <c r="EI2484" s="314"/>
      <c r="EJ2484" s="247" t="str">
        <f t="shared" si="132"/>
        <v/>
      </c>
      <c r="EK2484" t="str">
        <f t="shared" si="133"/>
        <v/>
      </c>
    </row>
    <row r="2485" spans="138:141" x14ac:dyDescent="0.25">
      <c r="EH2485" s="313">
        <v>2482</v>
      </c>
      <c r="EI2485" s="314"/>
      <c r="EJ2485" s="247" t="str">
        <f t="shared" si="132"/>
        <v/>
      </c>
      <c r="EK2485" t="str">
        <f t="shared" si="133"/>
        <v/>
      </c>
    </row>
    <row r="2486" spans="138:141" x14ac:dyDescent="0.25">
      <c r="EH2486" s="313">
        <v>2483</v>
      </c>
      <c r="EI2486" s="314"/>
      <c r="EJ2486" s="247" t="str">
        <f t="shared" si="132"/>
        <v/>
      </c>
      <c r="EK2486" t="str">
        <f t="shared" si="133"/>
        <v/>
      </c>
    </row>
    <row r="2487" spans="138:141" x14ac:dyDescent="0.25">
      <c r="EH2487" s="313">
        <v>2484</v>
      </c>
      <c r="EI2487" s="314"/>
      <c r="EJ2487" s="247" t="str">
        <f t="shared" si="132"/>
        <v/>
      </c>
      <c r="EK2487" t="str">
        <f t="shared" si="133"/>
        <v/>
      </c>
    </row>
    <row r="2488" spans="138:141" x14ac:dyDescent="0.25">
      <c r="EH2488" s="313">
        <v>2485</v>
      </c>
      <c r="EI2488" s="314"/>
      <c r="EJ2488" s="247" t="str">
        <f t="shared" si="132"/>
        <v/>
      </c>
      <c r="EK2488" t="str">
        <f t="shared" si="133"/>
        <v/>
      </c>
    </row>
    <row r="2489" spans="138:141" x14ac:dyDescent="0.25">
      <c r="EH2489" s="313">
        <v>2486</v>
      </c>
      <c r="EI2489" s="314"/>
      <c r="EJ2489" s="247" t="str">
        <f t="shared" si="132"/>
        <v/>
      </c>
      <c r="EK2489" t="str">
        <f t="shared" si="133"/>
        <v/>
      </c>
    </row>
    <row r="2490" spans="138:141" x14ac:dyDescent="0.25">
      <c r="EH2490" s="313">
        <v>2487</v>
      </c>
      <c r="EI2490" s="314"/>
      <c r="EJ2490" s="247" t="str">
        <f t="shared" si="132"/>
        <v/>
      </c>
      <c r="EK2490" t="str">
        <f t="shared" si="133"/>
        <v/>
      </c>
    </row>
    <row r="2491" spans="138:141" x14ac:dyDescent="0.25">
      <c r="EH2491" s="313">
        <v>2488</v>
      </c>
      <c r="EI2491" s="314"/>
      <c r="EJ2491" s="247" t="str">
        <f t="shared" si="132"/>
        <v/>
      </c>
      <c r="EK2491" t="str">
        <f t="shared" si="133"/>
        <v/>
      </c>
    </row>
    <row r="2492" spans="138:141" x14ac:dyDescent="0.25">
      <c r="EH2492" s="313">
        <v>2489</v>
      </c>
      <c r="EI2492" s="314"/>
      <c r="EJ2492" s="247" t="str">
        <f t="shared" si="132"/>
        <v/>
      </c>
      <c r="EK2492" t="str">
        <f t="shared" si="133"/>
        <v/>
      </c>
    </row>
    <row r="2493" spans="138:141" x14ac:dyDescent="0.25">
      <c r="EH2493" s="313">
        <v>2490</v>
      </c>
      <c r="EI2493" s="314">
        <v>29.346299999999999</v>
      </c>
      <c r="EJ2493" s="247">
        <f t="shared" si="132"/>
        <v>1</v>
      </c>
      <c r="EK2493">
        <f t="shared" si="133"/>
        <v>2.994520408163265</v>
      </c>
    </row>
    <row r="2494" spans="138:141" x14ac:dyDescent="0.25">
      <c r="EH2494" s="313">
        <v>2491</v>
      </c>
      <c r="EI2494" s="314"/>
      <c r="EJ2494" s="247" t="str">
        <f t="shared" si="132"/>
        <v/>
      </c>
      <c r="EK2494" t="str">
        <f t="shared" si="133"/>
        <v/>
      </c>
    </row>
    <row r="2495" spans="138:141" x14ac:dyDescent="0.25">
      <c r="EH2495" s="313">
        <v>2492</v>
      </c>
      <c r="EI2495" s="314"/>
      <c r="EJ2495" s="247" t="str">
        <f t="shared" si="132"/>
        <v/>
      </c>
      <c r="EK2495" t="str">
        <f t="shared" si="133"/>
        <v/>
      </c>
    </row>
    <row r="2496" spans="138:141" x14ac:dyDescent="0.25">
      <c r="EH2496" s="313">
        <v>2493</v>
      </c>
      <c r="EI2496" s="314"/>
      <c r="EJ2496" s="247" t="str">
        <f t="shared" si="132"/>
        <v/>
      </c>
      <c r="EK2496" t="str">
        <f t="shared" si="133"/>
        <v/>
      </c>
    </row>
    <row r="2497" spans="138:141" x14ac:dyDescent="0.25">
      <c r="EH2497" s="313">
        <v>2494</v>
      </c>
      <c r="EI2497" s="314"/>
      <c r="EJ2497" s="247" t="str">
        <f t="shared" si="132"/>
        <v/>
      </c>
      <c r="EK2497" t="str">
        <f t="shared" si="133"/>
        <v/>
      </c>
    </row>
    <row r="2498" spans="138:141" x14ac:dyDescent="0.25">
      <c r="EH2498" s="313">
        <v>2495</v>
      </c>
      <c r="EI2498" s="314"/>
      <c r="EJ2498" s="247" t="str">
        <f t="shared" si="132"/>
        <v/>
      </c>
      <c r="EK2498" t="str">
        <f t="shared" si="133"/>
        <v/>
      </c>
    </row>
    <row r="2499" spans="138:141" x14ac:dyDescent="0.25">
      <c r="EH2499" s="313">
        <v>2496</v>
      </c>
      <c r="EI2499" s="314"/>
      <c r="EJ2499" s="247" t="str">
        <f t="shared" si="132"/>
        <v/>
      </c>
      <c r="EK2499" t="str">
        <f t="shared" si="133"/>
        <v/>
      </c>
    </row>
    <row r="2500" spans="138:141" x14ac:dyDescent="0.25">
      <c r="EH2500" s="313">
        <v>2497</v>
      </c>
      <c r="EI2500" s="314"/>
      <c r="EJ2500" s="247" t="str">
        <f t="shared" si="132"/>
        <v/>
      </c>
      <c r="EK2500" t="str">
        <f t="shared" si="133"/>
        <v/>
      </c>
    </row>
    <row r="2501" spans="138:141" x14ac:dyDescent="0.25">
      <c r="EH2501" s="313">
        <v>2498</v>
      </c>
      <c r="EI2501" s="314"/>
      <c r="EJ2501" s="247" t="str">
        <f t="shared" ref="EJ2501:EJ2550" si="134">IF(EI2501="","",1)</f>
        <v/>
      </c>
      <c r="EK2501" t="str">
        <f t="shared" ref="EK2501:EK2550" si="135">IF(EI2501="","",EI2501/9.8)</f>
        <v/>
      </c>
    </row>
    <row r="2502" spans="138:141" x14ac:dyDescent="0.25">
      <c r="EH2502" s="313">
        <v>2499</v>
      </c>
      <c r="EI2502" s="314"/>
      <c r="EJ2502" s="247" t="str">
        <f t="shared" si="134"/>
        <v/>
      </c>
      <c r="EK2502" t="str">
        <f t="shared" si="135"/>
        <v/>
      </c>
    </row>
    <row r="2503" spans="138:141" x14ac:dyDescent="0.25">
      <c r="EH2503" s="313">
        <v>2500</v>
      </c>
      <c r="EI2503" s="314">
        <v>29.460999999999999</v>
      </c>
      <c r="EJ2503" s="247">
        <f t="shared" si="134"/>
        <v>1</v>
      </c>
      <c r="EK2503">
        <f t="shared" si="135"/>
        <v>3.0062244897959181</v>
      </c>
    </row>
    <row r="2504" spans="138:141" x14ac:dyDescent="0.25">
      <c r="EH2504" s="313">
        <v>2501</v>
      </c>
      <c r="EI2504" s="314"/>
      <c r="EJ2504" s="247" t="str">
        <f t="shared" si="134"/>
        <v/>
      </c>
      <c r="EK2504" t="str">
        <f t="shared" si="135"/>
        <v/>
      </c>
    </row>
    <row r="2505" spans="138:141" x14ac:dyDescent="0.25">
      <c r="EH2505" s="313">
        <v>2502</v>
      </c>
      <c r="EI2505" s="314"/>
      <c r="EJ2505" s="247" t="str">
        <f t="shared" si="134"/>
        <v/>
      </c>
      <c r="EK2505" t="str">
        <f t="shared" si="135"/>
        <v/>
      </c>
    </row>
    <row r="2506" spans="138:141" x14ac:dyDescent="0.25">
      <c r="EH2506" s="313">
        <v>2503</v>
      </c>
      <c r="EI2506" s="314"/>
      <c r="EJ2506" s="247" t="str">
        <f t="shared" si="134"/>
        <v/>
      </c>
      <c r="EK2506" t="str">
        <f t="shared" si="135"/>
        <v/>
      </c>
    </row>
    <row r="2507" spans="138:141" x14ac:dyDescent="0.25">
      <c r="EH2507" s="313">
        <v>2504</v>
      </c>
      <c r="EI2507" s="314"/>
      <c r="EJ2507" s="247" t="str">
        <f t="shared" si="134"/>
        <v/>
      </c>
      <c r="EK2507" t="str">
        <f t="shared" si="135"/>
        <v/>
      </c>
    </row>
    <row r="2508" spans="138:141" x14ac:dyDescent="0.25">
      <c r="EH2508" s="313">
        <v>2505</v>
      </c>
      <c r="EI2508" s="314"/>
      <c r="EJ2508" s="247" t="str">
        <f t="shared" si="134"/>
        <v/>
      </c>
      <c r="EK2508" t="str">
        <f t="shared" si="135"/>
        <v/>
      </c>
    </row>
    <row r="2509" spans="138:141" x14ac:dyDescent="0.25">
      <c r="EH2509" s="313">
        <v>2506</v>
      </c>
      <c r="EI2509" s="314"/>
      <c r="EJ2509" s="247" t="str">
        <f t="shared" si="134"/>
        <v/>
      </c>
      <c r="EK2509" t="str">
        <f t="shared" si="135"/>
        <v/>
      </c>
    </row>
    <row r="2510" spans="138:141" x14ac:dyDescent="0.25">
      <c r="EH2510" s="313">
        <v>2507</v>
      </c>
      <c r="EI2510" s="314"/>
      <c r="EJ2510" s="247" t="str">
        <f t="shared" si="134"/>
        <v/>
      </c>
      <c r="EK2510" t="str">
        <f t="shared" si="135"/>
        <v/>
      </c>
    </row>
    <row r="2511" spans="138:141" x14ac:dyDescent="0.25">
      <c r="EH2511" s="313">
        <v>2508</v>
      </c>
      <c r="EI2511" s="314"/>
      <c r="EJ2511" s="247" t="str">
        <f t="shared" si="134"/>
        <v/>
      </c>
      <c r="EK2511" t="str">
        <f t="shared" si="135"/>
        <v/>
      </c>
    </row>
    <row r="2512" spans="138:141" x14ac:dyDescent="0.25">
      <c r="EH2512" s="313">
        <v>2509</v>
      </c>
      <c r="EI2512" s="314"/>
      <c r="EJ2512" s="247" t="str">
        <f t="shared" si="134"/>
        <v/>
      </c>
      <c r="EK2512" t="str">
        <f t="shared" si="135"/>
        <v/>
      </c>
    </row>
    <row r="2513" spans="138:141" x14ac:dyDescent="0.25">
      <c r="EH2513" s="313">
        <v>2510</v>
      </c>
      <c r="EI2513" s="314">
        <v>29.575600000000001</v>
      </c>
      <c r="EJ2513" s="247">
        <f t="shared" si="134"/>
        <v>1</v>
      </c>
      <c r="EK2513">
        <f t="shared" si="135"/>
        <v>3.0179183673469385</v>
      </c>
    </row>
    <row r="2514" spans="138:141" x14ac:dyDescent="0.25">
      <c r="EH2514" s="313">
        <v>2511</v>
      </c>
      <c r="EI2514" s="314"/>
      <c r="EJ2514" s="247" t="str">
        <f t="shared" si="134"/>
        <v/>
      </c>
      <c r="EK2514" t="str">
        <f t="shared" si="135"/>
        <v/>
      </c>
    </row>
    <row r="2515" spans="138:141" x14ac:dyDescent="0.25">
      <c r="EH2515" s="313">
        <v>2512</v>
      </c>
      <c r="EI2515" s="314"/>
      <c r="EJ2515" s="247" t="str">
        <f t="shared" si="134"/>
        <v/>
      </c>
      <c r="EK2515" t="str">
        <f t="shared" si="135"/>
        <v/>
      </c>
    </row>
    <row r="2516" spans="138:141" x14ac:dyDescent="0.25">
      <c r="EH2516" s="313">
        <v>2513</v>
      </c>
      <c r="EI2516" s="314"/>
      <c r="EJ2516" s="247" t="str">
        <f t="shared" si="134"/>
        <v/>
      </c>
      <c r="EK2516" t="str">
        <f t="shared" si="135"/>
        <v/>
      </c>
    </row>
    <row r="2517" spans="138:141" x14ac:dyDescent="0.25">
      <c r="EH2517" s="313">
        <v>2514</v>
      </c>
      <c r="EI2517" s="314"/>
      <c r="EJ2517" s="247" t="str">
        <f t="shared" si="134"/>
        <v/>
      </c>
      <c r="EK2517" t="str">
        <f t="shared" si="135"/>
        <v/>
      </c>
    </row>
    <row r="2518" spans="138:141" x14ac:dyDescent="0.25">
      <c r="EH2518" s="313">
        <v>2515</v>
      </c>
      <c r="EI2518" s="314"/>
      <c r="EJ2518" s="247" t="str">
        <f t="shared" si="134"/>
        <v/>
      </c>
      <c r="EK2518" t="str">
        <f t="shared" si="135"/>
        <v/>
      </c>
    </row>
    <row r="2519" spans="138:141" x14ac:dyDescent="0.25">
      <c r="EH2519" s="313">
        <v>2516</v>
      </c>
      <c r="EI2519" s="314"/>
      <c r="EJ2519" s="247" t="str">
        <f t="shared" si="134"/>
        <v/>
      </c>
      <c r="EK2519" t="str">
        <f t="shared" si="135"/>
        <v/>
      </c>
    </row>
    <row r="2520" spans="138:141" x14ac:dyDescent="0.25">
      <c r="EH2520" s="313">
        <v>2517</v>
      </c>
      <c r="EI2520" s="314"/>
      <c r="EJ2520" s="247" t="str">
        <f t="shared" si="134"/>
        <v/>
      </c>
      <c r="EK2520" t="str">
        <f t="shared" si="135"/>
        <v/>
      </c>
    </row>
    <row r="2521" spans="138:141" x14ac:dyDescent="0.25">
      <c r="EH2521" s="313">
        <v>2518</v>
      </c>
      <c r="EI2521" s="314"/>
      <c r="EJ2521" s="247" t="str">
        <f t="shared" si="134"/>
        <v/>
      </c>
      <c r="EK2521" t="str">
        <f t="shared" si="135"/>
        <v/>
      </c>
    </row>
    <row r="2522" spans="138:141" x14ac:dyDescent="0.25">
      <c r="EH2522" s="313">
        <v>2519</v>
      </c>
      <c r="EI2522" s="314"/>
      <c r="EJ2522" s="247" t="str">
        <f t="shared" si="134"/>
        <v/>
      </c>
      <c r="EK2522" t="str">
        <f t="shared" si="135"/>
        <v/>
      </c>
    </row>
    <row r="2523" spans="138:141" x14ac:dyDescent="0.25">
      <c r="EH2523" s="313">
        <v>2520</v>
      </c>
      <c r="EI2523" s="314">
        <v>29.690300000000001</v>
      </c>
      <c r="EJ2523" s="247">
        <f t="shared" si="134"/>
        <v>1</v>
      </c>
      <c r="EK2523">
        <f t="shared" si="135"/>
        <v>3.0296224489795915</v>
      </c>
    </row>
    <row r="2524" spans="138:141" x14ac:dyDescent="0.25">
      <c r="EH2524" s="313">
        <v>2521</v>
      </c>
      <c r="EI2524" s="314"/>
      <c r="EJ2524" s="247" t="str">
        <f t="shared" si="134"/>
        <v/>
      </c>
      <c r="EK2524" t="str">
        <f t="shared" si="135"/>
        <v/>
      </c>
    </row>
    <row r="2525" spans="138:141" x14ac:dyDescent="0.25">
      <c r="EH2525" s="313">
        <v>2522</v>
      </c>
      <c r="EI2525" s="314"/>
      <c r="EJ2525" s="247" t="str">
        <f t="shared" si="134"/>
        <v/>
      </c>
      <c r="EK2525" t="str">
        <f t="shared" si="135"/>
        <v/>
      </c>
    </row>
    <row r="2526" spans="138:141" x14ac:dyDescent="0.25">
      <c r="EH2526" s="313">
        <v>2523</v>
      </c>
      <c r="EI2526" s="314"/>
      <c r="EJ2526" s="247" t="str">
        <f t="shared" si="134"/>
        <v/>
      </c>
      <c r="EK2526" t="str">
        <f t="shared" si="135"/>
        <v/>
      </c>
    </row>
    <row r="2527" spans="138:141" x14ac:dyDescent="0.25">
      <c r="EH2527" s="313">
        <v>2524</v>
      </c>
      <c r="EI2527" s="314"/>
      <c r="EJ2527" s="247" t="str">
        <f t="shared" si="134"/>
        <v/>
      </c>
      <c r="EK2527" t="str">
        <f t="shared" si="135"/>
        <v/>
      </c>
    </row>
    <row r="2528" spans="138:141" x14ac:dyDescent="0.25">
      <c r="EH2528" s="313">
        <v>2525</v>
      </c>
      <c r="EI2528" s="314"/>
      <c r="EJ2528" s="247" t="str">
        <f t="shared" si="134"/>
        <v/>
      </c>
      <c r="EK2528" t="str">
        <f t="shared" si="135"/>
        <v/>
      </c>
    </row>
    <row r="2529" spans="138:141" x14ac:dyDescent="0.25">
      <c r="EH2529" s="313">
        <v>2526</v>
      </c>
      <c r="EI2529" s="314"/>
      <c r="EJ2529" s="247" t="str">
        <f t="shared" si="134"/>
        <v/>
      </c>
      <c r="EK2529" t="str">
        <f t="shared" si="135"/>
        <v/>
      </c>
    </row>
    <row r="2530" spans="138:141" x14ac:dyDescent="0.25">
      <c r="EH2530" s="313">
        <v>2527</v>
      </c>
      <c r="EI2530" s="314"/>
      <c r="EJ2530" s="247" t="str">
        <f t="shared" si="134"/>
        <v/>
      </c>
      <c r="EK2530" t="str">
        <f t="shared" si="135"/>
        <v/>
      </c>
    </row>
    <row r="2531" spans="138:141" x14ac:dyDescent="0.25">
      <c r="EH2531" s="313">
        <v>2528</v>
      </c>
      <c r="EI2531" s="314"/>
      <c r="EJ2531" s="247" t="str">
        <f t="shared" si="134"/>
        <v/>
      </c>
      <c r="EK2531" t="str">
        <f t="shared" si="135"/>
        <v/>
      </c>
    </row>
    <row r="2532" spans="138:141" x14ac:dyDescent="0.25">
      <c r="EH2532" s="313">
        <v>2529</v>
      </c>
      <c r="EI2532" s="314"/>
      <c r="EJ2532" s="247" t="str">
        <f t="shared" si="134"/>
        <v/>
      </c>
      <c r="EK2532" t="str">
        <f t="shared" si="135"/>
        <v/>
      </c>
    </row>
    <row r="2533" spans="138:141" x14ac:dyDescent="0.25">
      <c r="EH2533" s="313">
        <v>2530</v>
      </c>
      <c r="EI2533" s="314">
        <v>29.805</v>
      </c>
      <c r="EJ2533" s="247">
        <f t="shared" si="134"/>
        <v>1</v>
      </c>
      <c r="EK2533">
        <f t="shared" si="135"/>
        <v>3.0413265306122446</v>
      </c>
    </row>
    <row r="2534" spans="138:141" x14ac:dyDescent="0.25">
      <c r="EH2534" s="313">
        <v>2531</v>
      </c>
      <c r="EI2534" s="314"/>
      <c r="EJ2534" s="247" t="str">
        <f t="shared" si="134"/>
        <v/>
      </c>
      <c r="EK2534" t="str">
        <f t="shared" si="135"/>
        <v/>
      </c>
    </row>
    <row r="2535" spans="138:141" x14ac:dyDescent="0.25">
      <c r="EH2535" s="313">
        <v>2532</v>
      </c>
      <c r="EI2535" s="314"/>
      <c r="EJ2535" s="247" t="str">
        <f t="shared" si="134"/>
        <v/>
      </c>
      <c r="EK2535" t="str">
        <f t="shared" si="135"/>
        <v/>
      </c>
    </row>
    <row r="2536" spans="138:141" x14ac:dyDescent="0.25">
      <c r="EH2536" s="313">
        <v>2533</v>
      </c>
      <c r="EI2536" s="314"/>
      <c r="EJ2536" s="247" t="str">
        <f t="shared" si="134"/>
        <v/>
      </c>
      <c r="EK2536" t="str">
        <f t="shared" si="135"/>
        <v/>
      </c>
    </row>
    <row r="2537" spans="138:141" x14ac:dyDescent="0.25">
      <c r="EH2537" s="313">
        <v>2534</v>
      </c>
      <c r="EI2537" s="314"/>
      <c r="EJ2537" s="247" t="str">
        <f t="shared" si="134"/>
        <v/>
      </c>
      <c r="EK2537" t="str">
        <f t="shared" si="135"/>
        <v/>
      </c>
    </row>
    <row r="2538" spans="138:141" x14ac:dyDescent="0.25">
      <c r="EH2538" s="313">
        <v>2535</v>
      </c>
      <c r="EI2538" s="314"/>
      <c r="EJ2538" s="247" t="str">
        <f t="shared" si="134"/>
        <v/>
      </c>
      <c r="EK2538" t="str">
        <f t="shared" si="135"/>
        <v/>
      </c>
    </row>
    <row r="2539" spans="138:141" x14ac:dyDescent="0.25">
      <c r="EH2539" s="313">
        <v>2536</v>
      </c>
      <c r="EI2539" s="314"/>
      <c r="EJ2539" s="247" t="str">
        <f t="shared" si="134"/>
        <v/>
      </c>
      <c r="EK2539" t="str">
        <f t="shared" si="135"/>
        <v/>
      </c>
    </row>
    <row r="2540" spans="138:141" x14ac:dyDescent="0.25">
      <c r="EH2540" s="313">
        <v>2537</v>
      </c>
      <c r="EI2540" s="314"/>
      <c r="EJ2540" s="247" t="str">
        <f t="shared" si="134"/>
        <v/>
      </c>
      <c r="EK2540" t="str">
        <f t="shared" si="135"/>
        <v/>
      </c>
    </row>
    <row r="2541" spans="138:141" x14ac:dyDescent="0.25">
      <c r="EH2541" s="313">
        <v>2538</v>
      </c>
      <c r="EI2541" s="314"/>
      <c r="EJ2541" s="247" t="str">
        <f t="shared" si="134"/>
        <v/>
      </c>
      <c r="EK2541" t="str">
        <f t="shared" si="135"/>
        <v/>
      </c>
    </row>
    <row r="2542" spans="138:141" x14ac:dyDescent="0.25">
      <c r="EH2542" s="313">
        <v>2539</v>
      </c>
      <c r="EI2542" s="314"/>
      <c r="EJ2542" s="247" t="str">
        <f t="shared" si="134"/>
        <v/>
      </c>
      <c r="EK2542" t="str">
        <f t="shared" si="135"/>
        <v/>
      </c>
    </row>
    <row r="2543" spans="138:141" x14ac:dyDescent="0.25">
      <c r="EH2543" s="313">
        <v>2540</v>
      </c>
      <c r="EI2543" s="314">
        <v>29.919699999999999</v>
      </c>
      <c r="EJ2543" s="247">
        <f t="shared" si="134"/>
        <v>1</v>
      </c>
      <c r="EK2543">
        <f t="shared" si="135"/>
        <v>3.0530306122448976</v>
      </c>
    </row>
    <row r="2544" spans="138:141" x14ac:dyDescent="0.25">
      <c r="EH2544" s="313">
        <v>2541</v>
      </c>
      <c r="EI2544" s="314"/>
      <c r="EJ2544" s="247" t="str">
        <f t="shared" si="134"/>
        <v/>
      </c>
      <c r="EK2544" t="str">
        <f t="shared" si="135"/>
        <v/>
      </c>
    </row>
    <row r="2545" spans="138:141" x14ac:dyDescent="0.25">
      <c r="EH2545" s="313">
        <v>2542</v>
      </c>
      <c r="EI2545" s="314"/>
      <c r="EJ2545" s="247" t="str">
        <f t="shared" si="134"/>
        <v/>
      </c>
      <c r="EK2545" t="str">
        <f t="shared" si="135"/>
        <v/>
      </c>
    </row>
    <row r="2546" spans="138:141" x14ac:dyDescent="0.25">
      <c r="EH2546" s="313">
        <v>2543</v>
      </c>
      <c r="EI2546" s="314"/>
      <c r="EJ2546" s="247" t="str">
        <f t="shared" si="134"/>
        <v/>
      </c>
      <c r="EK2546" t="str">
        <f t="shared" si="135"/>
        <v/>
      </c>
    </row>
    <row r="2547" spans="138:141" x14ac:dyDescent="0.25">
      <c r="EH2547" s="313">
        <v>2544</v>
      </c>
      <c r="EI2547" s="314"/>
      <c r="EJ2547" s="247" t="str">
        <f t="shared" si="134"/>
        <v/>
      </c>
      <c r="EK2547" t="str">
        <f t="shared" si="135"/>
        <v/>
      </c>
    </row>
    <row r="2548" spans="138:141" x14ac:dyDescent="0.25">
      <c r="EH2548" s="313">
        <v>2545</v>
      </c>
      <c r="EI2548" s="314"/>
      <c r="EJ2548" s="247" t="str">
        <f t="shared" si="134"/>
        <v/>
      </c>
      <c r="EK2548" t="str">
        <f t="shared" si="135"/>
        <v/>
      </c>
    </row>
    <row r="2549" spans="138:141" x14ac:dyDescent="0.25">
      <c r="EH2549" s="313">
        <v>2546</v>
      </c>
      <c r="EI2549" s="314"/>
      <c r="EJ2549" s="247" t="str">
        <f t="shared" si="134"/>
        <v/>
      </c>
      <c r="EK2549" t="str">
        <f t="shared" si="135"/>
        <v/>
      </c>
    </row>
    <row r="2550" spans="138:141" x14ac:dyDescent="0.25">
      <c r="EH2550" s="313">
        <v>2547</v>
      </c>
      <c r="EI2550" s="314">
        <v>30</v>
      </c>
      <c r="EJ2550" s="247">
        <f t="shared" si="134"/>
        <v>1</v>
      </c>
      <c r="EK2550">
        <f t="shared" si="135"/>
        <v>3.0612244897959182</v>
      </c>
    </row>
    <row r="2551" spans="138:141" x14ac:dyDescent="0.25">
      <c r="EI2551" s="247">
        <f>SUM(EI4:EI2550)</f>
        <v>3866.8503999999984</v>
      </c>
      <c r="EJ2551" s="247">
        <f>SUM(EJ4:EJ2550)</f>
        <v>256</v>
      </c>
      <c r="EK2551" s="247">
        <f>SUM(EK4:EK2550)</f>
        <v>394.57657142857147</v>
      </c>
    </row>
    <row r="2552" spans="138:141" x14ac:dyDescent="0.25">
      <c r="EI2552">
        <f>EI2551/EJ2551</f>
        <v>15.104884374999994</v>
      </c>
    </row>
    <row r="2553" spans="138:141" x14ac:dyDescent="0.25">
      <c r="EI2553" s="315">
        <f>EK2551/EJ2551</f>
        <v>1.5413147321428573</v>
      </c>
      <c r="EJ2553" s="316" t="s">
        <v>23</v>
      </c>
    </row>
    <row r="2554" spans="138:141" x14ac:dyDescent="0.25">
      <c r="EI2554" s="315">
        <f>EI2552/9.8</f>
        <v>1.5413147321428564</v>
      </c>
      <c r="EJ2554" s="316" t="s">
        <v>23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3">
                <anchor moveWithCells="1" sizeWithCells="1">
                  <from>
                    <xdr:col>4</xdr:col>
                    <xdr:colOff>7620</xdr:colOff>
                    <xdr:row>2</xdr:row>
                    <xdr:rowOff>22860</xdr:rowOff>
                  </from>
                  <to>
                    <xdr:col>4</xdr:col>
                    <xdr:colOff>426720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3">
                <anchor moveWithCells="1" sizeWithCells="1">
                  <from>
                    <xdr:col>12</xdr:col>
                    <xdr:colOff>7620</xdr:colOff>
                    <xdr:row>1</xdr:row>
                    <xdr:rowOff>175260</xdr:rowOff>
                  </from>
                  <to>
                    <xdr:col>12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cro3">
                <anchor moveWithCells="1" sizeWithCells="1">
                  <from>
                    <xdr:col>25</xdr:col>
                    <xdr:colOff>60960</xdr:colOff>
                    <xdr:row>2</xdr:row>
                    <xdr:rowOff>0</xdr:rowOff>
                  </from>
                  <to>
                    <xdr:col>25</xdr:col>
                    <xdr:colOff>441960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Macro3">
                <anchor moveWithCells="1" sizeWithCells="1">
                  <from>
                    <xdr:col>35</xdr:col>
                    <xdr:colOff>7620</xdr:colOff>
                    <xdr:row>2</xdr:row>
                    <xdr:rowOff>7620</xdr:rowOff>
                  </from>
                  <to>
                    <xdr:col>36</xdr:col>
                    <xdr:colOff>7620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acro3">
                <anchor moveWithCells="1" sizeWithCells="1">
                  <from>
                    <xdr:col>54</xdr:col>
                    <xdr:colOff>7620</xdr:colOff>
                    <xdr:row>2</xdr:row>
                    <xdr:rowOff>7620</xdr:rowOff>
                  </from>
                  <to>
                    <xdr:col>54</xdr:col>
                    <xdr:colOff>388620</xdr:colOff>
                    <xdr:row>2</xdr:row>
                    <xdr:rowOff>1409700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Macro3">
                <anchor moveWithCells="1" sizeWithCells="1">
                  <from>
                    <xdr:col>69</xdr:col>
                    <xdr:colOff>7620</xdr:colOff>
                    <xdr:row>2</xdr:row>
                    <xdr:rowOff>7620</xdr:rowOff>
                  </from>
                  <to>
                    <xdr:col>69</xdr:col>
                    <xdr:colOff>388620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Macro3">
                <anchor moveWithCells="1" sizeWithCells="1">
                  <from>
                    <xdr:col>89</xdr:col>
                    <xdr:colOff>7620</xdr:colOff>
                    <xdr:row>2</xdr:row>
                    <xdr:rowOff>7620</xdr:rowOff>
                  </from>
                  <to>
                    <xdr:col>90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Macro3">
                <anchor moveWithCells="1" sizeWithCells="1">
                  <from>
                    <xdr:col>108</xdr:col>
                    <xdr:colOff>7620</xdr:colOff>
                    <xdr:row>2</xdr:row>
                    <xdr:rowOff>7620</xdr:rowOff>
                  </from>
                  <to>
                    <xdr:col>109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Macro3">
                <anchor moveWithCells="1" sizeWithCells="1">
                  <from>
                    <xdr:col>123</xdr:col>
                    <xdr:colOff>7620</xdr:colOff>
                    <xdr:row>2</xdr:row>
                    <xdr:rowOff>7620</xdr:rowOff>
                  </from>
                  <to>
                    <xdr:col>123</xdr:col>
                    <xdr:colOff>388620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B1:K38"/>
  <sheetViews>
    <sheetView workbookViewId="0">
      <pane ySplit="2" topLeftCell="A3" activePane="bottomLeft" state="frozen"/>
      <selection activeCell="D1" sqref="D1"/>
      <selection pane="bottomLeft" activeCell="B11" sqref="B11"/>
    </sheetView>
  </sheetViews>
  <sheetFormatPr baseColWidth="10" defaultColWidth="11.44140625" defaultRowHeight="13.2" x14ac:dyDescent="0.25"/>
  <sheetData>
    <row r="1" spans="2:10" ht="13.8" thickBot="1" x14ac:dyDescent="0.3">
      <c r="B1" s="178">
        <f>Folha1!D2</f>
        <v>0</v>
      </c>
    </row>
    <row r="2" spans="2:10" ht="84.75" customHeight="1" thickTop="1" thickBot="1" x14ac:dyDescent="0.3">
      <c r="D2" s="242" t="s">
        <v>86</v>
      </c>
      <c r="E2" s="176"/>
      <c r="F2" s="176"/>
      <c r="G2" s="176"/>
      <c r="H2" s="176"/>
      <c r="I2" s="176"/>
      <c r="J2" s="177"/>
    </row>
    <row r="3" spans="2:10" ht="14.4" thickTop="1" thickBot="1" x14ac:dyDescent="0.3"/>
    <row r="4" spans="2:10" ht="13.8" thickBot="1" x14ac:dyDescent="0.3">
      <c r="B4" s="178">
        <f>IF(OR(B1=0,B1=""),0,LOOKUP(B1,[2]Granulometria!$B$1:$B$65536,[2]Granulometria!$AY$1:$AY$65536))</f>
        <v>0</v>
      </c>
    </row>
    <row r="7" spans="2:10" x14ac:dyDescent="0.25">
      <c r="D7" s="140">
        <v>1</v>
      </c>
      <c r="E7" s="161" t="s">
        <v>278</v>
      </c>
      <c r="F7" s="162"/>
      <c r="G7" s="163"/>
      <c r="H7" s="173"/>
      <c r="I7" s="173"/>
      <c r="J7" s="174"/>
    </row>
    <row r="8" spans="2:10" x14ac:dyDescent="0.25">
      <c r="D8" s="140">
        <v>2</v>
      </c>
      <c r="E8" s="161" t="s">
        <v>279</v>
      </c>
      <c r="F8" s="162"/>
      <c r="G8" s="163"/>
      <c r="H8" s="173"/>
      <c r="I8" s="173"/>
      <c r="J8" s="174"/>
    </row>
    <row r="9" spans="2:10" x14ac:dyDescent="0.25">
      <c r="D9" s="140">
        <v>3</v>
      </c>
      <c r="E9" s="161" t="s">
        <v>277</v>
      </c>
      <c r="F9" s="162"/>
      <c r="G9" s="163"/>
      <c r="H9" s="173"/>
      <c r="I9" s="173"/>
      <c r="J9" s="174"/>
    </row>
    <row r="10" spans="2:10" x14ac:dyDescent="0.25">
      <c r="D10" s="140">
        <v>4</v>
      </c>
      <c r="E10" s="161" t="s">
        <v>276</v>
      </c>
      <c r="F10" s="162"/>
      <c r="G10" s="163"/>
      <c r="H10" s="173"/>
      <c r="I10" s="173"/>
      <c r="J10" s="174"/>
    </row>
    <row r="11" spans="2:10" x14ac:dyDescent="0.25">
      <c r="D11" s="140">
        <v>5</v>
      </c>
      <c r="E11" s="161" t="s">
        <v>262</v>
      </c>
      <c r="F11" s="162"/>
      <c r="G11" s="163"/>
      <c r="H11" s="173"/>
      <c r="I11" s="173"/>
      <c r="J11" s="174"/>
    </row>
    <row r="12" spans="2:10" x14ac:dyDescent="0.25">
      <c r="D12" s="140">
        <v>6</v>
      </c>
      <c r="E12" s="161" t="s">
        <v>263</v>
      </c>
      <c r="F12" s="162"/>
      <c r="G12" s="163"/>
      <c r="H12" s="173"/>
      <c r="I12" s="173"/>
      <c r="J12" s="174"/>
    </row>
    <row r="13" spans="2:10" x14ac:dyDescent="0.25">
      <c r="D13" s="140">
        <v>7</v>
      </c>
      <c r="E13" s="161" t="s">
        <v>270</v>
      </c>
      <c r="F13" s="162"/>
      <c r="G13" s="163"/>
      <c r="H13" s="173"/>
      <c r="I13" s="173"/>
      <c r="J13" s="174"/>
    </row>
    <row r="14" spans="2:10" x14ac:dyDescent="0.25">
      <c r="D14" s="140">
        <v>8</v>
      </c>
      <c r="E14" s="161" t="s">
        <v>275</v>
      </c>
      <c r="F14" s="162"/>
      <c r="G14" s="163"/>
      <c r="H14" s="173"/>
      <c r="I14" s="173"/>
      <c r="J14" s="174"/>
    </row>
    <row r="15" spans="2:10" x14ac:dyDescent="0.25">
      <c r="D15" s="140">
        <v>9</v>
      </c>
      <c r="E15" s="161" t="s">
        <v>274</v>
      </c>
      <c r="F15" s="162"/>
      <c r="G15" s="163"/>
      <c r="H15" s="173"/>
      <c r="I15" s="173"/>
      <c r="J15" s="174"/>
    </row>
    <row r="16" spans="2:10" x14ac:dyDescent="0.25">
      <c r="D16" s="140">
        <v>10</v>
      </c>
      <c r="E16" s="161" t="s">
        <v>273</v>
      </c>
      <c r="F16" s="173"/>
      <c r="G16" s="173"/>
      <c r="H16" s="173"/>
      <c r="I16" s="173"/>
      <c r="J16" s="174"/>
    </row>
    <row r="17" spans="4:11" x14ac:dyDescent="0.25">
      <c r="D17" s="140">
        <v>11</v>
      </c>
      <c r="E17" s="161" t="s">
        <v>264</v>
      </c>
      <c r="F17" s="173"/>
      <c r="G17" s="173"/>
      <c r="H17" s="173"/>
      <c r="I17" s="173"/>
      <c r="J17" s="174"/>
    </row>
    <row r="18" spans="4:11" x14ac:dyDescent="0.25">
      <c r="D18" s="140">
        <v>12</v>
      </c>
      <c r="E18" s="161" t="s">
        <v>271</v>
      </c>
      <c r="F18" s="173"/>
      <c r="G18" s="173"/>
      <c r="H18" s="173"/>
      <c r="I18" s="173"/>
      <c r="J18" s="174"/>
    </row>
    <row r="19" spans="4:11" x14ac:dyDescent="0.25">
      <c r="D19" s="140">
        <v>13</v>
      </c>
      <c r="E19" s="161" t="s">
        <v>272</v>
      </c>
      <c r="F19" s="173"/>
      <c r="G19" s="173"/>
      <c r="H19" s="173"/>
      <c r="I19" s="173"/>
      <c r="J19" s="174"/>
    </row>
    <row r="27" spans="4:11" x14ac:dyDescent="0.25">
      <c r="E27" s="279">
        <v>1</v>
      </c>
      <c r="F27" s="161" t="s">
        <v>248</v>
      </c>
      <c r="G27" s="272"/>
      <c r="H27" s="276"/>
      <c r="I27" s="277" t="s">
        <v>261</v>
      </c>
      <c r="J27" s="278"/>
      <c r="K27" s="275"/>
    </row>
    <row r="28" spans="4:11" x14ac:dyDescent="0.25">
      <c r="E28" s="279">
        <v>2</v>
      </c>
      <c r="F28" s="161" t="s">
        <v>249</v>
      </c>
      <c r="G28" s="272"/>
      <c r="H28" s="276"/>
      <c r="I28" s="277" t="s">
        <v>247</v>
      </c>
      <c r="J28" s="278"/>
      <c r="K28" s="275"/>
    </row>
    <row r="29" spans="4:11" x14ac:dyDescent="0.25">
      <c r="E29" s="279">
        <v>3</v>
      </c>
      <c r="F29" s="161" t="s">
        <v>250</v>
      </c>
      <c r="G29" s="272"/>
      <c r="H29" s="273"/>
      <c r="I29" s="274"/>
      <c r="J29" s="274"/>
      <c r="K29" s="275"/>
    </row>
    <row r="30" spans="4:11" x14ac:dyDescent="0.25">
      <c r="E30" s="279">
        <v>4</v>
      </c>
      <c r="F30" s="161" t="s">
        <v>251</v>
      </c>
      <c r="G30" s="272"/>
      <c r="H30" s="273"/>
      <c r="I30" s="274"/>
      <c r="J30" s="274"/>
      <c r="K30" s="275"/>
    </row>
    <row r="31" spans="4:11" x14ac:dyDescent="0.25">
      <c r="E31" s="279">
        <v>5</v>
      </c>
      <c r="F31" s="161" t="s">
        <v>252</v>
      </c>
      <c r="G31" s="272"/>
      <c r="H31" s="273"/>
      <c r="I31" s="274"/>
      <c r="J31" s="274"/>
      <c r="K31" s="275"/>
    </row>
    <row r="32" spans="4:11" x14ac:dyDescent="0.25">
      <c r="E32" s="279">
        <v>6</v>
      </c>
      <c r="F32" s="161" t="s">
        <v>253</v>
      </c>
      <c r="G32" s="272"/>
      <c r="H32" s="273"/>
      <c r="I32" s="274"/>
      <c r="J32" s="274"/>
      <c r="K32" s="275"/>
    </row>
    <row r="33" spans="5:11" x14ac:dyDescent="0.25">
      <c r="E33" s="279">
        <v>7</v>
      </c>
      <c r="F33" s="161" t="s">
        <v>254</v>
      </c>
      <c r="G33" s="272"/>
      <c r="H33" s="273"/>
      <c r="I33" s="274"/>
      <c r="J33" s="274"/>
      <c r="K33" s="275"/>
    </row>
    <row r="34" spans="5:11" x14ac:dyDescent="0.25">
      <c r="E34" s="279">
        <v>8</v>
      </c>
      <c r="F34" s="161" t="s">
        <v>255</v>
      </c>
      <c r="G34" s="272"/>
      <c r="H34" s="273"/>
      <c r="I34" s="274"/>
      <c r="J34" s="274"/>
      <c r="K34" s="275"/>
    </row>
    <row r="35" spans="5:11" x14ac:dyDescent="0.25">
      <c r="E35" s="279">
        <v>9</v>
      </c>
      <c r="F35" s="161" t="s">
        <v>256</v>
      </c>
      <c r="G35" s="272"/>
      <c r="H35" s="273"/>
      <c r="I35" s="274"/>
      <c r="J35" s="274"/>
      <c r="K35" s="275"/>
    </row>
    <row r="36" spans="5:11" x14ac:dyDescent="0.25">
      <c r="E36" s="279">
        <v>10</v>
      </c>
      <c r="F36" s="161" t="s">
        <v>257</v>
      </c>
      <c r="G36" s="274"/>
      <c r="H36" s="274"/>
      <c r="I36" s="274"/>
      <c r="J36" s="274"/>
      <c r="K36" s="275"/>
    </row>
    <row r="37" spans="5:11" x14ac:dyDescent="0.25">
      <c r="F37" s="175"/>
      <c r="G37" s="274"/>
      <c r="H37" s="274"/>
      <c r="I37" s="274"/>
      <c r="J37" s="274"/>
      <c r="K37" s="275"/>
    </row>
    <row r="38" spans="5:11" x14ac:dyDescent="0.25">
      <c r="F38" s="175"/>
      <c r="G38" s="274"/>
      <c r="H38" s="274"/>
      <c r="I38" s="274"/>
      <c r="J38" s="274"/>
      <c r="K38" s="275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cro3">
                <anchor moveWithCells="1" sizeWithCells="1">
                  <from>
                    <xdr:col>2</xdr:col>
                    <xdr:colOff>182880</xdr:colOff>
                    <xdr:row>1</xdr:row>
                    <xdr:rowOff>22860</xdr:rowOff>
                  </from>
                  <to>
                    <xdr:col>2</xdr:col>
                    <xdr:colOff>655320</xdr:colOff>
                    <xdr:row>1</xdr:row>
                    <xdr:rowOff>1051560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B2:AE115"/>
  <sheetViews>
    <sheetView workbookViewId="0">
      <selection activeCell="I20" sqref="I20:I29"/>
    </sheetView>
  </sheetViews>
  <sheetFormatPr baseColWidth="10" defaultColWidth="11.44140625" defaultRowHeight="13.2" x14ac:dyDescent="0.25"/>
  <cols>
    <col min="1" max="1" width="11.44140625" customWidth="1"/>
    <col min="2" max="2" width="16.44140625" customWidth="1"/>
    <col min="3" max="4" width="11.44140625" customWidth="1"/>
    <col min="5" max="5" width="15.33203125" customWidth="1"/>
    <col min="6" max="6" width="11.44140625" customWidth="1"/>
    <col min="7" max="15" width="7.5546875" customWidth="1"/>
    <col min="16" max="16" width="11.44140625" customWidth="1"/>
    <col min="17" max="17" width="7.5546875" customWidth="1"/>
    <col min="18" max="18" width="14.109375" customWidth="1"/>
    <col min="19" max="19" width="8.44140625" customWidth="1"/>
    <col min="20" max="21" width="7.5546875" customWidth="1"/>
    <col min="22" max="24" width="8.44140625" customWidth="1"/>
    <col min="25" max="25" width="12.5546875" customWidth="1"/>
    <col min="26" max="26" width="7.5546875" customWidth="1"/>
  </cols>
  <sheetData>
    <row r="2" spans="2:31" ht="13.8" thickBot="1" x14ac:dyDescent="0.3"/>
    <row r="3" spans="2:31" ht="14.4" thickTop="1" thickBot="1" x14ac:dyDescent="0.3">
      <c r="B3" s="179" t="s">
        <v>87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1"/>
      <c r="P3" s="179" t="s">
        <v>88</v>
      </c>
      <c r="Q3" s="9"/>
      <c r="R3" s="9"/>
      <c r="S3" s="9"/>
      <c r="T3" s="9"/>
      <c r="U3" s="9"/>
      <c r="V3" s="9"/>
      <c r="W3" s="9"/>
      <c r="X3" s="10"/>
    </row>
    <row r="4" spans="2:31" ht="14.4" thickTop="1" thickBot="1" x14ac:dyDescent="0.3">
      <c r="C4" s="182" t="str">
        <f>IF(C22&lt;12.1,"",IF(ISERROR(C11),"",C11))</f>
        <v/>
      </c>
      <c r="D4" s="183"/>
      <c r="E4" s="183"/>
      <c r="F4" s="183"/>
      <c r="G4" s="183"/>
      <c r="H4" s="183"/>
      <c r="I4" s="183"/>
      <c r="J4" s="184"/>
      <c r="P4" s="34"/>
      <c r="Q4" s="35"/>
      <c r="R4" s="35"/>
      <c r="S4" s="35"/>
      <c r="T4" s="35"/>
      <c r="U4" s="35"/>
      <c r="V4" s="35"/>
      <c r="W4" s="35"/>
      <c r="X4" s="36"/>
      <c r="AE4">
        <v>0</v>
      </c>
    </row>
    <row r="5" spans="2:31" ht="14.4" thickTop="1" thickBot="1" x14ac:dyDescent="0.3">
      <c r="C5" s="182" t="str">
        <f>IF(C18=0,"",IF(ISERROR(C11),"",C11))</f>
        <v/>
      </c>
      <c r="D5" s="183"/>
      <c r="E5" s="183"/>
      <c r="F5" s="183"/>
      <c r="G5" s="183"/>
      <c r="H5" s="183"/>
      <c r="I5" s="183"/>
      <c r="J5" s="184"/>
      <c r="P5" s="53"/>
      <c r="X5" s="55"/>
      <c r="AE5">
        <v>1</v>
      </c>
    </row>
    <row r="6" spans="2:31" ht="14.4" thickTop="1" thickBot="1" x14ac:dyDescent="0.3">
      <c r="P6" s="53"/>
      <c r="X6" s="55"/>
      <c r="AE6">
        <v>2</v>
      </c>
    </row>
    <row r="7" spans="2:31" ht="14.4" thickTop="1" thickBot="1" x14ac:dyDescent="0.3">
      <c r="C7" s="182" t="str">
        <f>IF(C4&lt;&gt;"",C4,C5)</f>
        <v/>
      </c>
      <c r="D7" s="183"/>
      <c r="E7" s="183"/>
      <c r="F7" s="183"/>
      <c r="G7" s="183"/>
      <c r="H7" s="183"/>
      <c r="I7" s="183"/>
      <c r="J7" s="184"/>
      <c r="P7" s="53"/>
      <c r="X7" s="55"/>
      <c r="AE7">
        <v>3</v>
      </c>
    </row>
    <row r="8" spans="2:31" ht="14.4" thickTop="1" thickBot="1" x14ac:dyDescent="0.3">
      <c r="P8" s="53"/>
      <c r="Q8" s="185" t="s">
        <v>89</v>
      </c>
      <c r="X8" s="186"/>
      <c r="AE8">
        <v>4</v>
      </c>
    </row>
    <row r="9" spans="2:31" ht="13.8" thickBot="1" x14ac:dyDescent="0.3">
      <c r="B9" s="187" t="s">
        <v>29</v>
      </c>
      <c r="C9" s="188">
        <f>'NF P 11-300'!B2</f>
        <v>0</v>
      </c>
      <c r="D9" s="189" t="str">
        <f>IF(C9&gt;100,CONCATENATE(C7," com blocos e calhaus"),C7)</f>
        <v/>
      </c>
      <c r="E9" s="190"/>
      <c r="F9" s="190"/>
      <c r="G9" s="190"/>
      <c r="H9" s="190"/>
      <c r="I9" s="190"/>
      <c r="J9" s="191"/>
      <c r="P9" s="192" t="s">
        <v>90</v>
      </c>
      <c r="Q9" s="193" t="str">
        <f>C20</f>
        <v/>
      </c>
      <c r="S9" s="3">
        <f>MIN(S11:S22)</f>
        <v>8</v>
      </c>
      <c r="V9" s="280" t="e">
        <f>IF(V10=40,V10,V11)</f>
        <v>#VALUE!</v>
      </c>
      <c r="W9" s="194" t="e">
        <f>Q11-35</f>
        <v>#VALUE!</v>
      </c>
      <c r="X9" s="195" t="e">
        <f>0.2*V9</f>
        <v>#VALUE!</v>
      </c>
      <c r="AE9">
        <v>5</v>
      </c>
    </row>
    <row r="10" spans="2:31" ht="13.8" thickBot="1" x14ac:dyDescent="0.3">
      <c r="P10" s="196" t="s">
        <v>91</v>
      </c>
      <c r="Q10" s="197" t="str">
        <f>C21</f>
        <v/>
      </c>
      <c r="V10" s="198" t="e">
        <f>IF(W10=W9,W9,W10)</f>
        <v>#VALUE!</v>
      </c>
      <c r="W10" s="198">
        <f>IF(Q11&gt;75,40,W9)</f>
        <v>40</v>
      </c>
      <c r="X10" s="195" t="e">
        <f>0.005*V9*V15</f>
        <v>#VALUE!</v>
      </c>
      <c r="AE10">
        <v>6</v>
      </c>
    </row>
    <row r="11" spans="2:31" ht="14.4" thickTop="1" thickBot="1" x14ac:dyDescent="0.3">
      <c r="B11" s="199"/>
      <c r="C11" s="200" t="e">
        <f>LOOKUP(E13,G15:G113,H15:H113)</f>
        <v>#VALUE!</v>
      </c>
      <c r="D11" s="201"/>
      <c r="E11" s="201"/>
      <c r="F11" s="201"/>
      <c r="G11" s="201"/>
      <c r="H11" s="201"/>
      <c r="I11" s="201"/>
      <c r="J11" s="201"/>
      <c r="K11" s="201"/>
      <c r="L11" s="201"/>
      <c r="M11" s="201"/>
      <c r="N11" s="202"/>
      <c r="P11" s="196" t="s">
        <v>92</v>
      </c>
      <c r="Q11" s="197" t="str">
        <f>C22</f>
        <v/>
      </c>
      <c r="R11" s="203" t="b">
        <f>AND(Q9&lt;=50.5,Q10&lt;=30.5,Q11&lt;=15.5,Q13&lt;=6.5)</f>
        <v>0</v>
      </c>
      <c r="S11" s="3">
        <f>IF(R11=TRUE,1,20)</f>
        <v>20</v>
      </c>
      <c r="T11" s="3">
        <v>1</v>
      </c>
      <c r="U11" s="3" t="s">
        <v>93</v>
      </c>
      <c r="V11" s="204" t="e">
        <f>IF(W11=W9,W9,W11)</f>
        <v>#VALUE!</v>
      </c>
      <c r="W11" s="204" t="e">
        <f>IF(Q11&lt;35,0,W9)</f>
        <v>#VALUE!</v>
      </c>
      <c r="X11" s="195" t="e">
        <f>0.01*V12*V18</f>
        <v>#VALUE!</v>
      </c>
      <c r="AE11">
        <v>7</v>
      </c>
    </row>
    <row r="12" spans="2:31" ht="14.4" thickTop="1" thickBot="1" x14ac:dyDescent="0.3">
      <c r="B12" s="53"/>
      <c r="N12" s="55"/>
      <c r="P12" s="196"/>
      <c r="Q12" s="197">
        <f>IF(Q14="N.P.",0,Q14)</f>
        <v>0</v>
      </c>
      <c r="R12" s="203" t="b">
        <f>AND(Q10&lt;=50.5,Q11&lt;=25.5,Q13&lt;=6.5)</f>
        <v>0</v>
      </c>
      <c r="S12" s="3">
        <f>IF(R12=TRUE,2,21)</f>
        <v>21</v>
      </c>
      <c r="T12" s="3">
        <v>2</v>
      </c>
      <c r="U12" s="3" t="s">
        <v>94</v>
      </c>
      <c r="V12" s="282" t="e">
        <f>IF(V13=40,V13,V14)</f>
        <v>#VALUE!</v>
      </c>
      <c r="W12" s="194" t="e">
        <f>Q11-15</f>
        <v>#VALUE!</v>
      </c>
      <c r="X12" s="55"/>
      <c r="AE12">
        <v>8</v>
      </c>
    </row>
    <row r="13" spans="2:31" ht="13.8" thickBot="1" x14ac:dyDescent="0.3">
      <c r="B13" s="205" t="s">
        <v>95</v>
      </c>
      <c r="C13" s="206">
        <f>'NF P 11-300'!B22</f>
        <v>0</v>
      </c>
      <c r="E13" s="3" t="e">
        <f>MIN(F15:F113)</f>
        <v>#VALUE!</v>
      </c>
      <c r="N13" s="55"/>
      <c r="P13" s="207"/>
      <c r="Q13" s="208">
        <f>IF(Q15="N.P.",0,Q15)</f>
        <v>0</v>
      </c>
      <c r="R13" s="203" t="b">
        <f>AND(Q10&gt;=50.5,Q11&lt;=10.5,Q13=0)</f>
        <v>0</v>
      </c>
      <c r="S13" s="3">
        <f>IF(R13=TRUE,3,22)</f>
        <v>22</v>
      </c>
      <c r="T13" s="3">
        <v>3</v>
      </c>
      <c r="U13" s="3" t="s">
        <v>96</v>
      </c>
      <c r="V13" s="198" t="e">
        <f>IF(W13=W12,W12,W13)</f>
        <v>#VALUE!</v>
      </c>
      <c r="W13" s="198">
        <f>IF(Q11&gt;55,40,W12)</f>
        <v>40</v>
      </c>
      <c r="X13" s="55"/>
      <c r="AE13">
        <v>9</v>
      </c>
    </row>
    <row r="14" spans="2:31" ht="13.8" thickBot="1" x14ac:dyDescent="0.3">
      <c r="B14" s="196" t="s">
        <v>97</v>
      </c>
      <c r="C14" s="209">
        <f>IF(C18="",0,C16/C18)</f>
        <v>0</v>
      </c>
      <c r="N14" s="55"/>
      <c r="P14" s="192" t="s">
        <v>98</v>
      </c>
      <c r="Q14" s="193">
        <f>C29</f>
        <v>0</v>
      </c>
      <c r="R14" s="203" t="b">
        <f>AND(Q11&lt;=35.5,Q12&lt;=40.5,Q13&lt;=10.5)</f>
        <v>0</v>
      </c>
      <c r="S14" s="3">
        <f>IF(R14=TRUE,4,23)</f>
        <v>23</v>
      </c>
      <c r="T14" s="3">
        <v>4</v>
      </c>
      <c r="U14" s="3" t="s">
        <v>99</v>
      </c>
      <c r="V14" s="204" t="e">
        <f>IF(W14=W12,W12,W14)</f>
        <v>#VALUE!</v>
      </c>
      <c r="W14" s="204" t="e">
        <f>IF(Q11&lt;15,0,W12)</f>
        <v>#VALUE!</v>
      </c>
      <c r="X14" s="55"/>
      <c r="AE14">
        <v>10</v>
      </c>
    </row>
    <row r="15" spans="2:31" ht="13.8" thickBot="1" x14ac:dyDescent="0.3">
      <c r="B15" s="196" t="s">
        <v>100</v>
      </c>
      <c r="C15" s="209">
        <f>IF(C18="",0,(POWER(C17,2)/(C18*C16)))</f>
        <v>0</v>
      </c>
      <c r="D15" s="3" t="s">
        <v>101</v>
      </c>
      <c r="E15" t="e">
        <f>AND(C22&gt;=50,C26&lt;50,C13="inorgânico",C27&gt;7,C27&gt;=(C26-20)*0.73,C25&lt;30,C25&lt;15)</f>
        <v>#VALUE!</v>
      </c>
      <c r="F15" t="e">
        <f>IF(E15=TRUE,1,150)</f>
        <v>#VALUE!</v>
      </c>
      <c r="G15" s="3">
        <v>1</v>
      </c>
      <c r="H15" s="246" t="s">
        <v>102</v>
      </c>
      <c r="N15" s="55"/>
      <c r="P15" s="207" t="s">
        <v>103</v>
      </c>
      <c r="Q15" s="208">
        <f>C30</f>
        <v>0</v>
      </c>
      <c r="R15" s="203" t="b">
        <f>AND(Q11&lt;=35.5,Q12&gt;40.5,Q13&lt;=10.5)</f>
        <v>0</v>
      </c>
      <c r="S15" s="3">
        <f>IF(R15=TRUE,5,24)</f>
        <v>24</v>
      </c>
      <c r="T15" s="3">
        <v>5</v>
      </c>
      <c r="U15" s="3" t="s">
        <v>104</v>
      </c>
      <c r="V15" s="281">
        <f>IF(V16=20,V16,V17)</f>
        <v>0</v>
      </c>
      <c r="W15" s="210">
        <f>Q12-40</f>
        <v>-40</v>
      </c>
      <c r="X15" s="55"/>
      <c r="AE15">
        <v>11</v>
      </c>
    </row>
    <row r="16" spans="2:31" ht="13.8" thickBot="1" x14ac:dyDescent="0.3">
      <c r="B16" s="192" t="s">
        <v>105</v>
      </c>
      <c r="C16" s="211" t="str">
        <f>[1]Granulometria!$R$84</f>
        <v/>
      </c>
      <c r="D16" s="3" t="s">
        <v>101</v>
      </c>
      <c r="E16" t="e">
        <f>AND(C22&gt;=50,C26&lt;50,C13="inorgânico",C27&gt;7,C27&gt;=(C26-20)*0.73,C25&lt;30,C25&gt;=15,C24&gt;=C23)</f>
        <v>#VALUE!</v>
      </c>
      <c r="F16" t="e">
        <f>IF(E16=TRUE,2,151)</f>
        <v>#VALUE!</v>
      </c>
      <c r="G16" s="3">
        <v>2</v>
      </c>
      <c r="H16" t="s">
        <v>106</v>
      </c>
      <c r="N16" s="55"/>
      <c r="P16" s="53"/>
      <c r="R16" s="203" t="b">
        <f>AND(Q11&lt;=35.5,Q12&lt;=40.5,Q13&gt;10.5)</f>
        <v>0</v>
      </c>
      <c r="S16" s="3">
        <f>IF(R16=TRUE,6,25)</f>
        <v>25</v>
      </c>
      <c r="T16" s="3">
        <v>6</v>
      </c>
      <c r="U16" s="3" t="s">
        <v>107</v>
      </c>
      <c r="V16" s="212">
        <f>IF(W16=W15,W15,W16)</f>
        <v>-40</v>
      </c>
      <c r="W16" s="212">
        <f>IF(Q12&gt;60,20,W15)</f>
        <v>-40</v>
      </c>
      <c r="X16" s="55"/>
      <c r="AE16">
        <v>12</v>
      </c>
    </row>
    <row r="17" spans="2:31" ht="13.8" thickBot="1" x14ac:dyDescent="0.3">
      <c r="B17" s="196" t="s">
        <v>108</v>
      </c>
      <c r="C17" s="211" t="str">
        <f>[1]Granulometria!$R$91</f>
        <v/>
      </c>
      <c r="D17" s="3" t="s">
        <v>101</v>
      </c>
      <c r="E17" t="e">
        <f>AND(C22&gt;=50,C26&lt;50,C13="inorgânico",C27&gt;7,C27&gt;=(C26-20)*0.73,C25&lt;30,C25&gt;=15,C24&lt;C23)</f>
        <v>#VALUE!</v>
      </c>
      <c r="F17" t="e">
        <f>IF(E17=TRUE,3,152)</f>
        <v>#VALUE!</v>
      </c>
      <c r="G17" s="3">
        <v>3</v>
      </c>
      <c r="H17" t="s">
        <v>109</v>
      </c>
      <c r="N17" s="55"/>
      <c r="P17" s="53"/>
      <c r="R17" s="203" t="b">
        <f>AND(Q11&lt;=35.5,Q12&gt;40.5,Q13&gt;10.5)</f>
        <v>0</v>
      </c>
      <c r="S17" s="3">
        <f>IF(R17=TRUE,7,26)</f>
        <v>26</v>
      </c>
      <c r="T17" s="3">
        <v>7</v>
      </c>
      <c r="U17" s="3" t="s">
        <v>110</v>
      </c>
      <c r="V17" s="204">
        <f>IF(W17=W15,W15,W17)</f>
        <v>0</v>
      </c>
      <c r="W17" s="214">
        <f>IF(Q12&lt;40,0,W15)</f>
        <v>0</v>
      </c>
      <c r="X17" s="55"/>
      <c r="AE17">
        <v>13</v>
      </c>
    </row>
    <row r="18" spans="2:31" ht="13.8" thickBot="1" x14ac:dyDescent="0.3">
      <c r="B18" s="207" t="s">
        <v>111</v>
      </c>
      <c r="C18" s="211" t="str">
        <f>[1]Granulometria!$R$98</f>
        <v/>
      </c>
      <c r="D18" s="3" t="s">
        <v>101</v>
      </c>
      <c r="E18" t="e">
        <f>AND(C22&gt;=50,C26&lt;50,C13="inorgânico",C27&gt;7,C27&gt;=(C26-20)*0.73,C25&gt;=30,C24&gt;=C23,C23&lt;15)</f>
        <v>#VALUE!</v>
      </c>
      <c r="F18" t="e">
        <f>IF(E18=TRUE,4,153)</f>
        <v>#VALUE!</v>
      </c>
      <c r="G18" s="3">
        <v>4</v>
      </c>
      <c r="H18" t="s">
        <v>112</v>
      </c>
      <c r="N18" s="55"/>
      <c r="P18" s="53"/>
      <c r="R18" s="203" t="b">
        <f>AND(Q11&gt;35.5,Q12&lt;=40,Q13&lt;=10)</f>
        <v>1</v>
      </c>
      <c r="S18" s="3">
        <f>IF(R18=TRUE,8,27)</f>
        <v>8</v>
      </c>
      <c r="T18" s="3">
        <v>8</v>
      </c>
      <c r="U18" s="3" t="s">
        <v>113</v>
      </c>
      <c r="V18" s="283">
        <f>IF(V19=20,V19,V20)</f>
        <v>0</v>
      </c>
      <c r="W18" s="210">
        <f>Q13-10</f>
        <v>-10</v>
      </c>
      <c r="X18" s="55"/>
      <c r="AE18">
        <v>14</v>
      </c>
    </row>
    <row r="19" spans="2:31" ht="14.4" thickTop="1" thickBot="1" x14ac:dyDescent="0.3">
      <c r="B19" s="192" t="s">
        <v>114</v>
      </c>
      <c r="C19" s="216" t="str">
        <f>[1]Granulometria!$E$80</f>
        <v/>
      </c>
      <c r="D19" s="3" t="s">
        <v>101</v>
      </c>
      <c r="E19" t="e">
        <f>AND(C22&gt;=50,C26&lt;50,C13="inorgânico",C27&gt;7,C27&gt;=(C26-20)*0.73,C25&gt;=30,C24&gt;=C23,C23&gt;=15)</f>
        <v>#VALUE!</v>
      </c>
      <c r="F19" t="e">
        <f>IF(E19=TRUE,5,154)</f>
        <v>#VALUE!</v>
      </c>
      <c r="G19" s="3">
        <v>5</v>
      </c>
      <c r="H19" t="s">
        <v>115</v>
      </c>
      <c r="N19" s="55"/>
      <c r="P19" s="217" t="str">
        <f>LOOKUP(S9,T11:T22,U11:U22)</f>
        <v>A-4</v>
      </c>
      <c r="Q19" s="217" t="str">
        <f>IF(ISERROR(X23),"",CONCATENATE("( ",X23," )",))</f>
        <v/>
      </c>
      <c r="R19" s="203" t="b">
        <f>AND(Q11&gt;35.5,Q12&gt;40.5,Q13&lt;=10)</f>
        <v>0</v>
      </c>
      <c r="S19" s="3">
        <f>IF(R19=TRUE,9,28)</f>
        <v>28</v>
      </c>
      <c r="T19" s="3">
        <v>9</v>
      </c>
      <c r="U19" s="3" t="s">
        <v>116</v>
      </c>
      <c r="V19" s="212">
        <f>IF(W19=W18,W18,W19)</f>
        <v>-10</v>
      </c>
      <c r="W19" s="212">
        <f>IF(Q13&gt;30,20,W18)</f>
        <v>-10</v>
      </c>
      <c r="X19" s="55"/>
      <c r="AE19">
        <v>15</v>
      </c>
    </row>
    <row r="20" spans="2:31" ht="14.4" thickTop="1" thickBot="1" x14ac:dyDescent="0.3">
      <c r="B20" s="196" t="s">
        <v>117</v>
      </c>
      <c r="C20" s="218" t="str">
        <f>[1]Granulometria!$E$79</f>
        <v/>
      </c>
      <c r="D20" s="3" t="s">
        <v>101</v>
      </c>
      <c r="E20" t="e">
        <f>AND(C22&gt;=50,C26&lt;50,C13="inorgânico",C27&gt;7,C27&gt;=(C26-20)*0.73,C25&gt;=30,C24&lt;C23,C24&lt;15)</f>
        <v>#VALUE!</v>
      </c>
      <c r="F20" t="e">
        <f>IF(E20=TRUE,6,155)</f>
        <v>#VALUE!</v>
      </c>
      <c r="G20" s="3">
        <v>6</v>
      </c>
      <c r="H20" t="s">
        <v>118</v>
      </c>
      <c r="N20" s="55"/>
      <c r="P20" s="53"/>
      <c r="R20" s="203" t="b">
        <f>AND(Q11&gt;35.5,Q12&lt;=40,Q13&gt;10)</f>
        <v>0</v>
      </c>
      <c r="S20" s="3">
        <f>IF(R20=TRUE,10,29)</f>
        <v>29</v>
      </c>
      <c r="T20" s="3">
        <v>10</v>
      </c>
      <c r="U20" s="3" t="s">
        <v>119</v>
      </c>
      <c r="V20" s="214">
        <f>IF(W20=W18,W18,W20)</f>
        <v>0</v>
      </c>
      <c r="W20" s="214">
        <f>IF(Q13&lt;10,0,W18)</f>
        <v>0</v>
      </c>
      <c r="X20" s="55"/>
      <c r="AE20">
        <v>16</v>
      </c>
    </row>
    <row r="21" spans="2:31" ht="14.4" thickTop="1" thickBot="1" x14ac:dyDescent="0.3">
      <c r="B21" s="196" t="s">
        <v>120</v>
      </c>
      <c r="C21" s="219" t="str">
        <f>[1]Granulometria!$E$76</f>
        <v/>
      </c>
      <c r="D21" s="3" t="s">
        <v>101</v>
      </c>
      <c r="E21" t="e">
        <f>AND(C22&gt;=50,C26&lt;50,C13="inorgânico",C27&gt;7,C27&gt;=(C26-20)*0.73,C25&gt;=30,C24&lt;C23,C24&gt;=15)</f>
        <v>#VALUE!</v>
      </c>
      <c r="F21" t="e">
        <f>IF(E21=TRUE,7,156)</f>
        <v>#VALUE!</v>
      </c>
      <c r="G21" s="3">
        <v>7</v>
      </c>
      <c r="H21" t="s">
        <v>121</v>
      </c>
      <c r="N21" s="55"/>
      <c r="P21" s="298" t="e">
        <f>X9+X10+X11</f>
        <v>#VALUE!</v>
      </c>
      <c r="R21" s="203" t="b">
        <f>AND(Q11&gt;35.5,Q12&gt;40.5,Q13&gt;10.5,Q13&lt;=(Q12-30))</f>
        <v>0</v>
      </c>
      <c r="S21" s="3">
        <f>IF(R21=TRUE,11,30)</f>
        <v>30</v>
      </c>
      <c r="T21" s="3">
        <v>11</v>
      </c>
      <c r="U21" s="3" t="s">
        <v>122</v>
      </c>
      <c r="X21" s="55"/>
      <c r="AE21">
        <v>17</v>
      </c>
    </row>
    <row r="22" spans="2:31" ht="14.4" thickTop="1" thickBot="1" x14ac:dyDescent="0.3">
      <c r="B22" s="207" t="s">
        <v>92</v>
      </c>
      <c r="C22" s="220" t="str">
        <f>[1]Granulometria!$E$73</f>
        <v/>
      </c>
      <c r="D22" s="221" t="s">
        <v>123</v>
      </c>
      <c r="E22" t="e">
        <f>AND(C22&gt;=50,C26&lt;50,C13="inorgânico",C27&gt;=4,C27&lt;=7,C27&gt;=(C26-20)*0.73,C25&lt;30,C25&lt;15)</f>
        <v>#VALUE!</v>
      </c>
      <c r="F22" t="e">
        <f>IF(E22=TRUE,8,157)</f>
        <v>#VALUE!</v>
      </c>
      <c r="G22" s="3">
        <v>8</v>
      </c>
      <c r="H22" t="s">
        <v>124</v>
      </c>
      <c r="N22" s="55"/>
      <c r="P22" s="53" t="s">
        <v>265</v>
      </c>
      <c r="R22" s="203" t="b">
        <f>AND(Q11&gt;35.5,Q12&gt;40.5,Q13&gt;10.5,Q13&gt;(Q12-30))</f>
        <v>0</v>
      </c>
      <c r="S22" s="3">
        <f>IF(R22=TRUE,12,31)</f>
        <v>31</v>
      </c>
      <c r="T22" s="3">
        <v>12</v>
      </c>
      <c r="U22" s="3" t="s">
        <v>125</v>
      </c>
      <c r="X22" s="222" t="str">
        <f>IF(ISERROR(X9+X10+X11),"",P21)</f>
        <v/>
      </c>
      <c r="Y22" t="s">
        <v>269</v>
      </c>
      <c r="AE22">
        <v>18</v>
      </c>
    </row>
    <row r="23" spans="2:31" ht="14.4" thickTop="1" thickBot="1" x14ac:dyDescent="0.3">
      <c r="B23" s="192" t="s">
        <v>126</v>
      </c>
      <c r="C23" s="223" t="e">
        <f>100-C19</f>
        <v>#VALUE!</v>
      </c>
      <c r="D23" s="221" t="s">
        <v>123</v>
      </c>
      <c r="E23" t="e">
        <f>AND(C22&gt;=50,C26&lt;50,C13="inorgânico",C27&gt;=4,C27&lt;=7,C27&gt;=(C26-20)*0.73,C25&lt;30,C25&gt;=15,C24&gt;=C23)</f>
        <v>#VALUE!</v>
      </c>
      <c r="F23" t="e">
        <f>IF(E23=TRUE,9,158)</f>
        <v>#VALUE!</v>
      </c>
      <c r="G23" s="3">
        <v>9</v>
      </c>
      <c r="H23" t="s">
        <v>127</v>
      </c>
      <c r="N23" s="55"/>
      <c r="P23" s="80"/>
      <c r="Q23" s="81"/>
      <c r="R23" s="81"/>
      <c r="S23" s="81"/>
      <c r="T23" s="81"/>
      <c r="U23" s="81"/>
      <c r="V23" s="81"/>
      <c r="W23" s="81"/>
      <c r="X23" s="297" t="e">
        <f>ROUND(X22,0)</f>
        <v>#VALUE!</v>
      </c>
      <c r="AE23">
        <v>19</v>
      </c>
    </row>
    <row r="24" spans="2:31" ht="13.8" thickTop="1" x14ac:dyDescent="0.25">
      <c r="B24" s="196" t="s">
        <v>128</v>
      </c>
      <c r="C24" s="219" t="e">
        <f>C19-C22</f>
        <v>#VALUE!</v>
      </c>
      <c r="D24" s="221" t="s">
        <v>123</v>
      </c>
      <c r="E24" t="e">
        <f>AND(C22&gt;=50,C26&lt;50,C13="inorgânico",C27&gt;=4,C27&lt;=7,C27&gt;=(C26-20)*0.73,C25&lt;30,C25&gt;=15,C24&lt;C23)</f>
        <v>#VALUE!</v>
      </c>
      <c r="F24" t="e">
        <f>IF(E24=TRUE,10,159)</f>
        <v>#VALUE!</v>
      </c>
      <c r="G24" s="3">
        <v>10</v>
      </c>
      <c r="H24" t="s">
        <v>129</v>
      </c>
      <c r="N24" s="55"/>
      <c r="AE24">
        <v>20</v>
      </c>
    </row>
    <row r="25" spans="2:31" ht="13.8" thickBot="1" x14ac:dyDescent="0.3">
      <c r="B25" s="207" t="s">
        <v>130</v>
      </c>
      <c r="C25" s="220" t="e">
        <f>100-C22</f>
        <v>#VALUE!</v>
      </c>
      <c r="D25" s="221" t="s">
        <v>123</v>
      </c>
      <c r="E25" t="e">
        <f>AND(C22&gt;=50,C26&lt;50,C13="inorgânico",C27&gt;=4,C27&lt;=7,C27&gt;=(C26-20)*0.73,C25&gt;=30,C24&gt;=C23,C23&lt;15)</f>
        <v>#VALUE!</v>
      </c>
      <c r="F25" t="e">
        <f>IF(E25=TRUE,11,160)</f>
        <v>#VALUE!</v>
      </c>
      <c r="G25" s="3">
        <v>11</v>
      </c>
      <c r="H25" t="s">
        <v>131</v>
      </c>
      <c r="N25" s="55"/>
      <c r="P25" s="53"/>
      <c r="Q25" s="185" t="s">
        <v>89</v>
      </c>
    </row>
    <row r="26" spans="2:31" ht="13.8" thickBot="1" x14ac:dyDescent="0.3">
      <c r="B26" s="192" t="s">
        <v>132</v>
      </c>
      <c r="C26" s="223">
        <f>IF(C29="N.P.",0,C29)</f>
        <v>0</v>
      </c>
      <c r="D26" s="221" t="s">
        <v>123</v>
      </c>
      <c r="E26" t="e">
        <f>AND(C22&gt;=50,C26&lt;50,C13="inorgânico",C27&gt;=4,C27&lt;=7,C27&gt;=(C26-20)*0.73,C25&gt;=30,C24&gt;=C23,C23&gt;=15)</f>
        <v>#VALUE!</v>
      </c>
      <c r="F26" t="e">
        <f>IF(E26=TRUE,12,161)</f>
        <v>#VALUE!</v>
      </c>
      <c r="G26" s="3">
        <v>12</v>
      </c>
      <c r="H26" t="s">
        <v>133</v>
      </c>
      <c r="N26" s="55"/>
      <c r="P26" t="s">
        <v>304</v>
      </c>
      <c r="X26" s="296"/>
    </row>
    <row r="27" spans="2:31" ht="13.8" thickBot="1" x14ac:dyDescent="0.3">
      <c r="B27" s="207" t="s">
        <v>134</v>
      </c>
      <c r="C27" s="220">
        <f>IF(C30="N.P.",0,C30)</f>
        <v>0</v>
      </c>
      <c r="D27" s="221" t="s">
        <v>123</v>
      </c>
      <c r="E27" t="e">
        <f>AND(C22&gt;=50,C26&lt;50,C13="inorgânico",C27&gt;=4,C27&lt;=7,C27&gt;=(C26-20)*0.73,C25&gt;=30,C24&lt;C23,C24&lt;15)</f>
        <v>#VALUE!</v>
      </c>
      <c r="F27" t="e">
        <f>IF(E27=TRUE,13,162)</f>
        <v>#VALUE!</v>
      </c>
      <c r="G27" s="3">
        <v>13</v>
      </c>
      <c r="H27" t="s">
        <v>135</v>
      </c>
      <c r="N27" s="55"/>
      <c r="P27" s="192">
        <v>50</v>
      </c>
      <c r="Q27" s="193" t="e">
        <f>C39</f>
        <v>#REF!</v>
      </c>
      <c r="T27" t="s">
        <v>294</v>
      </c>
      <c r="V27" t="s">
        <v>295</v>
      </c>
      <c r="X27" t="s">
        <v>296</v>
      </c>
    </row>
    <row r="28" spans="2:31" ht="13.8" thickBot="1" x14ac:dyDescent="0.3">
      <c r="B28" s="207" t="s">
        <v>136</v>
      </c>
      <c r="C28" s="224">
        <f>(C26-20)*0.73</f>
        <v>-14.6</v>
      </c>
      <c r="D28" s="221" t="s">
        <v>123</v>
      </c>
      <c r="E28" t="e">
        <f>AND(C22&gt;=50,C26&lt;50,C13="inorgânico",C27&gt;=4,C27&lt;=7,C27&gt;=(C26-20)*0.73,C25&gt;=30,C24&lt;C23,C24&gt;=15)</f>
        <v>#VALUE!</v>
      </c>
      <c r="F28" t="e">
        <f>IF(E28=TRUE,14,163)</f>
        <v>#VALUE!</v>
      </c>
      <c r="G28" s="3">
        <v>14</v>
      </c>
      <c r="H28" t="s">
        <v>137</v>
      </c>
      <c r="N28" s="55"/>
      <c r="P28" s="192">
        <v>5</v>
      </c>
      <c r="Q28" s="193" t="e">
        <f>C40</f>
        <v>#REF!</v>
      </c>
      <c r="X28" t="s">
        <v>292</v>
      </c>
    </row>
    <row r="29" spans="2:31" x14ac:dyDescent="0.25">
      <c r="B29" s="192" t="s">
        <v>132</v>
      </c>
      <c r="C29" s="216">
        <f>'NF P 11-300'!B9</f>
        <v>0</v>
      </c>
      <c r="D29" s="225" t="s">
        <v>138</v>
      </c>
      <c r="E29" t="e">
        <f>AND(C22&gt;=50,C26&lt;50,C13="inorgânico",OR(C27&lt;4,C27&lt;(C26-20)*0.73),C25&lt;30,C25&lt;15)</f>
        <v>#VALUE!</v>
      </c>
      <c r="F29" t="e">
        <f>IF(E29=TRUE,15,164)</f>
        <v>#VALUE!</v>
      </c>
      <c r="G29" s="3">
        <v>15</v>
      </c>
      <c r="H29" t="s">
        <v>139</v>
      </c>
      <c r="N29" s="55"/>
      <c r="P29" s="196">
        <v>2</v>
      </c>
      <c r="Q29" s="197" t="e">
        <f>C41</f>
        <v>#REF!</v>
      </c>
      <c r="X29" t="s">
        <v>297</v>
      </c>
    </row>
    <row r="30" spans="2:31" ht="13.8" thickBot="1" x14ac:dyDescent="0.3">
      <c r="B30" s="207" t="s">
        <v>134</v>
      </c>
      <c r="C30" s="226">
        <f>'NF P 11-300'!B10</f>
        <v>0</v>
      </c>
      <c r="D30" s="225" t="s">
        <v>138</v>
      </c>
      <c r="E30" t="e">
        <f>AND(C22&gt;=50,C26&lt;50,C13="inorgânico",OR(C27&lt;4,C27&lt;(C26-20)*0.73),C25&lt;30,C25&gt;=15,C24&gt;=C23)</f>
        <v>#VALUE!</v>
      </c>
      <c r="F30" t="e">
        <f>IF(E30=TRUE,16,165)</f>
        <v>#VALUE!</v>
      </c>
      <c r="G30" s="3">
        <v>16</v>
      </c>
      <c r="H30" t="s">
        <v>140</v>
      </c>
      <c r="N30" s="55"/>
      <c r="P30" s="207" t="s">
        <v>303</v>
      </c>
      <c r="Q30" s="197" t="e">
        <f>C43</f>
        <v>#REF!</v>
      </c>
      <c r="X30" t="s">
        <v>298</v>
      </c>
    </row>
    <row r="31" spans="2:31" x14ac:dyDescent="0.25">
      <c r="B31" s="53"/>
      <c r="D31" s="225" t="s">
        <v>138</v>
      </c>
      <c r="E31" t="e">
        <f>AND(C22&gt;=50,C26&lt;50,C13="inorgânico",OR(C27&lt;4,C27&lt;(C26-20)*0.73),C25&lt;30,C25&gt;=15,C24&lt;C23)</f>
        <v>#VALUE!</v>
      </c>
      <c r="F31" t="e">
        <f>IF(E31=TRUE,17,166)</f>
        <v>#VALUE!</v>
      </c>
      <c r="G31" s="3">
        <v>17</v>
      </c>
      <c r="H31" t="s">
        <v>141</v>
      </c>
      <c r="N31" s="55"/>
      <c r="P31" s="196"/>
      <c r="Q31" s="197" t="e">
        <f>IF(Q33="N.P.",0,Q33)</f>
        <v>#REF!</v>
      </c>
      <c r="X31" t="s">
        <v>299</v>
      </c>
    </row>
    <row r="32" spans="2:31" ht="13.8" thickBot="1" x14ac:dyDescent="0.3">
      <c r="B32" s="53"/>
      <c r="D32" s="225" t="s">
        <v>138</v>
      </c>
      <c r="E32" t="e">
        <f>AND(C22&gt;=50,C26&lt;50,C13="inorgânico",OR(C27&lt;4,C27&lt;(C26-20)*0.73),C25&gt;=30,C24&gt;=C23,C23&lt;15)</f>
        <v>#VALUE!</v>
      </c>
      <c r="F32" t="e">
        <f>IF(E32=TRUE,18,167)</f>
        <v>#VALUE!</v>
      </c>
      <c r="G32" s="3">
        <v>18</v>
      </c>
      <c r="H32" t="s">
        <v>142</v>
      </c>
      <c r="N32" s="55"/>
      <c r="P32" s="207"/>
      <c r="Q32" s="208" t="e">
        <f>IF(Q34="N.P.",0,Q34)</f>
        <v>#REF!</v>
      </c>
      <c r="V32" t="s">
        <v>300</v>
      </c>
      <c r="X32" t="s">
        <v>296</v>
      </c>
    </row>
    <row r="33" spans="2:24" ht="13.8" thickBot="1" x14ac:dyDescent="0.3">
      <c r="B33" s="205" t="s">
        <v>95</v>
      </c>
      <c r="C33" s="206" t="e">
        <v>#REF!</v>
      </c>
      <c r="D33" s="225" t="s">
        <v>138</v>
      </c>
      <c r="E33" t="e">
        <f>AND(C22&gt;=50,C26&lt;50,C13="inorgânico",OR(C27&lt;4,C27&lt;(C26-20)*0.73),C25&gt;=30,C24&gt;=C23,C23&gt;=15)</f>
        <v>#VALUE!</v>
      </c>
      <c r="F33" t="e">
        <f>IF(E33=TRUE,19,168)</f>
        <v>#VALUE!</v>
      </c>
      <c r="G33" s="3">
        <v>19</v>
      </c>
      <c r="H33" t="s">
        <v>143</v>
      </c>
      <c r="N33" s="55"/>
      <c r="P33" s="192" t="s">
        <v>98</v>
      </c>
      <c r="Q33" s="193" t="e">
        <f>C49</f>
        <v>#REF!</v>
      </c>
      <c r="X33" t="s">
        <v>292</v>
      </c>
    </row>
    <row r="34" spans="2:24" ht="13.8" thickBot="1" x14ac:dyDescent="0.3">
      <c r="B34" s="196" t="s">
        <v>97</v>
      </c>
      <c r="C34" s="209" t="e">
        <f>IF(C38="",0,C36/C38)</f>
        <v>#REF!</v>
      </c>
      <c r="D34" s="225" t="s">
        <v>138</v>
      </c>
      <c r="E34" t="e">
        <f>AND(C22&gt;=50,C26&lt;50,C13="inorgânico",OR(C27&lt;4,C27&lt;(C26-20)*0.73),C25&gt;=30,C24&lt;C23,C24&lt;15)</f>
        <v>#VALUE!</v>
      </c>
      <c r="F34" t="e">
        <f>IF(E34=TRUE,20,169)</f>
        <v>#VALUE!</v>
      </c>
      <c r="G34" s="3">
        <v>20</v>
      </c>
      <c r="H34" t="s">
        <v>144</v>
      </c>
      <c r="N34" s="55"/>
      <c r="P34" s="207" t="s">
        <v>103</v>
      </c>
      <c r="Q34" s="208" t="e">
        <f>C50</f>
        <v>#REF!</v>
      </c>
      <c r="X34" t="s">
        <v>297</v>
      </c>
    </row>
    <row r="35" spans="2:24" ht="13.8" thickBot="1" x14ac:dyDescent="0.3">
      <c r="B35" s="196" t="s">
        <v>100</v>
      </c>
      <c r="C35" s="209" t="e">
        <f>IF(C38="",0,(POWER(C37,2)/(C38*C36)))</f>
        <v>#REF!</v>
      </c>
      <c r="D35" s="225" t="s">
        <v>138</v>
      </c>
      <c r="E35" t="e">
        <f>AND(C22&gt;=50,C26&lt;50,C13="inorgânico",OR(C27&lt;4,C27&lt;(C26-20)*0.73),C25&gt;=30,C24&lt;C23,C24&gt;=15)</f>
        <v>#VALUE!</v>
      </c>
      <c r="F35" t="e">
        <f>IF(E35=TRUE,21,170)</f>
        <v>#VALUE!</v>
      </c>
      <c r="G35" s="3">
        <v>21</v>
      </c>
      <c r="H35" t="s">
        <v>145</v>
      </c>
      <c r="N35" s="55"/>
      <c r="P35" s="325" t="s">
        <v>305</v>
      </c>
      <c r="Q35" s="326" t="e">
        <v>#REF!</v>
      </c>
      <c r="X35" t="s">
        <v>298</v>
      </c>
    </row>
    <row r="36" spans="2:24" x14ac:dyDescent="0.25">
      <c r="B36" s="192" t="s">
        <v>105</v>
      </c>
      <c r="C36" s="211" t="e">
        <v>#REF!</v>
      </c>
      <c r="D36" s="227" t="s">
        <v>146</v>
      </c>
      <c r="E36" t="e">
        <f>AND(C22&gt;=50,C26&gt;=50,C13="inorgânico",C27&gt;=4,C27&gt;=(C26-20)*0.73,C25&lt;30,C25&lt;15)</f>
        <v>#VALUE!</v>
      </c>
      <c r="F36" t="e">
        <f>IF(E36=TRUE,22,171)</f>
        <v>#VALUE!</v>
      </c>
      <c r="G36" s="3">
        <v>22</v>
      </c>
      <c r="H36" t="s">
        <v>147</v>
      </c>
      <c r="N36" s="55"/>
      <c r="P36" s="325" t="s">
        <v>306</v>
      </c>
      <c r="Q36" t="e">
        <v>#REF!</v>
      </c>
      <c r="X36" t="s">
        <v>299</v>
      </c>
    </row>
    <row r="37" spans="2:24" x14ac:dyDescent="0.25">
      <c r="B37" s="196" t="s">
        <v>108</v>
      </c>
      <c r="C37" s="213" t="e">
        <v>#REF!</v>
      </c>
      <c r="D37" s="227" t="s">
        <v>146</v>
      </c>
      <c r="E37" t="e">
        <f>AND(C22&gt;=50,C26&gt;=50,C13="inorgânico",C27&gt;=4,C27&gt;=(C26-20)*0.73,C25&lt;30,C25&gt;=15,C24&gt;=C23)</f>
        <v>#VALUE!</v>
      </c>
      <c r="F37" t="e">
        <f>IF(E37=TRUE,23,172)</f>
        <v>#VALUE!</v>
      </c>
      <c r="G37" s="3">
        <v>23</v>
      </c>
      <c r="H37" t="s">
        <v>148</v>
      </c>
      <c r="N37" s="55"/>
      <c r="P37" s="325" t="s">
        <v>307</v>
      </c>
      <c r="Q37" t="e">
        <v>#REF!</v>
      </c>
      <c r="V37" t="s">
        <v>301</v>
      </c>
      <c r="X37" t="s">
        <v>296</v>
      </c>
    </row>
    <row r="38" spans="2:24" ht="13.8" thickBot="1" x14ac:dyDescent="0.3">
      <c r="B38" s="207" t="s">
        <v>111</v>
      </c>
      <c r="C38" s="215" t="e">
        <v>#REF!</v>
      </c>
      <c r="D38" s="227" t="s">
        <v>146</v>
      </c>
      <c r="E38" t="e">
        <f>AND(C22&gt;=50,C26&gt;=50,C13="inorgânico",C27&gt;=4,C27&gt;=(C26-20)*0.73,C25&lt;30,C25&gt;=15,C24&lt;C23)</f>
        <v>#VALUE!</v>
      </c>
      <c r="F38" t="e">
        <f>IF(E38=TRUE,24,173)</f>
        <v>#VALUE!</v>
      </c>
      <c r="G38" s="3">
        <v>24</v>
      </c>
      <c r="H38" t="s">
        <v>149</v>
      </c>
      <c r="N38" s="55"/>
      <c r="P38" s="325" t="s">
        <v>308</v>
      </c>
      <c r="Q38" s="326" t="e">
        <v>#REF!</v>
      </c>
      <c r="X38" t="s">
        <v>292</v>
      </c>
    </row>
    <row r="39" spans="2:24" ht="13.8" thickBot="1" x14ac:dyDescent="0.3">
      <c r="B39" s="192">
        <v>50</v>
      </c>
      <c r="C39" s="216" t="e">
        <v>#REF!</v>
      </c>
      <c r="D39" s="227" t="s">
        <v>146</v>
      </c>
      <c r="E39" t="e">
        <f>AND(C22&gt;=50,C26&gt;=50,C13="inorgânico",C27&gt;=4,C27&gt;=(C26-20)*0.73,C25&gt;=30,C24&gt;=C23,C23&lt;15)</f>
        <v>#VALUE!</v>
      </c>
      <c r="F39" t="e">
        <f>IF(E39=TRUE,25,174)</f>
        <v>#VALUE!</v>
      </c>
      <c r="G39" s="3">
        <v>25</v>
      </c>
      <c r="H39" t="s">
        <v>150</v>
      </c>
      <c r="N39" s="55"/>
      <c r="X39" t="s">
        <v>297</v>
      </c>
    </row>
    <row r="40" spans="2:24" x14ac:dyDescent="0.25">
      <c r="B40" s="192">
        <v>5</v>
      </c>
      <c r="C40" s="216" t="e">
        <v>#REF!</v>
      </c>
      <c r="D40" s="227" t="s">
        <v>146</v>
      </c>
      <c r="E40" t="e">
        <f>AND(C22&gt;=50,C26&gt;=50,C13="inorgânico",C27&gt;=4,C27&gt;=(C26-20)*0.73,C25&gt;=30,C24&gt;=C23,C23&gt;=15)</f>
        <v>#VALUE!</v>
      </c>
      <c r="F40" t="e">
        <f>IF(E40=TRUE,26,175)</f>
        <v>#VALUE!</v>
      </c>
      <c r="G40" s="3">
        <v>26</v>
      </c>
      <c r="H40" t="s">
        <v>151</v>
      </c>
      <c r="N40" s="55"/>
      <c r="X40" t="s">
        <v>298</v>
      </c>
    </row>
    <row r="41" spans="2:24" x14ac:dyDescent="0.25">
      <c r="B41" s="196">
        <v>2</v>
      </c>
      <c r="C41" s="218" t="e">
        <v>#REF!</v>
      </c>
      <c r="D41" s="227" t="s">
        <v>146</v>
      </c>
      <c r="E41" t="e">
        <f>AND(C22&gt;=50,C26&gt;=50,C13="inorgânico",C27&gt;=4,C27&gt;=(C26-20)*0.73,C25&gt;=30,C24&lt;C23,C24&lt;15)</f>
        <v>#VALUE!</v>
      </c>
      <c r="F41" t="e">
        <f>IF(E41=TRUE,27,176)</f>
        <v>#VALUE!</v>
      </c>
      <c r="G41" s="3">
        <v>27</v>
      </c>
      <c r="H41" t="s">
        <v>152</v>
      </c>
      <c r="N41" s="55"/>
      <c r="X41" t="s">
        <v>299</v>
      </c>
    </row>
    <row r="42" spans="2:24" x14ac:dyDescent="0.25">
      <c r="B42" s="196">
        <v>0.4</v>
      </c>
      <c r="C42" s="219" t="e">
        <v>#REF!</v>
      </c>
      <c r="D42" s="227" t="s">
        <v>146</v>
      </c>
      <c r="E42" t="e">
        <f>AND(C22&gt;=50,C26&gt;=50,C13="inorgânico",C27&gt;=4,C27&gt;=(C26-20)*0.73,C25&gt;=30,C24&lt;C23,C24&gt;=15)</f>
        <v>#VALUE!</v>
      </c>
      <c r="F42" t="e">
        <f>IF(E42=TRUE,28,177)</f>
        <v>#VALUE!</v>
      </c>
      <c r="G42" s="3">
        <v>28</v>
      </c>
      <c r="H42" t="s">
        <v>153</v>
      </c>
      <c r="N42" s="55"/>
      <c r="V42" t="s">
        <v>302</v>
      </c>
      <c r="X42" t="s">
        <v>296</v>
      </c>
    </row>
    <row r="43" spans="2:24" ht="13.8" thickBot="1" x14ac:dyDescent="0.3">
      <c r="B43" s="207" t="s">
        <v>303</v>
      </c>
      <c r="C43" s="220" t="e">
        <v>#REF!</v>
      </c>
      <c r="D43" s="229" t="s">
        <v>154</v>
      </c>
      <c r="E43" t="e">
        <f>AND(C22&gt;=50,C26&gt;=50,C13="inorgânico",OR(C27&lt;4,C27&lt;(C26-20)*0.73),C25&lt;30,C25&lt;15)</f>
        <v>#VALUE!</v>
      </c>
      <c r="F43" t="e">
        <f>IF(E43=TRUE,29,178)</f>
        <v>#VALUE!</v>
      </c>
      <c r="G43" s="3">
        <v>29</v>
      </c>
      <c r="H43" t="s">
        <v>155</v>
      </c>
      <c r="N43" s="55"/>
      <c r="X43" t="s">
        <v>292</v>
      </c>
    </row>
    <row r="44" spans="2:24" x14ac:dyDescent="0.25">
      <c r="B44" s="192" t="s">
        <v>126</v>
      </c>
      <c r="C44" s="223" t="e">
        <f>100-C40</f>
        <v>#REF!</v>
      </c>
      <c r="D44" s="229" t="s">
        <v>154</v>
      </c>
      <c r="E44" t="e">
        <f>AND(C22&gt;=50,C26&gt;=50,C13="inorgânico",OR(C27&lt;4,C27&lt;(C26-20)*0.73),C25&lt;30,C25&gt;=15,C24&gt;=C23)</f>
        <v>#VALUE!</v>
      </c>
      <c r="F44" t="e">
        <f>IF(E44=TRUE,30,179)</f>
        <v>#VALUE!</v>
      </c>
      <c r="G44" s="3">
        <v>30</v>
      </c>
      <c r="H44" t="s">
        <v>156</v>
      </c>
      <c r="N44" s="55"/>
      <c r="X44" t="s">
        <v>297</v>
      </c>
    </row>
    <row r="45" spans="2:24" x14ac:dyDescent="0.25">
      <c r="B45" s="196" t="s">
        <v>128</v>
      </c>
      <c r="C45" s="219" t="e">
        <f>C40-C43</f>
        <v>#REF!</v>
      </c>
      <c r="D45" s="229" t="s">
        <v>154</v>
      </c>
      <c r="E45" t="e">
        <f>AND(C22&gt;=50,C26&gt;=50,C13="inorgânico",OR(C27&lt;4,C27&lt;(C26-20)*0.73),C25&lt;30,C25&gt;=15,C24&lt;C23)</f>
        <v>#VALUE!</v>
      </c>
      <c r="F45" t="e">
        <f>IF(E45=TRUE,31,180)</f>
        <v>#VALUE!</v>
      </c>
      <c r="G45" s="3">
        <v>31</v>
      </c>
      <c r="H45" t="s">
        <v>157</v>
      </c>
      <c r="N45" s="55"/>
      <c r="X45" t="s">
        <v>298</v>
      </c>
    </row>
    <row r="46" spans="2:24" ht="13.8" thickBot="1" x14ac:dyDescent="0.3">
      <c r="B46" s="207" t="s">
        <v>130</v>
      </c>
      <c r="C46" s="220" t="e">
        <f>100-C43</f>
        <v>#REF!</v>
      </c>
      <c r="D46" s="229" t="s">
        <v>154</v>
      </c>
      <c r="E46" t="e">
        <f>AND(C22&gt;=50,C26&gt;=50,C13="inorgânico",OR(C27&lt;4,C27&lt;(C26-20)*0.73),C25&gt;=30,C24&gt;=C23,C23&lt;15)</f>
        <v>#VALUE!</v>
      </c>
      <c r="F46" t="e">
        <f>IF(E46=TRUE,32,181)</f>
        <v>#VALUE!</v>
      </c>
      <c r="G46" s="3">
        <v>32</v>
      </c>
      <c r="H46" t="s">
        <v>158</v>
      </c>
      <c r="N46" s="55"/>
    </row>
    <row r="47" spans="2:24" x14ac:dyDescent="0.25">
      <c r="B47" s="192" t="s">
        <v>132</v>
      </c>
      <c r="C47" s="223" t="e">
        <f>IF(C50="N.P.",0,C50)</f>
        <v>#REF!</v>
      </c>
      <c r="D47" s="229" t="s">
        <v>154</v>
      </c>
      <c r="E47" t="e">
        <f>AND(C22&gt;=50,C26&gt;=50,C13="inorgânico",OR(C27&lt;4,C27&lt;(C26-20)*0.73),C25&gt;=30,C24&gt;=C23,C23&gt;=15)</f>
        <v>#VALUE!</v>
      </c>
      <c r="F47" t="e">
        <f>IF(E47=TRUE,33,182)</f>
        <v>#VALUE!</v>
      </c>
      <c r="G47" s="3">
        <v>33</v>
      </c>
      <c r="H47" t="s">
        <v>159</v>
      </c>
      <c r="N47" s="55"/>
    </row>
    <row r="48" spans="2:24" ht="13.8" thickBot="1" x14ac:dyDescent="0.3">
      <c r="B48" s="207" t="s">
        <v>134</v>
      </c>
      <c r="C48" s="220" t="e">
        <f>IF(C51="N.P.",0,C51)</f>
        <v>#REF!</v>
      </c>
      <c r="D48" s="229" t="s">
        <v>154</v>
      </c>
      <c r="E48" t="e">
        <f>AND(C22&gt;=50,C26&gt;=50,C13="inorgânico",OR(C27&lt;4,C27&lt;(C26-20)*0.73),C25&gt;=30,C24&lt;C23,C24&lt;15)</f>
        <v>#VALUE!</v>
      </c>
      <c r="F48" t="e">
        <f>IF(E48=TRUE,34,183)</f>
        <v>#VALUE!</v>
      </c>
      <c r="G48" s="3">
        <v>34</v>
      </c>
      <c r="H48" t="s">
        <v>160</v>
      </c>
      <c r="N48" s="55"/>
    </row>
    <row r="49" spans="2:14" ht="13.8" thickBot="1" x14ac:dyDescent="0.3">
      <c r="B49" s="207" t="s">
        <v>136</v>
      </c>
      <c r="C49" s="224" t="e">
        <f>(C47-20)*0.73</f>
        <v>#REF!</v>
      </c>
      <c r="D49" s="229" t="s">
        <v>154</v>
      </c>
      <c r="E49" t="e">
        <f>AND(C22&gt;=50,C26&gt;=50,C13="inorgânico",OR(C27&lt;4,C27&lt;(C26-20)*0.73),C25&gt;=30,C24&lt;C23,C24&gt;=15)</f>
        <v>#VALUE!</v>
      </c>
      <c r="F49" t="e">
        <f>IF(E49=TRUE,35,184)</f>
        <v>#VALUE!</v>
      </c>
      <c r="G49" s="3">
        <v>35</v>
      </c>
      <c r="H49" t="s">
        <v>161</v>
      </c>
      <c r="N49" s="55"/>
    </row>
    <row r="50" spans="2:14" x14ac:dyDescent="0.25">
      <c r="B50" s="192" t="s">
        <v>132</v>
      </c>
      <c r="C50" s="216" t="e">
        <v>#REF!</v>
      </c>
      <c r="D50" s="230" t="s">
        <v>162</v>
      </c>
      <c r="E50" t="e">
        <f>AND(C25&gt;50,C23&gt;C24,C22&lt;5,C14&gt;=4,C15&gt;=1,C15&lt;=3,C24&lt;15)</f>
        <v>#VALUE!</v>
      </c>
      <c r="F50" t="e">
        <f>IF(E50=TRUE,36,185)</f>
        <v>#VALUE!</v>
      </c>
      <c r="G50" s="3">
        <v>36</v>
      </c>
      <c r="H50" t="s">
        <v>163</v>
      </c>
      <c r="N50" s="55"/>
    </row>
    <row r="51" spans="2:14" ht="13.8" thickBot="1" x14ac:dyDescent="0.3">
      <c r="B51" s="207" t="s">
        <v>134</v>
      </c>
      <c r="C51" s="226" t="e">
        <v>#REF!</v>
      </c>
      <c r="D51" s="230" t="s">
        <v>162</v>
      </c>
      <c r="E51" t="e">
        <f>AND(C25&gt;50,C23&gt;C24,C22&lt;5,C14&gt;=4,C15&gt;=1,C15&lt;=3,C24&gt;=15)</f>
        <v>#VALUE!</v>
      </c>
      <c r="F51" t="e">
        <f>IF(E51=TRUE,37,186)</f>
        <v>#VALUE!</v>
      </c>
      <c r="G51" s="3">
        <v>37</v>
      </c>
      <c r="H51" t="s">
        <v>164</v>
      </c>
      <c r="N51" s="55"/>
    </row>
    <row r="52" spans="2:14" x14ac:dyDescent="0.25">
      <c r="B52" s="228"/>
      <c r="D52" s="230" t="s">
        <v>165</v>
      </c>
      <c r="E52" t="e">
        <f>AND(C25&gt;50,C23&gt;C24,C22&lt;5,OR(C14&lt;4,C15&lt;1,C15&gt;3),C24&lt;15)</f>
        <v>#VALUE!</v>
      </c>
      <c r="F52" t="e">
        <f>IF(E52=TRUE,38,187)</f>
        <v>#VALUE!</v>
      </c>
      <c r="G52" s="3">
        <v>38</v>
      </c>
      <c r="H52" t="s">
        <v>166</v>
      </c>
      <c r="N52" s="55"/>
    </row>
    <row r="53" spans="2:14" x14ac:dyDescent="0.25">
      <c r="B53" s="228"/>
      <c r="D53" s="230" t="s">
        <v>165</v>
      </c>
      <c r="E53" t="e">
        <f>AND(C25&gt;50,C23&gt;C24,C22&lt;5,OR(C14&lt;4,C15&lt;1,C15&gt;3),C24&gt;=15)</f>
        <v>#VALUE!</v>
      </c>
      <c r="F53" t="e">
        <f>IF(E53=TRUE,39,188)</f>
        <v>#VALUE!</v>
      </c>
      <c r="G53" s="3">
        <v>39</v>
      </c>
      <c r="H53" t="s">
        <v>167</v>
      </c>
      <c r="N53" s="55"/>
    </row>
    <row r="54" spans="2:14" x14ac:dyDescent="0.25">
      <c r="B54" s="228"/>
      <c r="D54" s="230" t="s">
        <v>168</v>
      </c>
      <c r="E54" t="e">
        <f>AND(C25&gt;50,C23&gt;C24,C22&gt;=5,C22&lt;=12,C14&gt;=4,C15&gt;=1,C15&lt;=3,OR(C27&lt;4,C27&lt;(C26-20)*0.73),C24&lt;15)</f>
        <v>#VALUE!</v>
      </c>
      <c r="F54" t="e">
        <f>IF(E54=TRUE,40,189)</f>
        <v>#VALUE!</v>
      </c>
      <c r="G54" s="3">
        <v>40</v>
      </c>
      <c r="H54" t="s">
        <v>169</v>
      </c>
      <c r="N54" s="55"/>
    </row>
    <row r="55" spans="2:14" x14ac:dyDescent="0.25">
      <c r="B55" s="228"/>
      <c r="D55" s="230" t="s">
        <v>168</v>
      </c>
      <c r="E55" t="e">
        <f>AND(C25&gt;50,C23&gt;C24,C22&gt;=5,C22&lt;=12,C14&gt;=4,C15&gt;=1,C15&lt;=3,OR(C27&lt;4,C27&lt;(C26-20)*0.73),C24&gt;=15)</f>
        <v>#VALUE!</v>
      </c>
      <c r="F55" t="e">
        <f>IF(E55=TRUE,41,190)</f>
        <v>#VALUE!</v>
      </c>
      <c r="G55" s="3">
        <v>41</v>
      </c>
      <c r="H55" t="s">
        <v>170</v>
      </c>
      <c r="N55" s="55"/>
    </row>
    <row r="56" spans="2:14" x14ac:dyDescent="0.25">
      <c r="B56" s="228"/>
      <c r="D56" s="230" t="s">
        <v>171</v>
      </c>
      <c r="E56" t="e">
        <f>AND(C25&gt;50,C23&gt;C24,C22&gt;=5,C22&lt;=12,C14&gt;=4,C15&gt;=1,C15&lt;=3,C27&gt;=4,C27&gt;=(C26-20)*0.73,C24&lt;15)</f>
        <v>#VALUE!</v>
      </c>
      <c r="F56" t="e">
        <f>IF(E56=TRUE,42,191)</f>
        <v>#VALUE!</v>
      </c>
      <c r="G56" s="3">
        <v>42</v>
      </c>
      <c r="H56" t="s">
        <v>172</v>
      </c>
      <c r="N56" s="55"/>
    </row>
    <row r="57" spans="2:14" x14ac:dyDescent="0.25">
      <c r="B57" s="228"/>
      <c r="D57" s="230" t="s">
        <v>171</v>
      </c>
      <c r="E57" t="e">
        <f>AND(C25&gt;50,C23&gt;C24,C22&gt;=5,C22&lt;=12,C14&gt;=4,C15&gt;=1,C15&lt;=3,C27&gt;=4,C27&gt;=(C26-20)*0.73,C24&gt;=15)</f>
        <v>#VALUE!</v>
      </c>
      <c r="F57" t="e">
        <f>IF(E57=TRUE,43,192)</f>
        <v>#VALUE!</v>
      </c>
      <c r="G57" s="3">
        <v>43</v>
      </c>
      <c r="H57" t="s">
        <v>173</v>
      </c>
      <c r="N57" s="55"/>
    </row>
    <row r="58" spans="2:14" x14ac:dyDescent="0.25">
      <c r="B58" s="228"/>
      <c r="D58" s="230" t="s">
        <v>174</v>
      </c>
      <c r="E58" t="e">
        <f>AND(C25&gt;50,C23&gt;C24,C22&gt;=5,C22&lt;=12,OR(C14&lt;4,C15&lt;1,C15&gt;3),OR(C27&lt;4,C27&lt;(C26-20)*0.73),C24&lt;15)</f>
        <v>#VALUE!</v>
      </c>
      <c r="F58" t="e">
        <f>IF(E58=TRUE,44,193)</f>
        <v>#VALUE!</v>
      </c>
      <c r="G58" s="3">
        <v>44</v>
      </c>
      <c r="H58" t="s">
        <v>175</v>
      </c>
      <c r="N58" s="55"/>
    </row>
    <row r="59" spans="2:14" x14ac:dyDescent="0.25">
      <c r="B59" s="228"/>
      <c r="D59" s="230" t="s">
        <v>174</v>
      </c>
      <c r="E59" t="e">
        <f>AND(C25&gt;50,C23&gt;C24,C22&gt;=5,C22&lt;=12,OR(C14&lt;4,C15&lt;1,C15&gt;3),OR(C27&lt;4,C27&lt;(C26-20)*0.73),C24&gt;=15)</f>
        <v>#VALUE!</v>
      </c>
      <c r="F59" t="e">
        <f>IF(E59=TRUE,45,194)</f>
        <v>#VALUE!</v>
      </c>
      <c r="G59" s="3">
        <v>45</v>
      </c>
      <c r="H59" t="s">
        <v>176</v>
      </c>
      <c r="N59" s="55"/>
    </row>
    <row r="60" spans="2:14" x14ac:dyDescent="0.25">
      <c r="B60" s="228"/>
      <c r="D60" s="230" t="s">
        <v>177</v>
      </c>
      <c r="E60" t="e">
        <f>AND(C25&gt;50,C23&gt;C24,C22&gt;=5,C22&lt;=12,OR(C14&lt;4,C15&lt;1,C15&gt;3),C27&gt;=4,C27&gt;=(C26-20)*0.73,C24&lt;15)</f>
        <v>#VALUE!</v>
      </c>
      <c r="F60" t="e">
        <f>IF(E60=TRUE,46,195)</f>
        <v>#VALUE!</v>
      </c>
      <c r="G60" s="3">
        <v>46</v>
      </c>
      <c r="H60" t="s">
        <v>178</v>
      </c>
      <c r="N60" s="55"/>
    </row>
    <row r="61" spans="2:14" x14ac:dyDescent="0.25">
      <c r="B61" s="228"/>
      <c r="D61" s="230" t="s">
        <v>177</v>
      </c>
      <c r="E61" t="e">
        <f>AND(C25&gt;50,C23&gt;C24,C22&gt;=5,C22&lt;=12,OR(C14&lt;4,C15&lt;1,C15&gt;3),C27&gt;=4,C27&gt;=(C26-20)*0.73,C24&gt;=15)</f>
        <v>#VALUE!</v>
      </c>
      <c r="F61" t="e">
        <f>IF(E61=TRUE,47,196)</f>
        <v>#VALUE!</v>
      </c>
      <c r="G61" s="3">
        <v>47</v>
      </c>
      <c r="H61" t="s">
        <v>179</v>
      </c>
      <c r="N61" s="55"/>
    </row>
    <row r="62" spans="2:14" x14ac:dyDescent="0.25">
      <c r="B62" s="228"/>
      <c r="D62" s="230" t="s">
        <v>180</v>
      </c>
      <c r="E62" t="e">
        <f>AND(C25&gt;50,C23&gt;C24,C22&gt;12,OR(C27&lt;4,C27&lt;(C26-20)*0.73),C24&lt;15)</f>
        <v>#VALUE!</v>
      </c>
      <c r="F62" t="e">
        <f>IF(E62=TRUE,48,197)</f>
        <v>#VALUE!</v>
      </c>
      <c r="G62" s="3">
        <v>48</v>
      </c>
      <c r="H62" t="s">
        <v>181</v>
      </c>
      <c r="N62" s="55"/>
    </row>
    <row r="63" spans="2:14" x14ac:dyDescent="0.25">
      <c r="B63" s="228"/>
      <c r="D63" s="230" t="s">
        <v>180</v>
      </c>
      <c r="E63" t="e">
        <f>AND(C25&gt;50,C23&gt;C24,C22&gt;12,OR(C27&lt;4,C27&lt;(C26-20)*0.73),C24&gt;=15)</f>
        <v>#VALUE!</v>
      </c>
      <c r="F63" t="e">
        <f>IF(E63=TRUE,49,198)</f>
        <v>#VALUE!</v>
      </c>
      <c r="G63" s="3">
        <v>49</v>
      </c>
      <c r="H63" t="s">
        <v>182</v>
      </c>
      <c r="N63" s="55"/>
    </row>
    <row r="64" spans="2:14" x14ac:dyDescent="0.25">
      <c r="B64" s="228"/>
      <c r="D64" s="230" t="s">
        <v>183</v>
      </c>
      <c r="E64" t="e">
        <f>AND(C25&gt;50,C23&gt;C24,C22&gt;12,C27&gt;7,C27&gt;=(C26-20)*0.73,C24&lt;15)</f>
        <v>#VALUE!</v>
      </c>
      <c r="F64" t="e">
        <f>IF(E64=TRUE,50,199)</f>
        <v>#VALUE!</v>
      </c>
      <c r="G64" s="3">
        <v>50</v>
      </c>
      <c r="H64" t="s">
        <v>184</v>
      </c>
      <c r="N64" s="55"/>
    </row>
    <row r="65" spans="2:14" x14ac:dyDescent="0.25">
      <c r="B65" s="53"/>
      <c r="D65" s="230" t="s">
        <v>183</v>
      </c>
      <c r="E65" t="e">
        <f>AND(C25&gt;50,C23&gt;C24,C22&gt;12,C27&gt;7,C27&gt;=(C26-20)*0.73,C24&gt;=15)</f>
        <v>#VALUE!</v>
      </c>
      <c r="F65" t="e">
        <f>IF(E65=TRUE,51,200)</f>
        <v>#VALUE!</v>
      </c>
      <c r="G65" s="3">
        <v>51</v>
      </c>
      <c r="H65" t="s">
        <v>185</v>
      </c>
      <c r="N65" s="55"/>
    </row>
    <row r="66" spans="2:14" x14ac:dyDescent="0.25">
      <c r="B66" s="53"/>
      <c r="D66" s="230" t="s">
        <v>186</v>
      </c>
      <c r="E66" t="e">
        <f>AND(C25&gt;50,C23&gt;C24,C22&gt;12,C27&gt;=4,C27&lt;=7,C27&gt;=(C26-20)*0.73,C24&lt;15)</f>
        <v>#VALUE!</v>
      </c>
      <c r="F66" t="e">
        <f>IF(E66=TRUE,52,501)</f>
        <v>#VALUE!</v>
      </c>
      <c r="G66" s="3">
        <v>52</v>
      </c>
      <c r="H66" t="s">
        <v>187</v>
      </c>
      <c r="N66" s="55"/>
    </row>
    <row r="67" spans="2:14" x14ac:dyDescent="0.25">
      <c r="B67" s="53"/>
      <c r="D67" s="230" t="s">
        <v>186</v>
      </c>
      <c r="E67" t="e">
        <f>AND(C25&gt;50,C23&gt;C24,C22&gt;12,C27&gt;=4,C27&lt;=7,C27&gt;=(C26-20)*0.73,C24&gt;=15)</f>
        <v>#VALUE!</v>
      </c>
      <c r="F67" t="e">
        <f>IF(E67=TRUE,53,202)</f>
        <v>#VALUE!</v>
      </c>
      <c r="G67" s="3">
        <v>53</v>
      </c>
      <c r="H67" t="s">
        <v>188</v>
      </c>
      <c r="N67" s="55"/>
    </row>
    <row r="68" spans="2:14" x14ac:dyDescent="0.25">
      <c r="B68" s="53"/>
      <c r="D68" s="229" t="s">
        <v>189</v>
      </c>
      <c r="E68" t="e">
        <f>AND(C25&gt;50,C23&lt;=C24,C22&lt;5,C14&gt;=6,C15&gt;=1,C15&lt;=3,C23&lt;15)</f>
        <v>#VALUE!</v>
      </c>
      <c r="F68" t="e">
        <f>IF(E68=TRUE,54,203)</f>
        <v>#VALUE!</v>
      </c>
      <c r="G68" s="3">
        <v>54</v>
      </c>
      <c r="H68" t="s">
        <v>190</v>
      </c>
      <c r="N68" s="55"/>
    </row>
    <row r="69" spans="2:14" x14ac:dyDescent="0.25">
      <c r="B69" s="53"/>
      <c r="D69" s="229" t="s">
        <v>189</v>
      </c>
      <c r="E69" t="e">
        <f>AND(C25&gt;50,C23&lt;=C24,C22&lt;5,C14&gt;=6,C15&gt;=1,C15&lt;=3,C23&gt;=15)</f>
        <v>#VALUE!</v>
      </c>
      <c r="F69" t="e">
        <f>IF(E69=TRUE,55,204)</f>
        <v>#VALUE!</v>
      </c>
      <c r="G69" s="3">
        <v>55</v>
      </c>
      <c r="H69" t="s">
        <v>191</v>
      </c>
      <c r="N69" s="55"/>
    </row>
    <row r="70" spans="2:14" x14ac:dyDescent="0.25">
      <c r="B70" s="53"/>
      <c r="D70" s="229" t="s">
        <v>192</v>
      </c>
      <c r="E70" t="e">
        <f>AND(C25&gt;50,C23&lt;=C24,C22&lt;5,OR(C14&lt;6,C15&lt;1,C15&gt;3),C23&lt;15)</f>
        <v>#VALUE!</v>
      </c>
      <c r="F70" t="e">
        <f>IF(E70=TRUE,56,205)</f>
        <v>#VALUE!</v>
      </c>
      <c r="G70" s="3">
        <v>56</v>
      </c>
      <c r="H70" t="s">
        <v>193</v>
      </c>
      <c r="N70" s="55"/>
    </row>
    <row r="71" spans="2:14" x14ac:dyDescent="0.25">
      <c r="B71" s="53"/>
      <c r="D71" s="229" t="s">
        <v>192</v>
      </c>
      <c r="E71" t="e">
        <f>AND(C25&gt;50,C23&lt;=C24,C22&lt;5,OR(C14&lt;6,C15&lt;1,C15&gt;3),C23&gt;=15)</f>
        <v>#VALUE!</v>
      </c>
      <c r="F71" t="e">
        <f>IF(E71=TRUE,57,206)</f>
        <v>#VALUE!</v>
      </c>
      <c r="G71" s="3">
        <v>57</v>
      </c>
      <c r="H71" s="246" t="s">
        <v>194</v>
      </c>
      <c r="N71" s="55"/>
    </row>
    <row r="72" spans="2:14" x14ac:dyDescent="0.25">
      <c r="B72" s="53"/>
      <c r="D72" s="229" t="s">
        <v>195</v>
      </c>
      <c r="E72" t="e">
        <f>AND(C25&gt;50,C23&lt;=C24,C22&gt;=5,C22&lt;=12,C14&gt;=6,C15&gt;=1,C15&lt;=3,OR(C27&lt;4,C27&lt;(C26-20)*0.73),C23&lt;15)</f>
        <v>#VALUE!</v>
      </c>
      <c r="F72" t="e">
        <f>IF(E72=TRUE,58,207)</f>
        <v>#VALUE!</v>
      </c>
      <c r="G72" s="3">
        <v>58</v>
      </c>
      <c r="H72" t="s">
        <v>196</v>
      </c>
      <c r="N72" s="55"/>
    </row>
    <row r="73" spans="2:14" x14ac:dyDescent="0.25">
      <c r="B73" s="53"/>
      <c r="D73" s="229" t="s">
        <v>195</v>
      </c>
      <c r="E73" t="e">
        <f>AND(C25&gt;50,C23&lt;=C24,C22&gt;=5,C22&lt;=12,C14&gt;=6,C15&gt;=1,C15&lt;=3,OR(C27&lt;4,C27&lt;(C26-20)*0.73),C23&gt;=15)</f>
        <v>#VALUE!</v>
      </c>
      <c r="F73" t="e">
        <f>IF(E73=TRUE,59,208)</f>
        <v>#VALUE!</v>
      </c>
      <c r="G73" s="3">
        <v>59</v>
      </c>
      <c r="H73" t="s">
        <v>197</v>
      </c>
      <c r="N73" s="55"/>
    </row>
    <row r="74" spans="2:14" x14ac:dyDescent="0.25">
      <c r="B74" s="53"/>
      <c r="D74" s="229" t="s">
        <v>198</v>
      </c>
      <c r="E74" t="e">
        <f>AND(C25&gt;50,C23&lt;=C24,C22&gt;=5,C22&lt;=12,C14&gt;=6,C15&gt;=1,C15&lt;=3,C27&gt;=4,C27&gt;=(C26-20)*0.73,C23&lt;15)</f>
        <v>#VALUE!</v>
      </c>
      <c r="F74" t="e">
        <f>IF(E74=TRUE,60,209)</f>
        <v>#VALUE!</v>
      </c>
      <c r="G74" s="3">
        <v>60</v>
      </c>
      <c r="H74" t="s">
        <v>199</v>
      </c>
      <c r="N74" s="55"/>
    </row>
    <row r="75" spans="2:14" x14ac:dyDescent="0.25">
      <c r="B75" s="53"/>
      <c r="D75" s="229" t="s">
        <v>198</v>
      </c>
      <c r="E75" t="e">
        <f>AND(C25&gt;50,C23&lt;=C24,C22&gt;=5,C22&lt;=12,C14&gt;=6,C15&gt;=1,C15&lt;=3,C27&gt;=4,C27&gt;=(C26-20)*0.73,C23&gt;=15)</f>
        <v>#VALUE!</v>
      </c>
      <c r="F75" t="e">
        <f>IF(E75=TRUE,61,210)</f>
        <v>#VALUE!</v>
      </c>
      <c r="G75" s="3">
        <v>61</v>
      </c>
      <c r="H75" t="s">
        <v>200</v>
      </c>
      <c r="N75" s="55"/>
    </row>
    <row r="76" spans="2:14" x14ac:dyDescent="0.25">
      <c r="B76" s="53"/>
      <c r="D76" s="229" t="s">
        <v>201</v>
      </c>
      <c r="E76" t="e">
        <f>AND(C25&gt;50,C23&lt;=C24,C22&gt;=5,C22&lt;=12,OR(C14&lt;6,C15&lt;1,C15&gt;3),OR(C27&lt;4,C27&lt;(C26-20)*0.73),C23&lt;15)</f>
        <v>#VALUE!</v>
      </c>
      <c r="F76" t="e">
        <f>IF(E76=TRUE,62,211)</f>
        <v>#VALUE!</v>
      </c>
      <c r="G76" s="3">
        <v>62</v>
      </c>
      <c r="H76" t="s">
        <v>202</v>
      </c>
      <c r="N76" s="55"/>
    </row>
    <row r="77" spans="2:14" x14ac:dyDescent="0.25">
      <c r="B77" s="53"/>
      <c r="D77" s="229" t="s">
        <v>201</v>
      </c>
      <c r="E77" t="e">
        <f>AND(C25&gt;50,C23&lt;=C24,C22&gt;=5,C22&lt;=12,OR(C14&lt;6,C15&lt;1,C15&gt;3),OR(C27&lt;4,C27&lt;(C26-20)*0.73),C23&gt;=15)</f>
        <v>#VALUE!</v>
      </c>
      <c r="F77" t="e">
        <f>IF(E77=TRUE,63,212)</f>
        <v>#VALUE!</v>
      </c>
      <c r="G77" s="3">
        <v>63</v>
      </c>
      <c r="H77" t="s">
        <v>203</v>
      </c>
      <c r="N77" s="55"/>
    </row>
    <row r="78" spans="2:14" x14ac:dyDescent="0.25">
      <c r="B78" s="53"/>
      <c r="D78" s="229" t="s">
        <v>204</v>
      </c>
      <c r="E78" t="e">
        <f>AND(C25&gt;50,C23&lt;=C24,C22&gt;=5,C22&lt;=12,OR(C14&lt;6,C15&lt;1,C15&gt;3),C27&gt;=4,C27&gt;=(C26-20)*0.73,C23&lt;15)</f>
        <v>#VALUE!</v>
      </c>
      <c r="F78" t="e">
        <f>IF(E78=TRUE,64,213)</f>
        <v>#VALUE!</v>
      </c>
      <c r="G78" s="3">
        <v>64</v>
      </c>
      <c r="H78" t="s">
        <v>205</v>
      </c>
      <c r="N78" s="55"/>
    </row>
    <row r="79" spans="2:14" x14ac:dyDescent="0.25">
      <c r="B79" s="53"/>
      <c r="D79" s="229" t="s">
        <v>204</v>
      </c>
      <c r="E79" t="e">
        <f>AND(C25&gt;50,C23&lt;=C24,C22&gt;=5,C22&lt;=12,OR(C14&lt;6,C15&lt;1,C15&gt;3),C27&gt;=4,C27&gt;=(C26-20)*0.73,C23&gt;=15)</f>
        <v>#VALUE!</v>
      </c>
      <c r="F79" t="e">
        <f>IF(E79=TRUE,65,214)</f>
        <v>#VALUE!</v>
      </c>
      <c r="G79" s="3">
        <v>65</v>
      </c>
      <c r="H79" t="s">
        <v>206</v>
      </c>
      <c r="N79" s="55"/>
    </row>
    <row r="80" spans="2:14" x14ac:dyDescent="0.25">
      <c r="B80" s="53"/>
      <c r="D80" s="229" t="s">
        <v>207</v>
      </c>
      <c r="E80" t="e">
        <f>AND(C25&gt;50,C23&lt;=C24,C22&gt;12,OR(C27&lt;4,C27&lt;(C26-20)*0.73),C23&lt;15)</f>
        <v>#VALUE!</v>
      </c>
      <c r="F80" t="e">
        <f>IF(E80=TRUE,66,215)</f>
        <v>#VALUE!</v>
      </c>
      <c r="G80" s="3">
        <v>66</v>
      </c>
      <c r="H80" t="s">
        <v>208</v>
      </c>
      <c r="N80" s="55"/>
    </row>
    <row r="81" spans="2:14" x14ac:dyDescent="0.25">
      <c r="B81" s="53"/>
      <c r="D81" s="229" t="s">
        <v>207</v>
      </c>
      <c r="E81" t="e">
        <f>AND(C25&gt;50,C23&lt;=C24,C22&gt;12,OR(C27&lt;4,C27&lt;(C26-20)*0.73),C23&gt;=15)</f>
        <v>#VALUE!</v>
      </c>
      <c r="F81" t="e">
        <f>IF(E81=TRUE,67,216)</f>
        <v>#VALUE!</v>
      </c>
      <c r="G81" s="3">
        <v>67</v>
      </c>
      <c r="H81" t="s">
        <v>209</v>
      </c>
      <c r="N81" s="55"/>
    </row>
    <row r="82" spans="2:14" x14ac:dyDescent="0.25">
      <c r="B82" s="53"/>
      <c r="D82" s="229" t="s">
        <v>210</v>
      </c>
      <c r="E82" t="e">
        <f>AND(C25&gt;50,C23&lt;=C24,C22&gt;12,C27&gt;7,C27&gt;=(C26-20)*0.73,C23&lt;15)</f>
        <v>#VALUE!</v>
      </c>
      <c r="F82" t="e">
        <f>IF(E82=TRUE,68,217)</f>
        <v>#VALUE!</v>
      </c>
      <c r="G82" s="3">
        <v>68</v>
      </c>
      <c r="H82" t="s">
        <v>211</v>
      </c>
      <c r="N82" s="55"/>
    </row>
    <row r="83" spans="2:14" x14ac:dyDescent="0.25">
      <c r="B83" s="53"/>
      <c r="D83" s="229" t="s">
        <v>210</v>
      </c>
      <c r="E83" t="e">
        <f>AND(C25&gt;50,C23&lt;=C24,C22&gt;12,C27&gt;7,C27&gt;=(C26-20)*0.73,C23&gt;=15)</f>
        <v>#VALUE!</v>
      </c>
      <c r="F83" t="e">
        <f>IF(E83=TRUE,69,218)</f>
        <v>#VALUE!</v>
      </c>
      <c r="G83" s="3">
        <v>69</v>
      </c>
      <c r="H83" t="s">
        <v>212</v>
      </c>
      <c r="N83" s="55"/>
    </row>
    <row r="84" spans="2:14" x14ac:dyDescent="0.25">
      <c r="B84" s="53"/>
      <c r="D84" s="229" t="s">
        <v>213</v>
      </c>
      <c r="E84" t="e">
        <f>AND(C25&gt;50,C23&lt;=C24,C22&gt;12,C27&gt;=4,C27&lt;=7,C27&gt;=(C26-20)*0.73,C23&lt;15)</f>
        <v>#VALUE!</v>
      </c>
      <c r="F84" t="e">
        <f>IF(E84=TRUE,70,219)</f>
        <v>#VALUE!</v>
      </c>
      <c r="G84" s="3">
        <v>70</v>
      </c>
      <c r="H84" t="s">
        <v>214</v>
      </c>
      <c r="N84" s="55"/>
    </row>
    <row r="85" spans="2:14" x14ac:dyDescent="0.25">
      <c r="B85" s="53"/>
      <c r="D85" s="229" t="s">
        <v>213</v>
      </c>
      <c r="E85" t="e">
        <f>AND(C25&gt;50,C23&lt;=C24,C22&gt;12,C27&gt;=4,C27&lt;=7,C27&gt;=(C26-20)*0.73,C23&gt;=15)</f>
        <v>#VALUE!</v>
      </c>
      <c r="F85" t="e">
        <f>IF(E85=TRUE,71,220)</f>
        <v>#VALUE!</v>
      </c>
      <c r="G85" s="3">
        <v>71</v>
      </c>
      <c r="H85" t="s">
        <v>215</v>
      </c>
      <c r="N85" s="55"/>
    </row>
    <row r="86" spans="2:14" x14ac:dyDescent="0.25">
      <c r="B86" s="53"/>
      <c r="D86" s="3" t="s">
        <v>216</v>
      </c>
      <c r="E86" t="e">
        <f>AND(C22&gt;=50,C26&lt;50,C13="orgânico",C27&gt;=4,C27&gt;=(C26-20)*0.73,C25&lt;30,C25&lt;15)</f>
        <v>#VALUE!</v>
      </c>
      <c r="F86" t="e">
        <f>IF(E86=TRUE,72,221)</f>
        <v>#VALUE!</v>
      </c>
      <c r="G86" s="3">
        <v>72</v>
      </c>
      <c r="H86" t="s">
        <v>217</v>
      </c>
      <c r="N86" s="55"/>
    </row>
    <row r="87" spans="2:14" x14ac:dyDescent="0.25">
      <c r="B87" s="53"/>
      <c r="D87" s="3" t="s">
        <v>216</v>
      </c>
      <c r="E87" t="e">
        <f>AND(C22&gt;=50,C26&lt;50,C13="orgânico",C27&gt;=4,C27&gt;=(C26-20)*0.73,C25&lt;30,C25&gt;=15,C24&gt;=C23)</f>
        <v>#VALUE!</v>
      </c>
      <c r="F87" t="e">
        <f>IF(E87=TRUE,73,222)</f>
        <v>#VALUE!</v>
      </c>
      <c r="G87" s="3">
        <v>73</v>
      </c>
      <c r="H87" t="s">
        <v>218</v>
      </c>
      <c r="N87" s="55"/>
    </row>
    <row r="88" spans="2:14" x14ac:dyDescent="0.25">
      <c r="B88" s="53"/>
      <c r="D88" s="3" t="s">
        <v>216</v>
      </c>
      <c r="E88" t="e">
        <f>AND(C22&gt;=50,C26&lt;50,C13="orgânico",C27&gt;=4,C27&gt;=(C26-20)*0.73,C25&lt;30,C25&gt;=15,C24&lt;C23)</f>
        <v>#VALUE!</v>
      </c>
      <c r="F88" t="e">
        <f>IF(E88=TRUE,74,223)</f>
        <v>#VALUE!</v>
      </c>
      <c r="G88" s="3">
        <v>74</v>
      </c>
      <c r="H88" t="s">
        <v>219</v>
      </c>
      <c r="N88" s="55"/>
    </row>
    <row r="89" spans="2:14" x14ac:dyDescent="0.25">
      <c r="B89" s="53"/>
      <c r="D89" s="3" t="s">
        <v>216</v>
      </c>
      <c r="E89" t="e">
        <f>AND(C22&gt;=50,C26&lt;50,C13="orgânico",C27&gt;=4,C27&gt;=(C26-20)*0.73,C25&gt;=30,C24&gt;=C23,C23&lt;15)</f>
        <v>#VALUE!</v>
      </c>
      <c r="F89" t="e">
        <f>IF(E89=TRUE,75,224)</f>
        <v>#VALUE!</v>
      </c>
      <c r="G89" s="3">
        <v>75</v>
      </c>
      <c r="H89" t="s">
        <v>220</v>
      </c>
      <c r="N89" s="55"/>
    </row>
    <row r="90" spans="2:14" x14ac:dyDescent="0.25">
      <c r="B90" s="53"/>
      <c r="D90" s="3" t="s">
        <v>216</v>
      </c>
      <c r="E90" t="e">
        <f>AND(C22&gt;=50,C26&lt;50,C13="orgânico",C27&gt;=4,C27&gt;=(C26-20)*0.73,C25&gt;=30,C24&gt;=C23,C23&gt;=15)</f>
        <v>#VALUE!</v>
      </c>
      <c r="F90" t="e">
        <f>IF(E90=TRUE,76,225)</f>
        <v>#VALUE!</v>
      </c>
      <c r="G90" s="3">
        <v>76</v>
      </c>
      <c r="H90" t="s">
        <v>221</v>
      </c>
      <c r="N90" s="55"/>
    </row>
    <row r="91" spans="2:14" x14ac:dyDescent="0.25">
      <c r="B91" s="53"/>
      <c r="D91" s="3" t="s">
        <v>216</v>
      </c>
      <c r="E91" t="e">
        <f>AND(C22&gt;=50,C26&lt;50,C13="orgânico",C27&gt;=4,C27&gt;=(C26-20)*0.73,C25&gt;=30,C24&lt;C23,C24&lt;15)</f>
        <v>#VALUE!</v>
      </c>
      <c r="F91" t="e">
        <f>IF(E91=TRUE,77,226)</f>
        <v>#VALUE!</v>
      </c>
      <c r="G91" s="3">
        <v>77</v>
      </c>
      <c r="H91" t="s">
        <v>222</v>
      </c>
      <c r="N91" s="55"/>
    </row>
    <row r="92" spans="2:14" x14ac:dyDescent="0.25">
      <c r="B92" s="53"/>
      <c r="D92" s="3" t="s">
        <v>216</v>
      </c>
      <c r="E92" t="e">
        <f>AND(C22&gt;=50,C26&lt;50,C13="orgânico",C27&gt;=4,C27&gt;=(C26-20)*0.73,C25&gt;=30,C24&lt;C23,C24&gt;=15)</f>
        <v>#VALUE!</v>
      </c>
      <c r="F92" t="e">
        <f>IF(E92=TRUE,78,227)</f>
        <v>#VALUE!</v>
      </c>
      <c r="G92" s="3">
        <v>78</v>
      </c>
      <c r="H92" t="s">
        <v>223</v>
      </c>
      <c r="N92" s="55"/>
    </row>
    <row r="93" spans="2:14" x14ac:dyDescent="0.25">
      <c r="B93" s="53"/>
      <c r="D93" s="3" t="s">
        <v>216</v>
      </c>
      <c r="E93" t="e">
        <f>AND(C22&gt;=50,C26&lt;50,C13="orgânico",OR(C27&lt;4,C27&lt;(C26-20)*0.73),C25&lt;30,C25&lt;15)</f>
        <v>#VALUE!</v>
      </c>
      <c r="F93" t="e">
        <f>IF(E93=TRUE,79,228)</f>
        <v>#VALUE!</v>
      </c>
      <c r="G93" s="3">
        <v>79</v>
      </c>
      <c r="H93" t="s">
        <v>224</v>
      </c>
      <c r="N93" s="55"/>
    </row>
    <row r="94" spans="2:14" x14ac:dyDescent="0.25">
      <c r="B94" s="53"/>
      <c r="D94" s="3" t="s">
        <v>216</v>
      </c>
      <c r="E94" t="e">
        <f>AND(C22&gt;=50,C26&lt;50,C13="orgânico",OR(C27&lt;4,C27&lt;(C26-20)*0.73),C25&lt;30,C25&gt;=15,C24&gt;=C23)</f>
        <v>#VALUE!</v>
      </c>
      <c r="F94" t="e">
        <f>IF(E94=TRUE,80,229)</f>
        <v>#VALUE!</v>
      </c>
      <c r="G94" s="3">
        <v>80</v>
      </c>
      <c r="H94" t="s">
        <v>225</v>
      </c>
      <c r="N94" s="55"/>
    </row>
    <row r="95" spans="2:14" x14ac:dyDescent="0.25">
      <c r="B95" s="53"/>
      <c r="D95" s="3" t="s">
        <v>216</v>
      </c>
      <c r="E95" t="e">
        <f>AND(C22&gt;=50,C26&lt;50,C13="orgânico",OR(C27&lt;4,C27&lt;(C26-20)*0.73),C25&lt;30,C25&gt;=15,C24&lt;C23)</f>
        <v>#VALUE!</v>
      </c>
      <c r="F95" t="e">
        <f>IF(E95=TRUE,81,230)</f>
        <v>#VALUE!</v>
      </c>
      <c r="G95" s="3">
        <v>81</v>
      </c>
      <c r="H95" t="s">
        <v>226</v>
      </c>
      <c r="N95" s="55"/>
    </row>
    <row r="96" spans="2:14" x14ac:dyDescent="0.25">
      <c r="B96" s="53"/>
      <c r="D96" s="3" t="s">
        <v>216</v>
      </c>
      <c r="E96" t="e">
        <f>AND(C22&gt;=50,C26&lt;50,C13="orgânico",OR(C27&lt;4,C27&lt;(C26-20)*0.73),C25&gt;=30,C24&gt;=C23,C23&lt;15)</f>
        <v>#VALUE!</v>
      </c>
      <c r="F96" t="e">
        <f>IF(E96=TRUE,82,231)</f>
        <v>#VALUE!</v>
      </c>
      <c r="G96" s="3">
        <v>82</v>
      </c>
      <c r="H96" t="s">
        <v>227</v>
      </c>
      <c r="N96" s="55"/>
    </row>
    <row r="97" spans="2:14" x14ac:dyDescent="0.25">
      <c r="B97" s="53"/>
      <c r="D97" s="3" t="s">
        <v>216</v>
      </c>
      <c r="E97" t="e">
        <f>AND(C22&gt;=50,C26&lt;50,C13="orgânico",OR(C27&lt;4,C27&lt;(C26-20)*0.73),C25&gt;=30,C24&gt;=C23,C23&gt;=15)</f>
        <v>#VALUE!</v>
      </c>
      <c r="F97" t="e">
        <f>IF(E97=TRUE,83,232)</f>
        <v>#VALUE!</v>
      </c>
      <c r="G97" s="3">
        <v>83</v>
      </c>
      <c r="H97" t="s">
        <v>228</v>
      </c>
      <c r="N97" s="55"/>
    </row>
    <row r="98" spans="2:14" x14ac:dyDescent="0.25">
      <c r="B98" s="53"/>
      <c r="D98" s="3" t="s">
        <v>216</v>
      </c>
      <c r="E98" t="e">
        <f>AND(C22&gt;=50,C26&lt;50,C13="orgânico",OR(C27&lt;4,C27&lt;(C26-20)*0.73),C25&gt;=30,C24&lt;C23,C24&lt;15)</f>
        <v>#VALUE!</v>
      </c>
      <c r="F98" t="e">
        <f>IF(E98=TRUE,84,233)</f>
        <v>#VALUE!</v>
      </c>
      <c r="G98" s="3">
        <v>84</v>
      </c>
      <c r="H98" t="s">
        <v>229</v>
      </c>
      <c r="N98" s="55"/>
    </row>
    <row r="99" spans="2:14" x14ac:dyDescent="0.25">
      <c r="B99" s="53"/>
      <c r="D99" s="3" t="s">
        <v>216</v>
      </c>
      <c r="E99" t="e">
        <f>AND(C22&gt;=50,C26&lt;50,C13="orgânico",OR(C27&lt;4,C27&lt;(C26-20)*0.73),C25&gt;=30,C24&lt;C23,C24&gt;=15)</f>
        <v>#VALUE!</v>
      </c>
      <c r="F99" t="e">
        <f>IF(E99=TRUE,85,234)</f>
        <v>#VALUE!</v>
      </c>
      <c r="G99" s="3">
        <v>85</v>
      </c>
      <c r="H99" t="s">
        <v>230</v>
      </c>
      <c r="N99" s="55"/>
    </row>
    <row r="100" spans="2:14" x14ac:dyDescent="0.25">
      <c r="B100" s="53"/>
      <c r="D100" s="231" t="s">
        <v>231</v>
      </c>
      <c r="E100" t="e">
        <f>AND(C22&gt;=50,C26&gt;=50,C13="orgânico",C27&gt;=4,C27&gt;=(C26-20)*0.73,C25&lt;30,C25&lt;15)</f>
        <v>#VALUE!</v>
      </c>
      <c r="F100" t="e">
        <f>IF(E100=TRUE,86,235)</f>
        <v>#VALUE!</v>
      </c>
      <c r="G100" s="3">
        <v>86</v>
      </c>
      <c r="H100" t="s">
        <v>232</v>
      </c>
      <c r="N100" s="55"/>
    </row>
    <row r="101" spans="2:14" x14ac:dyDescent="0.25">
      <c r="B101" s="53"/>
      <c r="D101" s="231" t="s">
        <v>231</v>
      </c>
      <c r="E101" t="e">
        <f>AND(C22&gt;=50,C26&gt;=50,C13="orgânico",C27&gt;=4,C27&gt;=(C26-20)*0.73,C25&lt;30,C25&gt;=15,C24&gt;=C23)</f>
        <v>#VALUE!</v>
      </c>
      <c r="F101" t="e">
        <f>IF(E101=TRUE,87,236)</f>
        <v>#VALUE!</v>
      </c>
      <c r="G101" s="3">
        <v>87</v>
      </c>
      <c r="H101" t="s">
        <v>233</v>
      </c>
      <c r="N101" s="55"/>
    </row>
    <row r="102" spans="2:14" x14ac:dyDescent="0.25">
      <c r="B102" s="53"/>
      <c r="D102" s="231" t="s">
        <v>231</v>
      </c>
      <c r="E102" t="e">
        <f>AND(C22&gt;=50,C26&gt;=50,C13="orgânico",C27&gt;=4,C27&gt;=(C26-20)*0.73,C25&lt;30,C25&gt;=15,C24&lt;C23)</f>
        <v>#VALUE!</v>
      </c>
      <c r="F102" t="e">
        <f>IF(E102=TRUE,88,237)</f>
        <v>#VALUE!</v>
      </c>
      <c r="G102" s="3">
        <v>88</v>
      </c>
      <c r="H102" t="s">
        <v>234</v>
      </c>
      <c r="N102" s="55"/>
    </row>
    <row r="103" spans="2:14" x14ac:dyDescent="0.25">
      <c r="B103" s="53"/>
      <c r="D103" s="231" t="s">
        <v>231</v>
      </c>
      <c r="E103" t="e">
        <f>AND(C22&gt;=50,C26&gt;=50,C13="orgânico",C27&gt;=4,C27&gt;=(C26-20)*0.73,C25&gt;=30,C24&gt;=C23,C23&lt;15)</f>
        <v>#VALUE!</v>
      </c>
      <c r="F103" t="e">
        <f>IF(E103=TRUE,89,238)</f>
        <v>#VALUE!</v>
      </c>
      <c r="G103" s="3">
        <v>89</v>
      </c>
      <c r="H103" t="s">
        <v>235</v>
      </c>
      <c r="N103" s="55"/>
    </row>
    <row r="104" spans="2:14" x14ac:dyDescent="0.25">
      <c r="B104" s="53"/>
      <c r="D104" s="231" t="s">
        <v>231</v>
      </c>
      <c r="E104" t="e">
        <f>AND(C22&gt;=50,C26&gt;=50,C13="orgânico",C27&gt;=4,C27&gt;=(C26-20)*0.73,C25&gt;=30,C24&gt;=C23,C23&gt;=15)</f>
        <v>#VALUE!</v>
      </c>
      <c r="F104" t="e">
        <f>IF(E104=TRUE,90,239)</f>
        <v>#VALUE!</v>
      </c>
      <c r="G104" s="3">
        <v>90</v>
      </c>
      <c r="H104" t="s">
        <v>236</v>
      </c>
      <c r="N104" s="55"/>
    </row>
    <row r="105" spans="2:14" x14ac:dyDescent="0.25">
      <c r="B105" s="53"/>
      <c r="D105" s="231" t="s">
        <v>231</v>
      </c>
      <c r="E105" t="e">
        <f>AND(C22&gt;=50,C26&gt;=50,C13="orgânico",C27&gt;=4,C27&gt;=(C26-20)*0.73,C25&gt;=30,C24&lt;C23,C24&lt;15)</f>
        <v>#VALUE!</v>
      </c>
      <c r="F105" t="e">
        <f>IF(E105=TRUE,91,240)</f>
        <v>#VALUE!</v>
      </c>
      <c r="G105" s="3">
        <v>91</v>
      </c>
      <c r="H105" t="s">
        <v>237</v>
      </c>
      <c r="N105" s="55"/>
    </row>
    <row r="106" spans="2:14" x14ac:dyDescent="0.25">
      <c r="B106" s="53"/>
      <c r="D106" s="231" t="s">
        <v>231</v>
      </c>
      <c r="E106" t="e">
        <f>AND(C22&gt;=50,C26&gt;=50,C13="orgânico",C27&gt;=4,C27&gt;=(C26-20)*0.73,C25&gt;=30,C24&lt;C23,C24&gt;=15)</f>
        <v>#VALUE!</v>
      </c>
      <c r="F106" t="e">
        <f>IF(E106=TRUE,92,241)</f>
        <v>#VALUE!</v>
      </c>
      <c r="G106" s="3">
        <v>92</v>
      </c>
      <c r="H106" t="s">
        <v>238</v>
      </c>
      <c r="N106" s="55"/>
    </row>
    <row r="107" spans="2:14" x14ac:dyDescent="0.25">
      <c r="B107" s="53"/>
      <c r="D107" s="231" t="s">
        <v>231</v>
      </c>
      <c r="E107" t="e">
        <f>AND(C22&gt;=50,C26&gt;=50,C13="orgânico",OR(C27&lt;4,C27&lt;(C26-20)*0.73),C25&lt;30,C25&lt;15)</f>
        <v>#VALUE!</v>
      </c>
      <c r="F107" t="e">
        <f>IF(E107=TRUE,93,242)</f>
        <v>#VALUE!</v>
      </c>
      <c r="G107" s="3">
        <v>93</v>
      </c>
      <c r="H107" t="s">
        <v>239</v>
      </c>
      <c r="N107" s="55"/>
    </row>
    <row r="108" spans="2:14" x14ac:dyDescent="0.25">
      <c r="B108" s="53"/>
      <c r="D108" s="231" t="s">
        <v>231</v>
      </c>
      <c r="E108" t="e">
        <f>AND(C22&gt;=50,C26&gt;=50,C13="orgânico",OR(C27&lt;4,C27&lt;(C26-20)*0.73),C25&lt;30,C25&gt;=15,C24&gt;=C23)</f>
        <v>#VALUE!</v>
      </c>
      <c r="F108" t="e">
        <f>IF(E108=TRUE,94,243)</f>
        <v>#VALUE!</v>
      </c>
      <c r="G108" s="3">
        <v>94</v>
      </c>
      <c r="H108" t="s">
        <v>240</v>
      </c>
      <c r="N108" s="55"/>
    </row>
    <row r="109" spans="2:14" x14ac:dyDescent="0.25">
      <c r="B109" s="53"/>
      <c r="D109" s="231" t="s">
        <v>231</v>
      </c>
      <c r="E109" t="e">
        <f>AND(C22&gt;=50,C26&gt;=50,C13="orgânico",OR(C27&lt;4,C27&lt;(C26-20)*0.73),C25&lt;30,C25&gt;=15,C24&lt;C23)</f>
        <v>#VALUE!</v>
      </c>
      <c r="F109" t="e">
        <f>IF(E109=TRUE,95,244)</f>
        <v>#VALUE!</v>
      </c>
      <c r="G109" s="3">
        <v>95</v>
      </c>
      <c r="H109" t="s">
        <v>241</v>
      </c>
      <c r="N109" s="55"/>
    </row>
    <row r="110" spans="2:14" x14ac:dyDescent="0.25">
      <c r="B110" s="53"/>
      <c r="D110" s="231" t="s">
        <v>231</v>
      </c>
      <c r="E110" t="e">
        <f>AND(C22&gt;=50,C26&gt;=50,C13="orgânico",OR(C27&lt;4,C27&lt;(C26-20)*0.73),C25&gt;=30,C24&gt;=C23,C23&lt;15)</f>
        <v>#VALUE!</v>
      </c>
      <c r="F110" t="e">
        <f>IF(E110=TRUE,96,245)</f>
        <v>#VALUE!</v>
      </c>
      <c r="G110" s="3">
        <v>96</v>
      </c>
      <c r="H110" t="s">
        <v>242</v>
      </c>
      <c r="N110" s="55"/>
    </row>
    <row r="111" spans="2:14" x14ac:dyDescent="0.25">
      <c r="B111" s="53"/>
      <c r="D111" s="231" t="s">
        <v>231</v>
      </c>
      <c r="E111" t="e">
        <f>AND(C22&gt;=50,C26&gt;=50,C13="orgânico",OR(C27&lt;4,C27&lt;(C26-20)*0.73),C25&gt;=30,C24&gt;=C23,C23&gt;=15)</f>
        <v>#VALUE!</v>
      </c>
      <c r="F111" t="e">
        <f>IF(E111=TRUE,97,246)</f>
        <v>#VALUE!</v>
      </c>
      <c r="G111" s="3">
        <v>97</v>
      </c>
      <c r="H111" t="s">
        <v>243</v>
      </c>
      <c r="N111" s="55"/>
    </row>
    <row r="112" spans="2:14" x14ac:dyDescent="0.25">
      <c r="B112" s="53"/>
      <c r="D112" s="231" t="s">
        <v>231</v>
      </c>
      <c r="E112" t="e">
        <f>AND(C22&gt;=50,C26&gt;=50,C13="orgânico",OR(C27&lt;4,C27&lt;(C26-20)*0.73),C25&gt;=30,C24&lt;C23,C24&lt;15)</f>
        <v>#VALUE!</v>
      </c>
      <c r="F112" t="e">
        <f>IF(E112=TRUE,98,247)</f>
        <v>#VALUE!</v>
      </c>
      <c r="G112" s="3">
        <v>98</v>
      </c>
      <c r="H112" t="s">
        <v>244</v>
      </c>
      <c r="N112" s="55"/>
    </row>
    <row r="113" spans="2:14" x14ac:dyDescent="0.25">
      <c r="B113" s="53"/>
      <c r="D113" s="231" t="s">
        <v>231</v>
      </c>
      <c r="E113" t="e">
        <f>AND(C22&gt;=50,C26&gt;=50,C13="orgânico",OR(C27&lt;4,C27&lt;(C26-20)*0.73),C25&gt;=30,C24&lt;C23,C24&gt;=15)</f>
        <v>#VALUE!</v>
      </c>
      <c r="F113" t="e">
        <f>IF(E113=TRUE,99,248)</f>
        <v>#VALUE!</v>
      </c>
      <c r="G113" s="3">
        <v>99</v>
      </c>
      <c r="H113" t="s">
        <v>245</v>
      </c>
      <c r="N113" s="55"/>
    </row>
    <row r="114" spans="2:14" ht="13.8" thickBot="1" x14ac:dyDescent="0.3">
      <c r="B114" s="80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2"/>
    </row>
    <row r="115" spans="2:14" ht="13.8" thickTop="1" x14ac:dyDescent="0.25"/>
  </sheetData>
  <phoneticPr fontId="0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3">
                <anchor moveWithCells="1" sizeWithCells="1">
                  <from>
                    <xdr:col>1</xdr:col>
                    <xdr:colOff>266700</xdr:colOff>
                    <xdr:row>3</xdr:row>
                    <xdr:rowOff>38100</xdr:rowOff>
                  </from>
                  <to>
                    <xdr:col>1</xdr:col>
                    <xdr:colOff>647700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cro3">
                <anchor moveWithCells="1" sizeWithCells="1">
                  <from>
                    <xdr:col>10</xdr:col>
                    <xdr:colOff>266700</xdr:colOff>
                    <xdr:row>3</xdr:row>
                    <xdr:rowOff>38100</xdr:rowOff>
                  </from>
                  <to>
                    <xdr:col>11</xdr:col>
                    <xdr:colOff>144780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acro3">
                <anchor moveWithCells="1" sizeWithCells="1">
                  <from>
                    <xdr:col>19</xdr:col>
                    <xdr:colOff>266700</xdr:colOff>
                    <xdr:row>3</xdr:row>
                    <xdr:rowOff>38100</xdr:rowOff>
                  </from>
                  <to>
                    <xdr:col>20</xdr:col>
                    <xdr:colOff>144780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Macro3">
                <anchor moveWithCells="1" sizeWithCells="1">
                  <from>
                    <xdr:col>27</xdr:col>
                    <xdr:colOff>335280</xdr:colOff>
                    <xdr:row>3</xdr:row>
                    <xdr:rowOff>38100</xdr:rowOff>
                  </from>
                  <to>
                    <xdr:col>28</xdr:col>
                    <xdr:colOff>45720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T94"/>
  <sheetViews>
    <sheetView workbookViewId="0">
      <selection activeCell="B15" sqref="B15"/>
    </sheetView>
  </sheetViews>
  <sheetFormatPr baseColWidth="10" defaultColWidth="11.44140625" defaultRowHeight="13.2" x14ac:dyDescent="0.25"/>
  <cols>
    <col min="2" max="2" width="14.5546875" bestFit="1" customWidth="1"/>
    <col min="5" max="5" width="14.88671875" customWidth="1"/>
    <col min="6" max="6" width="29.33203125" customWidth="1"/>
    <col min="7" max="7" width="16.44140625" customWidth="1"/>
  </cols>
  <sheetData>
    <row r="1" spans="1:20" x14ac:dyDescent="0.25">
      <c r="A1" s="53"/>
      <c r="B1" s="185" t="s">
        <v>89</v>
      </c>
      <c r="D1">
        <f>[1]Menu!$D$7</f>
        <v>836.07</v>
      </c>
      <c r="E1" s="330" t="str">
        <f>IF(AND(D3="",D22="",D65=""),"",IF(B22&gt;3.01,(CONCATENATE("F1","   -   ",A92)),IF(B21&gt;0,CONCATENATE("F7","   -   ",A92),A92)))</f>
        <v/>
      </c>
      <c r="F1" t="str">
        <f>[1]Menu!$M$36</f>
        <v>B6th</v>
      </c>
      <c r="G1" s="424" t="str">
        <f>IF(AND(D3="",D22="",D65=""),"",IF(B22&gt;3.01,(CONCATENATE("F1","   -   ",A93)),IF(B21&gt;0,CONCATENATE("F7","   -   ",A93),A93)))</f>
        <v/>
      </c>
    </row>
    <row r="2" spans="1:20" ht="13.8" thickBot="1" x14ac:dyDescent="0.3">
      <c r="A2" t="s">
        <v>304</v>
      </c>
      <c r="B2" s="197">
        <f>IF('[1]R. Am.'!$S$32="",0,IF('[1]R. Am.'!$S$32="&lt; 0,08",0.08,'[1]R. Am.'!$S$32))</f>
        <v>0</v>
      </c>
      <c r="I2" s="296"/>
    </row>
    <row r="3" spans="1:20" ht="13.8" thickBot="1" x14ac:dyDescent="0.3">
      <c r="A3" s="192">
        <v>50</v>
      </c>
      <c r="B3" s="223" t="str">
        <f>'[1]R. Am.'!$S$19</f>
        <v/>
      </c>
      <c r="C3" s="403" t="s">
        <v>438</v>
      </c>
      <c r="D3" s="327" t="str">
        <f>IF(D65=4,"",IF(SUM(B9:B12)=0,"",IF(D63=1,IF(C6&gt;35,1,""),IF(B6&gt;35,1,""))))</f>
        <v/>
      </c>
      <c r="E3" t="s">
        <v>294</v>
      </c>
      <c r="F3" s="327" t="str">
        <f>IF(D3="","",IF(AND(B12&lt;=2.5,B12&gt;0),G3,IF(OR(B12&lt;=2.5,AND(B10&lt;=12,B10&gt;0)),G3,"")))</f>
        <v/>
      </c>
      <c r="G3">
        <v>1</v>
      </c>
      <c r="H3" s="327" t="str">
        <f>IF(F3="","",IF(OR(AND(B14&lt;=3,B14&gt;0),AND(B14=0,B15&gt;0,B13&gt;=1.25*B15)),1,""))</f>
        <v/>
      </c>
      <c r="I3" s="246" t="s">
        <v>296</v>
      </c>
    </row>
    <row r="4" spans="1:20" x14ac:dyDescent="0.25">
      <c r="A4" s="192">
        <v>5</v>
      </c>
      <c r="B4" s="197">
        <f>IF('[1]R. Am.'!$S$24="",0,'[1]R. Am.'!$S$24)</f>
        <v>0</v>
      </c>
      <c r="C4" s="197" t="e">
        <f>(B4*100)/B3</f>
        <v>#VALUE!</v>
      </c>
      <c r="D4" s="327"/>
      <c r="F4" s="327"/>
      <c r="H4" s="327" t="str">
        <f>IF(F3="","",IF(AND(B14&gt;3,B14&lt;=8),IF(OR(AND(B14&gt;3,B14&lt;=8),AND(B13&gt;=1.1*B15,B13&lt;1.25*B15)),2,""),""))</f>
        <v/>
      </c>
      <c r="I4" s="246" t="s">
        <v>292</v>
      </c>
    </row>
    <row r="5" spans="1:20" x14ac:dyDescent="0.25">
      <c r="A5" s="196">
        <v>2</v>
      </c>
      <c r="B5" s="197">
        <f>IF('[1]R. Am.'!$S$25="",0,'[1]R. Am.'!$S$25)</f>
        <v>0</v>
      </c>
      <c r="C5" s="197" t="e">
        <f>(B5*100)/B3</f>
        <v>#VALUE!</v>
      </c>
      <c r="D5" s="327"/>
      <c r="F5" s="327"/>
      <c r="H5" s="327" t="str">
        <f>IF(F3="","",IF(OR(AND(B14&gt;8,B14&lt;=25),AND(B13&gt;=0.9*B15,B13&lt;1.1*B15)),3,""))</f>
        <v/>
      </c>
      <c r="I5" s="246" t="s">
        <v>297</v>
      </c>
    </row>
    <row r="6" spans="1:20" ht="13.8" thickBot="1" x14ac:dyDescent="0.3">
      <c r="A6" s="207" t="s">
        <v>303</v>
      </c>
      <c r="B6" s="197">
        <f>IF('[1]R. Am.'!$S$31="",0,'[1]R. Am.'!$S$31)</f>
        <v>0</v>
      </c>
      <c r="C6" s="197" t="e">
        <f>ROUND((B6*100)/B3,0)</f>
        <v>#VALUE!</v>
      </c>
      <c r="D6" s="327"/>
      <c r="F6" s="327"/>
      <c r="H6" s="327" t="str">
        <f>IF(F3="","",IF(AND(B13&gt;=0.7*B15,B13&lt;0.9*B15),4,""))</f>
        <v/>
      </c>
      <c r="I6" t="s">
        <v>298</v>
      </c>
    </row>
    <row r="7" spans="1:20" x14ac:dyDescent="0.25">
      <c r="A7" s="196"/>
      <c r="B7" s="197">
        <f>IF(B9="N.P.",0,B9)</f>
        <v>0</v>
      </c>
      <c r="D7" s="327"/>
      <c r="F7" s="327"/>
      <c r="H7" s="327" t="str">
        <f>IF(F3="","",IF(B13&lt;0.7*B15,5,""))</f>
        <v/>
      </c>
      <c r="I7" t="s">
        <v>299</v>
      </c>
      <c r="M7" s="246" t="s">
        <v>336</v>
      </c>
      <c r="O7" s="246" t="s">
        <v>337</v>
      </c>
      <c r="Q7" s="246" t="s">
        <v>305</v>
      </c>
      <c r="S7" s="246" t="s">
        <v>338</v>
      </c>
    </row>
    <row r="8" spans="1:20" ht="13.8" thickBot="1" x14ac:dyDescent="0.3">
      <c r="A8" s="207"/>
      <c r="B8" s="208">
        <f>IF(B10="N.P.",0,B10)</f>
        <v>0</v>
      </c>
      <c r="D8" s="327"/>
      <c r="F8" s="327" t="str">
        <f>IF(D3="","",IF(OR(AND(B10&gt;0,B10&lt;12.1),B10&gt;=25),"",IF(OR(AND(B10&gt;12.1,B10&lt;=25),AND(B12&gt;2.5,B12&lt;=6)),G8,"")))</f>
        <v/>
      </c>
      <c r="G8">
        <v>2</v>
      </c>
      <c r="H8" s="327" t="str">
        <f>IF(F8="","",IF(OR(AND(B14&lt;=2,B14&gt;0),AND(B11&lt;=0.9,B11&gt;0),AND(B15&gt;0,B13&gt;=1.3*B15)),6,""))</f>
        <v/>
      </c>
      <c r="I8" s="246" t="s">
        <v>296</v>
      </c>
      <c r="M8">
        <v>0</v>
      </c>
      <c r="O8">
        <v>0</v>
      </c>
      <c r="P8">
        <v>0</v>
      </c>
      <c r="Q8">
        <v>0</v>
      </c>
      <c r="S8">
        <v>0</v>
      </c>
      <c r="T8" s="326"/>
    </row>
    <row r="9" spans="1:20" x14ac:dyDescent="0.25">
      <c r="A9" s="192" t="s">
        <v>98</v>
      </c>
      <c r="B9" s="193">
        <f>IF('[1]R. Am.'!$S$33="",0,'[1]R. Am.'!$S$33)</f>
        <v>0</v>
      </c>
      <c r="D9" s="327"/>
      <c r="F9" s="327"/>
      <c r="H9" s="327" t="str">
        <f>IF(F8="","",IF(OR(AND(B14&gt;2,B14&lt;=5),AND(B11&gt;0.9,B11&lt;=1.05),AND(B13&gt;=1.1*B15,B13&lt;1.3*B15)),7,""))</f>
        <v/>
      </c>
      <c r="I9" t="s">
        <v>292</v>
      </c>
      <c r="M9">
        <v>12</v>
      </c>
      <c r="O9">
        <v>12</v>
      </c>
      <c r="Q9">
        <v>0.1</v>
      </c>
      <c r="S9">
        <f>12*70/100</f>
        <v>8.4</v>
      </c>
      <c r="T9" s="326">
        <f>IF(S10*B5/100&lt;S9,S10*B5/100,"")</f>
        <v>0</v>
      </c>
    </row>
    <row r="10" spans="1:20" ht="13.8" thickBot="1" x14ac:dyDescent="0.3">
      <c r="A10" s="207" t="s">
        <v>103</v>
      </c>
      <c r="B10" s="333">
        <f>IF('[1]R. Am.'!$S$35="",0,'[1]R. Am.'!$S$35)</f>
        <v>0</v>
      </c>
      <c r="C10" s="333"/>
      <c r="D10" s="327"/>
      <c r="F10" s="327"/>
      <c r="H10" s="327" t="str">
        <f>IF(F8="","",IF(OR(AND(B14&gt;5,B14&lt;=15),AND(B11&gt;1.05,B11&lt;=1.2),AND(B13&gt;=0.9*B15,B13&lt;1.1*B15)),8,""))</f>
        <v/>
      </c>
      <c r="I10" s="246" t="s">
        <v>297</v>
      </c>
      <c r="M10">
        <v>35</v>
      </c>
      <c r="N10">
        <v>51</v>
      </c>
      <c r="O10">
        <v>25</v>
      </c>
      <c r="Q10">
        <v>0.2</v>
      </c>
      <c r="S10">
        <v>12</v>
      </c>
      <c r="T10" s="326" t="str">
        <f>IF(S10*B5/100&gt;S9,S10*B5/100,"")</f>
        <v/>
      </c>
    </row>
    <row r="11" spans="1:20" ht="13.8" thickBot="1" x14ac:dyDescent="0.3">
      <c r="A11" s="325" t="s">
        <v>309</v>
      </c>
      <c r="B11" s="332">
        <f>IF('[1]R. Am.'!$S$35="",0,[1]Lim.!$R$67)</f>
        <v>0</v>
      </c>
      <c r="D11" s="327"/>
      <c r="F11" s="327"/>
      <c r="H11" s="327" t="str">
        <f>IF(F8="","",IF(OR(AND(B11&gt;1.2,B11&lt;=1.4),AND(B13&gt;=0.7*B15,B13&lt;0.9*B15)),9,""))</f>
        <v/>
      </c>
      <c r="I11" s="246" t="s">
        <v>298</v>
      </c>
      <c r="M11">
        <v>100</v>
      </c>
      <c r="O11">
        <v>40</v>
      </c>
      <c r="Q11">
        <v>1.5</v>
      </c>
    </row>
    <row r="12" spans="1:20" ht="13.8" thickBot="1" x14ac:dyDescent="0.3">
      <c r="A12" s="325" t="s">
        <v>305</v>
      </c>
      <c r="B12" s="332">
        <f>IF('[1]azul met.'!$M$47="",0,'[1]azul met.'!$M$47)</f>
        <v>2.5384967427048233</v>
      </c>
      <c r="D12" s="327"/>
      <c r="F12" s="327"/>
      <c r="H12" s="327" t="str">
        <f>IF(F8="","",IF(OR(B11&gt;1.4,B13&lt;0.7*B15),10,""))</f>
        <v/>
      </c>
      <c r="I12" t="s">
        <v>299</v>
      </c>
      <c r="Q12">
        <v>2.5</v>
      </c>
      <c r="S12">
        <v>2.17</v>
      </c>
    </row>
    <row r="13" spans="1:20" x14ac:dyDescent="0.25">
      <c r="A13" s="325" t="s">
        <v>306</v>
      </c>
      <c r="B13" s="382">
        <f>'[1]R. Am.'!$S$37</f>
        <v>21.036906854130041</v>
      </c>
      <c r="D13" s="327"/>
      <c r="F13" s="327" t="str">
        <f>IF(D3="","",IF(OR(AND(B10&gt;25,B10&lt;=40),AND(B12&gt;6,B12&lt;=8)),IF(B10&gt;40,"",G13),""))</f>
        <v/>
      </c>
      <c r="G13">
        <v>3</v>
      </c>
      <c r="H13" s="327" t="str">
        <f>IF(OR(F13="",F13=0),"",IF(OR(AND(B14&lt;=1,B14&gt;0),AND(B11&lt;=0.8,B11&gt;0),AND(B15&gt;0,B13&gt;=1.4*B15)),11,""))</f>
        <v/>
      </c>
      <c r="I13" t="s">
        <v>296</v>
      </c>
      <c r="Q13">
        <v>6</v>
      </c>
    </row>
    <row r="14" spans="1:20" ht="13.8" thickBot="1" x14ac:dyDescent="0.3">
      <c r="A14" s="325" t="s">
        <v>307</v>
      </c>
      <c r="B14" s="220">
        <f>IF('[1]CBR Instantaneo'!$L$64="",0,'[1]CBR Instantaneo'!$L$64)</f>
        <v>0</v>
      </c>
      <c r="D14" s="327"/>
      <c r="F14" s="327"/>
      <c r="H14" s="327" t="str">
        <f>IF(OR(F13="",F13=0),"",IF(OR(AND(B14&gt;1,B14&lt;=3),AND(B11&gt;0.8,B11&lt;=1),AND(B13&gt;=1.2*B15,B13&lt;1.4*B15)),12,""))</f>
        <v/>
      </c>
      <c r="I14" t="s">
        <v>292</v>
      </c>
      <c r="Q14">
        <v>8</v>
      </c>
    </row>
    <row r="15" spans="1:20" ht="13.8" thickBot="1" x14ac:dyDescent="0.3">
      <c r="A15" s="325" t="s">
        <v>308</v>
      </c>
      <c r="B15" s="220">
        <f>IF('[1]R. Am.'!$S$41="",0,'[1]R. Am.'!$S$42)</f>
        <v>0</v>
      </c>
      <c r="D15" s="327"/>
      <c r="F15" s="327"/>
      <c r="H15" s="327" t="str">
        <f>IF(OR(F13="",F13=0),"",IF(OR(AND(B14&gt;3,B14&lt;=10),AND(B11&gt;1,B11&lt;=1.15),AND(B13&gt;=0.9*B15,B13&lt;1.2*B15)),13,""))</f>
        <v/>
      </c>
      <c r="I15" t="s">
        <v>297</v>
      </c>
    </row>
    <row r="16" spans="1:20" x14ac:dyDescent="0.25">
      <c r="B16" t="e">
        <f>B13/B15</f>
        <v>#DIV/0!</v>
      </c>
      <c r="D16" s="327"/>
      <c r="F16" s="327"/>
      <c r="H16" s="327" t="str">
        <f>IF(OR(F13="",F13=0),"",IF(OR(AND(B11&gt;1.15,B11&lt;=1.3),AND(B13&gt;=0.7*B15,B13&lt;0.9*B15)),14,""))</f>
        <v/>
      </c>
      <c r="I16" t="s">
        <v>298</v>
      </c>
    </row>
    <row r="17" spans="1:12" x14ac:dyDescent="0.25">
      <c r="A17" s="325" t="s">
        <v>310</v>
      </c>
      <c r="D17" s="327"/>
      <c r="F17" s="327"/>
      <c r="H17" s="327" t="str">
        <f>IF(OR(F13="",F13=0),"",IF(OR(B11&gt;1.3,B13&lt;0.7*B15),15,""))</f>
        <v/>
      </c>
      <c r="I17" t="s">
        <v>299</v>
      </c>
    </row>
    <row r="18" spans="1:12" x14ac:dyDescent="0.25">
      <c r="A18" s="325" t="s">
        <v>311</v>
      </c>
      <c r="B18" s="405">
        <f>IF('[1]LA et-ou MDE'!$L$45="",0,'[1]LA et-ou MDE'!$L$45)</f>
        <v>0</v>
      </c>
      <c r="D18" s="327"/>
      <c r="F18" s="327" t="str">
        <f>IF(D3="","",IF(OR(B12&gt;8,B10&gt;40),G18,""))</f>
        <v/>
      </c>
      <c r="G18">
        <v>4</v>
      </c>
      <c r="H18" s="327"/>
      <c r="I18" t="s">
        <v>296</v>
      </c>
    </row>
    <row r="19" spans="1:12" x14ac:dyDescent="0.25">
      <c r="A19" s="325" t="s">
        <v>312</v>
      </c>
      <c r="B19" s="405">
        <f>IF('[1]LA et-ou MDE'!$L$31="",0,'[1]LA et-ou MDE'!$L$31)</f>
        <v>0</v>
      </c>
      <c r="D19" s="327"/>
      <c r="F19" s="327"/>
      <c r="H19" s="327"/>
      <c r="I19" t="s">
        <v>292</v>
      </c>
      <c r="L19" s="425"/>
    </row>
    <row r="20" spans="1:12" x14ac:dyDescent="0.25">
      <c r="A20" s="368" t="s">
        <v>365</v>
      </c>
      <c r="B20" s="246"/>
      <c r="D20" s="327"/>
      <c r="F20" s="327"/>
      <c r="H20" s="327"/>
      <c r="I20" t="s">
        <v>297</v>
      </c>
    </row>
    <row r="21" spans="1:12" x14ac:dyDescent="0.25">
      <c r="A21" t="s">
        <v>339</v>
      </c>
      <c r="B21">
        <f>LOOKUP(D1,[2]Amostras!$A:$A,[2]Amostras!$T:$T)</f>
        <v>0</v>
      </c>
      <c r="D21" s="327"/>
      <c r="F21" s="327"/>
      <c r="H21" s="327"/>
      <c r="I21" t="s">
        <v>298</v>
      </c>
    </row>
    <row r="22" spans="1:12" x14ac:dyDescent="0.25">
      <c r="A22" s="403" t="s">
        <v>437</v>
      </c>
      <c r="B22">
        <f>'[1]R. Am.'!$S$40</f>
        <v>0</v>
      </c>
      <c r="D22" s="327" t="str">
        <f>IF(D65=4,"",IF(D63=1,(IF(SUM(B9:B12)=0,"",IF(AND(C6&gt;0.1,C6&lt;=35),2,""))),IF(SUM(B9:B12)=0,"",IF(AND(B6&gt;0.1,B6&lt;=35),2,""))))</f>
        <v/>
      </c>
      <c r="E22" t="s">
        <v>313</v>
      </c>
      <c r="F22" s="327" t="str">
        <f>IF(D22="","",IF(D63=1,IF(AND(C6&lt;=12,C5&gt;70,B12&gt;=0.1,B12&lt;=0.2),G22,""),IF(AND(B6&lt;=12,B5&gt;70,B12&gt;=0.1,B12&lt;=0.2),G22,"")))</f>
        <v/>
      </c>
      <c r="G22">
        <v>1</v>
      </c>
      <c r="H22" s="327"/>
      <c r="J22" s="327" t="str">
        <f>IF(AND($B$17&lt;=60,$B$17&gt;0),1,"")</f>
        <v/>
      </c>
      <c r="K22" t="s">
        <v>314</v>
      </c>
    </row>
    <row r="23" spans="1:12" ht="13.8" thickBot="1" x14ac:dyDescent="0.3">
      <c r="A23" s="2"/>
      <c r="D23" s="327"/>
      <c r="F23" s="327"/>
      <c r="H23" s="327"/>
      <c r="J23" s="327" t="str">
        <f>IF($B$17&gt;60,2,"")</f>
        <v/>
      </c>
      <c r="K23" t="s">
        <v>315</v>
      </c>
    </row>
    <row r="24" spans="1:12" x14ac:dyDescent="0.25">
      <c r="B24" s="223">
        <v>100</v>
      </c>
      <c r="D24" s="327"/>
      <c r="F24" s="327" t="str">
        <f>IF(D22="","",IF(D63=1,IF(AND(C6&lt;=12,C5&gt;70,B12&gt;0.2),G24,""),IF(AND(B6&lt;=12,B5&gt;70,B12&gt;0.2),G24,"")))</f>
        <v/>
      </c>
      <c r="G24">
        <v>2</v>
      </c>
      <c r="H24" s="327" t="str">
        <f>IF(F24="","",IF(OR(B14&lt;=4,AND(B15&gt;0,B13&gt;=1.25*B15)),22,""))</f>
        <v/>
      </c>
      <c r="I24" s="431" t="s">
        <v>296</v>
      </c>
      <c r="J24" s="327" t="str">
        <f>IF(AND($B$17&lt;=60,$B$17&gt;0),1,"")</f>
        <v/>
      </c>
      <c r="K24" t="s">
        <v>316</v>
      </c>
    </row>
    <row r="25" spans="1:12" x14ac:dyDescent="0.25">
      <c r="A25" s="2"/>
      <c r="B25" s="197">
        <v>99.72738894237321</v>
      </c>
      <c r="D25" s="327"/>
      <c r="F25" s="327"/>
      <c r="H25" s="327"/>
      <c r="I25" s="431"/>
      <c r="J25" s="327" t="str">
        <f>IF($B$17&gt;60,2,"")</f>
        <v/>
      </c>
      <c r="K25" t="s">
        <v>317</v>
      </c>
    </row>
    <row r="26" spans="1:12" x14ac:dyDescent="0.25">
      <c r="A26" s="2"/>
      <c r="B26" s="197">
        <v>99.12118803791364</v>
      </c>
      <c r="D26" s="327"/>
      <c r="F26" s="327"/>
      <c r="H26" s="327" t="str">
        <f>IF(F24="","",IF(OR(AND(B14&gt;4,B14&lt;=8),AND(B13&gt;=1.1*B15,B13&lt;1.25*B15)),23,""))</f>
        <v/>
      </c>
      <c r="I26" s="431" t="s">
        <v>292</v>
      </c>
      <c r="J26" s="327" t="str">
        <f>IF(AND($B$17&lt;=60,$B$17&gt;0),1,"")</f>
        <v/>
      </c>
      <c r="K26" t="s">
        <v>316</v>
      </c>
    </row>
    <row r="27" spans="1:12" x14ac:dyDescent="0.25">
      <c r="B27" s="197">
        <v>19.177995388858079</v>
      </c>
      <c r="D27" s="327"/>
      <c r="F27" s="327"/>
      <c r="H27" s="327"/>
      <c r="I27" s="431"/>
      <c r="J27" s="327" t="str">
        <f>IF($B$17&gt;60,2,"")</f>
        <v/>
      </c>
      <c r="K27" t="s">
        <v>317</v>
      </c>
    </row>
    <row r="28" spans="1:12" x14ac:dyDescent="0.25">
      <c r="B28" s="197">
        <v>48.537492972280106</v>
      </c>
      <c r="D28" s="327"/>
      <c r="F28" s="327"/>
      <c r="H28" s="327" t="str">
        <f>IF(F24="","",IF(AND(B13&gt;=0.9*B15,B13&lt;1.1*B15),24,""))</f>
        <v/>
      </c>
      <c r="I28" s="431" t="s">
        <v>297</v>
      </c>
      <c r="J28" s="327" t="str">
        <f>IF(AND($B$17&lt;=60,$B$17&gt;0),1,"")</f>
        <v/>
      </c>
      <c r="K28" t="s">
        <v>316</v>
      </c>
    </row>
    <row r="29" spans="1:12" ht="13.8" thickBot="1" x14ac:dyDescent="0.3">
      <c r="B29" s="208">
        <v>0</v>
      </c>
      <c r="D29" s="327"/>
      <c r="F29" s="327"/>
      <c r="H29" s="327"/>
      <c r="I29" s="431"/>
      <c r="J29" s="327" t="str">
        <f>IF($B$17&gt;60,2,"")</f>
        <v/>
      </c>
      <c r="K29" t="s">
        <v>317</v>
      </c>
    </row>
    <row r="30" spans="1:12" x14ac:dyDescent="0.25">
      <c r="B30" s="193">
        <v>48.537492972280106</v>
      </c>
      <c r="D30" s="327"/>
      <c r="F30" s="327"/>
      <c r="H30" s="327" t="str">
        <f>IF(F24="","",IF(AND(B13&gt;=0.5*B15,B13&lt;0.9*B15),25,""))</f>
        <v/>
      </c>
      <c r="I30" s="431" t="s">
        <v>298</v>
      </c>
      <c r="J30" s="327" t="str">
        <f>IF(AND($B$17&lt;=60,$B$17&gt;0),1,"")</f>
        <v/>
      </c>
      <c r="K30" t="s">
        <v>316</v>
      </c>
    </row>
    <row r="31" spans="1:12" ht="13.8" thickBot="1" x14ac:dyDescent="0.3">
      <c r="B31" s="333">
        <v>0</v>
      </c>
      <c r="D31" s="327"/>
      <c r="F31" s="327"/>
      <c r="H31" s="327"/>
      <c r="I31" s="431"/>
      <c r="J31" s="327" t="str">
        <f>IF($B$17&gt;60,2,"")</f>
        <v/>
      </c>
      <c r="K31" t="s">
        <v>317</v>
      </c>
    </row>
    <row r="32" spans="1:12" ht="13.8" thickBot="1" x14ac:dyDescent="0.3">
      <c r="B32" s="332">
        <v>0</v>
      </c>
      <c r="D32" s="327"/>
      <c r="F32" s="327"/>
      <c r="H32" s="327" t="str">
        <f>IF(F24="","",IF(B13&lt;0.5*B15,26,""))</f>
        <v/>
      </c>
      <c r="I32" s="431" t="s">
        <v>299</v>
      </c>
      <c r="J32" s="327" t="str">
        <f>IF(AND($B$17&lt;=60,$B$17&gt;0),1,"")</f>
        <v/>
      </c>
      <c r="K32" t="s">
        <v>316</v>
      </c>
    </row>
    <row r="33" spans="2:11" ht="13.8" thickBot="1" x14ac:dyDescent="0.3">
      <c r="B33" s="332">
        <v>2.0349024405950153</v>
      </c>
      <c r="D33" s="327"/>
      <c r="F33" s="327"/>
      <c r="H33" s="327"/>
      <c r="I33" s="431"/>
      <c r="J33" s="327" t="str">
        <f>IF($B$17&gt;60,2,"")</f>
        <v/>
      </c>
      <c r="K33" t="s">
        <v>317</v>
      </c>
    </row>
    <row r="34" spans="2:11" x14ac:dyDescent="0.25">
      <c r="B34" s="382">
        <v>8.4238741958541752</v>
      </c>
      <c r="D34" s="327"/>
      <c r="F34" s="327"/>
      <c r="H34" s="327"/>
      <c r="J34" s="327"/>
    </row>
    <row r="35" spans="2:11" ht="13.8" thickBot="1" x14ac:dyDescent="0.3">
      <c r="B35" s="220">
        <v>30.200648988764044</v>
      </c>
      <c r="D35" s="327"/>
      <c r="F35" s="327"/>
      <c r="H35" s="327"/>
      <c r="J35" s="327"/>
    </row>
    <row r="36" spans="2:11" ht="13.8" thickBot="1" x14ac:dyDescent="0.3">
      <c r="B36" s="220">
        <v>0</v>
      </c>
      <c r="D36" s="327"/>
      <c r="F36" s="327" t="str">
        <f>IF(D22="","",IF(D63=1,IF(AND(C6&lt;=12,C5&lt;=70,B12&gt;=0.1,B12&lt;=0.2),G36,""),IF(AND(B6&lt;=12,B5&lt;=70,B12&gt;=0.1,B12&lt;=0.2),G36,"")))</f>
        <v/>
      </c>
      <c r="G36">
        <v>3</v>
      </c>
      <c r="H36" s="327"/>
      <c r="J36" s="327" t="str">
        <f>IF(F36="","",IF(AND($B$18&lt;=45,$B$18&gt;0,$B$19&lt;=45,$B$19),1,""))</f>
        <v/>
      </c>
      <c r="K36" t="s">
        <v>318</v>
      </c>
    </row>
    <row r="37" spans="2:11" x14ac:dyDescent="0.25">
      <c r="D37" s="327"/>
      <c r="F37" s="327"/>
      <c r="H37" s="327"/>
      <c r="J37" s="327" t="str">
        <f>IF(F36="","",IF(OR(B$18&gt;45,$B$19&gt;45),2,""))</f>
        <v/>
      </c>
      <c r="K37" t="s">
        <v>319</v>
      </c>
    </row>
    <row r="38" spans="2:11" x14ac:dyDescent="0.25">
      <c r="D38" s="327"/>
      <c r="F38" s="327" t="str">
        <f>IF(D22="","",IF(D63=1,IF(AND(C6&lt;=12,C5&lt;=70,B12&gt;0.2),G38,""),IF(AND(B6&lt;=12,B5&lt;=70,B12&gt;0.2),G38,"")))</f>
        <v/>
      </c>
      <c r="G38">
        <v>4</v>
      </c>
      <c r="H38" s="327" t="str">
        <f>IF(F38="","",IF(OR(AND(B14&lt;=7,B14&gt;0),AND(B15&gt;0,B13&gt;=1.25*B15)),29,""))</f>
        <v/>
      </c>
      <c r="I38" s="431" t="s">
        <v>296</v>
      </c>
      <c r="J38" s="327" t="str">
        <f>IF(F38="","",IF(AND($B$18&lt;=45,$B$18&gt;0,$B$19&lt;=45,$B$19),1,""))</f>
        <v/>
      </c>
      <c r="K38" t="s">
        <v>320</v>
      </c>
    </row>
    <row r="39" spans="2:11" x14ac:dyDescent="0.25">
      <c r="D39" s="327"/>
      <c r="F39" s="327"/>
      <c r="H39" s="327"/>
      <c r="I39" s="431"/>
      <c r="J39" s="327" t="str">
        <f>IF(F38="","",IF(OR($B$18&gt;45,$B$19&gt;45),2,""))</f>
        <v/>
      </c>
      <c r="K39" t="s">
        <v>321</v>
      </c>
    </row>
    <row r="40" spans="2:11" x14ac:dyDescent="0.25">
      <c r="D40" s="327"/>
      <c r="F40" s="327"/>
      <c r="H40" s="327" t="str">
        <f>IF(F38="","",IF(OR(AND($B$14&gt;7,$B$14&lt;=15),AND($B$13&gt;=1.1*$B$15,$B$13&lt;1.25*$B$15)),30,""))</f>
        <v/>
      </c>
      <c r="I40" s="431" t="s">
        <v>292</v>
      </c>
      <c r="J40" s="327" t="str">
        <f>IF(F38="","",IF(AND($B$18&lt;=45,$B$18&gt;0,$B$19&lt;=45,$B$19),1,""))</f>
        <v/>
      </c>
      <c r="K40" t="s">
        <v>320</v>
      </c>
    </row>
    <row r="41" spans="2:11" x14ac:dyDescent="0.25">
      <c r="D41" s="327"/>
      <c r="F41" s="327"/>
      <c r="H41" s="327"/>
      <c r="I41" s="431"/>
      <c r="J41" s="327" t="str">
        <f>IF(F38="","",IF(OR($B$18&gt;45,$B$19&gt;45),2,""))</f>
        <v/>
      </c>
      <c r="K41" t="s">
        <v>321</v>
      </c>
    </row>
    <row r="42" spans="2:11" x14ac:dyDescent="0.25">
      <c r="D42" s="327"/>
      <c r="F42" s="327"/>
      <c r="H42" s="327" t="str">
        <f>IF(F38="","",IF(OR(B14&gt;15.1,AND(B13&gt;=0.9*B15,B13&lt;1.1*B15)),24,""))</f>
        <v/>
      </c>
      <c r="I42" s="431" t="s">
        <v>297</v>
      </c>
      <c r="J42" s="327" t="str">
        <f>IF(F38="","",IF(AND($B$18&lt;=45,$B$18&gt;0,$B$19&lt;=45,$B$19),1,""))</f>
        <v/>
      </c>
      <c r="K42" t="s">
        <v>320</v>
      </c>
    </row>
    <row r="43" spans="2:11" x14ac:dyDescent="0.25">
      <c r="D43" s="327"/>
      <c r="F43" s="327"/>
      <c r="H43" s="327"/>
      <c r="I43" s="431"/>
      <c r="J43" s="327" t="str">
        <f>IF(F38="","",IF(OR($B$18&gt;45,$B$19&gt;45),2,""))</f>
        <v/>
      </c>
      <c r="K43" t="s">
        <v>321</v>
      </c>
    </row>
    <row r="44" spans="2:11" x14ac:dyDescent="0.25">
      <c r="D44" s="327"/>
      <c r="F44" s="327"/>
      <c r="H44" s="327" t="str">
        <f>IF(F38="","",IF(AND(B13&gt;=0.5*B15,B13&lt;0.9*B15),32,""))</f>
        <v/>
      </c>
      <c r="I44" s="431" t="s">
        <v>298</v>
      </c>
      <c r="J44" s="327" t="str">
        <f>IF(F38="","",IF(AND($B$18&lt;=45,$B$18&gt;0,$B$19&lt;=45,$B$19),1,""))</f>
        <v/>
      </c>
      <c r="K44" t="s">
        <v>320</v>
      </c>
    </row>
    <row r="45" spans="2:11" x14ac:dyDescent="0.25">
      <c r="D45" s="327"/>
      <c r="F45" s="327"/>
      <c r="H45" s="327"/>
      <c r="I45" s="431"/>
      <c r="J45" s="327" t="str">
        <f>IF(F38="","",IF(OR($B$18&gt;45,$B$19&gt;45),2,""))</f>
        <v/>
      </c>
      <c r="K45" t="s">
        <v>321</v>
      </c>
    </row>
    <row r="46" spans="2:11" x14ac:dyDescent="0.25">
      <c r="D46" s="327"/>
      <c r="F46" s="327"/>
      <c r="H46" s="327" t="str">
        <f>IF(F38="","",IF(B13&lt;0.5*B15,33,""))</f>
        <v/>
      </c>
      <c r="I46" s="431" t="s">
        <v>299</v>
      </c>
      <c r="J46" s="327" t="str">
        <f>IF(F38="","",IF(AND($B$18&lt;=45,$B$18&gt;0,$B$19&lt;=45,$B$19),1,""))</f>
        <v/>
      </c>
      <c r="K46" t="s">
        <v>320</v>
      </c>
    </row>
    <row r="47" spans="2:11" x14ac:dyDescent="0.25">
      <c r="D47" s="327"/>
      <c r="F47" s="327"/>
      <c r="H47" s="327"/>
      <c r="I47" s="431"/>
      <c r="J47" s="327" t="str">
        <f>IF(F38="","",IF(OR($B$18&gt;45,$B$19&gt;45),2,""))</f>
        <v/>
      </c>
      <c r="K47" t="s">
        <v>321</v>
      </c>
    </row>
    <row r="48" spans="2:11" x14ac:dyDescent="0.25">
      <c r="D48" s="327"/>
      <c r="F48" s="327" t="str">
        <f>IF(D22="","",IF(D63=1,IF(AND(C6&gt;12,C6&lt;=35,OR(AND(B12&lt;=1.5,B12&gt;0),AND(B10&gt;0,B10&lt;=12))),G48,""),IF(AND(B6&gt;12,B6&lt;35,OR(AND(B12&lt;=1.5,B12&gt;0),AND(B10&gt;0,B10&lt;=12))),G48,"")))</f>
        <v/>
      </c>
      <c r="G48">
        <v>5</v>
      </c>
      <c r="H48" s="327" t="str">
        <f>IF(F48="","",IF(OR(AND(B14&lt;=5,B14&gt;0),AND(B15&gt;0,B13&gt;=1.25*B15)),34,""))</f>
        <v/>
      </c>
      <c r="I48" s="431" t="s">
        <v>296</v>
      </c>
      <c r="J48" s="327" t="str">
        <f>IF(F48="","",IF(AND($B$18&lt;=45,$B$18&gt;0,$B$19&lt;=45,$B$19),1,""))</f>
        <v/>
      </c>
      <c r="K48" t="s">
        <v>322</v>
      </c>
    </row>
    <row r="49" spans="4:11" x14ac:dyDescent="0.25">
      <c r="D49" s="327"/>
      <c r="F49" s="327"/>
      <c r="H49" s="327"/>
      <c r="I49" s="431"/>
      <c r="J49" s="327" t="str">
        <f>IF(F48="","",IF(OR($B$18&gt;45,$B$19&gt;45),2,""))</f>
        <v/>
      </c>
      <c r="K49" t="s">
        <v>323</v>
      </c>
    </row>
    <row r="50" spans="4:11" x14ac:dyDescent="0.25">
      <c r="D50" s="327"/>
      <c r="F50" s="327"/>
      <c r="H50" s="327" t="str">
        <f>IF(F48="","",IF(OR(AND($B$14&gt;5,$B$14&lt;=12),AND($B$13&gt;=1.1*$B$15,$B$13&lt;1.25*$B$15)),35,""))</f>
        <v/>
      </c>
      <c r="I50" s="431" t="s">
        <v>292</v>
      </c>
      <c r="J50" s="327" t="str">
        <f>IF(F48="","",IF(AND($B$18&lt;=45,$B$18&gt;0,$B$19&lt;=45,$B$19),1,""))</f>
        <v/>
      </c>
      <c r="K50" t="s">
        <v>322</v>
      </c>
    </row>
    <row r="51" spans="4:11" x14ac:dyDescent="0.25">
      <c r="D51" s="327"/>
      <c r="F51" s="327"/>
      <c r="H51" s="327"/>
      <c r="I51" s="431"/>
      <c r="J51" s="327" t="str">
        <f>IF(F48="","",IF(OR($B$18&gt;45,$B$19&gt;45),2,""))</f>
        <v/>
      </c>
      <c r="K51" t="s">
        <v>323</v>
      </c>
    </row>
    <row r="52" spans="4:11" x14ac:dyDescent="0.25">
      <c r="D52" s="327"/>
      <c r="F52" s="327"/>
      <c r="H52" s="327" t="str">
        <f>IF(F48="","",IF(OR(AND(B14&gt;12,B14&lt;=30),AND(B13&gt;=0.9*B15,B13&lt;1.1*B15)),36,""))</f>
        <v/>
      </c>
      <c r="I52" s="431" t="s">
        <v>297</v>
      </c>
      <c r="J52" s="327" t="str">
        <f>IF(F48="","",IF(AND($B$18&lt;=45,$B$18&gt;0,$B$19&lt;=45,$B$19),1,""))</f>
        <v/>
      </c>
      <c r="K52" t="s">
        <v>322</v>
      </c>
    </row>
    <row r="53" spans="4:11" x14ac:dyDescent="0.25">
      <c r="D53" s="327"/>
      <c r="F53" s="327"/>
      <c r="H53" s="327"/>
      <c r="I53" s="431"/>
      <c r="J53" s="327" t="str">
        <f>IF(F48="","",IF(OR($B$18&gt;45,$B$19&gt;45),2,""))</f>
        <v/>
      </c>
      <c r="K53" t="s">
        <v>323</v>
      </c>
    </row>
    <row r="54" spans="4:11" x14ac:dyDescent="0.25">
      <c r="D54" s="327"/>
      <c r="F54" s="327"/>
      <c r="H54" s="327" t="str">
        <f>IF(F48="","",IF(AND(B13&gt;=0.6*B15,B13&lt;0.9*B15),37,""))</f>
        <v/>
      </c>
      <c r="I54" s="431" t="s">
        <v>298</v>
      </c>
      <c r="J54" s="327" t="str">
        <f>IF(F48="","",IF(AND($B$18&lt;=45,$B$18&gt;0,$B$19&lt;=45,$B$19),1,""))</f>
        <v/>
      </c>
      <c r="K54" t="s">
        <v>322</v>
      </c>
    </row>
    <row r="55" spans="4:11" x14ac:dyDescent="0.25">
      <c r="D55" s="327"/>
      <c r="F55" s="327"/>
      <c r="H55" s="327"/>
      <c r="I55" s="431"/>
      <c r="J55" s="327" t="str">
        <f>IF(F48="","",IF(OR($B$18&gt;45,$B$19&gt;45),2,""))</f>
        <v/>
      </c>
      <c r="K55" t="s">
        <v>323</v>
      </c>
    </row>
    <row r="56" spans="4:11" x14ac:dyDescent="0.25">
      <c r="D56" s="327"/>
      <c r="F56" s="327"/>
      <c r="H56" s="327" t="str">
        <f>IF(F48="","",IF(B13&lt;0.6*B15,38,""))</f>
        <v/>
      </c>
      <c r="I56" s="431" t="s">
        <v>299</v>
      </c>
      <c r="J56" s="327" t="str">
        <f>IF(F48="","",IF(AND($B$18&lt;=45,$B$18&gt;0,$B$19&lt;=45,$B$19),1,""))</f>
        <v/>
      </c>
      <c r="K56" t="s">
        <v>322</v>
      </c>
    </row>
    <row r="57" spans="4:11" x14ac:dyDescent="0.25">
      <c r="D57" s="327"/>
      <c r="F57" s="327"/>
      <c r="H57" s="327"/>
      <c r="I57" s="431"/>
      <c r="J57" s="327" t="str">
        <f>IF(F48="","",IF(OR($B$18&gt;45,$B$19&gt;45),2,""))</f>
        <v/>
      </c>
      <c r="K57" t="s">
        <v>323</v>
      </c>
    </row>
    <row r="58" spans="4:11" x14ac:dyDescent="0.25">
      <c r="D58" s="327"/>
      <c r="F58" s="327" t="str">
        <f>IF(D22="","",IF(D63=1,IF(AND(C6&gt;12,C6&lt;=35,B12&gt;1.5,OR(B12&gt;1.5,B10&gt;12)),G58,""),IF(AND(B6&gt;12,B6&lt;35,B12&gt;1.5,OR(B12&gt;1.5,B10&gt;12)),G58,"")))</f>
        <v/>
      </c>
      <c r="G58">
        <v>6</v>
      </c>
      <c r="H58" s="327" t="str">
        <f>IF(F58="","",IF(OR(AND(B14&lt;=4,B14&gt;0),AND(B11&lt;=0.8,B11&gt;0),AND(B15&gt;0,B13&gt;=1.3*B15)),39,""))</f>
        <v/>
      </c>
      <c r="I58" t="s">
        <v>296</v>
      </c>
    </row>
    <row r="59" spans="4:11" x14ac:dyDescent="0.25">
      <c r="D59" s="327"/>
      <c r="F59" s="327"/>
      <c r="H59" s="327" t="str">
        <f>IF(F58="","",IF(OR(AND(B14&gt;4,B14&lt;=10),AND(B11&gt;0.8,B11&lt;=1),AND(B13&gt;=1.1*B15,B13&lt;1.3*B15)),40,""))</f>
        <v/>
      </c>
      <c r="I59" t="s">
        <v>292</v>
      </c>
    </row>
    <row r="60" spans="4:11" x14ac:dyDescent="0.25">
      <c r="D60" s="327"/>
      <c r="F60" s="327"/>
      <c r="H60" s="327" t="str">
        <f>IF(F58="","",IF(OR(AND(B14&gt;10,B14&lt;=25),AND(B11&gt;1,B11&lt;=1.2),AND(B13&gt;=0.9*B15,B13&lt;1.1*B15)),41,""))</f>
        <v/>
      </c>
      <c r="I60" t="s">
        <v>297</v>
      </c>
    </row>
    <row r="61" spans="4:11" x14ac:dyDescent="0.25">
      <c r="D61" s="327"/>
      <c r="F61" s="327"/>
      <c r="H61" s="327" t="str">
        <f>IF(F58="","",IF(OR(AND(B11&gt;1.2,B11&lt;=1.3),AND(B13&gt;=0.7*B15,B13&lt;0.9*B15)),42,""))</f>
        <v/>
      </c>
      <c r="I61" t="s">
        <v>298</v>
      </c>
    </row>
    <row r="62" spans="4:11" x14ac:dyDescent="0.25">
      <c r="D62" s="327"/>
      <c r="F62" s="327"/>
      <c r="H62" s="327" t="str">
        <f>IF(F58="","",IF(OR(B11&gt;1.3,B13&lt;0.7*B15),43,""))</f>
        <v/>
      </c>
      <c r="I62" t="s">
        <v>299</v>
      </c>
    </row>
    <row r="63" spans="4:11" x14ac:dyDescent="0.25">
      <c r="D63" s="327" t="str">
        <f>IF(OR(AND(B2&gt;50,B6&gt;12),AND(B2&gt;50,B12&gt;0.11)),1,"")</f>
        <v/>
      </c>
      <c r="E63" s="246" t="s">
        <v>324</v>
      </c>
      <c r="F63" s="328" t="str">
        <f>IF(D63="","",IF(B20="R",1,IF(B3&gt;60,1,"")))</f>
        <v/>
      </c>
      <c r="G63" s="246" t="s">
        <v>390</v>
      </c>
      <c r="H63" s="327"/>
    </row>
    <row r="64" spans="4:11" x14ac:dyDescent="0.25">
      <c r="D64" s="327"/>
      <c r="F64" s="328" t="str">
        <f>IF(D63="","",IF(B3&lt;60,2,""))</f>
        <v/>
      </c>
      <c r="G64" s="246" t="s">
        <v>325</v>
      </c>
      <c r="H64" s="327"/>
    </row>
    <row r="65" spans="4:11" x14ac:dyDescent="0.25">
      <c r="D65" s="327" t="str">
        <f>IF(AND(B12&gt;=0.001,B12&lt;=0.11,B6&gt;0,B6&lt;=12),4,"")</f>
        <v/>
      </c>
      <c r="E65" s="246" t="s">
        <v>326</v>
      </c>
      <c r="F65" s="327" t="str">
        <f>IF(D65="","",IF(AND(B2&lt;=50,B5&gt;70),1,""))</f>
        <v/>
      </c>
      <c r="G65" s="246" t="s">
        <v>327</v>
      </c>
      <c r="H65" s="327"/>
      <c r="K65" s="246" t="s">
        <v>330</v>
      </c>
    </row>
    <row r="66" spans="4:11" x14ac:dyDescent="0.25">
      <c r="D66" s="327"/>
      <c r="F66" s="327"/>
      <c r="H66" s="327"/>
      <c r="K66" s="246" t="s">
        <v>331</v>
      </c>
    </row>
    <row r="67" spans="4:11" x14ac:dyDescent="0.25">
      <c r="D67" s="327"/>
      <c r="F67" s="327" t="str">
        <f>IF(D65="","",IF(AND(B2&lt;=50,B5&lt;=70),2,""))</f>
        <v/>
      </c>
      <c r="G67" s="246" t="s">
        <v>328</v>
      </c>
      <c r="H67" s="327"/>
      <c r="K67" s="246" t="s">
        <v>332</v>
      </c>
    </row>
    <row r="68" spans="4:11" x14ac:dyDescent="0.25">
      <c r="D68" s="327"/>
      <c r="F68" s="327"/>
      <c r="H68" s="327"/>
      <c r="K68" s="246" t="s">
        <v>333</v>
      </c>
    </row>
    <row r="69" spans="4:11" x14ac:dyDescent="0.25">
      <c r="D69" s="327"/>
      <c r="F69" s="327" t="str">
        <f>IF(D65="","",IF(B2&gt;50,3,""))</f>
        <v/>
      </c>
      <c r="G69" s="246" t="s">
        <v>329</v>
      </c>
      <c r="H69" s="327" t="str">
        <f>IF(SUM(B18:B19)=0,"",IF(F69="","",IF(AND(B18&lt;45.1,B19&lt;45.1),1,"")))</f>
        <v/>
      </c>
      <c r="K69" s="246" t="s">
        <v>334</v>
      </c>
    </row>
    <row r="70" spans="4:11" x14ac:dyDescent="0.25">
      <c r="D70" s="327"/>
      <c r="F70" s="327"/>
      <c r="H70" s="327" t="str">
        <f>IF(F69="","",IF(OR(B19&gt;45.1,B20&gt;45.1),2,""))</f>
        <v/>
      </c>
      <c r="K70" s="246" t="s">
        <v>335</v>
      </c>
    </row>
    <row r="71" spans="4:11" x14ac:dyDescent="0.25">
      <c r="D71" s="327"/>
      <c r="F71" s="327"/>
      <c r="H71" s="327"/>
    </row>
    <row r="72" spans="4:11" x14ac:dyDescent="0.25">
      <c r="D72" s="327"/>
      <c r="F72" s="327"/>
      <c r="H72" s="327"/>
    </row>
    <row r="73" spans="4:11" x14ac:dyDescent="0.25">
      <c r="D73" s="327"/>
      <c r="F73" s="327"/>
      <c r="H73" s="327"/>
    </row>
    <row r="74" spans="4:11" x14ac:dyDescent="0.25">
      <c r="D74" s="327"/>
      <c r="F74" s="327"/>
      <c r="H74" s="327"/>
    </row>
    <row r="75" spans="4:11" x14ac:dyDescent="0.25">
      <c r="D75" s="327"/>
      <c r="F75" s="327"/>
      <c r="H75" s="327"/>
    </row>
    <row r="76" spans="4:11" x14ac:dyDescent="0.25">
      <c r="D76" s="327"/>
      <c r="F76" s="327"/>
      <c r="H76" s="327"/>
    </row>
    <row r="77" spans="4:11" x14ac:dyDescent="0.25">
      <c r="D77" s="327"/>
      <c r="F77" s="327"/>
      <c r="H77" s="327"/>
    </row>
    <row r="78" spans="4:11" x14ac:dyDescent="0.25">
      <c r="D78" s="327"/>
      <c r="F78" s="327"/>
      <c r="H78" s="327"/>
    </row>
    <row r="79" spans="4:11" x14ac:dyDescent="0.25">
      <c r="D79" s="327"/>
      <c r="F79" s="327"/>
      <c r="H79" s="327"/>
    </row>
    <row r="80" spans="4:11" x14ac:dyDescent="0.25">
      <c r="D80" s="327"/>
      <c r="F80" s="327"/>
      <c r="H80" s="327"/>
    </row>
    <row r="81" spans="1:12" x14ac:dyDescent="0.25">
      <c r="D81" s="327"/>
      <c r="F81" s="327"/>
      <c r="H81" s="327"/>
    </row>
    <row r="82" spans="1:12" x14ac:dyDescent="0.25">
      <c r="D82" s="327"/>
      <c r="F82" s="327"/>
      <c r="H82" s="327"/>
    </row>
    <row r="83" spans="1:12" x14ac:dyDescent="0.25">
      <c r="D83" s="327"/>
      <c r="F83" s="327"/>
      <c r="H83" s="327"/>
    </row>
    <row r="84" spans="1:12" x14ac:dyDescent="0.25">
      <c r="D84" s="327"/>
      <c r="F84" s="327"/>
      <c r="H84" s="327"/>
    </row>
    <row r="85" spans="1:12" x14ac:dyDescent="0.25">
      <c r="D85" s="327"/>
      <c r="F85" s="327"/>
      <c r="H85" s="327"/>
    </row>
    <row r="86" spans="1:12" x14ac:dyDescent="0.25">
      <c r="D86" s="327"/>
      <c r="F86" s="327"/>
      <c r="H86" s="327"/>
    </row>
    <row r="87" spans="1:12" x14ac:dyDescent="0.25">
      <c r="D87" s="327"/>
      <c r="F87" s="327"/>
      <c r="H87" s="327"/>
    </row>
    <row r="88" spans="1:12" x14ac:dyDescent="0.25">
      <c r="D88" s="327"/>
      <c r="F88" s="327"/>
      <c r="H88" s="327"/>
    </row>
    <row r="89" spans="1:12" x14ac:dyDescent="0.25">
      <c r="D89" s="327"/>
      <c r="F89" s="327"/>
      <c r="H89" s="327"/>
    </row>
    <row r="90" spans="1:12" x14ac:dyDescent="0.25">
      <c r="D90" s="327"/>
      <c r="F90" s="327"/>
      <c r="H90" s="327"/>
    </row>
    <row r="91" spans="1:12" x14ac:dyDescent="0.25">
      <c r="B91" s="329" t="str">
        <f>IF(SUM(D63:D65)=0,"",SUM(D63:D65))</f>
        <v/>
      </c>
      <c r="C91" s="329" t="str">
        <f>IF(SUM(F63:F69)=0,"",SUM(F63:F69))</f>
        <v/>
      </c>
      <c r="D91" s="329">
        <f>SUM(D3:D62)</f>
        <v>0</v>
      </c>
      <c r="E91" s="329"/>
      <c r="F91" s="329"/>
      <c r="G91" s="329" t="str">
        <f>IF(MAX(J22:J57)=0,"",MAX(J22:J57))</f>
        <v/>
      </c>
      <c r="H91" s="329">
        <f>MIN(H3:H70)</f>
        <v>0</v>
      </c>
      <c r="I91" s="329"/>
      <c r="J91" s="329"/>
      <c r="K91" s="329"/>
      <c r="L91" s="329"/>
    </row>
    <row r="92" spans="1:12" x14ac:dyDescent="0.25">
      <c r="A92" s="334" t="str">
        <f>CONCATENATE(B92,C92,D92,E92,F92,G92,H92,I92)</f>
        <v/>
      </c>
      <c r="B92" s="331" t="str">
        <f>IF(B91="","",LOOKUP(B91,D63:D65,E63:E65))</f>
        <v/>
      </c>
      <c r="C92" s="331" t="str">
        <f>C91</f>
        <v/>
      </c>
      <c r="D92" s="331"/>
      <c r="E92" s="331" t="str">
        <f>IF(D91=0,"",LOOKUP(D91,D3:D62,E3:E62))</f>
        <v/>
      </c>
      <c r="F92" s="331" t="str">
        <f>IF(MIN(F3:F62)=0,"",MIN(F3:F62))</f>
        <v/>
      </c>
      <c r="G92" s="331" t="str">
        <f>G91</f>
        <v/>
      </c>
      <c r="H92" s="331" t="str">
        <f>IF(ISERROR(LOOKUP(H91,H3:H62,I3:I62)),"",LOOKUP(H91,H3:H62,I3:I62))</f>
        <v/>
      </c>
      <c r="I92" s="331" t="str">
        <f>IF(MAX(H65:H70)=0,"",MAX(H65:H70))</f>
        <v/>
      </c>
      <c r="J92" s="331"/>
      <c r="K92" s="331"/>
      <c r="L92" s="331"/>
    </row>
    <row r="93" spans="1:12" x14ac:dyDescent="0.25">
      <c r="A93" t="str">
        <f>CONCATENATE(B92,C92,D92,E92,F93,G92,H94,I92)</f>
        <v/>
      </c>
      <c r="F93" t="str">
        <f>IF(MAX(F3:F62)=0,"",MAX(F3:F62))</f>
        <v/>
      </c>
      <c r="H93">
        <f>MAX(H3:H70)</f>
        <v>0</v>
      </c>
    </row>
    <row r="94" spans="1:12" x14ac:dyDescent="0.25">
      <c r="H94" t="str">
        <f>IF(ISERROR(LOOKUP(H93,H3:H62,I3:I62)),"",LOOKUP(H93,H3:H62,I3:I62))</f>
        <v/>
      </c>
    </row>
  </sheetData>
  <mergeCells count="15">
    <mergeCell ref="I24:I25"/>
    <mergeCell ref="I26:I27"/>
    <mergeCell ref="I28:I29"/>
    <mergeCell ref="I30:I31"/>
    <mergeCell ref="I32:I33"/>
    <mergeCell ref="I38:I39"/>
    <mergeCell ref="I52:I53"/>
    <mergeCell ref="I54:I55"/>
    <mergeCell ref="I56:I57"/>
    <mergeCell ref="I40:I41"/>
    <mergeCell ref="I42:I43"/>
    <mergeCell ref="I44:I45"/>
    <mergeCell ref="I46:I47"/>
    <mergeCell ref="I48:I49"/>
    <mergeCell ref="I50:I5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cro3">
                <anchor moveWithCells="1" sizeWithCells="1">
                  <from>
                    <xdr:col>9</xdr:col>
                    <xdr:colOff>0</xdr:colOff>
                    <xdr:row>1</xdr:row>
                    <xdr:rowOff>7620</xdr:rowOff>
                  </from>
                  <to>
                    <xdr:col>9</xdr:col>
                    <xdr:colOff>419100</xdr:colOff>
                    <xdr:row>9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:X49"/>
  <sheetViews>
    <sheetView workbookViewId="0">
      <selection activeCell="F1" sqref="F1"/>
    </sheetView>
  </sheetViews>
  <sheetFormatPr baseColWidth="10" defaultColWidth="11.5546875" defaultRowHeight="13.2" x14ac:dyDescent="0.25"/>
  <cols>
    <col min="1" max="1" width="20.6640625" customWidth="1"/>
    <col min="2" max="2" width="12.88671875" customWidth="1"/>
    <col min="3" max="6" width="13.6640625" customWidth="1"/>
    <col min="7" max="7" width="2.33203125" customWidth="1"/>
    <col min="8" max="8" width="22.109375" customWidth="1"/>
    <col min="9" max="9" width="18" customWidth="1"/>
    <col min="18" max="18" width="21" customWidth="1"/>
  </cols>
  <sheetData>
    <row r="1" spans="1:24" x14ac:dyDescent="0.25">
      <c r="A1" s="53"/>
      <c r="B1" s="185" t="s">
        <v>89</v>
      </c>
      <c r="D1">
        <f>[1]Menu!$D$7</f>
        <v>836.07</v>
      </c>
      <c r="E1" s="330" t="str">
        <f>IF(B29&gt;0,CONCATENATE("F7","   -   ",A92),A92)</f>
        <v xml:space="preserve">F7   -   </v>
      </c>
      <c r="F1" t="str">
        <f>[1]Menu!$M$36</f>
        <v>B6th</v>
      </c>
      <c r="H1" t="str">
        <f>IF(J10="MfD",CONCATENATE(J10," - ",N3),LOOKUP(W17,W11:W15,X11:X15))</f>
        <v>MfD - SOL</v>
      </c>
    </row>
    <row r="2" spans="1:24" ht="13.8" thickBot="1" x14ac:dyDescent="0.3">
      <c r="A2" t="s">
        <v>304</v>
      </c>
      <c r="B2" s="197">
        <f>IF('[1]R. Am.'!$S$32="",0,IF('[1]R. Am.'!$S$32="&lt; 0,08",0.08,'[1]R. Am.'!$S$32))</f>
        <v>0</v>
      </c>
      <c r="I2" s="246" t="s">
        <v>394</v>
      </c>
      <c r="J2" s="246" t="s">
        <v>313</v>
      </c>
      <c r="K2" s="246" t="s">
        <v>391</v>
      </c>
      <c r="L2" s="246" t="s">
        <v>392</v>
      </c>
      <c r="M2" s="246" t="s">
        <v>393</v>
      </c>
      <c r="N2" s="246" t="s">
        <v>409</v>
      </c>
    </row>
    <row r="3" spans="1:24" ht="13.8" thickBot="1" x14ac:dyDescent="0.3">
      <c r="A3" s="192">
        <v>50</v>
      </c>
      <c r="B3" s="223" t="str">
        <f>'[1]R. Am.'!$S$19</f>
        <v/>
      </c>
      <c r="H3" s="246"/>
      <c r="I3">
        <f>IFERROR(FIND(I$2,$B$29,1),10000)</f>
        <v>10000</v>
      </c>
      <c r="J3">
        <f>IFERROR(FIND(J$2,$B$29,1),10000)</f>
        <v>10000</v>
      </c>
      <c r="K3">
        <f>IFERROR(FIND(K$2,$B$29,1),10000)</f>
        <v>10000</v>
      </c>
      <c r="L3">
        <f>IFERROR(FIND(L$2,$B$29,1),10000)</f>
        <v>10000</v>
      </c>
      <c r="M3">
        <f>IFERROR(FIND(M$2,$B$29,1),10000)</f>
        <v>10000</v>
      </c>
      <c r="N3" t="str">
        <f>IF(J3&lt;10000,J2,IF(K3&lt;10000,K2,IF(L3&lt;10000,L2,I2)))</f>
        <v>SOL</v>
      </c>
    </row>
    <row r="4" spans="1:24" x14ac:dyDescent="0.25">
      <c r="A4" s="192">
        <v>5</v>
      </c>
      <c r="B4" s="197">
        <f>IF('[1]R. Am.'!$S$24="",0,'[1]R. Am.'!$S$24)</f>
        <v>0</v>
      </c>
      <c r="H4" s="246"/>
    </row>
    <row r="5" spans="1:24" x14ac:dyDescent="0.25">
      <c r="A5" s="196">
        <v>2</v>
      </c>
      <c r="B5" s="197">
        <f>IF('[1]R. Am.'!$S$25="",0,'[1]R. Am.'!$S$25)</f>
        <v>0</v>
      </c>
      <c r="H5" s="246"/>
    </row>
    <row r="6" spans="1:24" ht="13.8" thickBot="1" x14ac:dyDescent="0.3">
      <c r="A6" s="207" t="s">
        <v>303</v>
      </c>
      <c r="B6" s="197">
        <f>IF('[1]R. Am.'!$S$31="",0,'[1]R. Am.'!$S$31)</f>
        <v>0</v>
      </c>
      <c r="H6" s="246"/>
    </row>
    <row r="7" spans="1:24" x14ac:dyDescent="0.25">
      <c r="A7" s="406" t="s">
        <v>398</v>
      </c>
      <c r="B7" s="197"/>
      <c r="H7" s="246"/>
    </row>
    <row r="8" spans="1:24" ht="13.8" thickBot="1" x14ac:dyDescent="0.3">
      <c r="A8" s="408" t="s">
        <v>414</v>
      </c>
      <c r="B8" s="405" t="e">
        <f>C8+1-1</f>
        <v>#VALUE!</v>
      </c>
      <c r="C8" s="197" t="e">
        <f>LEFT(RIGHT(RIGHT(LOOKUP(D1,[2]Amostras!$A:$A,[2]Amostras!$P:$P),LEN(LOOKUP(D1,[2]Amostras!$A:$A,[2]Amostras!$P:$P))-FIND("ø",LOOKUP(D1,[2]Amostras!$A:$A,[2]Amostras!$P:$P),1)),LEN(RIGHT(LOOKUP(D1,[2]Amostras!$A:$A,[2]Amostras!$P:$P),LEN(LOOKUP(D1,[2]Amostras!$A:$A,[2]Amostras!$P:$P))-FIND("ø",LOOKUP(D1,[2]Amostras!$A:$A,[2]Amostras!$P:$P),1)))-FIND("-",RIGHT(LOOKUP(D1,[2]Amostras!$A:$A,[2]Amostras!$P:$P),LEN(LOOKUP(D1,[2]Amostras!$A:$A,[2]Amostras!$P:$P))-FIND("ø",LOOKUP(D1,[2]Amostras!$A:$A,[2]Amostras!$P:$P),1)),1)),FIND("mm",RIGHT(RIGHT(LOOKUP(D1,[2]Amostras!$A:$A,[2]Amostras!$P:$P),LEN(LOOKUP(D1,[2]Amostras!$A:$A,[2]Amostras!$P:$P))-FIND("ø",LOOKUP(D1,[2]Amostras!$A:$A,[2]Amostras!$P:$P),1)),LEN(RIGHT(LOOKUP(D1,[2]Amostras!$A:$A,[2]Amostras!$P:$P),LEN(LOOKUP(D1,[2]Amostras!$A:$A,[2]Amostras!$P:$P))-FIND("ø",LOOKUP(D1,[2]Amostras!$A:$A,[2]Amostras!$P:$P),1)))-FIND("-",RIGHT(LOOKUP(D1,[2]Amostras!$A:$A,[2]Amostras!$P:$P),LEN(LOOKUP(D1,[2]Amostras!$A:$A,[2]Amostras!$P:$P))-FIND("ø",LOOKUP(D1,[2]Amostras!$A:$A,[2]Amostras!$P:$P),1)),1)),1)-1)</f>
        <v>#VALUE!</v>
      </c>
      <c r="D8" s="405"/>
      <c r="H8" s="246"/>
      <c r="I8" s="246"/>
    </row>
    <row r="9" spans="1:24" x14ac:dyDescent="0.25">
      <c r="A9" s="368" t="s">
        <v>415</v>
      </c>
      <c r="B9" s="409" t="e">
        <f>LOOKUP(CONVERT(C8,"g","g"),'[1]R. Am.'!$Y$30:$Y$45,'[1]R. Am.'!$Z$30:$Z$45)</f>
        <v>#VALUE!</v>
      </c>
      <c r="C9" t="e">
        <f>IF(AND(B9&gt;90,B9&lt;99),"OC90",IF(AND(B9&gt;85,B9&lt;99),"OC85",IF(AND(B9&gt;80,B9&lt;99),"OC80",IF(AND(B9&gt;75,B9&lt;99),"OC75"))))</f>
        <v>#VALUE!</v>
      </c>
      <c r="H9" s="246" t="s">
        <v>406</v>
      </c>
      <c r="I9" s="246" t="s">
        <v>410</v>
      </c>
      <c r="J9" s="246" t="s">
        <v>395</v>
      </c>
      <c r="K9" s="246" t="s">
        <v>396</v>
      </c>
      <c r="L9" s="246" t="s">
        <v>397</v>
      </c>
      <c r="M9" s="246" t="s">
        <v>401</v>
      </c>
      <c r="N9" s="246" t="s">
        <v>399</v>
      </c>
      <c r="O9" s="246" t="s">
        <v>402</v>
      </c>
      <c r="P9" s="246" t="s">
        <v>403</v>
      </c>
      <c r="Q9" s="246" t="s">
        <v>409</v>
      </c>
      <c r="R9" s="246" t="s">
        <v>407</v>
      </c>
      <c r="S9" s="246" t="s">
        <v>411</v>
      </c>
      <c r="T9" s="246" t="s">
        <v>412</v>
      </c>
      <c r="U9" s="246" t="s">
        <v>413</v>
      </c>
    </row>
    <row r="10" spans="1:24" x14ac:dyDescent="0.25">
      <c r="A10" s="368" t="s">
        <v>416</v>
      </c>
      <c r="B10" t="e">
        <f>C8*2</f>
        <v>#VALUE!</v>
      </c>
      <c r="J10" s="405" t="str">
        <f>IF(B2&lt;12,"MfD","")</f>
        <v>MfD</v>
      </c>
    </row>
    <row r="11" spans="1:24" x14ac:dyDescent="0.25">
      <c r="A11" s="368" t="s">
        <v>417</v>
      </c>
      <c r="B11" t="e">
        <f>C8*1.4</f>
        <v>#VALUE!</v>
      </c>
      <c r="H11" s="405" t="str">
        <f>IF(I3=10000,"",0)</f>
        <v/>
      </c>
      <c r="I11" s="410" t="str">
        <f>IF((H11)="","",0)</f>
        <v/>
      </c>
      <c r="J11" s="405" t="str">
        <f>IF(AND(B2&lt;150,B2&gt;12),0,"")</f>
        <v/>
      </c>
      <c r="K11" s="405" t="str">
        <f>IF((H11)="","",0)</f>
        <v/>
      </c>
      <c r="L11" s="405" t="str">
        <f>IF((H11)="","",0)</f>
        <v/>
      </c>
      <c r="M11" s="410" t="str">
        <f>IF((H11)="","",0)</f>
        <v/>
      </c>
      <c r="N11" s="405" t="str">
        <f>IF($B$24&lt;0.213,0,"")</f>
        <v/>
      </c>
      <c r="O11" s="405">
        <f>IF(SUM(B31:B32)&lt;1,0,"")</f>
        <v>0</v>
      </c>
      <c r="P11" s="405">
        <f>IF(B33&lt;1,0,"")</f>
        <v>0</v>
      </c>
      <c r="Q11" t="str">
        <f>$N$3</f>
        <v>SOL</v>
      </c>
      <c r="R11" s="246"/>
      <c r="T11" t="e">
        <f>IF($B$8&lt;150,0,"")</f>
        <v>#VALUE!</v>
      </c>
      <c r="V11" s="405">
        <f>COUNT(H11:T11)-COUNTBLANK(H11:P11)</f>
        <v>-5</v>
      </c>
      <c r="W11" s="246" t="str">
        <f>IF(V11=MAX($V$11:$V$15),1,"")</f>
        <v/>
      </c>
      <c r="X11" s="246" t="str">
        <f>CONCATENATE("GD0 - Sol"," - ",Q11)</f>
        <v>GD0 - Sol - SOL</v>
      </c>
    </row>
    <row r="12" spans="1:24" x14ac:dyDescent="0.25">
      <c r="A12" s="368"/>
      <c r="H12" s="405" t="str">
        <f>IF(I3=10000,"",1)</f>
        <v/>
      </c>
      <c r="I12" s="410" t="str">
        <f>IF((H12)="","",1)</f>
        <v/>
      </c>
      <c r="J12" s="405" t="str">
        <f>IF(AND(B2&lt;80,B2&gt;12),1,"")</f>
        <v/>
      </c>
      <c r="K12" s="405">
        <f>IF($B$6&lt;10.1,1,"")</f>
        <v>1</v>
      </c>
      <c r="L12" s="405" t="str">
        <f>IF($B$19&lt;0.1,1,"")</f>
        <v/>
      </c>
      <c r="M12" s="405">
        <f>IF(AND($B$26&lt;45,$B$27&lt;45),1,"")</f>
        <v>1</v>
      </c>
      <c r="N12" s="405" t="str">
        <f>IF($B$24&lt;0.08,1,"")</f>
        <v/>
      </c>
      <c r="O12" s="405">
        <f>IF(SUM($B$31:$B$32)&lt;1,1,"")</f>
        <v>1</v>
      </c>
      <c r="P12" s="405">
        <f>IF($B$33&lt;1,1,"")</f>
        <v>1</v>
      </c>
      <c r="Q12" t="str">
        <f>$N$3</f>
        <v>SOL</v>
      </c>
      <c r="R12" s="246"/>
      <c r="T12" t="e">
        <f>IF($B$8&lt;=80,1,"")</f>
        <v>#VALUE!</v>
      </c>
      <c r="V12" s="405">
        <f>COUNT(H12:T12)-COUNTBLANK(H12:P12)</f>
        <v>-1</v>
      </c>
      <c r="W12" s="246" t="str">
        <f t="shared" ref="W12:W15" si="0">IF(V12=MAX($V$11:$V$15),1,"")</f>
        <v/>
      </c>
      <c r="X12" s="246" t="str">
        <f>CONCATENATE("GD1 - Sol"," - ",Q12)</f>
        <v>GD1 - Sol - SOL</v>
      </c>
    </row>
    <row r="13" spans="1:24" x14ac:dyDescent="0.25">
      <c r="H13" s="405" t="str">
        <f>IF(I3&gt;0,"",2)</f>
        <v/>
      </c>
      <c r="I13" s="405" t="str">
        <f>IF(B35="OC80",2,"")</f>
        <v/>
      </c>
      <c r="J13" s="405">
        <f>IF($B$2&lt;63,2,"")</f>
        <v>2</v>
      </c>
      <c r="K13" s="405">
        <f>IF($B$6&lt;10.1,2,"")</f>
        <v>2</v>
      </c>
      <c r="L13" s="405" t="str">
        <f>IF($B$20&lt;0.1,2,"")</f>
        <v/>
      </c>
      <c r="M13" s="405">
        <f>IF(AND($B$26&lt;40,$B$27&lt;40,SUM($B$26+$B$27)&lt;70),2,"")</f>
        <v>2</v>
      </c>
      <c r="N13" s="405" t="str">
        <f>IF($B$24&lt;0.4,2,"")</f>
        <v/>
      </c>
      <c r="O13" s="405">
        <f>IF(SUM($B$31:$B$32)&lt;0.6,2,"")</f>
        <v>2</v>
      </c>
      <c r="P13" s="405">
        <f>IF($B$33&lt;0.5,2,"")</f>
        <v>2</v>
      </c>
      <c r="Q13" t="str">
        <f>$N$3</f>
        <v>SOL</v>
      </c>
      <c r="R13" s="246" t="b">
        <f>IF($N$3="M",IF($B$34&gt;50,"2",""),IF($N$3="B",IF($B$34&gt;90,"2","")))</f>
        <v>0</v>
      </c>
      <c r="S13" t="e">
        <f>IF($C$9="OC80","2","")</f>
        <v>#VALUE!</v>
      </c>
      <c r="T13" t="e">
        <f>IF($B$8&lt;63,2,"")</f>
        <v>#VALUE!</v>
      </c>
      <c r="U13" t="str">
        <f>IF(AND($B$7&lt;7,$B$7&gt;2),"2","")</f>
        <v/>
      </c>
      <c r="V13" s="405">
        <f>COUNT(H13:T13)-COUNTBLANK(H13:P13)</f>
        <v>1</v>
      </c>
      <c r="W13" s="246">
        <f t="shared" si="0"/>
        <v>1</v>
      </c>
      <c r="X13" s="246" t="str">
        <f>CONCATENATE("GDNT1"," - ",Q13)</f>
        <v>GDNT1 - SOL</v>
      </c>
    </row>
    <row r="14" spans="1:24" x14ac:dyDescent="0.25">
      <c r="H14" s="405" t="str">
        <f>IF(I3&gt;0,"",3)</f>
        <v/>
      </c>
      <c r="I14" s="405" t="str">
        <f>IF(B35="OC80",3,"")</f>
        <v/>
      </c>
      <c r="J14" s="405">
        <f>IF($B$2&lt;31.5,3,"")</f>
        <v>3</v>
      </c>
      <c r="K14" s="405">
        <f>IF($B$6&lt;10.1,3,"")</f>
        <v>3</v>
      </c>
      <c r="L14" s="405" t="str">
        <f>IF($B$20&lt;0.1,3,"")</f>
        <v/>
      </c>
      <c r="M14" s="405">
        <f>IF(AND($B$26&lt;35,$B$27&lt;30,SUM($B$26+$B$27)&lt;55),3,"")</f>
        <v>3</v>
      </c>
      <c r="N14" s="405" t="str">
        <f>IF($B$24&lt;0.4,3,"")</f>
        <v/>
      </c>
      <c r="O14" s="405">
        <f>IF(SUM($B$31:$B$32)&lt;0.3,3,"")</f>
        <v>3</v>
      </c>
      <c r="P14" s="405">
        <f>IF($B$33&lt;0.2,3,"")</f>
        <v>3</v>
      </c>
      <c r="Q14" t="str">
        <f>$N$3</f>
        <v>SOL</v>
      </c>
      <c r="R14" s="246" t="b">
        <f>IF($N$3="M",IF($B$34&gt;50,"3",""),IF($N$3="B",IF($B$34&gt;90,"3","")))</f>
        <v>0</v>
      </c>
      <c r="S14" t="e">
        <f>IF($C$9="OC85","3","")</f>
        <v>#VALUE!</v>
      </c>
      <c r="T14" t="e">
        <f>IF($B$8&lt;31.5,3,"")</f>
        <v>#VALUE!</v>
      </c>
      <c r="U14" t="str">
        <f>IF(AND($B$7&lt;7,$B$7&gt;2),"3","")</f>
        <v/>
      </c>
      <c r="V14" s="405">
        <f>COUNT(H14:T14)-COUNTBLANK(H14:P14)</f>
        <v>1</v>
      </c>
      <c r="W14" s="246">
        <f t="shared" si="0"/>
        <v>1</v>
      </c>
      <c r="X14" s="246" t="str">
        <f>CONCATENATE("GDNT2"," - ",Q14)</f>
        <v>GDNT2 - SOL</v>
      </c>
    </row>
    <row r="15" spans="1:24" ht="13.8" thickBot="1" x14ac:dyDescent="0.3">
      <c r="H15" s="405" t="str">
        <f>IF(I3&gt;0,"",4)</f>
        <v/>
      </c>
      <c r="I15" s="405" t="str">
        <f>IF(B35="OC85",4,"")</f>
        <v/>
      </c>
      <c r="J15" s="405">
        <f>IF($B$2&lt;20,4,"")</f>
        <v>4</v>
      </c>
      <c r="K15" s="405">
        <f>IF($B$6&lt;10.1,4,"")</f>
        <v>4</v>
      </c>
      <c r="L15" s="405" t="str">
        <f>IF($B$20&lt;0.1,4,"")</f>
        <v/>
      </c>
      <c r="M15" s="405">
        <f>IF(AND($B$26&lt;30,$B$27&lt;25,SUM($B$26+$B$27)&lt;45),4,"")</f>
        <v>4</v>
      </c>
      <c r="N15" s="405" t="str">
        <f>IF($B$24&lt;0.4,4,"")</f>
        <v/>
      </c>
      <c r="O15" s="405">
        <f>IF(SUM($B$31:$B$32)&lt;0.3,4,"")</f>
        <v>4</v>
      </c>
      <c r="P15" s="405">
        <f>IF($B$33&lt;0.2,4,"")</f>
        <v>4</v>
      </c>
      <c r="Q15" t="str">
        <f>$N$3</f>
        <v>SOL</v>
      </c>
      <c r="R15" s="246" t="str">
        <f>IF($N$3="B",IF($B$34&gt;90,"4",""),"")</f>
        <v/>
      </c>
      <c r="S15" t="e">
        <f>IF($C$9="OC85","4","")</f>
        <v>#VALUE!</v>
      </c>
      <c r="T15" t="e">
        <f>IF($B$8&lt;=20,4,"")</f>
        <v>#VALUE!</v>
      </c>
      <c r="U15" t="str">
        <f>IF(AND($B$7&lt;7,$B$7&gt;2),"4","")</f>
        <v/>
      </c>
      <c r="V15" s="405">
        <f>COUNT(H15:T15)-COUNTBLANK(H15:P15)</f>
        <v>1</v>
      </c>
      <c r="W15" s="246">
        <f t="shared" si="0"/>
        <v>1</v>
      </c>
      <c r="X15" s="246" t="str">
        <f>CONCATENATE("GDNT3"," - ",Q15)</f>
        <v>GDNT3 - SOL</v>
      </c>
    </row>
    <row r="16" spans="1:24" x14ac:dyDescent="0.25">
      <c r="A16" s="192" t="s">
        <v>98</v>
      </c>
      <c r="B16" s="193">
        <f>IF('[1]R. Am.'!$S$33="",0,'[1]R. Am.'!$S$33)</f>
        <v>0</v>
      </c>
    </row>
    <row r="17" spans="1:23" ht="13.8" thickBot="1" x14ac:dyDescent="0.3">
      <c r="A17" s="207" t="s">
        <v>103</v>
      </c>
      <c r="B17" s="333">
        <f>IF('[1]R. Am.'!$S$35="",0,'[1]R. Am.'!$S$35)</f>
        <v>0</v>
      </c>
      <c r="W17">
        <f>SUM(W11:W15)</f>
        <v>3</v>
      </c>
    </row>
    <row r="18" spans="1:23" ht="13.8" thickBot="1" x14ac:dyDescent="0.3">
      <c r="A18" s="325" t="s">
        <v>309</v>
      </c>
      <c r="B18" s="332">
        <f>IF('[1]R. Am.'!$S$35="",0,[1]Lim.!$R$67)</f>
        <v>0</v>
      </c>
    </row>
    <row r="19" spans="1:23" ht="13.8" thickBot="1" x14ac:dyDescent="0.3">
      <c r="A19" s="325" t="s">
        <v>305</v>
      </c>
      <c r="B19" s="332">
        <f>IF('[1]R. Am.'!$S$36="",0,'[1]R. Am.'!$S$36)</f>
        <v>2.5384967427048233</v>
      </c>
    </row>
    <row r="20" spans="1:23" ht="13.8" thickBot="1" x14ac:dyDescent="0.3">
      <c r="A20" s="325" t="s">
        <v>400</v>
      </c>
      <c r="B20" s="332">
        <f>[1]MB!$M$45</f>
        <v>2.5384967427048233</v>
      </c>
    </row>
    <row r="21" spans="1:23" ht="13.8" thickBot="1" x14ac:dyDescent="0.3">
      <c r="A21" s="325" t="s">
        <v>306</v>
      </c>
      <c r="B21" s="332">
        <f>'[1]R. Am.'!$S$37</f>
        <v>21.036906854130041</v>
      </c>
      <c r="C21" t="e">
        <f>B21/B23</f>
        <v>#DIV/0!</v>
      </c>
    </row>
    <row r="22" spans="1:23" ht="13.8" thickBot="1" x14ac:dyDescent="0.3">
      <c r="A22" s="325" t="s">
        <v>307</v>
      </c>
      <c r="B22" s="220">
        <f>IF('[1]R. Am.'!$S$45="",0,'[1]CBR Instantaneo'!$AG$3)</f>
        <v>0</v>
      </c>
    </row>
    <row r="23" spans="1:23" ht="13.8" thickBot="1" x14ac:dyDescent="0.3">
      <c r="A23" s="325" t="s">
        <v>308</v>
      </c>
      <c r="B23" s="220">
        <f>IF('[1]R. Am.'!$S$41="",0,'[1]R. Am.'!$S$42)</f>
        <v>0</v>
      </c>
    </row>
    <row r="24" spans="1:23" ht="13.8" thickBot="1" x14ac:dyDescent="0.3">
      <c r="A24" s="368" t="s">
        <v>399</v>
      </c>
      <c r="B24" s="220" t="str">
        <f>'[1]Teneur en sulfate'!$L$34</f>
        <v/>
      </c>
    </row>
    <row r="25" spans="1:23" ht="13.8" thickBot="1" x14ac:dyDescent="0.3">
      <c r="A25" s="325" t="s">
        <v>310</v>
      </c>
      <c r="B25" s="220"/>
    </row>
    <row r="26" spans="1:23" ht="13.8" thickBot="1" x14ac:dyDescent="0.3">
      <c r="A26" s="325" t="s">
        <v>311</v>
      </c>
      <c r="B26" s="220">
        <f>IF('[1]LA et-ou MDE'!$L$45="",0,'[1]LA et-ou MDE'!$L$45)</f>
        <v>0</v>
      </c>
    </row>
    <row r="27" spans="1:23" ht="13.8" thickBot="1" x14ac:dyDescent="0.3">
      <c r="A27" s="325" t="s">
        <v>312</v>
      </c>
      <c r="B27" s="220">
        <f>IF('[1]LA et-ou MDE'!$L$31="",0,'[1]LA et-ou MDE'!$L$31)</f>
        <v>0</v>
      </c>
    </row>
    <row r="28" spans="1:23" ht="13.8" thickBot="1" x14ac:dyDescent="0.3">
      <c r="A28" s="368" t="s">
        <v>365</v>
      </c>
      <c r="B28" s="220"/>
    </row>
    <row r="29" spans="1:23" ht="13.8" thickBot="1" x14ac:dyDescent="0.3">
      <c r="A29" t="s">
        <v>339</v>
      </c>
      <c r="B29" s="220" t="str">
        <f>UPPER(LOOKUP(D1,[2]Amostras!$A:$A,[2]Amostras!$W:$W))</f>
        <v>836-7 2%CV</v>
      </c>
    </row>
    <row r="30" spans="1:23" ht="13.8" thickBot="1" x14ac:dyDescent="0.3">
      <c r="A30" s="407" t="s">
        <v>408</v>
      </c>
      <c r="B30" s="220">
        <v>39</v>
      </c>
    </row>
    <row r="31" spans="1:23" ht="13.8" thickBot="1" x14ac:dyDescent="0.3">
      <c r="A31" s="407" t="s">
        <v>404</v>
      </c>
      <c r="B31" s="220"/>
    </row>
    <row r="32" spans="1:23" ht="13.8" thickBot="1" x14ac:dyDescent="0.3">
      <c r="A32" s="407" t="s">
        <v>405</v>
      </c>
      <c r="B32" s="220"/>
    </row>
    <row r="33" spans="1:15" ht="13.8" thickBot="1" x14ac:dyDescent="0.3">
      <c r="A33" s="407" t="s">
        <v>403</v>
      </c>
      <c r="B33" s="220"/>
    </row>
    <row r="34" spans="1:15" ht="13.8" thickBot="1" x14ac:dyDescent="0.3">
      <c r="A34" s="407" t="s">
        <v>407</v>
      </c>
      <c r="B34" s="220">
        <v>51</v>
      </c>
      <c r="I34" t="s">
        <v>418</v>
      </c>
      <c r="J34" s="246" t="s">
        <v>420</v>
      </c>
      <c r="K34" s="246" t="s">
        <v>421</v>
      </c>
      <c r="L34" s="246" t="s">
        <v>422</v>
      </c>
      <c r="M34" s="246" t="s">
        <v>423</v>
      </c>
      <c r="N34" s="246" t="s">
        <v>424</v>
      </c>
      <c r="O34" s="246" t="s">
        <v>425</v>
      </c>
    </row>
    <row r="35" spans="1:15" x14ac:dyDescent="0.25">
      <c r="A35" s="407" t="s">
        <v>411</v>
      </c>
      <c r="I35" s="246">
        <v>8</v>
      </c>
      <c r="J35">
        <v>4</v>
      </c>
      <c r="K35">
        <v>2</v>
      </c>
      <c r="L35" s="246" t="s">
        <v>426</v>
      </c>
      <c r="M35">
        <v>1</v>
      </c>
      <c r="N35">
        <v>0.5</v>
      </c>
      <c r="O35" s="246" t="s">
        <v>426</v>
      </c>
    </row>
    <row r="36" spans="1:15" x14ac:dyDescent="0.25">
      <c r="I36">
        <v>10</v>
      </c>
      <c r="J36">
        <v>4</v>
      </c>
      <c r="K36">
        <v>2</v>
      </c>
      <c r="L36" s="246" t="s">
        <v>426</v>
      </c>
      <c r="M36">
        <v>1</v>
      </c>
      <c r="N36">
        <v>0.5</v>
      </c>
      <c r="O36" s="246" t="s">
        <v>426</v>
      </c>
    </row>
    <row r="37" spans="1:15" x14ac:dyDescent="0.25">
      <c r="I37">
        <v>11.2</v>
      </c>
      <c r="J37">
        <v>5.6</v>
      </c>
      <c r="K37">
        <v>4</v>
      </c>
      <c r="L37">
        <v>2</v>
      </c>
      <c r="M37">
        <v>1</v>
      </c>
      <c r="N37">
        <v>0.5</v>
      </c>
      <c r="O37" s="246" t="s">
        <v>426</v>
      </c>
    </row>
    <row r="38" spans="1:15" x14ac:dyDescent="0.25">
      <c r="I38">
        <v>12.5</v>
      </c>
      <c r="J38">
        <v>6.3</v>
      </c>
      <c r="K38">
        <v>4</v>
      </c>
      <c r="L38">
        <v>2</v>
      </c>
      <c r="M38">
        <v>1</v>
      </c>
      <c r="N38">
        <v>0.5</v>
      </c>
      <c r="O38" s="246" t="s">
        <v>426</v>
      </c>
    </row>
    <row r="39" spans="1:15" x14ac:dyDescent="0.25">
      <c r="I39">
        <v>14</v>
      </c>
      <c r="J39">
        <v>8</v>
      </c>
      <c r="K39">
        <v>4</v>
      </c>
      <c r="L39">
        <v>2</v>
      </c>
      <c r="M39">
        <v>1</v>
      </c>
      <c r="N39">
        <v>0.5</v>
      </c>
      <c r="O39" s="246" t="s">
        <v>426</v>
      </c>
    </row>
    <row r="40" spans="1:15" x14ac:dyDescent="0.25">
      <c r="I40">
        <v>16</v>
      </c>
      <c r="J40">
        <v>8</v>
      </c>
      <c r="K40">
        <v>4</v>
      </c>
      <c r="L40">
        <v>2</v>
      </c>
      <c r="M40">
        <v>1</v>
      </c>
      <c r="N40">
        <v>0.5</v>
      </c>
      <c r="O40" s="246" t="s">
        <v>426</v>
      </c>
    </row>
    <row r="41" spans="1:15" x14ac:dyDescent="0.25">
      <c r="I41">
        <v>20</v>
      </c>
      <c r="J41">
        <v>10</v>
      </c>
      <c r="K41">
        <v>4</v>
      </c>
      <c r="L41">
        <v>2</v>
      </c>
      <c r="M41">
        <v>1</v>
      </c>
      <c r="N41">
        <v>0.5</v>
      </c>
      <c r="O41" s="246" t="s">
        <v>426</v>
      </c>
    </row>
    <row r="42" spans="1:15" x14ac:dyDescent="0.25">
      <c r="I42">
        <v>22.4</v>
      </c>
      <c r="J42">
        <v>11.2</v>
      </c>
      <c r="K42">
        <v>5.6</v>
      </c>
      <c r="L42">
        <v>2</v>
      </c>
      <c r="M42">
        <v>1</v>
      </c>
      <c r="N42">
        <v>0.5</v>
      </c>
      <c r="O42" s="246" t="s">
        <v>426</v>
      </c>
    </row>
    <row r="43" spans="1:15" x14ac:dyDescent="0.25">
      <c r="I43">
        <v>31.5</v>
      </c>
      <c r="J43">
        <v>16</v>
      </c>
      <c r="K43">
        <v>8</v>
      </c>
      <c r="L43">
        <v>4</v>
      </c>
      <c r="M43">
        <v>2</v>
      </c>
      <c r="N43">
        <v>1</v>
      </c>
      <c r="O43">
        <v>0.5</v>
      </c>
    </row>
    <row r="44" spans="1:15" x14ac:dyDescent="0.25">
      <c r="I44">
        <v>40</v>
      </c>
      <c r="J44">
        <v>20</v>
      </c>
      <c r="K44">
        <v>10</v>
      </c>
      <c r="L44">
        <v>4</v>
      </c>
      <c r="M44">
        <v>2</v>
      </c>
      <c r="N44">
        <v>1</v>
      </c>
      <c r="O44">
        <v>0.5</v>
      </c>
    </row>
    <row r="45" spans="1:15" x14ac:dyDescent="0.25">
      <c r="I45">
        <v>45</v>
      </c>
      <c r="J45">
        <v>22.4</v>
      </c>
      <c r="K45">
        <v>11.2</v>
      </c>
      <c r="L45">
        <v>5.6</v>
      </c>
      <c r="M45">
        <v>2</v>
      </c>
      <c r="N45">
        <v>1</v>
      </c>
      <c r="O45">
        <v>0.5</v>
      </c>
    </row>
    <row r="46" spans="1:15" x14ac:dyDescent="0.25">
      <c r="I46">
        <v>56</v>
      </c>
      <c r="J46">
        <v>31.5</v>
      </c>
      <c r="K46">
        <v>16</v>
      </c>
      <c r="L46">
        <v>8</v>
      </c>
      <c r="M46">
        <v>4</v>
      </c>
      <c r="N46">
        <v>2</v>
      </c>
      <c r="O46">
        <v>1</v>
      </c>
    </row>
    <row r="47" spans="1:15" x14ac:dyDescent="0.25">
      <c r="I47">
        <v>60</v>
      </c>
      <c r="J47">
        <v>31.5</v>
      </c>
      <c r="K47">
        <v>16</v>
      </c>
      <c r="L47">
        <v>8</v>
      </c>
      <c r="M47">
        <v>4</v>
      </c>
      <c r="N47">
        <v>2</v>
      </c>
      <c r="O47">
        <v>1</v>
      </c>
    </row>
    <row r="48" spans="1:15" x14ac:dyDescent="0.25">
      <c r="I48">
        <v>80</v>
      </c>
      <c r="J48">
        <v>40</v>
      </c>
      <c r="K48">
        <v>20</v>
      </c>
      <c r="L48">
        <v>10</v>
      </c>
      <c r="M48">
        <v>4</v>
      </c>
      <c r="N48">
        <v>2</v>
      </c>
      <c r="O48">
        <v>1</v>
      </c>
    </row>
    <row r="49" spans="9:9" x14ac:dyDescent="0.25">
      <c r="I49" t="s">
        <v>419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4"/>
  <dimension ref="B1:K59"/>
  <sheetViews>
    <sheetView workbookViewId="0">
      <selection activeCell="B1" sqref="B1:C1"/>
    </sheetView>
  </sheetViews>
  <sheetFormatPr baseColWidth="10" defaultColWidth="11.44140625" defaultRowHeight="13.2" x14ac:dyDescent="0.25"/>
  <cols>
    <col min="1" max="1" width="2.88671875" customWidth="1"/>
    <col min="2" max="3" width="11.44140625" customWidth="1"/>
    <col min="4" max="4" width="5.6640625" customWidth="1"/>
    <col min="5" max="6" width="11.44140625" customWidth="1"/>
    <col min="7" max="7" width="5.5546875" customWidth="1"/>
    <col min="8" max="10" width="11.44140625" customWidth="1"/>
    <col min="11" max="11" width="10.33203125" customWidth="1"/>
  </cols>
  <sheetData>
    <row r="1" spans="2:11" ht="13.8" thickTop="1" x14ac:dyDescent="0.25">
      <c r="B1" s="432" t="s">
        <v>266</v>
      </c>
      <c r="C1" s="433"/>
      <c r="E1" s="432" t="s">
        <v>267</v>
      </c>
      <c r="F1" s="433"/>
      <c r="H1" s="432" t="s">
        <v>280</v>
      </c>
      <c r="I1" s="434"/>
      <c r="J1" s="434"/>
      <c r="K1" s="433"/>
    </row>
    <row r="2" spans="2:11" ht="13.8" thickBot="1" x14ac:dyDescent="0.3">
      <c r="B2" s="290" t="s">
        <v>42</v>
      </c>
      <c r="C2" s="291" t="s">
        <v>2</v>
      </c>
      <c r="E2" s="290" t="s">
        <v>42</v>
      </c>
      <c r="F2" s="291" t="s">
        <v>2</v>
      </c>
      <c r="H2" s="290" t="s">
        <v>42</v>
      </c>
      <c r="I2" s="299" t="s">
        <v>281</v>
      </c>
      <c r="J2" s="312" t="s">
        <v>7</v>
      </c>
      <c r="K2" s="291" t="s">
        <v>8</v>
      </c>
    </row>
    <row r="3" spans="2:11" ht="6.75" customHeight="1" thickTop="1" thickBot="1" x14ac:dyDescent="0.3"/>
    <row r="4" spans="2:11" ht="13.8" thickTop="1" x14ac:dyDescent="0.25">
      <c r="B4" s="284">
        <f>Folha1!B503</f>
        <v>500</v>
      </c>
      <c r="C4" s="285">
        <f>Folha1!C503</f>
        <v>0</v>
      </c>
      <c r="E4" s="284">
        <f>Folha1!B4</f>
        <v>1</v>
      </c>
      <c r="F4" s="285">
        <f>Folha1!C4</f>
        <v>58.7</v>
      </c>
      <c r="H4" s="300">
        <v>1</v>
      </c>
      <c r="I4" s="301">
        <v>1847</v>
      </c>
      <c r="J4" s="309">
        <v>955</v>
      </c>
      <c r="K4" s="302" t="s">
        <v>20</v>
      </c>
    </row>
    <row r="5" spans="2:11" x14ac:dyDescent="0.25">
      <c r="B5" s="286">
        <f>Folha1!B504</f>
        <v>501</v>
      </c>
      <c r="C5" s="287">
        <f>Folha1!C504</f>
        <v>0</v>
      </c>
      <c r="E5" s="286">
        <f>Folha1!B5</f>
        <v>2</v>
      </c>
      <c r="F5" s="287">
        <f>Folha1!C5</f>
        <v>59.1</v>
      </c>
      <c r="H5" s="303">
        <v>2</v>
      </c>
      <c r="I5" s="304">
        <v>3043</v>
      </c>
      <c r="J5" s="310">
        <v>2057</v>
      </c>
      <c r="K5" s="305" t="s">
        <v>18</v>
      </c>
    </row>
    <row r="6" spans="2:11" x14ac:dyDescent="0.25">
      <c r="B6" s="286">
        <f>Folha1!B505</f>
        <v>502</v>
      </c>
      <c r="C6" s="287">
        <f>Folha1!C505</f>
        <v>0</v>
      </c>
      <c r="E6" s="286">
        <f>Folha1!B6</f>
        <v>3</v>
      </c>
      <c r="F6" s="287">
        <f>Folha1!C6</f>
        <v>55.4</v>
      </c>
      <c r="H6" s="303">
        <v>3</v>
      </c>
      <c r="I6" s="304">
        <v>7994</v>
      </c>
      <c r="J6" s="310">
        <v>2067</v>
      </c>
      <c r="K6" s="305" t="s">
        <v>260</v>
      </c>
    </row>
    <row r="7" spans="2:11" x14ac:dyDescent="0.25">
      <c r="B7" s="286">
        <f>Folha1!B506</f>
        <v>503</v>
      </c>
      <c r="C7" s="287">
        <f>Folha1!C506</f>
        <v>0</v>
      </c>
      <c r="E7" s="286">
        <f>Folha1!B7</f>
        <v>4</v>
      </c>
      <c r="F7" s="287">
        <f>Folha1!C7</f>
        <v>0</v>
      </c>
      <c r="H7" s="303">
        <v>6</v>
      </c>
      <c r="I7" s="304">
        <v>8047</v>
      </c>
      <c r="J7" s="310">
        <v>2068</v>
      </c>
      <c r="K7" s="305" t="s">
        <v>260</v>
      </c>
    </row>
    <row r="8" spans="2:11" x14ac:dyDescent="0.25">
      <c r="B8" s="286">
        <f>Folha1!B507</f>
        <v>504</v>
      </c>
      <c r="C8" s="287">
        <f>Folha1!C507</f>
        <v>0</v>
      </c>
      <c r="E8" s="286">
        <f>Folha1!B8</f>
        <v>5</v>
      </c>
      <c r="F8" s="287">
        <f>Folha1!C8</f>
        <v>0</v>
      </c>
      <c r="H8" s="303">
        <v>7</v>
      </c>
      <c r="I8" s="304">
        <v>8068</v>
      </c>
      <c r="J8" s="310">
        <v>2072</v>
      </c>
      <c r="K8" s="305" t="s">
        <v>260</v>
      </c>
    </row>
    <row r="9" spans="2:11" ht="13.8" thickBot="1" x14ac:dyDescent="0.3">
      <c r="B9" s="286">
        <f>Folha1!B508</f>
        <v>505</v>
      </c>
      <c r="C9" s="287">
        <f>Folha1!C508</f>
        <v>0</v>
      </c>
      <c r="E9" s="286">
        <f>Folha1!B9</f>
        <v>6</v>
      </c>
      <c r="F9" s="287">
        <f>Folha1!C9</f>
        <v>0</v>
      </c>
      <c r="H9" s="306">
        <v>8</v>
      </c>
      <c r="I9" s="307">
        <v>8041</v>
      </c>
      <c r="J9" s="311">
        <v>2066</v>
      </c>
      <c r="K9" s="308" t="s">
        <v>260</v>
      </c>
    </row>
    <row r="10" spans="2:11" ht="13.8" thickTop="1" x14ac:dyDescent="0.25">
      <c r="B10" s="286">
        <f>Folha1!B509</f>
        <v>506</v>
      </c>
      <c r="C10" s="287">
        <f>Folha1!C509</f>
        <v>0</v>
      </c>
      <c r="E10" s="286">
        <f>Folha1!B10</f>
        <v>7</v>
      </c>
      <c r="F10" s="287">
        <f>Folha1!C10</f>
        <v>0</v>
      </c>
    </row>
    <row r="11" spans="2:11" x14ac:dyDescent="0.25">
      <c r="B11" s="286">
        <f>Folha1!B510</f>
        <v>507</v>
      </c>
      <c r="C11" s="287">
        <f>Folha1!C510</f>
        <v>0</v>
      </c>
      <c r="E11" s="286">
        <f>Folha1!B11</f>
        <v>8</v>
      </c>
      <c r="F11" s="287">
        <f>Folha1!C11</f>
        <v>0</v>
      </c>
    </row>
    <row r="12" spans="2:11" x14ac:dyDescent="0.25">
      <c r="B12" s="286">
        <f>Folha1!B511</f>
        <v>508</v>
      </c>
      <c r="C12" s="287">
        <f>Folha1!C511</f>
        <v>0</v>
      </c>
      <c r="E12" s="286">
        <f>Folha1!B12</f>
        <v>9</v>
      </c>
      <c r="F12" s="287">
        <f>Folha1!C12</f>
        <v>0</v>
      </c>
    </row>
    <row r="13" spans="2:11" x14ac:dyDescent="0.25">
      <c r="B13" s="286">
        <f>Folha1!B512</f>
        <v>509</v>
      </c>
      <c r="C13" s="287">
        <f>Folha1!C512</f>
        <v>0</v>
      </c>
      <c r="E13" s="286">
        <f>Folha1!B13</f>
        <v>10</v>
      </c>
      <c r="F13" s="287">
        <f>Folha1!C13</f>
        <v>0</v>
      </c>
    </row>
    <row r="14" spans="2:11" x14ac:dyDescent="0.25">
      <c r="B14" s="286">
        <f>Folha1!B513</f>
        <v>510</v>
      </c>
      <c r="C14" s="287">
        <f>Folha1!C513</f>
        <v>0</v>
      </c>
      <c r="E14" s="286">
        <f>Folha1!B14</f>
        <v>11</v>
      </c>
      <c r="F14" s="287">
        <f>Folha1!C14</f>
        <v>0</v>
      </c>
    </row>
    <row r="15" spans="2:11" x14ac:dyDescent="0.25">
      <c r="B15" s="286">
        <f>Folha1!B514</f>
        <v>511</v>
      </c>
      <c r="C15" s="287">
        <f>Folha1!C514</f>
        <v>1317</v>
      </c>
      <c r="E15" s="286">
        <f>Folha1!B15</f>
        <v>12</v>
      </c>
      <c r="F15" s="287">
        <f>Folha1!C15</f>
        <v>0</v>
      </c>
    </row>
    <row r="16" spans="2:11" x14ac:dyDescent="0.25">
      <c r="B16" s="286">
        <f>Folha1!B515</f>
        <v>512</v>
      </c>
      <c r="C16" s="287">
        <f>Folha1!C515</f>
        <v>1285.8</v>
      </c>
      <c r="E16" s="286">
        <f>Folha1!B16</f>
        <v>13</v>
      </c>
      <c r="F16" s="287">
        <f>Folha1!C16</f>
        <v>0</v>
      </c>
    </row>
    <row r="17" spans="2:6" x14ac:dyDescent="0.25">
      <c r="B17" s="286">
        <f>Folha1!B516</f>
        <v>513</v>
      </c>
      <c r="C17" s="287">
        <f>Folha1!C516</f>
        <v>1305.4000000000001</v>
      </c>
      <c r="E17" s="286">
        <f>Folha1!B17</f>
        <v>14</v>
      </c>
      <c r="F17" s="287">
        <f>Folha1!C17</f>
        <v>0</v>
      </c>
    </row>
    <row r="18" spans="2:6" x14ac:dyDescent="0.25">
      <c r="B18" s="286">
        <f>Folha1!B517</f>
        <v>514</v>
      </c>
      <c r="C18" s="287">
        <f>Folha1!C517</f>
        <v>1311.3</v>
      </c>
      <c r="E18" s="286">
        <f>Folha1!B18</f>
        <v>15</v>
      </c>
      <c r="F18" s="287">
        <f>Folha1!C18</f>
        <v>0</v>
      </c>
    </row>
    <row r="19" spans="2:6" x14ac:dyDescent="0.25">
      <c r="B19" s="286">
        <f>Folha1!B518</f>
        <v>515</v>
      </c>
      <c r="C19" s="287">
        <f>Folha1!C518</f>
        <v>0</v>
      </c>
      <c r="E19" s="286">
        <f>Folha1!B19</f>
        <v>16</v>
      </c>
      <c r="F19" s="287">
        <f>Folha1!C19</f>
        <v>0</v>
      </c>
    </row>
    <row r="20" spans="2:6" x14ac:dyDescent="0.25">
      <c r="B20" s="286">
        <f>Folha1!B519</f>
        <v>516</v>
      </c>
      <c r="C20" s="287">
        <f>Folha1!C519</f>
        <v>0</v>
      </c>
      <c r="E20" s="286">
        <f>Folha1!B20</f>
        <v>17</v>
      </c>
      <c r="F20" s="287">
        <f>Folha1!C20</f>
        <v>0</v>
      </c>
    </row>
    <row r="21" spans="2:6" x14ac:dyDescent="0.25">
      <c r="B21" s="286">
        <f>Folha1!B520</f>
        <v>517</v>
      </c>
      <c r="C21" s="287">
        <f>Folha1!C520</f>
        <v>0</v>
      </c>
      <c r="E21" s="286">
        <f>Folha1!B21</f>
        <v>18</v>
      </c>
      <c r="F21" s="287">
        <f>Folha1!C21</f>
        <v>0</v>
      </c>
    </row>
    <row r="22" spans="2:6" x14ac:dyDescent="0.25">
      <c r="B22" s="286">
        <f>Folha1!B521</f>
        <v>518</v>
      </c>
      <c r="C22" s="287">
        <f>Folha1!C521</f>
        <v>0</v>
      </c>
      <c r="E22" s="286">
        <f>Folha1!B22</f>
        <v>19</v>
      </c>
      <c r="F22" s="287">
        <f>Folha1!C22</f>
        <v>0</v>
      </c>
    </row>
    <row r="23" spans="2:6" x14ac:dyDescent="0.25">
      <c r="B23" s="286">
        <f>Folha1!B522</f>
        <v>519</v>
      </c>
      <c r="C23" s="287">
        <f>Folha1!C522</f>
        <v>0</v>
      </c>
      <c r="E23" s="286">
        <f>Folha1!B34</f>
        <v>31</v>
      </c>
      <c r="F23" s="287">
        <f>Folha1!C34</f>
        <v>0</v>
      </c>
    </row>
    <row r="24" spans="2:6" x14ac:dyDescent="0.25">
      <c r="B24" s="286">
        <f>Folha1!B523</f>
        <v>520</v>
      </c>
      <c r="C24" s="287">
        <f>Folha1!C523</f>
        <v>0</v>
      </c>
      <c r="E24" s="286">
        <f>Folha1!B35</f>
        <v>32</v>
      </c>
      <c r="F24" s="287">
        <f>Folha1!C35</f>
        <v>0</v>
      </c>
    </row>
    <row r="25" spans="2:6" x14ac:dyDescent="0.25">
      <c r="B25" s="286">
        <f>Folha1!B524</f>
        <v>521</v>
      </c>
      <c r="C25" s="287">
        <f>Folha1!C524</f>
        <v>0</v>
      </c>
      <c r="E25" s="286">
        <f>Folha1!B36</f>
        <v>33</v>
      </c>
      <c r="F25" s="287">
        <f>Folha1!C36</f>
        <v>0</v>
      </c>
    </row>
    <row r="26" spans="2:6" x14ac:dyDescent="0.25">
      <c r="B26" s="286">
        <f>Folha1!B525</f>
        <v>522</v>
      </c>
      <c r="C26" s="287">
        <f>Folha1!C525</f>
        <v>0</v>
      </c>
      <c r="E26" s="286">
        <f>Folha1!B37</f>
        <v>34</v>
      </c>
      <c r="F26" s="287">
        <f>Folha1!C37</f>
        <v>0</v>
      </c>
    </row>
    <row r="27" spans="2:6" x14ac:dyDescent="0.25">
      <c r="B27" s="286">
        <f>Folha1!B526</f>
        <v>523</v>
      </c>
      <c r="C27" s="287">
        <f>Folha1!C526</f>
        <v>0</v>
      </c>
      <c r="E27" s="286">
        <f>Folha1!B38</f>
        <v>35</v>
      </c>
      <c r="F27" s="287">
        <f>Folha1!C38</f>
        <v>0</v>
      </c>
    </row>
    <row r="28" spans="2:6" x14ac:dyDescent="0.25">
      <c r="B28" s="286">
        <f>Folha1!B527</f>
        <v>524</v>
      </c>
      <c r="C28" s="287">
        <f>Folha1!C527</f>
        <v>0</v>
      </c>
      <c r="E28" s="286">
        <f>Folha1!B39</f>
        <v>36</v>
      </c>
      <c r="F28" s="287">
        <f>Folha1!C39</f>
        <v>0</v>
      </c>
    </row>
    <row r="29" spans="2:6" x14ac:dyDescent="0.25">
      <c r="B29" s="286">
        <f>Folha1!B528</f>
        <v>525</v>
      </c>
      <c r="C29" s="287">
        <f>Folha1!C528</f>
        <v>0</v>
      </c>
      <c r="E29" s="286">
        <f>Folha1!B40</f>
        <v>37</v>
      </c>
      <c r="F29" s="287">
        <f>Folha1!C40</f>
        <v>0</v>
      </c>
    </row>
    <row r="30" spans="2:6" x14ac:dyDescent="0.25">
      <c r="B30" s="286">
        <f>Folha1!B529</f>
        <v>526</v>
      </c>
      <c r="C30" s="287">
        <f>Folha1!C529</f>
        <v>0</v>
      </c>
      <c r="E30" s="286">
        <f>Folha1!B41</f>
        <v>38</v>
      </c>
      <c r="F30" s="287">
        <f>Folha1!C41</f>
        <v>0</v>
      </c>
    </row>
    <row r="31" spans="2:6" x14ac:dyDescent="0.25">
      <c r="B31" s="286">
        <f>Folha1!B530</f>
        <v>527</v>
      </c>
      <c r="C31" s="287">
        <f>Folha1!C530</f>
        <v>0</v>
      </c>
      <c r="E31" s="286">
        <f>Folha1!B42</f>
        <v>39</v>
      </c>
      <c r="F31" s="287">
        <f>Folha1!C42</f>
        <v>0</v>
      </c>
    </row>
    <row r="32" spans="2:6" ht="13.8" thickBot="1" x14ac:dyDescent="0.3">
      <c r="B32" s="286">
        <f>Folha1!B531</f>
        <v>528</v>
      </c>
      <c r="C32" s="287">
        <f>Folha1!C531</f>
        <v>0</v>
      </c>
      <c r="E32" s="288">
        <f>Folha1!B43</f>
        <v>40</v>
      </c>
      <c r="F32" s="289">
        <f>Folha1!C43</f>
        <v>0</v>
      </c>
    </row>
    <row r="33" spans="2:3" ht="13.8" thickTop="1" x14ac:dyDescent="0.25">
      <c r="B33" s="286">
        <f>Folha1!B532</f>
        <v>529</v>
      </c>
      <c r="C33" s="287">
        <f>Folha1!C532</f>
        <v>0</v>
      </c>
    </row>
    <row r="34" spans="2:3" x14ac:dyDescent="0.25">
      <c r="B34" s="286">
        <f>Folha1!B533</f>
        <v>530</v>
      </c>
      <c r="C34" s="287">
        <f>Folha1!C533</f>
        <v>0</v>
      </c>
    </row>
    <row r="35" spans="2:3" x14ac:dyDescent="0.25">
      <c r="B35" s="286">
        <f>Folha1!B534</f>
        <v>531</v>
      </c>
      <c r="C35" s="287">
        <f>Folha1!C534</f>
        <v>0</v>
      </c>
    </row>
    <row r="36" spans="2:3" x14ac:dyDescent="0.25">
      <c r="B36" s="286">
        <f>Folha1!B535</f>
        <v>532</v>
      </c>
      <c r="C36" s="287">
        <f>Folha1!C535</f>
        <v>0</v>
      </c>
    </row>
    <row r="37" spans="2:3" x14ac:dyDescent="0.25">
      <c r="B37" s="286">
        <f>Folha1!B536</f>
        <v>533</v>
      </c>
      <c r="C37" s="287">
        <f>Folha1!C536</f>
        <v>0</v>
      </c>
    </row>
    <row r="38" spans="2:3" x14ac:dyDescent="0.25">
      <c r="B38" s="286">
        <f>Folha1!B537</f>
        <v>534</v>
      </c>
      <c r="C38" s="287">
        <f>Folha1!C537</f>
        <v>0</v>
      </c>
    </row>
    <row r="39" spans="2:3" x14ac:dyDescent="0.25">
      <c r="B39" s="286">
        <f>Folha1!B538</f>
        <v>535</v>
      </c>
      <c r="C39" s="287">
        <f>Folha1!C538</f>
        <v>0</v>
      </c>
    </row>
    <row r="40" spans="2:3" x14ac:dyDescent="0.25">
      <c r="B40" s="286">
        <f>Folha1!B539</f>
        <v>536</v>
      </c>
      <c r="C40" s="287">
        <f>Folha1!C539</f>
        <v>0</v>
      </c>
    </row>
    <row r="41" spans="2:3" x14ac:dyDescent="0.25">
      <c r="B41" s="286">
        <f>Folha1!B540</f>
        <v>537</v>
      </c>
      <c r="C41" s="287">
        <f>Folha1!C540</f>
        <v>0</v>
      </c>
    </row>
    <row r="42" spans="2:3" x14ac:dyDescent="0.25">
      <c r="B42" s="286">
        <f>Folha1!B541</f>
        <v>538</v>
      </c>
      <c r="C42" s="287">
        <f>Folha1!C541</f>
        <v>0</v>
      </c>
    </row>
    <row r="43" spans="2:3" x14ac:dyDescent="0.25">
      <c r="B43" s="286">
        <f>Folha1!B542</f>
        <v>539</v>
      </c>
      <c r="C43" s="287">
        <f>Folha1!C542</f>
        <v>0</v>
      </c>
    </row>
    <row r="44" spans="2:3" x14ac:dyDescent="0.25">
      <c r="B44" s="286">
        <f>Folha1!B543</f>
        <v>540</v>
      </c>
      <c r="C44" s="287">
        <f>Folha1!C543</f>
        <v>0</v>
      </c>
    </row>
    <row r="45" spans="2:3" x14ac:dyDescent="0.25">
      <c r="B45" s="286">
        <f>Folha1!B544</f>
        <v>541</v>
      </c>
      <c r="C45" s="287">
        <f>Folha1!C544</f>
        <v>0</v>
      </c>
    </row>
    <row r="46" spans="2:3" x14ac:dyDescent="0.25">
      <c r="B46" s="286">
        <f>Folha1!B545</f>
        <v>542</v>
      </c>
      <c r="C46" s="287">
        <f>Folha1!C545</f>
        <v>0</v>
      </c>
    </row>
    <row r="47" spans="2:3" x14ac:dyDescent="0.25">
      <c r="B47" s="286">
        <f>Folha1!B546</f>
        <v>543</v>
      </c>
      <c r="C47" s="287">
        <f>Folha1!C546</f>
        <v>0</v>
      </c>
    </row>
    <row r="48" spans="2:3" x14ac:dyDescent="0.25">
      <c r="B48" s="286">
        <f>Folha1!B547</f>
        <v>544</v>
      </c>
      <c r="C48" s="287">
        <f>Folha1!C547</f>
        <v>0</v>
      </c>
    </row>
    <row r="49" spans="2:3" x14ac:dyDescent="0.25">
      <c r="B49" s="286">
        <f>Folha1!B548</f>
        <v>545</v>
      </c>
      <c r="C49" s="287">
        <f>Folha1!C548</f>
        <v>0</v>
      </c>
    </row>
    <row r="50" spans="2:3" x14ac:dyDescent="0.25">
      <c r="B50" s="286">
        <f>Folha1!B549</f>
        <v>546</v>
      </c>
      <c r="C50" s="287">
        <f>Folha1!C549</f>
        <v>0</v>
      </c>
    </row>
    <row r="51" spans="2:3" x14ac:dyDescent="0.25">
      <c r="B51" s="286">
        <f>Folha1!B550</f>
        <v>547</v>
      </c>
      <c r="C51" s="287">
        <f>Folha1!C550</f>
        <v>0</v>
      </c>
    </row>
    <row r="52" spans="2:3" x14ac:dyDescent="0.25">
      <c r="B52" s="286">
        <f>Folha1!B551</f>
        <v>548</v>
      </c>
      <c r="C52" s="287">
        <f>Folha1!C551</f>
        <v>0</v>
      </c>
    </row>
    <row r="53" spans="2:3" x14ac:dyDescent="0.25">
      <c r="B53" s="286">
        <f>Folha1!B552</f>
        <v>549</v>
      </c>
      <c r="C53" s="287">
        <f>Folha1!C552</f>
        <v>0</v>
      </c>
    </row>
    <row r="54" spans="2:3" x14ac:dyDescent="0.25">
      <c r="B54" s="286">
        <f>Folha1!B553</f>
        <v>550</v>
      </c>
      <c r="C54" s="287">
        <f>Folha1!C553</f>
        <v>0</v>
      </c>
    </row>
    <row r="55" spans="2:3" x14ac:dyDescent="0.25">
      <c r="B55" s="286">
        <f>Folha1!B554</f>
        <v>551</v>
      </c>
      <c r="C55" s="287">
        <f>Folha1!C554</f>
        <v>0</v>
      </c>
    </row>
    <row r="56" spans="2:3" x14ac:dyDescent="0.25">
      <c r="B56" s="286">
        <f>Folha1!B555</f>
        <v>552</v>
      </c>
      <c r="C56" s="287">
        <f>Folha1!C555</f>
        <v>0</v>
      </c>
    </row>
    <row r="57" spans="2:3" x14ac:dyDescent="0.25">
      <c r="B57" s="286">
        <f>Folha1!B556</f>
        <v>553</v>
      </c>
      <c r="C57" s="287">
        <f>Folha1!C556</f>
        <v>0</v>
      </c>
    </row>
    <row r="58" spans="2:3" ht="13.8" thickBot="1" x14ac:dyDescent="0.3">
      <c r="B58" s="288">
        <f>Folha1!B557</f>
        <v>554</v>
      </c>
      <c r="C58" s="289">
        <f>Folha1!C557</f>
        <v>0</v>
      </c>
    </row>
    <row r="59" spans="2:3" ht="13.8" thickTop="1" x14ac:dyDescent="0.25"/>
  </sheetData>
  <mergeCells count="3">
    <mergeCell ref="B1:C1"/>
    <mergeCell ref="E1:F1"/>
    <mergeCell ref="H1:K1"/>
  </mergeCells>
  <phoneticPr fontId="0" type="noConversion"/>
  <printOptions horizontalCentered="1" verticalCentered="1"/>
  <pageMargins left="0.75" right="0.75" top="0.51" bottom="0.81" header="0" footer="0"/>
  <pageSetup paperSize="9" orientation="portrait" horizontalDpi="300" verticalDpi="300" r:id="rId1"/>
  <headerFooter alignWithMargins="0">
    <oddHeader>&amp;C&amp;16Taras dos Tabuleiros - Cápsulas - Moldes</oddHeader>
    <oddFooter>&amp;RA2 Lote K: Ribeiro da Vinha / Barranco do Carvalhal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lha6"/>
  <dimension ref="A1:Q33"/>
  <sheetViews>
    <sheetView workbookViewId="0">
      <selection activeCell="N27" sqref="N27"/>
    </sheetView>
  </sheetViews>
  <sheetFormatPr baseColWidth="10" defaultColWidth="11.44140625" defaultRowHeight="13.2" x14ac:dyDescent="0.25"/>
  <cols>
    <col min="3" max="3" width="41.6640625" customWidth="1"/>
    <col min="13" max="14" width="12.33203125" bestFit="1" customWidth="1"/>
  </cols>
  <sheetData>
    <row r="1" spans="1:17" ht="50.25" customHeight="1" x14ac:dyDescent="0.25">
      <c r="A1" s="246" t="s">
        <v>383</v>
      </c>
      <c r="B1" s="246" t="s">
        <v>388</v>
      </c>
      <c r="C1" s="404" t="s">
        <v>384</v>
      </c>
      <c r="D1" s="404" t="s">
        <v>387</v>
      </c>
    </row>
    <row r="2" spans="1:17" ht="13.8" thickBot="1" x14ac:dyDescent="0.3">
      <c r="A2" s="246"/>
      <c r="B2" s="246" t="s">
        <v>389</v>
      </c>
      <c r="C2" s="403" t="s">
        <v>385</v>
      </c>
      <c r="D2" s="246" t="s">
        <v>386</v>
      </c>
      <c r="N2">
        <f>Q5/Q4*Q6*(LN(MAX(J3:J32)/MIN(J3:J32)))*(1/((MAX(G3:G32)-(MIN(G3:G32)))))</f>
        <v>7.7898269200969871E-5</v>
      </c>
    </row>
    <row r="3" spans="1:17" ht="14.4" thickTop="1" thickBot="1" x14ac:dyDescent="0.3">
      <c r="A3">
        <v>1</v>
      </c>
      <c r="B3">
        <v>3.7999999999999999E-2</v>
      </c>
      <c r="C3">
        <f>PI()*(B3*B3/4)</f>
        <v>1.1341149479459152E-3</v>
      </c>
      <c r="F3" s="411">
        <v>0</v>
      </c>
      <c r="G3" s="412">
        <f>F3/10</f>
        <v>0</v>
      </c>
      <c r="H3" s="413">
        <f>(F3/10)/60</f>
        <v>0</v>
      </c>
      <c r="I3" s="411">
        <v>1600</v>
      </c>
      <c r="J3" s="414">
        <f>IF(I3=0,"",I3/1000)</f>
        <v>1.6</v>
      </c>
      <c r="K3" s="411">
        <v>228</v>
      </c>
      <c r="L3" s="414">
        <f>K3/10</f>
        <v>22.8</v>
      </c>
      <c r="M3" t="str">
        <f>IFERROR($AA$20/$AA$19*$AA$21*(LN(J3/J2))*(1/((H2-H3))),"")</f>
        <v/>
      </c>
      <c r="P3" t="s">
        <v>427</v>
      </c>
      <c r="Q3">
        <v>0.7400000000000001</v>
      </c>
    </row>
    <row r="4" spans="1:17" ht="14.4" thickTop="1" thickBot="1" x14ac:dyDescent="0.3">
      <c r="F4" s="415">
        <v>50</v>
      </c>
      <c r="G4" s="416">
        <f t="shared" ref="G4:G32" si="0">F4/10</f>
        <v>5</v>
      </c>
      <c r="H4" s="417">
        <f t="shared" ref="H4:H32" si="1">(F4/10)/60</f>
        <v>8.3333333333333329E-2</v>
      </c>
      <c r="I4" s="415">
        <v>1530</v>
      </c>
      <c r="J4" s="414">
        <f t="shared" ref="J4:J32" si="2">IF(I4=0,"",I4/1000)</f>
        <v>1.53</v>
      </c>
      <c r="K4" s="411">
        <v>228</v>
      </c>
      <c r="L4" s="418">
        <f t="shared" ref="L4:L32" si="3">K4/10</f>
        <v>22.8</v>
      </c>
      <c r="M4" s="423">
        <f>IFERROR($Q$5/$Q$4*$Q$6*(LN(J4/J3))*(1/((G3-G4))),"")</f>
        <v>6.1745648008707578E-5</v>
      </c>
      <c r="N4" s="423">
        <f>AVERAGE(M3:M32)</f>
        <v>7.7898269200969898E-5</v>
      </c>
      <c r="P4" t="s">
        <v>294</v>
      </c>
      <c r="Q4">
        <v>1.8241469247509919E-2</v>
      </c>
    </row>
    <row r="5" spans="1:17" ht="14.4" thickTop="1" thickBot="1" x14ac:dyDescent="0.3">
      <c r="F5" s="415">
        <v>100</v>
      </c>
      <c r="G5" s="416">
        <f t="shared" si="0"/>
        <v>10</v>
      </c>
      <c r="H5" s="417">
        <f t="shared" si="1"/>
        <v>0.16666666666666666</v>
      </c>
      <c r="I5" s="415">
        <v>1460</v>
      </c>
      <c r="J5" s="414">
        <f t="shared" si="2"/>
        <v>1.46</v>
      </c>
      <c r="K5" s="411">
        <v>228</v>
      </c>
      <c r="L5" s="418">
        <f t="shared" si="3"/>
        <v>22.8</v>
      </c>
      <c r="M5" s="423">
        <f t="shared" ref="M5:M32" si="4">IFERROR($Q$5/$Q$4*$Q$6*(LN(J5/J4))*(1/((G4-G5))),"")</f>
        <v>6.4637781829883194E-5</v>
      </c>
      <c r="P5" t="s">
        <v>385</v>
      </c>
      <c r="Q5">
        <v>1.1341149479459152E-3</v>
      </c>
    </row>
    <row r="6" spans="1:17" ht="14.4" thickTop="1" thickBot="1" x14ac:dyDescent="0.3">
      <c r="F6" s="415">
        <v>150</v>
      </c>
      <c r="G6" s="416">
        <f t="shared" si="0"/>
        <v>15</v>
      </c>
      <c r="H6" s="417">
        <f t="shared" si="1"/>
        <v>0.25</v>
      </c>
      <c r="I6" s="415">
        <v>1385</v>
      </c>
      <c r="J6" s="414">
        <f t="shared" si="2"/>
        <v>1.385</v>
      </c>
      <c r="K6" s="411">
        <v>228</v>
      </c>
      <c r="L6" s="418">
        <f t="shared" si="3"/>
        <v>22.8</v>
      </c>
      <c r="M6" s="423">
        <f t="shared" si="4"/>
        <v>7.2788011940516957E-5</v>
      </c>
      <c r="P6" t="s">
        <v>428</v>
      </c>
      <c r="Q6">
        <v>0.111</v>
      </c>
    </row>
    <row r="7" spans="1:17" ht="14.4" thickTop="1" thickBot="1" x14ac:dyDescent="0.3">
      <c r="F7" s="415">
        <v>200</v>
      </c>
      <c r="G7" s="416">
        <f t="shared" si="0"/>
        <v>20</v>
      </c>
      <c r="H7" s="417">
        <f t="shared" si="1"/>
        <v>0.33333333333333331</v>
      </c>
      <c r="I7" s="415">
        <v>1315</v>
      </c>
      <c r="J7" s="414">
        <f t="shared" si="2"/>
        <v>1.3149999999999999</v>
      </c>
      <c r="K7" s="411">
        <v>228</v>
      </c>
      <c r="L7" s="418">
        <f t="shared" si="3"/>
        <v>22.8</v>
      </c>
      <c r="M7" s="423">
        <f t="shared" si="4"/>
        <v>7.1583320142381215E-5</v>
      </c>
      <c r="P7" t="s">
        <v>429</v>
      </c>
      <c r="Q7">
        <v>0</v>
      </c>
    </row>
    <row r="8" spans="1:17" ht="14.4" thickTop="1" thickBot="1" x14ac:dyDescent="0.3">
      <c r="F8" s="415">
        <v>250</v>
      </c>
      <c r="G8" s="416">
        <f t="shared" si="0"/>
        <v>25</v>
      </c>
      <c r="H8" s="417">
        <f t="shared" si="1"/>
        <v>0.41666666666666669</v>
      </c>
      <c r="I8" s="415">
        <v>1240</v>
      </c>
      <c r="J8" s="414">
        <f t="shared" si="2"/>
        <v>1.24</v>
      </c>
      <c r="K8" s="411">
        <v>228</v>
      </c>
      <c r="L8" s="418">
        <f t="shared" si="3"/>
        <v>22.8</v>
      </c>
      <c r="M8" s="423">
        <f t="shared" si="4"/>
        <v>8.1054172119860018E-5</v>
      </c>
      <c r="P8" t="s">
        <v>430</v>
      </c>
      <c r="Q8">
        <v>22.8</v>
      </c>
    </row>
    <row r="9" spans="1:17" ht="14.4" thickTop="1" thickBot="1" x14ac:dyDescent="0.3">
      <c r="F9" s="415">
        <v>300</v>
      </c>
      <c r="G9" s="416">
        <f t="shared" si="0"/>
        <v>30</v>
      </c>
      <c r="H9" s="417">
        <f t="shared" si="1"/>
        <v>0.5</v>
      </c>
      <c r="I9" s="415">
        <v>1180</v>
      </c>
      <c r="J9" s="414">
        <f t="shared" si="2"/>
        <v>1.18</v>
      </c>
      <c r="K9" s="411">
        <v>228</v>
      </c>
      <c r="L9" s="418">
        <f t="shared" si="3"/>
        <v>22.8</v>
      </c>
      <c r="M9" s="423">
        <f t="shared" si="4"/>
        <v>6.8454992332506062E-5</v>
      </c>
      <c r="P9" t="s">
        <v>431</v>
      </c>
    </row>
    <row r="10" spans="1:17" ht="14.4" thickTop="1" thickBot="1" x14ac:dyDescent="0.3">
      <c r="F10" s="415">
        <v>350</v>
      </c>
      <c r="G10" s="416">
        <f t="shared" si="0"/>
        <v>35</v>
      </c>
      <c r="H10" s="417">
        <f t="shared" si="1"/>
        <v>0.58333333333333337</v>
      </c>
      <c r="I10" s="415">
        <v>1100</v>
      </c>
      <c r="J10" s="414">
        <f t="shared" si="2"/>
        <v>1.1000000000000001</v>
      </c>
      <c r="K10" s="411">
        <v>228</v>
      </c>
      <c r="L10" s="418">
        <f t="shared" si="3"/>
        <v>22.8</v>
      </c>
      <c r="M10" s="423">
        <f t="shared" si="4"/>
        <v>9.6897749715685994E-5</v>
      </c>
      <c r="P10" t="s">
        <v>326</v>
      </c>
      <c r="Q10">
        <v>15.24</v>
      </c>
    </row>
    <row r="11" spans="1:17" ht="14.4" thickTop="1" thickBot="1" x14ac:dyDescent="0.3">
      <c r="F11" s="415">
        <v>400</v>
      </c>
      <c r="G11" s="416">
        <f t="shared" si="0"/>
        <v>40</v>
      </c>
      <c r="H11" s="417">
        <f t="shared" si="1"/>
        <v>0.66666666666666663</v>
      </c>
      <c r="I11" s="415">
        <v>1050</v>
      </c>
      <c r="J11" s="414">
        <f t="shared" si="2"/>
        <v>1.05</v>
      </c>
      <c r="K11" s="411">
        <v>228</v>
      </c>
      <c r="L11" s="418">
        <f t="shared" si="3"/>
        <v>22.8</v>
      </c>
      <c r="M11" s="423">
        <f t="shared" si="4"/>
        <v>6.4208139462589635E-5</v>
      </c>
    </row>
    <row r="12" spans="1:17" ht="14.4" thickTop="1" thickBot="1" x14ac:dyDescent="0.3">
      <c r="F12" s="415">
        <v>450</v>
      </c>
      <c r="G12" s="416">
        <f t="shared" si="0"/>
        <v>45</v>
      </c>
      <c r="H12" s="417">
        <f t="shared" si="1"/>
        <v>0.75</v>
      </c>
      <c r="I12" s="415">
        <v>985</v>
      </c>
      <c r="J12" s="414">
        <f t="shared" si="2"/>
        <v>0.98499999999999999</v>
      </c>
      <c r="K12" s="411">
        <v>228</v>
      </c>
      <c r="L12" s="418">
        <f t="shared" si="3"/>
        <v>22.8</v>
      </c>
      <c r="M12" s="423">
        <f t="shared" si="4"/>
        <v>8.8201694984181361E-5</v>
      </c>
    </row>
    <row r="13" spans="1:17" ht="14.4" thickTop="1" thickBot="1" x14ac:dyDescent="0.3">
      <c r="F13" s="415">
        <v>500</v>
      </c>
      <c r="G13" s="416">
        <f t="shared" si="0"/>
        <v>50</v>
      </c>
      <c r="H13" s="417">
        <f t="shared" si="1"/>
        <v>0.83333333333333337</v>
      </c>
      <c r="I13" s="415">
        <v>930</v>
      </c>
      <c r="J13" s="414">
        <f t="shared" si="2"/>
        <v>0.93</v>
      </c>
      <c r="K13" s="411">
        <v>228</v>
      </c>
      <c r="L13" s="418">
        <f t="shared" si="3"/>
        <v>22.8</v>
      </c>
      <c r="M13" s="423">
        <f t="shared" si="4"/>
        <v>7.9303726617281774E-5</v>
      </c>
      <c r="P13" t="s">
        <v>304</v>
      </c>
      <c r="Q13">
        <v>0.84185881999125078</v>
      </c>
    </row>
    <row r="14" spans="1:17" ht="14.4" thickTop="1" thickBot="1" x14ac:dyDescent="0.3">
      <c r="F14" s="415">
        <v>550</v>
      </c>
      <c r="G14" s="416">
        <f t="shared" si="0"/>
        <v>55</v>
      </c>
      <c r="H14" s="417">
        <f t="shared" si="1"/>
        <v>0.91666666666666663</v>
      </c>
      <c r="I14" s="415">
        <v>860</v>
      </c>
      <c r="J14" s="414">
        <f t="shared" si="2"/>
        <v>0.86</v>
      </c>
      <c r="K14" s="411">
        <v>228</v>
      </c>
      <c r="L14" s="418">
        <f t="shared" si="3"/>
        <v>22.8</v>
      </c>
      <c r="M14" s="423">
        <f t="shared" si="4"/>
        <v>1.0800572405707499E-4</v>
      </c>
      <c r="P14" t="s">
        <v>432</v>
      </c>
      <c r="Q14" t="s">
        <v>26</v>
      </c>
    </row>
    <row r="15" spans="1:17" ht="14.4" thickTop="1" thickBot="1" x14ac:dyDescent="0.3">
      <c r="F15" s="415">
        <v>0</v>
      </c>
      <c r="G15" s="416">
        <f t="shared" si="0"/>
        <v>0</v>
      </c>
      <c r="H15" s="417">
        <f t="shared" si="1"/>
        <v>0</v>
      </c>
      <c r="I15" s="415">
        <v>0</v>
      </c>
      <c r="J15" s="414" t="str">
        <f t="shared" si="2"/>
        <v/>
      </c>
      <c r="K15" s="411">
        <v>228</v>
      </c>
      <c r="L15" s="418">
        <f t="shared" si="3"/>
        <v>22.8</v>
      </c>
      <c r="M15" s="423" t="str">
        <f t="shared" si="4"/>
        <v/>
      </c>
      <c r="P15" t="s">
        <v>433</v>
      </c>
      <c r="Q15" t="e">
        <v>#VALUE!</v>
      </c>
    </row>
    <row r="16" spans="1:17" ht="14.4" thickTop="1" thickBot="1" x14ac:dyDescent="0.3">
      <c r="F16" s="415">
        <v>0</v>
      </c>
      <c r="G16" s="416">
        <f t="shared" si="0"/>
        <v>0</v>
      </c>
      <c r="H16" s="417">
        <f t="shared" si="1"/>
        <v>0</v>
      </c>
      <c r="I16" s="415">
        <v>0</v>
      </c>
      <c r="J16" s="414" t="str">
        <f t="shared" si="2"/>
        <v/>
      </c>
      <c r="K16" s="411">
        <v>228</v>
      </c>
      <c r="L16" s="418">
        <f t="shared" si="3"/>
        <v>22.8</v>
      </c>
      <c r="M16" s="423" t="str">
        <f t="shared" si="4"/>
        <v/>
      </c>
      <c r="P16" t="s">
        <v>434</v>
      </c>
      <c r="Q16" t="s">
        <v>26</v>
      </c>
    </row>
    <row r="17" spans="6:17" ht="14.4" thickTop="1" thickBot="1" x14ac:dyDescent="0.3">
      <c r="F17" s="415">
        <v>0</v>
      </c>
      <c r="G17" s="416">
        <f t="shared" si="0"/>
        <v>0</v>
      </c>
      <c r="H17" s="417">
        <f t="shared" si="1"/>
        <v>0</v>
      </c>
      <c r="I17" s="415">
        <v>0</v>
      </c>
      <c r="J17" s="414" t="str">
        <f t="shared" si="2"/>
        <v/>
      </c>
      <c r="K17" s="411">
        <v>228</v>
      </c>
      <c r="L17" s="418">
        <f t="shared" si="3"/>
        <v>22.8</v>
      </c>
      <c r="M17" s="423" t="str">
        <f t="shared" si="4"/>
        <v/>
      </c>
      <c r="P17" t="s">
        <v>435</v>
      </c>
      <c r="Q17">
        <v>2.7</v>
      </c>
    </row>
    <row r="18" spans="6:17" ht="14.4" thickTop="1" thickBot="1" x14ac:dyDescent="0.3">
      <c r="F18" s="415">
        <v>0</v>
      </c>
      <c r="G18" s="416">
        <f t="shared" si="0"/>
        <v>0</v>
      </c>
      <c r="H18" s="417">
        <f t="shared" si="1"/>
        <v>0</v>
      </c>
      <c r="I18" s="415">
        <v>0</v>
      </c>
      <c r="J18" s="414" t="str">
        <f t="shared" si="2"/>
        <v/>
      </c>
      <c r="K18" s="411">
        <v>228</v>
      </c>
      <c r="L18" s="418">
        <f t="shared" si="3"/>
        <v>22.8</v>
      </c>
      <c r="M18" s="423" t="str">
        <f t="shared" si="4"/>
        <v/>
      </c>
      <c r="P18" t="s">
        <v>436</v>
      </c>
    </row>
    <row r="19" spans="6:17" ht="14.4" thickTop="1" thickBot="1" x14ac:dyDescent="0.3">
      <c r="F19" s="415">
        <v>0</v>
      </c>
      <c r="G19" s="416">
        <f t="shared" si="0"/>
        <v>0</v>
      </c>
      <c r="H19" s="417">
        <f t="shared" si="1"/>
        <v>0</v>
      </c>
      <c r="I19" s="415">
        <v>0</v>
      </c>
      <c r="J19" s="414" t="str">
        <f t="shared" si="2"/>
        <v/>
      </c>
      <c r="K19" s="411">
        <v>228</v>
      </c>
      <c r="L19" s="418">
        <f t="shared" si="3"/>
        <v>22.8</v>
      </c>
      <c r="M19" s="423" t="str">
        <f t="shared" si="4"/>
        <v/>
      </c>
    </row>
    <row r="20" spans="6:17" ht="14.4" thickTop="1" thickBot="1" x14ac:dyDescent="0.3">
      <c r="F20" s="415">
        <v>0</v>
      </c>
      <c r="G20" s="416">
        <f t="shared" si="0"/>
        <v>0</v>
      </c>
      <c r="H20" s="417">
        <f t="shared" si="1"/>
        <v>0</v>
      </c>
      <c r="I20" s="415">
        <v>0</v>
      </c>
      <c r="J20" s="414" t="str">
        <f t="shared" si="2"/>
        <v/>
      </c>
      <c r="K20" s="411">
        <v>228</v>
      </c>
      <c r="L20" s="418">
        <f t="shared" si="3"/>
        <v>22.8</v>
      </c>
      <c r="M20" s="423" t="str">
        <f t="shared" si="4"/>
        <v/>
      </c>
    </row>
    <row r="21" spans="6:17" ht="14.4" thickTop="1" thickBot="1" x14ac:dyDescent="0.3">
      <c r="F21" s="415">
        <v>0</v>
      </c>
      <c r="G21" s="416">
        <f t="shared" si="0"/>
        <v>0</v>
      </c>
      <c r="H21" s="417">
        <f t="shared" si="1"/>
        <v>0</v>
      </c>
      <c r="I21" s="415">
        <v>0</v>
      </c>
      <c r="J21" s="414" t="str">
        <f t="shared" si="2"/>
        <v/>
      </c>
      <c r="K21" s="411">
        <v>228</v>
      </c>
      <c r="L21" s="418">
        <f t="shared" si="3"/>
        <v>22.8</v>
      </c>
      <c r="M21" s="423" t="str">
        <f t="shared" si="4"/>
        <v/>
      </c>
    </row>
    <row r="22" spans="6:17" ht="14.4" thickTop="1" thickBot="1" x14ac:dyDescent="0.3">
      <c r="F22" s="415">
        <v>0</v>
      </c>
      <c r="G22" s="416">
        <f t="shared" si="0"/>
        <v>0</v>
      </c>
      <c r="H22" s="417">
        <f t="shared" si="1"/>
        <v>0</v>
      </c>
      <c r="I22" s="415">
        <v>0</v>
      </c>
      <c r="J22" s="414" t="str">
        <f t="shared" si="2"/>
        <v/>
      </c>
      <c r="K22" s="411">
        <v>228</v>
      </c>
      <c r="L22" s="418">
        <f t="shared" si="3"/>
        <v>22.8</v>
      </c>
      <c r="M22" s="423" t="str">
        <f t="shared" si="4"/>
        <v/>
      </c>
    </row>
    <row r="23" spans="6:17" ht="14.4" thickTop="1" thickBot="1" x14ac:dyDescent="0.3">
      <c r="F23" s="415">
        <v>0</v>
      </c>
      <c r="G23" s="416">
        <f t="shared" si="0"/>
        <v>0</v>
      </c>
      <c r="H23" s="417">
        <f t="shared" si="1"/>
        <v>0</v>
      </c>
      <c r="I23" s="415">
        <v>0</v>
      </c>
      <c r="J23" s="414" t="str">
        <f t="shared" si="2"/>
        <v/>
      </c>
      <c r="K23" s="411">
        <v>228</v>
      </c>
      <c r="L23" s="418">
        <f t="shared" si="3"/>
        <v>22.8</v>
      </c>
      <c r="M23" s="423" t="str">
        <f t="shared" si="4"/>
        <v/>
      </c>
    </row>
    <row r="24" spans="6:17" ht="14.4" thickTop="1" thickBot="1" x14ac:dyDescent="0.3">
      <c r="F24" s="415">
        <v>0</v>
      </c>
      <c r="G24" s="416">
        <f t="shared" si="0"/>
        <v>0</v>
      </c>
      <c r="H24" s="417">
        <f t="shared" si="1"/>
        <v>0</v>
      </c>
      <c r="I24" s="415">
        <v>0</v>
      </c>
      <c r="J24" s="414" t="str">
        <f t="shared" si="2"/>
        <v/>
      </c>
      <c r="K24" s="411">
        <v>228</v>
      </c>
      <c r="L24" s="418">
        <f t="shared" si="3"/>
        <v>22.8</v>
      </c>
      <c r="M24" s="423" t="str">
        <f t="shared" si="4"/>
        <v/>
      </c>
    </row>
    <row r="25" spans="6:17" ht="14.4" thickTop="1" thickBot="1" x14ac:dyDescent="0.3">
      <c r="F25" s="415">
        <v>0</v>
      </c>
      <c r="G25" s="416">
        <f t="shared" si="0"/>
        <v>0</v>
      </c>
      <c r="H25" s="417">
        <f t="shared" si="1"/>
        <v>0</v>
      </c>
      <c r="I25" s="415">
        <v>0</v>
      </c>
      <c r="J25" s="414" t="str">
        <f t="shared" si="2"/>
        <v/>
      </c>
      <c r="K25" s="411">
        <v>228</v>
      </c>
      <c r="L25" s="418">
        <f t="shared" si="3"/>
        <v>22.8</v>
      </c>
      <c r="M25" s="423" t="str">
        <f t="shared" si="4"/>
        <v/>
      </c>
    </row>
    <row r="26" spans="6:17" ht="14.4" thickTop="1" thickBot="1" x14ac:dyDescent="0.3">
      <c r="F26" s="415">
        <v>0</v>
      </c>
      <c r="G26" s="416">
        <f t="shared" si="0"/>
        <v>0</v>
      </c>
      <c r="H26" s="417">
        <f t="shared" si="1"/>
        <v>0</v>
      </c>
      <c r="I26" s="415">
        <v>0</v>
      </c>
      <c r="J26" s="414" t="str">
        <f t="shared" si="2"/>
        <v/>
      </c>
      <c r="K26" s="411">
        <v>228</v>
      </c>
      <c r="L26" s="418">
        <f t="shared" si="3"/>
        <v>22.8</v>
      </c>
      <c r="M26" s="423" t="str">
        <f t="shared" si="4"/>
        <v/>
      </c>
    </row>
    <row r="27" spans="6:17" ht="14.4" thickTop="1" thickBot="1" x14ac:dyDescent="0.3">
      <c r="F27" s="415">
        <v>0</v>
      </c>
      <c r="G27" s="416">
        <f t="shared" si="0"/>
        <v>0</v>
      </c>
      <c r="H27" s="417">
        <f t="shared" si="1"/>
        <v>0</v>
      </c>
      <c r="I27" s="415">
        <v>0</v>
      </c>
      <c r="J27" s="414" t="str">
        <f t="shared" si="2"/>
        <v/>
      </c>
      <c r="K27" s="411">
        <v>228</v>
      </c>
      <c r="L27" s="418">
        <f t="shared" si="3"/>
        <v>22.8</v>
      </c>
      <c r="M27" s="423" t="str">
        <f t="shared" si="4"/>
        <v/>
      </c>
    </row>
    <row r="28" spans="6:17" ht="14.4" thickTop="1" thickBot="1" x14ac:dyDescent="0.3">
      <c r="F28" s="415">
        <v>0</v>
      </c>
      <c r="G28" s="416">
        <f t="shared" si="0"/>
        <v>0</v>
      </c>
      <c r="H28" s="417">
        <f t="shared" si="1"/>
        <v>0</v>
      </c>
      <c r="I28" s="415">
        <v>0</v>
      </c>
      <c r="J28" s="414" t="str">
        <f t="shared" si="2"/>
        <v/>
      </c>
      <c r="K28" s="411">
        <v>228</v>
      </c>
      <c r="L28" s="418">
        <f t="shared" si="3"/>
        <v>22.8</v>
      </c>
      <c r="M28" s="423" t="str">
        <f t="shared" si="4"/>
        <v/>
      </c>
    </row>
    <row r="29" spans="6:17" ht="14.4" thickTop="1" thickBot="1" x14ac:dyDescent="0.3">
      <c r="F29" s="415">
        <v>0</v>
      </c>
      <c r="G29" s="416">
        <f t="shared" si="0"/>
        <v>0</v>
      </c>
      <c r="H29" s="417">
        <f t="shared" si="1"/>
        <v>0</v>
      </c>
      <c r="I29" s="415">
        <v>0</v>
      </c>
      <c r="J29" s="414" t="str">
        <f t="shared" si="2"/>
        <v/>
      </c>
      <c r="K29" s="411">
        <v>228</v>
      </c>
      <c r="L29" s="418">
        <f t="shared" si="3"/>
        <v>22.8</v>
      </c>
      <c r="M29" s="423" t="str">
        <f t="shared" si="4"/>
        <v/>
      </c>
    </row>
    <row r="30" spans="6:17" ht="14.4" thickTop="1" thickBot="1" x14ac:dyDescent="0.3">
      <c r="F30" s="415">
        <v>0</v>
      </c>
      <c r="G30" s="416">
        <f t="shared" si="0"/>
        <v>0</v>
      </c>
      <c r="H30" s="417">
        <f t="shared" si="1"/>
        <v>0</v>
      </c>
      <c r="I30" s="415">
        <v>0</v>
      </c>
      <c r="J30" s="414" t="str">
        <f t="shared" si="2"/>
        <v/>
      </c>
      <c r="K30" s="411">
        <v>228</v>
      </c>
      <c r="L30" s="418">
        <f t="shared" si="3"/>
        <v>22.8</v>
      </c>
      <c r="M30" s="423" t="str">
        <f t="shared" si="4"/>
        <v/>
      </c>
    </row>
    <row r="31" spans="6:17" ht="14.4" thickTop="1" thickBot="1" x14ac:dyDescent="0.3">
      <c r="F31" s="415">
        <v>0</v>
      </c>
      <c r="G31" s="416">
        <f t="shared" si="0"/>
        <v>0</v>
      </c>
      <c r="H31" s="417">
        <f t="shared" si="1"/>
        <v>0</v>
      </c>
      <c r="I31" s="415">
        <v>0</v>
      </c>
      <c r="J31" s="414" t="str">
        <f t="shared" si="2"/>
        <v/>
      </c>
      <c r="K31" s="411">
        <v>228</v>
      </c>
      <c r="L31" s="418">
        <f t="shared" si="3"/>
        <v>22.8</v>
      </c>
      <c r="M31" s="423" t="str">
        <f t="shared" si="4"/>
        <v/>
      </c>
    </row>
    <row r="32" spans="6:17" ht="14.4" thickTop="1" thickBot="1" x14ac:dyDescent="0.3">
      <c r="F32" s="419">
        <v>0</v>
      </c>
      <c r="G32" s="420">
        <f t="shared" si="0"/>
        <v>0</v>
      </c>
      <c r="H32" s="421">
        <f t="shared" si="1"/>
        <v>0</v>
      </c>
      <c r="I32" s="419">
        <v>0</v>
      </c>
      <c r="J32" s="414" t="str">
        <f t="shared" si="2"/>
        <v/>
      </c>
      <c r="K32" s="411">
        <v>228</v>
      </c>
      <c r="L32" s="422">
        <f t="shared" si="3"/>
        <v>22.8</v>
      </c>
      <c r="M32" s="423" t="str">
        <f t="shared" si="4"/>
        <v/>
      </c>
    </row>
    <row r="33" ht="13.8" thickTop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lha5"/>
  <dimension ref="A2:E42"/>
  <sheetViews>
    <sheetView view="pageBreakPreview" zoomScale="60" zoomScaleNormal="100" workbookViewId="0">
      <selection activeCell="B1" sqref="B1"/>
    </sheetView>
  </sheetViews>
  <sheetFormatPr baseColWidth="10" defaultColWidth="11.44140625" defaultRowHeight="13.2" x14ac:dyDescent="0.25"/>
  <cols>
    <col min="1" max="1" width="11.44140625" customWidth="1"/>
    <col min="2" max="2" width="13.109375" customWidth="1"/>
    <col min="3" max="4" width="11.44140625" customWidth="1"/>
    <col min="5" max="5" width="13" customWidth="1"/>
  </cols>
  <sheetData>
    <row r="2" spans="1:5" ht="13.8" thickBot="1" x14ac:dyDescent="0.3">
      <c r="A2">
        <v>0</v>
      </c>
    </row>
    <row r="3" spans="1:5" ht="18.75" customHeight="1" thickTop="1" x14ac:dyDescent="0.25">
      <c r="A3" s="267">
        <v>1</v>
      </c>
      <c r="B3" s="21"/>
      <c r="D3" s="43">
        <v>41</v>
      </c>
      <c r="E3" s="44"/>
    </row>
    <row r="4" spans="1:5" ht="18.75" customHeight="1" x14ac:dyDescent="0.25">
      <c r="A4" s="266">
        <v>2</v>
      </c>
      <c r="B4" s="44"/>
      <c r="D4" s="43">
        <v>42</v>
      </c>
      <c r="E4" s="44"/>
    </row>
    <row r="5" spans="1:5" ht="18.75" customHeight="1" x14ac:dyDescent="0.25">
      <c r="A5" s="266">
        <v>3</v>
      </c>
      <c r="B5" s="44"/>
      <c r="D5" s="43">
        <v>43</v>
      </c>
      <c r="E5" s="44"/>
    </row>
    <row r="6" spans="1:5" ht="18.75" customHeight="1" x14ac:dyDescent="0.25">
      <c r="A6" s="266">
        <v>4</v>
      </c>
      <c r="B6" s="44"/>
      <c r="D6" s="43">
        <v>44</v>
      </c>
      <c r="E6" s="44"/>
    </row>
    <row r="7" spans="1:5" ht="18.75" customHeight="1" x14ac:dyDescent="0.25">
      <c r="A7" s="266">
        <v>5</v>
      </c>
      <c r="B7" s="44"/>
      <c r="D7" s="43">
        <v>45</v>
      </c>
      <c r="E7" s="44"/>
    </row>
    <row r="8" spans="1:5" ht="18.75" customHeight="1" x14ac:dyDescent="0.25">
      <c r="A8" s="266">
        <v>6</v>
      </c>
      <c r="B8" s="44"/>
      <c r="D8" s="43">
        <v>46</v>
      </c>
      <c r="E8" s="44"/>
    </row>
    <row r="9" spans="1:5" ht="18.75" customHeight="1" x14ac:dyDescent="0.25">
      <c r="A9" s="266">
        <v>7</v>
      </c>
      <c r="B9" s="44"/>
      <c r="D9" s="43">
        <v>47</v>
      </c>
      <c r="E9" s="44"/>
    </row>
    <row r="10" spans="1:5" ht="18.75" customHeight="1" x14ac:dyDescent="0.25">
      <c r="A10" s="266">
        <v>8</v>
      </c>
      <c r="B10" s="44"/>
      <c r="D10" s="43">
        <v>48</v>
      </c>
      <c r="E10" s="44"/>
    </row>
    <row r="11" spans="1:5" ht="18.75" customHeight="1" x14ac:dyDescent="0.25">
      <c r="A11" s="266">
        <v>9</v>
      </c>
      <c r="B11" s="44"/>
      <c r="D11" s="43">
        <v>49</v>
      </c>
      <c r="E11" s="44"/>
    </row>
    <row r="12" spans="1:5" ht="18.75" customHeight="1" x14ac:dyDescent="0.25">
      <c r="A12" s="266">
        <v>10</v>
      </c>
      <c r="B12" s="44"/>
      <c r="D12" s="43">
        <v>50</v>
      </c>
      <c r="E12" s="44"/>
    </row>
    <row r="13" spans="1:5" ht="18.75" customHeight="1" x14ac:dyDescent="0.25">
      <c r="A13" s="266">
        <v>11</v>
      </c>
      <c r="B13" s="44"/>
      <c r="D13" s="43">
        <v>51</v>
      </c>
      <c r="E13" s="44"/>
    </row>
    <row r="14" spans="1:5" ht="18.75" customHeight="1" x14ac:dyDescent="0.25">
      <c r="A14" s="266">
        <v>12</v>
      </c>
      <c r="B14" s="44"/>
      <c r="D14" s="43">
        <v>52</v>
      </c>
      <c r="E14" s="44"/>
    </row>
    <row r="15" spans="1:5" ht="18.75" customHeight="1" x14ac:dyDescent="0.25">
      <c r="A15" s="266">
        <v>13</v>
      </c>
      <c r="B15" s="44"/>
      <c r="D15" s="43">
        <v>53</v>
      </c>
      <c r="E15" s="44"/>
    </row>
    <row r="16" spans="1:5" ht="18.75" customHeight="1" x14ac:dyDescent="0.25">
      <c r="A16" s="266">
        <v>14</v>
      </c>
      <c r="B16" s="44"/>
      <c r="D16" s="317">
        <v>54</v>
      </c>
      <c r="E16" s="44"/>
    </row>
    <row r="17" spans="1:5" ht="18.75" customHeight="1" x14ac:dyDescent="0.25">
      <c r="A17" s="266">
        <v>15</v>
      </c>
      <c r="B17" s="44"/>
      <c r="D17" s="250">
        <v>55</v>
      </c>
      <c r="E17" s="44"/>
    </row>
    <row r="18" spans="1:5" ht="18.75" customHeight="1" x14ac:dyDescent="0.25">
      <c r="A18" s="266">
        <v>16</v>
      </c>
      <c r="B18" s="44"/>
      <c r="D18" s="250">
        <v>56</v>
      </c>
      <c r="E18" s="44"/>
    </row>
    <row r="19" spans="1:5" ht="18.75" customHeight="1" x14ac:dyDescent="0.25">
      <c r="A19" s="266">
        <v>17</v>
      </c>
      <c r="B19" s="44"/>
      <c r="D19" s="250">
        <v>57</v>
      </c>
      <c r="E19" s="44"/>
    </row>
    <row r="20" spans="1:5" ht="18.75" customHeight="1" x14ac:dyDescent="0.25">
      <c r="A20" s="266">
        <v>18</v>
      </c>
      <c r="B20" s="44"/>
      <c r="D20" s="250">
        <v>58</v>
      </c>
      <c r="E20" s="44"/>
    </row>
    <row r="21" spans="1:5" ht="18.75" customHeight="1" x14ac:dyDescent="0.25">
      <c r="A21" s="266">
        <v>19</v>
      </c>
      <c r="B21" s="44"/>
      <c r="D21" s="250">
        <v>59</v>
      </c>
      <c r="E21" s="44"/>
    </row>
    <row r="22" spans="1:5" ht="18.75" customHeight="1" x14ac:dyDescent="0.25">
      <c r="A22" s="268">
        <v>20</v>
      </c>
      <c r="B22" s="44"/>
      <c r="D22" s="250">
        <v>60</v>
      </c>
      <c r="E22" s="44"/>
    </row>
    <row r="23" spans="1:5" ht="18.75" customHeight="1" x14ac:dyDescent="0.25">
      <c r="A23" s="268">
        <v>21</v>
      </c>
      <c r="B23" s="44"/>
      <c r="D23" s="250">
        <v>61</v>
      </c>
      <c r="E23" s="44"/>
    </row>
    <row r="24" spans="1:5" ht="18.75" customHeight="1" x14ac:dyDescent="0.25">
      <c r="A24" s="268">
        <v>22</v>
      </c>
      <c r="B24" s="44"/>
      <c r="D24" s="250">
        <v>62</v>
      </c>
      <c r="E24" s="44"/>
    </row>
    <row r="25" spans="1:5" ht="18.75" customHeight="1" x14ac:dyDescent="0.25">
      <c r="A25" s="268">
        <v>23</v>
      </c>
      <c r="B25" s="44"/>
      <c r="D25" s="250">
        <v>63</v>
      </c>
      <c r="E25" s="44"/>
    </row>
    <row r="26" spans="1:5" ht="18.75" customHeight="1" x14ac:dyDescent="0.25">
      <c r="A26" s="268">
        <v>24</v>
      </c>
      <c r="B26" s="44"/>
      <c r="D26" s="250">
        <v>64</v>
      </c>
      <c r="E26" s="44"/>
    </row>
    <row r="27" spans="1:5" ht="18.75" customHeight="1" x14ac:dyDescent="0.25">
      <c r="A27" s="268">
        <v>25</v>
      </c>
      <c r="B27" s="44"/>
      <c r="D27" s="250">
        <v>65</v>
      </c>
      <c r="E27" s="44"/>
    </row>
    <row r="28" spans="1:5" ht="18.75" customHeight="1" x14ac:dyDescent="0.25">
      <c r="A28" s="268">
        <v>26</v>
      </c>
      <c r="B28" s="44"/>
      <c r="D28" s="250">
        <v>66</v>
      </c>
      <c r="E28" s="44"/>
    </row>
    <row r="29" spans="1:5" ht="18.75" customHeight="1" x14ac:dyDescent="0.25">
      <c r="A29" s="268">
        <v>27</v>
      </c>
      <c r="B29" s="44"/>
      <c r="D29" s="250">
        <v>67</v>
      </c>
      <c r="E29" s="44"/>
    </row>
    <row r="30" spans="1:5" ht="18.75" customHeight="1" x14ac:dyDescent="0.25">
      <c r="A30" s="268">
        <v>28</v>
      </c>
      <c r="B30" s="44"/>
      <c r="D30" s="250">
        <v>68</v>
      </c>
      <c r="E30" s="44"/>
    </row>
    <row r="31" spans="1:5" ht="18.75" customHeight="1" x14ac:dyDescent="0.25">
      <c r="A31" s="268">
        <v>29</v>
      </c>
      <c r="B31" s="44"/>
      <c r="D31" s="250">
        <v>69</v>
      </c>
      <c r="E31" s="44"/>
    </row>
    <row r="32" spans="1:5" ht="18.75" customHeight="1" x14ac:dyDescent="0.25">
      <c r="A32" s="268">
        <v>30</v>
      </c>
      <c r="B32" s="44"/>
      <c r="D32" s="250">
        <v>70</v>
      </c>
      <c r="E32" s="44"/>
    </row>
    <row r="33" spans="1:5" ht="18.75" customHeight="1" x14ac:dyDescent="0.25">
      <c r="A33" s="266">
        <v>31</v>
      </c>
      <c r="B33" s="44"/>
      <c r="D33" s="250">
        <v>71</v>
      </c>
      <c r="E33" s="44"/>
    </row>
    <row r="34" spans="1:5" ht="18.75" customHeight="1" x14ac:dyDescent="0.25">
      <c r="A34" s="266">
        <v>32</v>
      </c>
      <c r="B34" s="44"/>
      <c r="D34" s="250">
        <v>72</v>
      </c>
      <c r="E34" s="44"/>
    </row>
    <row r="35" spans="1:5" ht="18.75" customHeight="1" x14ac:dyDescent="0.25">
      <c r="A35" s="266">
        <v>33</v>
      </c>
      <c r="B35" s="44"/>
      <c r="D35" s="250">
        <v>73</v>
      </c>
      <c r="E35" s="44"/>
    </row>
    <row r="36" spans="1:5" ht="18.75" customHeight="1" x14ac:dyDescent="0.25">
      <c r="A36" s="266">
        <v>34</v>
      </c>
      <c r="B36" s="44"/>
      <c r="D36" s="250">
        <v>74</v>
      </c>
      <c r="E36" s="44"/>
    </row>
    <row r="37" spans="1:5" ht="18.75" customHeight="1" x14ac:dyDescent="0.25">
      <c r="A37" s="266">
        <v>35</v>
      </c>
      <c r="B37" s="44"/>
      <c r="D37" s="250">
        <v>75</v>
      </c>
      <c r="E37" s="44"/>
    </row>
    <row r="38" spans="1:5" ht="18.75" customHeight="1" x14ac:dyDescent="0.25">
      <c r="A38" s="266">
        <v>36</v>
      </c>
      <c r="B38" s="44"/>
      <c r="D38" s="250">
        <v>76</v>
      </c>
      <c r="E38" s="44"/>
    </row>
    <row r="39" spans="1:5" ht="18.75" customHeight="1" x14ac:dyDescent="0.25">
      <c r="A39" s="266">
        <v>37</v>
      </c>
      <c r="B39" s="44"/>
      <c r="D39" s="250">
        <v>77</v>
      </c>
      <c r="E39" s="44"/>
    </row>
    <row r="40" spans="1:5" ht="18.75" customHeight="1" x14ac:dyDescent="0.25">
      <c r="A40" s="266">
        <v>38</v>
      </c>
      <c r="B40" s="44"/>
      <c r="D40" s="250">
        <v>78</v>
      </c>
      <c r="E40" s="44"/>
    </row>
    <row r="41" spans="1:5" ht="18.75" customHeight="1" x14ac:dyDescent="0.25">
      <c r="A41" s="266">
        <v>39</v>
      </c>
      <c r="B41" s="44"/>
      <c r="D41" s="250">
        <v>79</v>
      </c>
      <c r="E41" s="44"/>
    </row>
    <row r="42" spans="1:5" ht="18.75" customHeight="1" x14ac:dyDescent="0.25">
      <c r="A42" s="266">
        <v>40</v>
      </c>
      <c r="B42" s="44"/>
      <c r="D42" s="250">
        <v>80</v>
      </c>
      <c r="E42" s="44"/>
    </row>
  </sheetData>
  <pageMargins left="0.7" right="0.7" top="0.75" bottom="0.75" header="0.3" footer="0.3"/>
  <pageSetup paperSize="9" scale="96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Folha1</vt:lpstr>
      <vt:lpstr>Folha2</vt:lpstr>
      <vt:lpstr>Folha3</vt:lpstr>
      <vt:lpstr>NF P 11-300</vt:lpstr>
      <vt:lpstr>Recyclé</vt:lpstr>
      <vt:lpstr>Folha4</vt:lpstr>
      <vt:lpstr>Pérmeamétre</vt:lpstr>
      <vt:lpstr>Folha5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Augusto</dc:creator>
  <cp:lastModifiedBy>MP.Pereira</cp:lastModifiedBy>
  <cp:lastPrinted>2009-05-27T12:29:03Z</cp:lastPrinted>
  <dcterms:created xsi:type="dcterms:W3CDTF">2000-11-21T09:46:52Z</dcterms:created>
  <dcterms:modified xsi:type="dcterms:W3CDTF">2019-05-27T07:40:22Z</dcterms:modified>
</cp:coreProperties>
</file>