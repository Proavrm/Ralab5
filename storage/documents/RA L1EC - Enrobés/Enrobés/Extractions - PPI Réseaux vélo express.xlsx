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nge1-my.sharepoint.com/personal/fmontet_groupe-nge_fr/Documents/Bureau/"/>
    </mc:Choice>
  </mc:AlternateContent>
  <xr:revisionPtr revIDLastSave="46" documentId="13_ncr:1_{A4154931-3281-40B9-8093-78CC45CA5533}" xr6:coauthVersionLast="47" xr6:coauthVersionMax="47" xr10:uidLastSave="{A3C5CCD6-4FB3-41B7-88BF-212B32EF9243}"/>
  <bookViews>
    <workbookView xWindow="-108" yWindow="-108" windowWidth="23256" windowHeight="12456" xr2:uid="{00000000-000D-0000-FFFF-FFFF00000000}"/>
  </bookViews>
  <sheets>
    <sheet name="Nuit 09-101025 Albigny BBSG" sheetId="26" r:id="rId1"/>
    <sheet name="Nuit 09-101025 Albigny GB" sheetId="25" r:id="rId2"/>
    <sheet name="Nuit 18-190625 Albigny BBSG " sheetId="24" r:id="rId3"/>
    <sheet name="Nuit 17-180625 Albigny BBSG" sheetId="23" r:id="rId4"/>
    <sheet name="Nuit 07-080324" sheetId="22" r:id="rId5"/>
    <sheet name="Nuit 06-070324" sheetId="21" r:id="rId6"/>
    <sheet name="Nuit 05-060324" sheetId="20" r:id="rId7"/>
    <sheet name="061223" sheetId="19" r:id="rId8"/>
    <sheet name="130923" sheetId="18" r:id="rId9"/>
    <sheet name="120923" sheetId="17" r:id="rId10"/>
    <sheet name="141222" sheetId="16" r:id="rId11"/>
    <sheet name="081222" sheetId="15" r:id="rId12"/>
    <sheet name="061222 (2)" sheetId="14" r:id="rId13"/>
    <sheet name="061222" sheetId="13" r:id="rId14"/>
    <sheet name="051222" sheetId="12" r:id="rId15"/>
    <sheet name="130722 (2)" sheetId="11" r:id="rId16"/>
    <sheet name="130722" sheetId="10" r:id="rId17"/>
    <sheet name="120722" sheetId="9" r:id="rId18"/>
  </sheets>
  <definedNames>
    <definedName name="_xlnm.Print_Area" localSheetId="14">'051222'!$A$1:$Z$72</definedName>
    <definedName name="_xlnm.Print_Area" localSheetId="13">'061222'!$A$1:$Z$72</definedName>
    <definedName name="_xlnm.Print_Area" localSheetId="12">'061222 (2)'!$A$1:$Z$72</definedName>
    <definedName name="_xlnm.Print_Area" localSheetId="7">'061223'!$A$1:$Z$72</definedName>
    <definedName name="_xlnm.Print_Area" localSheetId="11">'081222'!$A$1:$Z$72</definedName>
    <definedName name="_xlnm.Print_Area" localSheetId="17">'120722'!$A$1:$Z$72</definedName>
    <definedName name="_xlnm.Print_Area" localSheetId="9">'120923'!$A$1:$Z$72</definedName>
    <definedName name="_xlnm.Print_Area" localSheetId="16">'130722'!$A$1:$Z$72</definedName>
    <definedName name="_xlnm.Print_Area" localSheetId="15">'130722 (2)'!$A$1:$Z$72</definedName>
    <definedName name="_xlnm.Print_Area" localSheetId="8">'130923'!$A$1:$Z$72</definedName>
    <definedName name="_xlnm.Print_Area" localSheetId="10">'141222'!$A$1:$Z$72</definedName>
    <definedName name="_xlnm.Print_Area" localSheetId="6">'Nuit 05-060324'!$A$1:$Z$72</definedName>
    <definedName name="_xlnm.Print_Area" localSheetId="5">'Nuit 06-070324'!$A$1:$Z$72</definedName>
    <definedName name="_xlnm.Print_Area" localSheetId="4">'Nuit 07-080324'!$A$1:$Z$72</definedName>
    <definedName name="_xlnm.Print_Area" localSheetId="0">'Nuit 09-101025 Albigny BBSG'!$A$1:$Z$72</definedName>
    <definedName name="_xlnm.Print_Area" localSheetId="1">'Nuit 09-101025 Albigny GB'!$A$1:$Z$72</definedName>
    <definedName name="_xlnm.Print_Area" localSheetId="3">'Nuit 17-180625 Albigny BBSG'!$A$1:$Z$72</definedName>
    <definedName name="_xlnm.Print_Area" localSheetId="2">'Nuit 18-190625 Albigny BBSG '!$A$1:$Z$72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26" l="1"/>
  <c r="L60" i="26"/>
  <c r="J60" i="26"/>
  <c r="E60" i="26"/>
  <c r="W59" i="26"/>
  <c r="L59" i="26"/>
  <c r="J59" i="26"/>
  <c r="E59" i="26"/>
  <c r="AD58" i="26"/>
  <c r="AB58" i="26"/>
  <c r="W57" i="26"/>
  <c r="AB57" i="26" s="1"/>
  <c r="U57" i="26"/>
  <c r="T57" i="26"/>
  <c r="S57" i="26"/>
  <c r="O57" i="26"/>
  <c r="N57" i="26"/>
  <c r="M57" i="26"/>
  <c r="L57" i="26"/>
  <c r="K57" i="26"/>
  <c r="J57" i="26"/>
  <c r="I57" i="26"/>
  <c r="H57" i="26"/>
  <c r="G57" i="26"/>
  <c r="F57" i="26"/>
  <c r="E57" i="26"/>
  <c r="AD56" i="26"/>
  <c r="AE56" i="26" s="1"/>
  <c r="AD54" i="26"/>
  <c r="AB54" i="26"/>
  <c r="Y54" i="26"/>
  <c r="AD53" i="26"/>
  <c r="AB53" i="26"/>
  <c r="AE53" i="26" s="1"/>
  <c r="Y53" i="26"/>
  <c r="AD52" i="26"/>
  <c r="AB52" i="26"/>
  <c r="AE52" i="26" s="1"/>
  <c r="Y52" i="26" s="1"/>
  <c r="AD51" i="26"/>
  <c r="AB51" i="26"/>
  <c r="AE51" i="26" s="1"/>
  <c r="Y51" i="26" s="1"/>
  <c r="W60" i="25"/>
  <c r="L60" i="25"/>
  <c r="J60" i="25"/>
  <c r="E60" i="25"/>
  <c r="W59" i="25"/>
  <c r="L59" i="25"/>
  <c r="J59" i="25"/>
  <c r="E59" i="25"/>
  <c r="AD58" i="25"/>
  <c r="AB58" i="25"/>
  <c r="W57" i="25"/>
  <c r="AB57" i="25" s="1"/>
  <c r="U57" i="25"/>
  <c r="T57" i="25"/>
  <c r="S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AD56" i="25"/>
  <c r="AE56" i="25" s="1"/>
  <c r="AD54" i="25"/>
  <c r="AB54" i="25"/>
  <c r="Y54" i="25"/>
  <c r="AD53" i="25"/>
  <c r="AB53" i="25"/>
  <c r="AE53" i="25" s="1"/>
  <c r="Y53" i="25"/>
  <c r="AD52" i="25"/>
  <c r="AB52" i="25"/>
  <c r="Y52" i="25"/>
  <c r="AD51" i="25"/>
  <c r="AB51" i="25"/>
  <c r="W60" i="24"/>
  <c r="L60" i="24"/>
  <c r="J60" i="24"/>
  <c r="E60" i="24"/>
  <c r="W59" i="24"/>
  <c r="L59" i="24"/>
  <c r="J59" i="24"/>
  <c r="E59" i="24"/>
  <c r="AD58" i="24"/>
  <c r="AB58" i="24"/>
  <c r="W57" i="24"/>
  <c r="AB57" i="24" s="1"/>
  <c r="U57" i="24"/>
  <c r="T57" i="24"/>
  <c r="S57" i="24"/>
  <c r="O57" i="24"/>
  <c r="N57" i="24"/>
  <c r="M57" i="24"/>
  <c r="L57" i="24"/>
  <c r="K57" i="24"/>
  <c r="J57" i="24"/>
  <c r="I57" i="24"/>
  <c r="H57" i="24"/>
  <c r="G57" i="24"/>
  <c r="F57" i="24"/>
  <c r="E57" i="24"/>
  <c r="AD56" i="24"/>
  <c r="AE56" i="24" s="1"/>
  <c r="AD54" i="24"/>
  <c r="AB54" i="24"/>
  <c r="Y54" i="24"/>
  <c r="AD53" i="24"/>
  <c r="AB53" i="24"/>
  <c r="Y53" i="24"/>
  <c r="AD52" i="24"/>
  <c r="AB52" i="24"/>
  <c r="AD51" i="24"/>
  <c r="AB51" i="24"/>
  <c r="W60" i="23"/>
  <c r="L60" i="23"/>
  <c r="J60" i="23"/>
  <c r="E60" i="23"/>
  <c r="W59" i="23"/>
  <c r="L59" i="23"/>
  <c r="J59" i="23"/>
  <c r="E59" i="23"/>
  <c r="AD58" i="23"/>
  <c r="AB58" i="23"/>
  <c r="W57" i="23"/>
  <c r="AB57" i="23" s="1"/>
  <c r="U57" i="23"/>
  <c r="T57" i="23"/>
  <c r="S57" i="23"/>
  <c r="O57" i="23"/>
  <c r="N57" i="23"/>
  <c r="M57" i="23"/>
  <c r="L57" i="23"/>
  <c r="K57" i="23"/>
  <c r="J57" i="23"/>
  <c r="I57" i="23"/>
  <c r="H57" i="23"/>
  <c r="G57" i="23"/>
  <c r="F57" i="23"/>
  <c r="E57" i="23"/>
  <c r="AD56" i="23"/>
  <c r="AE56" i="23" s="1"/>
  <c r="AD54" i="23"/>
  <c r="AB54" i="23"/>
  <c r="Y54" i="23"/>
  <c r="AD53" i="23"/>
  <c r="AB53" i="23"/>
  <c r="Y53" i="23"/>
  <c r="AD52" i="23"/>
  <c r="AB52" i="23"/>
  <c r="AD51" i="23"/>
  <c r="AB51" i="23"/>
  <c r="P57" i="20"/>
  <c r="Q57" i="20"/>
  <c r="W60" i="22"/>
  <c r="L60" i="22"/>
  <c r="J60" i="22"/>
  <c r="E60" i="22"/>
  <c r="W59" i="22"/>
  <c r="L59" i="22"/>
  <c r="J59" i="22"/>
  <c r="E59" i="22"/>
  <c r="AD58" i="22"/>
  <c r="AB58" i="22"/>
  <c r="W57" i="22"/>
  <c r="AB57" i="22" s="1"/>
  <c r="U57" i="22"/>
  <c r="T57" i="22"/>
  <c r="S57" i="22"/>
  <c r="O57" i="22"/>
  <c r="N57" i="22"/>
  <c r="M57" i="22"/>
  <c r="L57" i="22"/>
  <c r="K57" i="22"/>
  <c r="J57" i="22"/>
  <c r="I57" i="22"/>
  <c r="H57" i="22"/>
  <c r="G57" i="22"/>
  <c r="F57" i="22"/>
  <c r="E57" i="22"/>
  <c r="AD56" i="22"/>
  <c r="AE56" i="22" s="1"/>
  <c r="AD54" i="22"/>
  <c r="AB54" i="22"/>
  <c r="Y54" i="22"/>
  <c r="AD53" i="22"/>
  <c r="AB53" i="22"/>
  <c r="Y53" i="22"/>
  <c r="AD52" i="22"/>
  <c r="AB52" i="22"/>
  <c r="AD51" i="22"/>
  <c r="AB51" i="22"/>
  <c r="W60" i="21"/>
  <c r="L60" i="21"/>
  <c r="J60" i="21"/>
  <c r="E60" i="21"/>
  <c r="W59" i="21"/>
  <c r="L59" i="21"/>
  <c r="J59" i="21"/>
  <c r="E59" i="21"/>
  <c r="AD58" i="21"/>
  <c r="AB58" i="21"/>
  <c r="W57" i="21"/>
  <c r="AB57" i="21" s="1"/>
  <c r="U57" i="21"/>
  <c r="T57" i="21"/>
  <c r="S57" i="21"/>
  <c r="O57" i="21"/>
  <c r="N57" i="21"/>
  <c r="M57" i="21"/>
  <c r="L57" i="21"/>
  <c r="K57" i="21"/>
  <c r="J57" i="21"/>
  <c r="I57" i="21"/>
  <c r="H57" i="21"/>
  <c r="G57" i="21"/>
  <c r="F57" i="21"/>
  <c r="E57" i="21"/>
  <c r="AD56" i="21"/>
  <c r="AE56" i="21" s="1"/>
  <c r="AD54" i="21"/>
  <c r="AB54" i="21"/>
  <c r="Y54" i="21"/>
  <c r="AD53" i="21"/>
  <c r="AB53" i="21"/>
  <c r="Y53" i="21"/>
  <c r="AD52" i="21"/>
  <c r="AB52" i="21"/>
  <c r="AD51" i="21"/>
  <c r="AB51" i="21"/>
  <c r="AE52" i="25" l="1"/>
  <c r="AE54" i="26"/>
  <c r="AE58" i="26"/>
  <c r="Y58" i="26" s="1"/>
  <c r="AD57" i="26"/>
  <c r="AE57" i="26" s="1"/>
  <c r="Y57" i="26"/>
  <c r="AE58" i="25"/>
  <c r="Y58" i="25" s="1"/>
  <c r="AE51" i="25"/>
  <c r="Y51" i="25" s="1"/>
  <c r="Y57" i="25" s="1"/>
  <c r="AE54" i="25"/>
  <c r="AD57" i="25"/>
  <c r="AE57" i="25" s="1"/>
  <c r="AE54" i="24"/>
  <c r="AE53" i="23"/>
  <c r="AE53" i="24"/>
  <c r="AE51" i="24"/>
  <c r="Y51" i="24" s="1"/>
  <c r="AE52" i="24"/>
  <c r="Y52" i="24" s="1"/>
  <c r="AD57" i="24"/>
  <c r="AE57" i="24" s="1"/>
  <c r="AE58" i="24"/>
  <c r="Y58" i="24" s="1"/>
  <c r="AE54" i="23"/>
  <c r="AE58" i="23"/>
  <c r="Y58" i="23" s="1"/>
  <c r="AE52" i="23"/>
  <c r="Y52" i="23" s="1"/>
  <c r="AD57" i="23"/>
  <c r="AE57" i="23" s="1"/>
  <c r="AE51" i="23"/>
  <c r="Y51" i="23" s="1"/>
  <c r="AE58" i="22"/>
  <c r="Y58" i="22" s="1"/>
  <c r="AD57" i="22"/>
  <c r="AE57" i="22" s="1"/>
  <c r="AE54" i="22"/>
  <c r="AE52" i="22"/>
  <c r="Y52" i="22" s="1"/>
  <c r="AE52" i="21"/>
  <c r="Y52" i="21" s="1"/>
  <c r="AE53" i="21"/>
  <c r="AD57" i="21"/>
  <c r="AE57" i="21" s="1"/>
  <c r="AE53" i="22"/>
  <c r="AE54" i="21"/>
  <c r="AE51" i="22"/>
  <c r="Y51" i="22" s="1"/>
  <c r="AE58" i="21"/>
  <c r="Y58" i="21" s="1"/>
  <c r="AE51" i="21"/>
  <c r="Y51" i="21" s="1"/>
  <c r="Y57" i="23" l="1"/>
  <c r="Y57" i="24"/>
  <c r="Y57" i="22"/>
  <c r="Y57" i="21"/>
  <c r="W60" i="20"/>
  <c r="L60" i="20"/>
  <c r="J60" i="20"/>
  <c r="E60" i="20"/>
  <c r="W59" i="20"/>
  <c r="L59" i="20"/>
  <c r="J59" i="20"/>
  <c r="E59" i="20"/>
  <c r="AD58" i="20"/>
  <c r="AB58" i="20"/>
  <c r="W57" i="20"/>
  <c r="AB57" i="20" s="1"/>
  <c r="U57" i="20"/>
  <c r="T57" i="20"/>
  <c r="S57" i="20"/>
  <c r="O57" i="20"/>
  <c r="N57" i="20"/>
  <c r="M57" i="20"/>
  <c r="L57" i="20"/>
  <c r="K57" i="20"/>
  <c r="J57" i="20"/>
  <c r="I57" i="20"/>
  <c r="H57" i="20"/>
  <c r="G57" i="20"/>
  <c r="F57" i="20"/>
  <c r="E57" i="20"/>
  <c r="AD56" i="20"/>
  <c r="AE56" i="20" s="1"/>
  <c r="AD54" i="20"/>
  <c r="AB54" i="20"/>
  <c r="Y54" i="20"/>
  <c r="AD53" i="20"/>
  <c r="AB53" i="20"/>
  <c r="Y53" i="20"/>
  <c r="AD52" i="20"/>
  <c r="AB52" i="20"/>
  <c r="AD51" i="20"/>
  <c r="AB51" i="20"/>
  <c r="W60" i="19"/>
  <c r="L60" i="19"/>
  <c r="J60" i="19"/>
  <c r="E60" i="19"/>
  <c r="W59" i="19"/>
  <c r="L59" i="19"/>
  <c r="J59" i="19"/>
  <c r="E59" i="19"/>
  <c r="AD58" i="19"/>
  <c r="AB58" i="19"/>
  <c r="W57" i="19"/>
  <c r="AB57" i="19" s="1"/>
  <c r="U57" i="19"/>
  <c r="T57" i="19"/>
  <c r="S57" i="19"/>
  <c r="O57" i="19"/>
  <c r="N57" i="19"/>
  <c r="M57" i="19"/>
  <c r="L57" i="19"/>
  <c r="K57" i="19"/>
  <c r="J57" i="19"/>
  <c r="I57" i="19"/>
  <c r="H57" i="19"/>
  <c r="G57" i="19"/>
  <c r="F57" i="19"/>
  <c r="E57" i="19"/>
  <c r="AD56" i="19"/>
  <c r="AE56" i="19" s="1"/>
  <c r="AD54" i="19"/>
  <c r="AB54" i="19"/>
  <c r="Y54" i="19"/>
  <c r="AD53" i="19"/>
  <c r="AB53" i="19"/>
  <c r="Y53" i="19"/>
  <c r="AD52" i="19"/>
  <c r="AB52" i="19"/>
  <c r="Y52" i="19"/>
  <c r="AD51" i="19"/>
  <c r="AB51" i="19"/>
  <c r="W60" i="18"/>
  <c r="L60" i="18"/>
  <c r="J60" i="18"/>
  <c r="E60" i="18"/>
  <c r="W59" i="18"/>
  <c r="L59" i="18"/>
  <c r="J59" i="18"/>
  <c r="E59" i="18"/>
  <c r="AD58" i="18"/>
  <c r="AB58" i="18"/>
  <c r="W57" i="18"/>
  <c r="AB57" i="18" s="1"/>
  <c r="U57" i="18"/>
  <c r="T57" i="18"/>
  <c r="S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AD56" i="18"/>
  <c r="AE56" i="18" s="1"/>
  <c r="AD54" i="18"/>
  <c r="AB54" i="18"/>
  <c r="Y54" i="18"/>
  <c r="AD53" i="18"/>
  <c r="AB53" i="18"/>
  <c r="Y53" i="18"/>
  <c r="AD52" i="18"/>
  <c r="AB52" i="18"/>
  <c r="AD51" i="18"/>
  <c r="AB51" i="18"/>
  <c r="P57" i="17"/>
  <c r="Q57" i="17"/>
  <c r="W60" i="17"/>
  <c r="L60" i="17"/>
  <c r="J60" i="17"/>
  <c r="E60" i="17"/>
  <c r="W59" i="17"/>
  <c r="L59" i="17"/>
  <c r="J59" i="17"/>
  <c r="E59" i="17"/>
  <c r="AD58" i="17"/>
  <c r="AB58" i="17"/>
  <c r="W57" i="17"/>
  <c r="AB57" i="17" s="1"/>
  <c r="U57" i="17"/>
  <c r="T57" i="17"/>
  <c r="S57" i="17"/>
  <c r="O57" i="17"/>
  <c r="N57" i="17"/>
  <c r="M57" i="17"/>
  <c r="L57" i="17"/>
  <c r="K57" i="17"/>
  <c r="J57" i="17"/>
  <c r="I57" i="17"/>
  <c r="H57" i="17"/>
  <c r="G57" i="17"/>
  <c r="F57" i="17"/>
  <c r="E57" i="17"/>
  <c r="AD56" i="17"/>
  <c r="AE56" i="17" s="1"/>
  <c r="AD54" i="17"/>
  <c r="AB54" i="17"/>
  <c r="Y54" i="17"/>
  <c r="AD53" i="17"/>
  <c r="AB53" i="17"/>
  <c r="Y53" i="17"/>
  <c r="AD52" i="17"/>
  <c r="AB52" i="17"/>
  <c r="AD51" i="17"/>
  <c r="AB51" i="17"/>
  <c r="W60" i="16"/>
  <c r="L60" i="16"/>
  <c r="J60" i="16"/>
  <c r="E60" i="16"/>
  <c r="W59" i="16"/>
  <c r="L59" i="16"/>
  <c r="J59" i="16"/>
  <c r="E59" i="16"/>
  <c r="AD58" i="16"/>
  <c r="AB58" i="16"/>
  <c r="W57" i="16"/>
  <c r="AB57" i="16" s="1"/>
  <c r="U57" i="16"/>
  <c r="T57" i="16"/>
  <c r="S57" i="16"/>
  <c r="O57" i="16"/>
  <c r="N57" i="16"/>
  <c r="M57" i="16"/>
  <c r="L57" i="16"/>
  <c r="K57" i="16"/>
  <c r="J57" i="16"/>
  <c r="I57" i="16"/>
  <c r="H57" i="16"/>
  <c r="G57" i="16"/>
  <c r="F57" i="16"/>
  <c r="E57" i="16"/>
  <c r="AD56" i="16"/>
  <c r="AE56" i="16" s="1"/>
  <c r="AD54" i="16"/>
  <c r="AB54" i="16"/>
  <c r="Y54" i="16"/>
  <c r="AD53" i="16"/>
  <c r="AB53" i="16"/>
  <c r="Y53" i="16"/>
  <c r="AD52" i="16"/>
  <c r="AB52" i="16"/>
  <c r="Y52" i="16"/>
  <c r="AD51" i="16"/>
  <c r="AB51" i="16"/>
  <c r="W60" i="15"/>
  <c r="L60" i="15"/>
  <c r="J60" i="15"/>
  <c r="E60" i="15"/>
  <c r="W59" i="15"/>
  <c r="L59" i="15"/>
  <c r="J59" i="15"/>
  <c r="E59" i="15"/>
  <c r="AD58" i="15"/>
  <c r="AB58" i="15"/>
  <c r="W57" i="15"/>
  <c r="AB57" i="15" s="1"/>
  <c r="U57" i="15"/>
  <c r="T57" i="15"/>
  <c r="S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AD56" i="15"/>
  <c r="AE56" i="15" s="1"/>
  <c r="AD54" i="15"/>
  <c r="AB54" i="15"/>
  <c r="Y54" i="15"/>
  <c r="AD53" i="15"/>
  <c r="AB53" i="15"/>
  <c r="Y53" i="15"/>
  <c r="AD52" i="15"/>
  <c r="AB52" i="15"/>
  <c r="Y52" i="15"/>
  <c r="AD51" i="15"/>
  <c r="AB51" i="15"/>
  <c r="M57" i="14"/>
  <c r="N57" i="14"/>
  <c r="O57" i="14"/>
  <c r="F57" i="14"/>
  <c r="G57" i="14"/>
  <c r="H57" i="14"/>
  <c r="I57" i="14"/>
  <c r="J57" i="14"/>
  <c r="K57" i="14"/>
  <c r="L57" i="14"/>
  <c r="E57" i="14"/>
  <c r="AE54" i="20" l="1"/>
  <c r="AE53" i="19"/>
  <c r="AE53" i="20"/>
  <c r="AE51" i="20"/>
  <c r="Y51" i="20" s="1"/>
  <c r="AE52" i="20"/>
  <c r="Y52" i="20" s="1"/>
  <c r="AE58" i="20"/>
  <c r="Y58" i="20" s="1"/>
  <c r="AD57" i="20"/>
  <c r="AE57" i="20" s="1"/>
  <c r="AD57" i="19"/>
  <c r="AE57" i="19" s="1"/>
  <c r="AE52" i="19"/>
  <c r="AE58" i="19"/>
  <c r="Y58" i="19" s="1"/>
  <c r="AE54" i="19"/>
  <c r="AE51" i="19"/>
  <c r="Y51" i="19" s="1"/>
  <c r="Y57" i="19" s="1"/>
  <c r="AE54" i="18"/>
  <c r="AE51" i="18"/>
  <c r="Y51" i="18" s="1"/>
  <c r="AE53" i="18"/>
  <c r="AE52" i="18"/>
  <c r="Y52" i="18" s="1"/>
  <c r="AE52" i="17"/>
  <c r="Y52" i="17" s="1"/>
  <c r="AD57" i="18"/>
  <c r="AE57" i="18" s="1"/>
  <c r="AE58" i="18"/>
  <c r="Y58" i="18" s="1"/>
  <c r="AE54" i="17"/>
  <c r="AE53" i="17"/>
  <c r="AE51" i="17"/>
  <c r="Y51" i="17" s="1"/>
  <c r="AD57" i="17"/>
  <c r="AE57" i="17" s="1"/>
  <c r="AE58" i="17"/>
  <c r="Y58" i="17" s="1"/>
  <c r="AE51" i="16"/>
  <c r="Y51" i="16" s="1"/>
  <c r="Y57" i="16" s="1"/>
  <c r="AE53" i="16"/>
  <c r="AD57" i="16"/>
  <c r="AE57" i="16" s="1"/>
  <c r="AE54" i="16"/>
  <c r="AE52" i="16"/>
  <c r="AE58" i="16"/>
  <c r="Y58" i="16" s="1"/>
  <c r="AE52" i="15"/>
  <c r="AD57" i="15"/>
  <c r="AE57" i="15" s="1"/>
  <c r="AE51" i="15"/>
  <c r="Y51" i="15" s="1"/>
  <c r="Y57" i="15" s="1"/>
  <c r="AE54" i="15"/>
  <c r="AE53" i="15"/>
  <c r="AE58" i="15"/>
  <c r="Y58" i="15" s="1"/>
  <c r="W60" i="14"/>
  <c r="L60" i="14"/>
  <c r="J60" i="14"/>
  <c r="E60" i="14"/>
  <c r="W59" i="14"/>
  <c r="L59" i="14"/>
  <c r="J59" i="14"/>
  <c r="E59" i="14"/>
  <c r="AD58" i="14"/>
  <c r="AB58" i="14"/>
  <c r="W57" i="14"/>
  <c r="AB57" i="14" s="1"/>
  <c r="U57" i="14"/>
  <c r="T57" i="14"/>
  <c r="S57" i="14"/>
  <c r="AD56" i="14"/>
  <c r="AE56" i="14" s="1"/>
  <c r="AD54" i="14"/>
  <c r="AB54" i="14"/>
  <c r="Y54" i="14"/>
  <c r="AD53" i="14"/>
  <c r="AB53" i="14"/>
  <c r="Y53" i="14"/>
  <c r="AD52" i="14"/>
  <c r="AB52" i="14"/>
  <c r="Y52" i="14"/>
  <c r="AD51" i="14"/>
  <c r="AB51" i="14"/>
  <c r="W60" i="13"/>
  <c r="L60" i="13"/>
  <c r="J60" i="13"/>
  <c r="E60" i="13"/>
  <c r="W59" i="13"/>
  <c r="L59" i="13"/>
  <c r="J59" i="13"/>
  <c r="E59" i="13"/>
  <c r="AD58" i="13"/>
  <c r="AB58" i="13"/>
  <c r="W57" i="13"/>
  <c r="AB57" i="13" s="1"/>
  <c r="U57" i="13"/>
  <c r="T57" i="13"/>
  <c r="S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AD56" i="13"/>
  <c r="AE56" i="13" s="1"/>
  <c r="AD54" i="13"/>
  <c r="AB54" i="13"/>
  <c r="Y54" i="13"/>
  <c r="AD53" i="13"/>
  <c r="AB53" i="13"/>
  <c r="Y53" i="13"/>
  <c r="AD52" i="13"/>
  <c r="AB52" i="13"/>
  <c r="Y52" i="13"/>
  <c r="AD51" i="13"/>
  <c r="AB51" i="13"/>
  <c r="W60" i="12"/>
  <c r="L60" i="12"/>
  <c r="J60" i="12"/>
  <c r="E60" i="12"/>
  <c r="W59" i="12"/>
  <c r="L59" i="12"/>
  <c r="J59" i="12"/>
  <c r="E59" i="12"/>
  <c r="AD58" i="12"/>
  <c r="AB58" i="12"/>
  <c r="W57" i="12"/>
  <c r="AB57" i="12" s="1"/>
  <c r="U57" i="12"/>
  <c r="T57" i="12"/>
  <c r="S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Y54" i="12"/>
  <c r="AD53" i="12"/>
  <c r="AB53" i="12"/>
  <c r="Y53" i="12"/>
  <c r="AD52" i="12"/>
  <c r="AB52" i="12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Y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AD51" i="10"/>
  <c r="AB51" i="10"/>
  <c r="Q57" i="9"/>
  <c r="Y57" i="20" l="1"/>
  <c r="Y57" i="18"/>
  <c r="Y57" i="17"/>
  <c r="AE53" i="14"/>
  <c r="AE58" i="14"/>
  <c r="Y58" i="14" s="1"/>
  <c r="AE51" i="14"/>
  <c r="Y51" i="14" s="1"/>
  <c r="Y57" i="14" s="1"/>
  <c r="AD57" i="14"/>
  <c r="AE57" i="14" s="1"/>
  <c r="AE51" i="13"/>
  <c r="Y51" i="13" s="1"/>
  <c r="Y57" i="13" s="1"/>
  <c r="AE54" i="14"/>
  <c r="AE54" i="13"/>
  <c r="AE52" i="14"/>
  <c r="AE53" i="13"/>
  <c r="AE58" i="13"/>
  <c r="Y58" i="13" s="1"/>
  <c r="AE52" i="13"/>
  <c r="AD57" i="13"/>
  <c r="AE57" i="13" s="1"/>
  <c r="AE52" i="11"/>
  <c r="AE52" i="12"/>
  <c r="Y52" i="12" s="1"/>
  <c r="AE51" i="12"/>
  <c r="Y51" i="12" s="1"/>
  <c r="AD57" i="12"/>
  <c r="AE57" i="12" s="1"/>
  <c r="AE53" i="12"/>
  <c r="AE58" i="12"/>
  <c r="Y58" i="12" s="1"/>
  <c r="AE54" i="12"/>
  <c r="AE54" i="10"/>
  <c r="AE53" i="11"/>
  <c r="AE53" i="10"/>
  <c r="AE52" i="10"/>
  <c r="Y52" i="10" s="1"/>
  <c r="AD57" i="11"/>
  <c r="AE57" i="11" s="1"/>
  <c r="AE51" i="11"/>
  <c r="Y51" i="11" s="1"/>
  <c r="Y57" i="11" s="1"/>
  <c r="AE54" i="11"/>
  <c r="AE58" i="11"/>
  <c r="Y58" i="11" s="1"/>
  <c r="AE58" i="10"/>
  <c r="Y58" i="10" s="1"/>
  <c r="AD57" i="10"/>
  <c r="AE57" i="10" s="1"/>
  <c r="AE51" i="10"/>
  <c r="Y51" i="10" s="1"/>
  <c r="L59" i="9"/>
  <c r="L60" i="9"/>
  <c r="Y57" i="12" l="1"/>
  <c r="Y57" i="10"/>
  <c r="U57" i="9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<sst xmlns="http://schemas.openxmlformats.org/spreadsheetml/2006/main" count="1167" uniqueCount="115">
  <si>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</si>
  <si>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</si>
  <si>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</si>
  <si>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</si>
  <si>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</si>
  <si>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</si>
  <si>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</si>
  <si>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</si>
  <si>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</si>
  <si>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</si>
  <si>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</si>
  <si>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</si>
  <si>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</si>
  <si>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</si>
  <si>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</si>
  <si>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</si>
  <si>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</si>
  <si>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</si>
  <si>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</si>
  <si>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</si>
  <si>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</si>
  <si>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</si>
  <si>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</si>
  <si>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</si>
  <si>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</si>
  <si>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Fonction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</si>
  <si>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</si>
  <si>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</si>
  <si>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</si>
  <si>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</si>
  <si>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</si>
  <si>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</si>
  <si>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</si>
  <si>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</si>
  <si>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</si>
  <si>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</si>
  <si>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</si>
  <si>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</si>
  <si>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</si>
  <si>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</si>
  <si>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</si>
  <si>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</si>
  <si>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</si>
  <si>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</si>
  <si>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</si>
  <si>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</si>
  <si>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</si>
  <si>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</si>
  <si>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</si>
  <si>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</si>
  <si>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</si>
  <si>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PPI - Réseau vélo express</t>
  </si>
  <si>
    <t>RA L1EC</t>
  </si>
  <si>
    <t>F. Montet</t>
  </si>
  <si>
    <t>EB 14 ASSISE 35/50</t>
  </si>
  <si>
    <t>GB 0/14 Cl3</t>
  </si>
  <si>
    <t>P2R</t>
  </si>
  <si>
    <t>Avenue de Grande Bretagne</t>
  </si>
  <si>
    <t>Fondation / base</t>
  </si>
  <si>
    <t>F. MONTET</t>
  </si>
  <si>
    <t>Technicien de laboratoire</t>
  </si>
  <si>
    <t>08:40</t>
  </si>
  <si>
    <t>09:10</t>
  </si>
  <si>
    <t>Conforme</t>
  </si>
  <si>
    <t>Roulement arrêt de bus</t>
  </si>
  <si>
    <t>BBDr 0/10 Cl1 percolé</t>
  </si>
  <si>
    <t>BBDr 10 35/50 percolé</t>
  </si>
  <si>
    <t>08:20</t>
  </si>
  <si>
    <t xml:space="preserve">EB 10 ROUL 35/50 </t>
  </si>
  <si>
    <t>BBSG 0/10 Cl3 15% AE</t>
  </si>
  <si>
    <t>Roulement</t>
  </si>
  <si>
    <t>09:25</t>
  </si>
  <si>
    <t>12:00</t>
  </si>
  <si>
    <t>Fondation</t>
  </si>
  <si>
    <t>Quai Aulagne St Fons</t>
  </si>
  <si>
    <t>Base</t>
  </si>
  <si>
    <t>11:10</t>
  </si>
  <si>
    <t>08:55</t>
  </si>
  <si>
    <t>Fondation / Base</t>
  </si>
  <si>
    <t>10:40</t>
  </si>
  <si>
    <t>9H15</t>
  </si>
  <si>
    <t>Rillieux - Giratoire général de Gaulle</t>
  </si>
  <si>
    <t>EB 14 ASSISE 50/70</t>
  </si>
  <si>
    <t>GB 0/14 Cl4 30% AE</t>
  </si>
  <si>
    <t>Chantier</t>
  </si>
  <si>
    <t>10H00</t>
  </si>
  <si>
    <t>11:20</t>
  </si>
  <si>
    <t>08:35</t>
  </si>
  <si>
    <t>10:15</t>
  </si>
  <si>
    <t>Giratoire de Gaulle - Rillieux</t>
  </si>
  <si>
    <t>13:15</t>
  </si>
  <si>
    <t>Nuit 05-06/03/2024</t>
  </si>
  <si>
    <t>EB 14 ASSISE 50/70 - 30%AE</t>
  </si>
  <si>
    <t>GB 0/14 Cl4 - 30%AE</t>
  </si>
  <si>
    <t>Nuit 06-07/03/2024</t>
  </si>
  <si>
    <t>EB 10 ROUL Excel 40</t>
  </si>
  <si>
    <t>BBSG 0/10 Cl3</t>
  </si>
  <si>
    <t>Nuit 07-08/03/2024</t>
  </si>
  <si>
    <t>23H15</t>
  </si>
  <si>
    <t>1H15</t>
  </si>
  <si>
    <t>23H05</t>
  </si>
  <si>
    <t>23:05</t>
  </si>
  <si>
    <t>00:20</t>
  </si>
  <si>
    <t>VL3 -
 Albigny sur Saône</t>
  </si>
  <si>
    <t>Nuit 17-18/06/2025</t>
  </si>
  <si>
    <t>Quai général de Gaulle</t>
  </si>
  <si>
    <t>22:30</t>
  </si>
  <si>
    <t>00:10</t>
  </si>
  <si>
    <t>Nuit 18-19/06/2025</t>
  </si>
  <si>
    <t>23:55</t>
  </si>
  <si>
    <t>Nuit 09-10/10/2025</t>
  </si>
  <si>
    <t>Terres pleins centraux av. Barbusse</t>
  </si>
  <si>
    <t>21:45</t>
  </si>
  <si>
    <t>Avenue de la gare</t>
  </si>
  <si>
    <t>01:10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</si>
</sst>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</font>
    <font>
      <sz val="11"/>
      <color rgb="FF000000"/>
      <name val="Century Gothic"/>
    </font>
    <font>
      <sz val="10"/>
      <color rgb="FF000000"/>
      <name val="Arial"/>
    </font>
    <font>
      <sz val="10"/>
      <color rgb="FF000000"/>
      <name val="Century Gothic"/>
    </font>
    <font>
      <sz val="8"/>
      <color rgb="FF000000"/>
      <name val="Century Gothic"/>
    </font>
    <font>
      <sz val="9"/>
      <color rgb="FF000000"/>
      <name val="Century Gothic"/>
      <family val="2"/>
    </font>
    <font>
      <b/>
      <sz val="9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4" fillId="0" borderId="0"/>
    <xf numFmtId="0" fontId="21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20" fillId="0" borderId="65" xfId="0" applyFont="1" applyBorder="1" applyAlignment="1" applyProtection="1">
      <alignment vertical="center"/>
      <protection locked="0"/>
    </xf>
    <xf numFmtId="0" fontId="20" fillId="0" borderId="66" xfId="0" applyFont="1" applyBorder="1" applyAlignment="1" applyProtection="1">
      <alignment vertical="center"/>
      <protection locked="0"/>
    </xf>
    <xf numFmtId="0" fontId="20" fillId="0" borderId="67" xfId="0" applyFont="1" applyBorder="1" applyAlignment="1" applyProtection="1">
      <alignment vertical="center"/>
      <protection locked="0"/>
    </xf>
    <xf numFmtId="0" fontId="20" fillId="0" borderId="60" xfId="0" applyFont="1" applyBorder="1" applyAlignment="1" applyProtection="1">
      <alignment vertical="center"/>
      <protection locked="0"/>
    </xf>
    <xf numFmtId="0" fontId="20" fillId="0" borderId="61" xfId="0" applyFont="1" applyBorder="1" applyAlignment="1" applyProtection="1">
      <alignment vertical="center"/>
      <protection locked="0"/>
    </xf>
    <xf numFmtId="0" fontId="20" fillId="0" borderId="62" xfId="0" applyFont="1" applyBorder="1" applyAlignment="1" applyProtection="1">
      <alignment vertical="center"/>
      <protection locked="0"/>
    </xf>
    <xf numFmtId="0" fontId="20" fillId="0" borderId="63" xfId="0" applyFont="1" applyBorder="1" applyAlignment="1" applyProtection="1">
      <alignment vertical="center"/>
      <protection locked="0"/>
    </xf>
    <xf numFmtId="0" fontId="20" fillId="0" borderId="64" xfId="0" applyFont="1" applyBorder="1" applyAlignment="1" applyProtection="1">
      <alignment vertical="center"/>
      <protection locked="0"/>
    </xf>
    <xf numFmtId="1" fontId="11" fillId="0" borderId="23" xfId="0" applyNumberFormat="1" applyFont="1" applyBorder="1" applyAlignment="1">
      <alignment horizontal="center" vertical="center"/>
    </xf>
    <xf numFmtId="164" fontId="23" fillId="0" borderId="62" xfId="2" applyNumberFormat="1" applyFont="1" applyBorder="1" applyAlignment="1" applyProtection="1">
      <alignment horizontal="center" vertical="center"/>
      <protection locked="0"/>
    </xf>
    <xf numFmtId="164" fontId="22" fillId="0" borderId="69" xfId="2" applyNumberFormat="1" applyFont="1" applyBorder="1" applyAlignment="1">
      <alignment horizontal="center" vertical="center" wrapText="1"/>
    </xf>
    <xf numFmtId="164" fontId="22" fillId="0" borderId="64" xfId="2" applyNumberFormat="1" applyFont="1" applyBorder="1" applyAlignment="1" applyProtection="1">
      <alignment horizontal="center" vertical="center"/>
      <protection locked="0"/>
    </xf>
    <xf numFmtId="164" fontId="22" fillId="0" borderId="69" xfId="2" applyNumberFormat="1" applyFont="1" applyBorder="1" applyAlignment="1" applyProtection="1">
      <alignment horizontal="center" vertical="center"/>
      <protection locked="0"/>
    </xf>
    <xf numFmtId="1" fontId="22" fillId="0" borderId="69" xfId="2" applyNumberFormat="1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64" fontId="22" fillId="0" borderId="69" xfId="0" applyNumberFormat="1" applyFont="1" applyBorder="1" applyAlignment="1">
      <alignment horizontal="center" vertical="center" wrapText="1"/>
    </xf>
    <xf numFmtId="164" fontId="22" fillId="0" borderId="64" xfId="0" applyNumberFormat="1" applyFont="1" applyBorder="1" applyAlignment="1" applyProtection="1">
      <alignment horizontal="center" vertical="center"/>
      <protection locked="0"/>
    </xf>
    <xf numFmtId="164" fontId="22" fillId="0" borderId="69" xfId="0" applyNumberFormat="1" applyFont="1" applyBorder="1" applyAlignment="1" applyProtection="1">
      <alignment horizontal="center" vertical="center"/>
      <protection locked="0"/>
    </xf>
    <xf numFmtId="164" fontId="23" fillId="0" borderId="62" xfId="0" applyNumberFormat="1" applyFont="1" applyBorder="1" applyAlignment="1" applyProtection="1">
      <alignment horizontal="center" vertical="center"/>
      <protection locked="0"/>
    </xf>
    <xf numFmtId="164" fontId="23" fillId="0" borderId="69" xfId="2" applyNumberFormat="1" applyFont="1" applyBorder="1" applyAlignment="1">
      <alignment horizontal="center" vertical="center" wrapText="1"/>
    </xf>
    <xf numFmtId="164" fontId="23" fillId="0" borderId="64" xfId="2" applyNumberFormat="1" applyFont="1" applyBorder="1" applyAlignment="1" applyProtection="1">
      <alignment horizontal="center" vertical="center"/>
      <protection locked="0"/>
    </xf>
    <xf numFmtId="164" fontId="23" fillId="0" borderId="69" xfId="2" applyNumberFormat="1" applyFont="1" applyBorder="1" applyAlignment="1" applyProtection="1">
      <alignment horizontal="center" vertical="center"/>
      <protection locked="0"/>
    </xf>
    <xf numFmtId="1" fontId="23" fillId="0" borderId="69" xfId="2" applyNumberFormat="1" applyFont="1" applyBorder="1" applyAlignment="1" applyProtection="1">
      <alignment horizontal="center" vertical="center"/>
      <protection locked="0"/>
    </xf>
    <xf numFmtId="164" fontId="23" fillId="0" borderId="69" xfId="0" applyNumberFormat="1" applyFont="1" applyBorder="1" applyAlignment="1">
      <alignment horizontal="center" vertical="center" wrapText="1"/>
    </xf>
    <xf numFmtId="164" fontId="23" fillId="0" borderId="64" xfId="0" applyNumberFormat="1" applyFont="1" applyBorder="1" applyAlignment="1" applyProtection="1">
      <alignment horizontal="center" vertical="center"/>
      <protection locked="0"/>
    </xf>
    <xf numFmtId="164" fontId="23" fillId="0" borderId="69" xfId="0" applyNumberFormat="1" applyFont="1" applyBorder="1" applyAlignment="1" applyProtection="1">
      <alignment horizontal="center" vertical="center"/>
      <protection locked="0"/>
    </xf>
    <xf numFmtId="1" fontId="23" fillId="0" borderId="69" xfId="0" applyNumberFormat="1" applyFont="1" applyBorder="1" applyAlignment="1" applyProtection="1">
      <alignment horizontal="center" vertical="center"/>
      <protection locked="0"/>
    </xf>
    <xf numFmtId="164" fontId="24" fillId="0" borderId="69" xfId="0" applyNumberFormat="1" applyFont="1" applyBorder="1" applyAlignment="1">
      <alignment horizontal="center" vertical="center" wrapText="1"/>
    </xf>
    <xf numFmtId="164" fontId="24" fillId="0" borderId="64" xfId="0" applyNumberFormat="1" applyFont="1" applyBorder="1" applyAlignment="1" applyProtection="1">
      <alignment horizontal="center" vertical="center"/>
      <protection locked="0"/>
    </xf>
    <xf numFmtId="164" fontId="24" fillId="0" borderId="69" xfId="0" applyNumberFormat="1" applyFont="1" applyBorder="1" applyAlignment="1" applyProtection="1">
      <alignment horizontal="center" vertical="center"/>
      <protection locked="0"/>
    </xf>
    <xf numFmtId="1" fontId="24" fillId="0" borderId="69" xfId="0" applyNumberFormat="1" applyFont="1" applyBorder="1" applyAlignment="1" applyProtection="1">
      <alignment horizontal="center" vertical="center"/>
      <protection locked="0"/>
    </xf>
    <xf numFmtId="164" fontId="24" fillId="0" borderId="62" xfId="0" applyNumberFormat="1" applyFont="1" applyBorder="1" applyAlignment="1" applyProtection="1">
      <alignment horizontal="center" vertical="center"/>
      <protection locked="0"/>
    </xf>
    <xf numFmtId="164" fontId="25" fillId="0" borderId="20" xfId="0" applyNumberFormat="1" applyFont="1" applyBorder="1" applyAlignment="1">
      <alignment horizontal="center" vertical="center"/>
    </xf>
    <xf numFmtId="1" fontId="25" fillId="0" borderId="20" xfId="0" applyNumberFormat="1" applyFont="1" applyBorder="1" applyAlignment="1">
      <alignment horizontal="center" vertical="center"/>
    </xf>
    <xf numFmtId="164" fontId="24" fillId="0" borderId="69" xfId="2" applyNumberFormat="1" applyFont="1" applyBorder="1" applyAlignment="1">
      <alignment horizontal="center" vertical="center" wrapText="1"/>
    </xf>
    <xf numFmtId="164" fontId="24" fillId="0" borderId="64" xfId="2" applyNumberFormat="1" applyFont="1" applyBorder="1" applyAlignment="1" applyProtection="1">
      <alignment horizontal="center" vertical="center"/>
      <protection locked="0"/>
    </xf>
    <xf numFmtId="164" fontId="24" fillId="0" borderId="69" xfId="2" applyNumberFormat="1" applyFont="1" applyBorder="1" applyAlignment="1" applyProtection="1">
      <alignment horizontal="center" vertical="center"/>
      <protection locked="0"/>
    </xf>
    <xf numFmtId="1" fontId="24" fillId="0" borderId="69" xfId="2" applyNumberFormat="1" applyFont="1" applyBorder="1" applyAlignment="1" applyProtection="1">
      <alignment horizontal="center" vertical="center"/>
      <protection locked="0"/>
    </xf>
    <xf numFmtId="164" fontId="24" fillId="0" borderId="62" xfId="2" applyNumberFormat="1" applyFont="1" applyBorder="1" applyAlignment="1" applyProtection="1">
      <alignment horizontal="center" vertical="center"/>
      <protection locked="0"/>
    </xf>
    <xf numFmtId="164" fontId="27" fillId="0" borderId="69" xfId="0" applyNumberFormat="1" applyFont="1" applyBorder="1" applyAlignment="1">
      <alignment horizontal="center" vertical="center" wrapText="1"/>
    </xf>
    <xf numFmtId="164" fontId="27" fillId="0" borderId="64" xfId="0" applyNumberFormat="1" applyFont="1" applyBorder="1" applyAlignment="1" applyProtection="1">
      <alignment horizontal="center" vertical="center"/>
      <protection locked="0"/>
    </xf>
    <xf numFmtId="164" fontId="27" fillId="0" borderId="69" xfId="0" applyNumberFormat="1" applyFont="1" applyBorder="1" applyAlignment="1" applyProtection="1">
      <alignment horizontal="center" vertical="center"/>
      <protection locked="0"/>
    </xf>
    <xf numFmtId="164" fontId="27" fillId="0" borderId="62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18" fillId="0" borderId="63" xfId="0" applyFont="1" applyBorder="1" applyAlignment="1" applyProtection="1">
      <alignment horizontal="center" vertical="center"/>
      <protection hidden="1"/>
    </xf>
    <xf numFmtId="0" fontId="18" fillId="0" borderId="64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164" fontId="23" fillId="0" borderId="68" xfId="0" applyNumberFormat="1" applyFont="1" applyBorder="1" applyAlignment="1" applyProtection="1">
      <alignment horizontal="center" vertical="center"/>
      <protection locked="0"/>
    </xf>
    <xf numFmtId="164" fontId="23" fillId="0" borderId="64" xfId="0" applyNumberFormat="1" applyFont="1" applyBorder="1" applyAlignment="1" applyProtection="1">
      <alignment horizontal="center" vertical="center"/>
      <protection locked="0"/>
    </xf>
    <xf numFmtId="2" fontId="23" fillId="0" borderId="62" xfId="0" applyNumberFormat="1" applyFont="1" applyBorder="1" applyAlignment="1" applyProtection="1">
      <alignment horizontal="center" vertical="center"/>
      <protection locked="0"/>
    </xf>
    <xf numFmtId="2" fontId="23" fillId="0" borderId="64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20" fillId="0" borderId="0" xfId="0" applyFont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19" fillId="0" borderId="65" xfId="0" applyFont="1" applyBorder="1" applyAlignment="1" applyProtection="1">
      <alignment horizontal="center" vertical="center" wrapText="1"/>
      <protection locked="0"/>
    </xf>
    <xf numFmtId="0" fontId="19" fillId="0" borderId="66" xfId="0" applyFont="1" applyBorder="1" applyAlignment="1" applyProtection="1">
      <alignment horizontal="center" vertical="center" wrapText="1"/>
      <protection locked="0"/>
    </xf>
    <xf numFmtId="0" fontId="19" fillId="0" borderId="67" xfId="0" applyFont="1" applyBorder="1" applyAlignment="1" applyProtection="1">
      <alignment horizontal="center" vertical="center" wrapText="1"/>
      <protection locked="0"/>
    </xf>
    <xf numFmtId="0" fontId="19" fillId="0" borderId="60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61" xfId="0" applyFont="1" applyBorder="1" applyAlignment="1" applyProtection="1">
      <alignment horizontal="center" vertical="center" wrapText="1"/>
      <protection locked="0"/>
    </xf>
    <xf numFmtId="0" fontId="19" fillId="0" borderId="62" xfId="0" applyFont="1" applyBorder="1" applyAlignment="1" applyProtection="1">
      <alignment horizontal="center" vertical="center" wrapText="1"/>
      <protection locked="0"/>
    </xf>
    <xf numFmtId="0" fontId="19" fillId="0" borderId="63" xfId="0" applyFont="1" applyBorder="1" applyAlignment="1" applyProtection="1">
      <alignment horizontal="center" vertical="center" wrapText="1"/>
      <protection locked="0"/>
    </xf>
    <xf numFmtId="0" fontId="19" fillId="0" borderId="6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5" fillId="0" borderId="8" xfId="0" applyNumberFormat="1" applyFont="1" applyBorder="1" applyAlignment="1" applyProtection="1">
      <alignment horizontal="center" vertical="center"/>
      <protection locked="0"/>
    </xf>
    <xf numFmtId="0" fontId="26" fillId="0" borderId="62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164" fontId="27" fillId="0" borderId="68" xfId="0" applyNumberFormat="1" applyFont="1" applyBorder="1" applyAlignment="1" applyProtection="1">
      <alignment horizontal="center" vertical="center"/>
      <protection locked="0"/>
    </xf>
    <xf numFmtId="164" fontId="27" fillId="0" borderId="64" xfId="0" applyNumberFormat="1" applyFont="1" applyBorder="1" applyAlignment="1" applyProtection="1">
      <alignment horizontal="center" vertical="center"/>
      <protection locked="0"/>
    </xf>
    <xf numFmtId="2" fontId="27" fillId="0" borderId="62" xfId="0" applyNumberFormat="1" applyFont="1" applyBorder="1" applyAlignment="1" applyProtection="1">
      <alignment horizontal="center" vertical="center"/>
      <protection locked="0"/>
    </xf>
    <xf numFmtId="2" fontId="27" fillId="0" borderId="64" xfId="0" applyNumberFormat="1" applyFont="1" applyBorder="1" applyAlignment="1" applyProtection="1">
      <alignment horizontal="center" vertical="center"/>
      <protection locked="0"/>
    </xf>
    <xf numFmtId="0" fontId="24" fillId="0" borderId="62" xfId="0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164" fontId="24" fillId="0" borderId="68" xfId="2" applyNumberFormat="1" applyFont="1" applyBorder="1" applyAlignment="1" applyProtection="1">
      <alignment horizontal="center" vertical="center"/>
      <protection locked="0"/>
    </xf>
    <xf numFmtId="164" fontId="24" fillId="0" borderId="64" xfId="2" applyNumberFormat="1" applyFont="1" applyBorder="1" applyAlignment="1" applyProtection="1">
      <alignment horizontal="center" vertical="center"/>
      <protection locked="0"/>
    </xf>
    <xf numFmtId="2" fontId="24" fillId="0" borderId="62" xfId="2" applyNumberFormat="1" applyFont="1" applyBorder="1" applyAlignment="1" applyProtection="1">
      <alignment horizontal="center" vertical="center"/>
      <protection locked="0"/>
    </xf>
    <xf numFmtId="2" fontId="24" fillId="0" borderId="64" xfId="2" applyNumberFormat="1" applyFont="1" applyBorder="1" applyAlignment="1" applyProtection="1">
      <alignment horizontal="center" vertical="center"/>
      <protection locked="0"/>
    </xf>
    <xf numFmtId="0" fontId="24" fillId="0" borderId="62" xfId="2" applyFont="1" applyBorder="1" applyAlignment="1">
      <alignment horizontal="center" vertical="center" wrapText="1"/>
    </xf>
    <xf numFmtId="0" fontId="24" fillId="0" borderId="64" xfId="2" applyFont="1" applyBorder="1" applyAlignment="1">
      <alignment horizontal="center" vertical="center" wrapText="1"/>
    </xf>
    <xf numFmtId="164" fontId="24" fillId="0" borderId="68" xfId="0" applyNumberFormat="1" applyFont="1" applyBorder="1" applyAlignment="1" applyProtection="1">
      <alignment horizontal="center" vertical="center"/>
      <protection locked="0"/>
    </xf>
    <xf numFmtId="164" fontId="24" fillId="0" borderId="64" xfId="0" applyNumberFormat="1" applyFont="1" applyBorder="1" applyAlignment="1" applyProtection="1">
      <alignment horizontal="center" vertical="center"/>
      <protection locked="0"/>
    </xf>
    <xf numFmtId="2" fontId="24" fillId="0" borderId="62" xfId="0" applyNumberFormat="1" applyFont="1" applyBorder="1" applyAlignment="1" applyProtection="1">
      <alignment horizontal="center" vertical="center"/>
      <protection locked="0"/>
    </xf>
    <xf numFmtId="2" fontId="24" fillId="0" borderId="64" xfId="0" applyNumberFormat="1" applyFont="1" applyBorder="1" applyAlignment="1" applyProtection="1">
      <alignment horizontal="center" vertical="center"/>
      <protection locked="0"/>
    </xf>
    <xf numFmtId="0" fontId="22" fillId="0" borderId="62" xfId="2" applyFont="1" applyBorder="1" applyAlignment="1">
      <alignment horizontal="center" vertical="center" wrapText="1"/>
    </xf>
    <xf numFmtId="0" fontId="22" fillId="0" borderId="64" xfId="2" applyFont="1" applyBorder="1" applyAlignment="1">
      <alignment horizontal="center" vertical="center" wrapText="1"/>
    </xf>
    <xf numFmtId="164" fontId="22" fillId="0" borderId="68" xfId="2" applyNumberFormat="1" applyFont="1" applyBorder="1" applyAlignment="1" applyProtection="1">
      <alignment horizontal="center" vertical="center"/>
      <protection locked="0"/>
    </xf>
    <xf numFmtId="164" fontId="22" fillId="0" borderId="64" xfId="2" applyNumberFormat="1" applyFont="1" applyBorder="1" applyAlignment="1" applyProtection="1">
      <alignment horizontal="center" vertical="center"/>
      <protection locked="0"/>
    </xf>
    <xf numFmtId="2" fontId="22" fillId="0" borderId="62" xfId="2" applyNumberFormat="1" applyFont="1" applyBorder="1" applyAlignment="1" applyProtection="1">
      <alignment horizontal="center" vertical="center"/>
      <protection locked="0"/>
    </xf>
    <xf numFmtId="2" fontId="22" fillId="0" borderId="64" xfId="2" applyNumberFormat="1" applyFont="1" applyBorder="1" applyAlignment="1" applyProtection="1">
      <alignment horizontal="center" vertical="center"/>
      <protection locked="0"/>
    </xf>
    <xf numFmtId="164" fontId="23" fillId="0" borderId="68" xfId="2" applyNumberFormat="1" applyFont="1" applyBorder="1" applyAlignment="1" applyProtection="1">
      <alignment horizontal="center" vertical="center"/>
      <protection locked="0"/>
    </xf>
    <xf numFmtId="164" fontId="23" fillId="0" borderId="64" xfId="2" applyNumberFormat="1" applyFont="1" applyBorder="1" applyAlignment="1" applyProtection="1">
      <alignment horizontal="center" vertical="center"/>
      <protection locked="0"/>
    </xf>
    <xf numFmtId="2" fontId="23" fillId="0" borderId="62" xfId="2" applyNumberFormat="1" applyFont="1" applyBorder="1" applyAlignment="1" applyProtection="1">
      <alignment horizontal="center" vertical="center"/>
      <protection locked="0"/>
    </xf>
    <xf numFmtId="2" fontId="23" fillId="0" borderId="64" xfId="2" applyNumberFormat="1" applyFont="1" applyBorder="1" applyAlignment="1" applyProtection="1">
      <alignment horizontal="center" vertical="center"/>
      <protection locked="0"/>
    </xf>
    <xf numFmtId="164" fontId="22" fillId="0" borderId="68" xfId="0" applyNumberFormat="1" applyFont="1" applyBorder="1" applyAlignment="1" applyProtection="1">
      <alignment horizontal="center" vertical="center"/>
      <protection locked="0"/>
    </xf>
    <xf numFmtId="164" fontId="22" fillId="0" borderId="64" xfId="0" applyNumberFormat="1" applyFont="1" applyBorder="1" applyAlignment="1" applyProtection="1">
      <alignment horizontal="center" vertical="center"/>
      <protection locked="0"/>
    </xf>
    <xf numFmtId="2" fontId="22" fillId="0" borderId="62" xfId="0" applyNumberFormat="1" applyFont="1" applyBorder="1" applyAlignment="1" applyProtection="1">
      <alignment horizontal="center" vertical="center"/>
      <protection locked="0"/>
    </xf>
    <xf numFmtId="2" fontId="22" fillId="0" borderId="64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4" fontId="28" fillId="0" borderId="0" xfId="0" applyNumberFormat="1" applyFont="1" applyAlignment="1" applyProtection="1">
      <alignment horizontal="left" vertical="center"/>
      <protection locked="0"/>
    </xf>
    <xf numFmtId="164" fontId="26" fillId="0" borderId="69" xfId="0" applyNumberFormat="1" applyFont="1" applyBorder="1" applyAlignment="1">
      <alignment horizontal="center" vertical="center" wrapText="1"/>
    </xf>
    <xf numFmtId="164" fontId="26" fillId="0" borderId="64" xfId="0" applyNumberFormat="1" applyFont="1" applyBorder="1" applyAlignment="1" applyProtection="1">
      <alignment horizontal="center" vertical="center"/>
      <protection locked="0"/>
    </xf>
    <xf numFmtId="164" fontId="26" fillId="0" borderId="69" xfId="0" applyNumberFormat="1" applyFont="1" applyBorder="1" applyAlignment="1" applyProtection="1">
      <alignment horizontal="center" vertical="center"/>
      <protection locked="0"/>
    </xf>
    <xf numFmtId="164" fontId="26" fillId="0" borderId="62" xfId="0" applyNumberFormat="1" applyFont="1" applyBorder="1" applyAlignment="1" applyProtection="1">
      <alignment horizontal="center" vertical="center"/>
      <protection locked="0"/>
    </xf>
    <xf numFmtId="164" fontId="26" fillId="0" borderId="68" xfId="0" applyNumberFormat="1" applyFont="1" applyBorder="1" applyAlignment="1" applyProtection="1">
      <alignment horizontal="center" vertical="center"/>
      <protection locked="0"/>
    </xf>
    <xf numFmtId="164" fontId="26" fillId="0" borderId="64" xfId="0" applyNumberFormat="1" applyFont="1" applyBorder="1" applyAlignment="1" applyProtection="1">
      <alignment horizontal="center" vertical="center"/>
      <protection locked="0"/>
    </xf>
    <xf numFmtId="2" fontId="26" fillId="0" borderId="62" xfId="0" applyNumberFormat="1" applyFont="1" applyBorder="1" applyAlignment="1" applyProtection="1">
      <alignment horizontal="center" vertical="center"/>
      <protection locked="0"/>
    </xf>
    <xf numFmtId="2" fontId="26" fillId="0" borderId="64" xfId="0" applyNumberFormat="1" applyFont="1" applyBorder="1" applyAlignment="1" applyProtection="1">
      <alignment horizontal="center" vertical="center"/>
      <protection locked="0"/>
    </xf>
    <xf numFmtId="1" fontId="26" fillId="0" borderId="69" xfId="0" applyNumberFormat="1" applyFont="1" applyBorder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left" vertical="center"/>
      <protection hidden="1"/>
    </xf>
  </cellXfs>
  <cellStyles count="3">
    <cellStyle name="Normal" xfId="0" builtinId="0"/>
    <cellStyle name="Normal 2" xfId="1" xr:uid="{00000000-0005-0000-0000-000001000000}"/>
    <cellStyle name="Normal 3" xfId="2" xr:uid="{D4D82EC9-33D6-4B88-A53C-037DC36C8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09-101025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BBSG'!$E$57:$W$57</c:f>
              <c:numCache>
                <c:formatCode>0.0</c:formatCode>
                <c:ptCount val="19"/>
                <c:pt idx="0">
                  <c:v>7.3</c:v>
                </c:pt>
                <c:pt idx="1">
                  <c:v>9.3000000000000007</c:v>
                </c:pt>
                <c:pt idx="2">
                  <c:v>12.2</c:v>
                </c:pt>
                <c:pt idx="3">
                  <c:v>15.9</c:v>
                </c:pt>
                <c:pt idx="4">
                  <c:v>21</c:v>
                </c:pt>
                <c:pt idx="5">
                  <c:v>29.7</c:v>
                </c:pt>
                <c:pt idx="6">
                  <c:v>42.7</c:v>
                </c:pt>
                <c:pt idx="7">
                  <c:v>61.5</c:v>
                </c:pt>
                <c:pt idx="8">
                  <c:v>79.2</c:v>
                </c:pt>
                <c:pt idx="9">
                  <c:v>95.5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9A-4F0B-ABDD-6F1DD71F792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09-101025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BBSG'!$E$58:$W$58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9A-4F0B-ABDD-6F1DD71F792F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399A-4F0B-ABDD-6F1DD71F792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09-101025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BBSG'!$E$60:$W$60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9A-4F0B-ABDD-6F1DD71F792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09-101025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BBSG'!$E$59:$W$59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9A-4F0B-ABDD-6F1DD71F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09-101025 Albigny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GB'!$E$57:$W$57</c:f>
              <c:numCache>
                <c:formatCode>0.0</c:formatCode>
                <c:ptCount val="19"/>
                <c:pt idx="0">
                  <c:v>7.9</c:v>
                </c:pt>
                <c:pt idx="1">
                  <c:v>10.1</c:v>
                </c:pt>
                <c:pt idx="2">
                  <c:v>13.2</c:v>
                </c:pt>
                <c:pt idx="3">
                  <c:v>17.2</c:v>
                </c:pt>
                <c:pt idx="4">
                  <c:v>22.6</c:v>
                </c:pt>
                <c:pt idx="5">
                  <c:v>32.299999999999997</c:v>
                </c:pt>
                <c:pt idx="6">
                  <c:v>47.6</c:v>
                </c:pt>
                <c:pt idx="7">
                  <c:v>62.4</c:v>
                </c:pt>
                <c:pt idx="8">
                  <c:v>72.5</c:v>
                </c:pt>
                <c:pt idx="9">
                  <c:v>81.2</c:v>
                </c:pt>
                <c:pt idx="10">
                  <c:v>93.4</c:v>
                </c:pt>
                <c:pt idx="11">
                  <c:v>97.5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3F-45DF-8AC0-F6A0B547CCF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09-101025 Albigny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GB'!$E$58:$W$58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3F-45DF-8AC0-F6A0B547CCFD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03F-45DF-8AC0-F6A0B547CCF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09-101025 Albigny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GB'!$E$60:$W$60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3F-45DF-8AC0-F6A0B547CCF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09-101025 Albigny GB'!$E$50:$W$50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09-101025 Albigny GB'!$E$59:$W$59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3F-45DF-8AC0-F6A0B547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18-190625 Albigny BBSG 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18-190625 Albigny BBSG '!$E$57:$W$57</c:f>
              <c:numCache>
                <c:formatCode>0.0</c:formatCode>
                <c:ptCount val="19"/>
                <c:pt idx="0">
                  <c:v>7.3000000000000007</c:v>
                </c:pt>
                <c:pt idx="1">
                  <c:v>9.35</c:v>
                </c:pt>
                <c:pt idx="2">
                  <c:v>12.05</c:v>
                </c:pt>
                <c:pt idx="3">
                  <c:v>15.5</c:v>
                </c:pt>
                <c:pt idx="4">
                  <c:v>20.399999999999999</c:v>
                </c:pt>
                <c:pt idx="5">
                  <c:v>28.95</c:v>
                </c:pt>
                <c:pt idx="6">
                  <c:v>42.95</c:v>
                </c:pt>
                <c:pt idx="7">
                  <c:v>59.35</c:v>
                </c:pt>
                <c:pt idx="8">
                  <c:v>76.75</c:v>
                </c:pt>
                <c:pt idx="9">
                  <c:v>94.15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173.5</c:v>
                </c:pt>
                <c:pt idx="18" formatCode="0.00">
                  <c:v>5.085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5F-4BF7-88B8-2A37EB817E7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18-190625 Albigny BBSG 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18-190625 Albigny BBSG 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5F-4BF7-88B8-2A37EB817E7A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85F-4BF7-88B8-2A37EB817E7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18-190625 Albigny BBSG 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18-190625 Albigny BBSG 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5F-4BF7-88B8-2A37EB817E7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18-190625 Albigny BBSG 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18-190625 Albigny BBSG 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5F-4BF7-88B8-2A37EB81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17-180625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17-180625 Albigny BBSG'!$E$57:$W$57</c:f>
              <c:numCache>
                <c:formatCode>0.0</c:formatCode>
                <c:ptCount val="19"/>
                <c:pt idx="0">
                  <c:v>7.4</c:v>
                </c:pt>
                <c:pt idx="1">
                  <c:v>9.3999999999999986</c:v>
                </c:pt>
                <c:pt idx="2">
                  <c:v>12.100000000000001</c:v>
                </c:pt>
                <c:pt idx="3">
                  <c:v>15.45</c:v>
                </c:pt>
                <c:pt idx="4">
                  <c:v>20.299999999999997</c:v>
                </c:pt>
                <c:pt idx="5">
                  <c:v>29.1</c:v>
                </c:pt>
                <c:pt idx="6">
                  <c:v>43.75</c:v>
                </c:pt>
                <c:pt idx="7">
                  <c:v>61.45</c:v>
                </c:pt>
                <c:pt idx="8">
                  <c:v>77.3</c:v>
                </c:pt>
                <c:pt idx="9">
                  <c:v>94.85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167.5</c:v>
                </c:pt>
                <c:pt idx="18" formatCode="0.00">
                  <c:v>5.1850000000000005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AB-4397-8550-CCEBB2FD8C5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17-180625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17-180625 Albigny BBSG'!$E$58:$W$58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AB-4397-8550-CCEBB2FD8C52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CAB-4397-8550-CCEBB2FD8C5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17-180625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17-180625 Albigny BBSG'!$E$60:$W$60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AB-4397-8550-CCEBB2FD8C5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17-180625 Albigny BBSG'!$E$50:$W$50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17-180625 Albigny BBSG'!$E$59:$W$59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AB-4397-8550-CCEBB2FD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07-080324'!$E$50:$W$50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07-080324'!$E$57:$W$57</c:f>
              <c:numCache>
                <c:formatCode>0.0</c:formatCode>
                <c:ptCount val="19"/>
                <c:pt idx="0">
                  <c:v>8</c:v>
                </c:pt>
                <c:pt idx="1">
                  <c:v>10.050000000000001</c:v>
                </c:pt>
                <c:pt idx="2">
                  <c:v>12.399999999999999</c:v>
                </c:pt>
                <c:pt idx="3">
                  <c:v>15.95</c:v>
                </c:pt>
                <c:pt idx="4">
                  <c:v>21.4</c:v>
                </c:pt>
                <c:pt idx="5">
                  <c:v>32.299999999999997</c:v>
                </c:pt>
                <c:pt idx="6">
                  <c:v>48</c:v>
                </c:pt>
                <c:pt idx="7">
                  <c:v>67.2</c:v>
                </c:pt>
                <c:pt idx="8">
                  <c:v>84.1</c:v>
                </c:pt>
                <c:pt idx="9">
                  <c:v>95.949999999999989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167.5</c:v>
                </c:pt>
                <c:pt idx="18" formatCode="0.00">
                  <c:v>5.165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59-4E92-BF94-FBA60B9B5C3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07-080324'!$E$50:$W$50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07-080324'!$E$58:$W$58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9-4E92-BF94-FBA60B9B5C3D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3459-4E92-BF94-FBA60B9B5C3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07-080324'!$E$50:$W$50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07-080324'!$E$60:$W$60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59-4E92-BF94-FBA60B9B5C3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07-080324'!$E$50:$W$50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07-080324'!$E$59:$W$59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59-4E92-BF94-FBA60B9B5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06-070324'!$E$50:$W$50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06-070324'!$E$57:$W$57</c:f>
              <c:numCache>
                <c:formatCode>0.0</c:formatCode>
                <c:ptCount val="19"/>
                <c:pt idx="0">
                  <c:v>7.35</c:v>
                </c:pt>
                <c:pt idx="1">
                  <c:v>9.25</c:v>
                </c:pt>
                <c:pt idx="2">
                  <c:v>11.4</c:v>
                </c:pt>
                <c:pt idx="3">
                  <c:v>14.45</c:v>
                </c:pt>
                <c:pt idx="4">
                  <c:v>19.5</c:v>
                </c:pt>
                <c:pt idx="5">
                  <c:v>29.45</c:v>
                </c:pt>
                <c:pt idx="6">
                  <c:v>45.05</c:v>
                </c:pt>
                <c:pt idx="7">
                  <c:v>64.75</c:v>
                </c:pt>
                <c:pt idx="8">
                  <c:v>82.45</c:v>
                </c:pt>
                <c:pt idx="9">
                  <c:v>96.2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</c:v>
                </c:pt>
                <c:pt idx="18" formatCode="0.00">
                  <c:v>5.34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7E-4B95-B3AC-FF94E9535451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06-070324'!$E$50:$W$50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06-070324'!$E$58:$W$58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7E-4B95-B3AC-FF94E9535451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67E-4B95-B3AC-FF94E9535451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06-070324'!$E$50:$W$50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06-070324'!$E$60:$W$60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7E-4B95-B3AC-FF94E9535451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06-070324'!$E$50:$W$50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06-070324'!$E$59:$W$59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7E-4B95-B3AC-FF94E9535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05-060324'!$E$50:$W$50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05-060324'!$E$57:$W$57</c:f>
              <c:numCache>
                <c:formatCode>0.0</c:formatCode>
                <c:ptCount val="19"/>
                <c:pt idx="0">
                  <c:v>8.1499999999999986</c:v>
                </c:pt>
                <c:pt idx="1">
                  <c:v>10.4</c:v>
                </c:pt>
                <c:pt idx="2">
                  <c:v>14.45</c:v>
                </c:pt>
                <c:pt idx="3">
                  <c:v>17.3</c:v>
                </c:pt>
                <c:pt idx="4">
                  <c:v>22.25</c:v>
                </c:pt>
                <c:pt idx="5">
                  <c:v>31.5</c:v>
                </c:pt>
                <c:pt idx="6">
                  <c:v>45.65</c:v>
                </c:pt>
                <c:pt idx="7">
                  <c:v>55.5</c:v>
                </c:pt>
                <c:pt idx="8">
                  <c:v>66.400000000000006</c:v>
                </c:pt>
                <c:pt idx="9">
                  <c:v>79</c:v>
                </c:pt>
                <c:pt idx="10" formatCode="0">
                  <c:v>90.300000000000011</c:v>
                </c:pt>
                <c:pt idx="11" formatCode="0">
                  <c:v>96.5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4.3899999999999997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F8-404E-B022-A4A8C3E602B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05-060324'!$E$50:$W$50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05-060324'!$E$58:$W$58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 formatCode="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F8-404E-B022-A4A8C3E602B6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CF8-404E-B022-A4A8C3E602B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05-060324'!$E$50:$W$50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05-060324'!$E$60:$W$60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F8-404E-B022-A4A8C3E602B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05-060324'!$E$50:$W$50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05-060324'!$E$59:$W$59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F8-404E-B022-A4A8C3E60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'061223'!$E$50:$W$50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'061223'!$E$57:$W$57</c:f>
              <c:numCache>
                <c:formatCode>0.0</c:formatCode>
                <c:ptCount val="19"/>
                <c:pt idx="0">
                  <c:v>6.3</c:v>
                </c:pt>
                <c:pt idx="1">
                  <c:v>8</c:v>
                </c:pt>
                <c:pt idx="2">
                  <c:v>10.6</c:v>
                </c:pt>
                <c:pt idx="3">
                  <c:v>14.1</c:v>
                </c:pt>
                <c:pt idx="4">
                  <c:v>19</c:v>
                </c:pt>
                <c:pt idx="5">
                  <c:v>28.3</c:v>
                </c:pt>
                <c:pt idx="6">
                  <c:v>43.7</c:v>
                </c:pt>
                <c:pt idx="7">
                  <c:v>60.4</c:v>
                </c:pt>
                <c:pt idx="8">
                  <c:v>76.3</c:v>
                </c:pt>
                <c:pt idx="9">
                  <c:v>95.2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174</c:v>
                </c:pt>
                <c:pt idx="18" formatCode="0.00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D-44D9-85E6-27815B3AB8A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'061223'!$E$50:$W$50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'061223'!$E$58:$W$58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3D-44D9-85E6-27815B3AB8A8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B3D-44D9-85E6-27815B3AB8A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'061223'!$E$50:$W$50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'061223'!$E$60:$W$60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3D-44D9-85E6-27815B3AB8A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'061223'!$E$50:$W$50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'061223'!$E$59:$W$59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3D-44D9-85E6-27815B3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'130923'!$E$57:$W$57</c:f>
              <c:numCache>
                <c:formatCode>0.0</c:formatCode>
                <c:ptCount val="19"/>
                <c:pt idx="0">
                  <c:v>7.65</c:v>
                </c:pt>
                <c:pt idx="1">
                  <c:v>9.65</c:v>
                </c:pt>
                <c:pt idx="2">
                  <c:v>12.75</c:v>
                </c:pt>
                <c:pt idx="3">
                  <c:v>16.3</c:v>
                </c:pt>
                <c:pt idx="4">
                  <c:v>21.5</c:v>
                </c:pt>
                <c:pt idx="5">
                  <c:v>30.950000000000003</c:v>
                </c:pt>
                <c:pt idx="6">
                  <c:v>45.05</c:v>
                </c:pt>
                <c:pt idx="7">
                  <c:v>55.25</c:v>
                </c:pt>
                <c:pt idx="8">
                  <c:v>65.2</c:v>
                </c:pt>
                <c:pt idx="9">
                  <c:v>78</c:v>
                </c:pt>
                <c:pt idx="10">
                  <c:v>92.35</c:v>
                </c:pt>
                <c:pt idx="11">
                  <c:v>96.949999999999989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172.5</c:v>
                </c:pt>
                <c:pt idx="18" formatCode="0.00">
                  <c:v>4.1850000000000005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BD-445D-9F91-BB8E3EAE632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'130923'!$E$58:$W$58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 formatCode="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BD-445D-9F91-BB8E3EAE6324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6BD-445D-9F91-BB8E3EAE632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'130923'!$E$60:$W$60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BD-445D-9F91-BB8E3EAE632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'130923'!$E$59:$W$59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BD-445D-9F91-BB8E3EAE6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'120923'!$E$57:$W$57</c:f>
              <c:numCache>
                <c:formatCode>0.0</c:formatCode>
                <c:ptCount val="19"/>
                <c:pt idx="0">
                  <c:v>6.85</c:v>
                </c:pt>
                <c:pt idx="1">
                  <c:v>8.8000000000000007</c:v>
                </c:pt>
                <c:pt idx="2">
                  <c:v>11.65</c:v>
                </c:pt>
                <c:pt idx="3">
                  <c:v>15.15</c:v>
                </c:pt>
                <c:pt idx="4">
                  <c:v>20.2</c:v>
                </c:pt>
                <c:pt idx="5">
                  <c:v>29.25</c:v>
                </c:pt>
                <c:pt idx="6">
                  <c:v>44.05</c:v>
                </c:pt>
                <c:pt idx="7">
                  <c:v>56.3</c:v>
                </c:pt>
                <c:pt idx="8">
                  <c:v>69.150000000000006</c:v>
                </c:pt>
                <c:pt idx="9">
                  <c:v>83.550000000000011</c:v>
                </c:pt>
                <c:pt idx="10">
                  <c:v>94.25</c:v>
                </c:pt>
                <c:pt idx="11">
                  <c:v>98.25</c:v>
                </c:pt>
                <c:pt idx="12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179</c:v>
                </c:pt>
                <c:pt idx="18" formatCode="0.00">
                  <c:v>4.3499999999999996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C2-4492-B7F7-EA698D153E9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'120923'!$E$58:$W$58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 formatCode="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C2-4492-B7F7-EA698D153E95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3C2-4492-B7F7-EA698D153E9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'120923'!$E$60:$W$60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C2-4492-B7F7-EA698D153E9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'120923'!$E$50:$W$50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'120923'!$E$59:$W$59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C2-4492-B7F7-EA698D15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'141222'!$E$50:$W$50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'141222'!$E$57:$W$57</c:f>
              <c:numCache>
                <c:formatCode>0.0</c:formatCode>
                <c:ptCount val="19"/>
                <c:pt idx="0">
                  <c:v>6.6</c:v>
                </c:pt>
                <c:pt idx="1">
                  <c:v>8.4</c:v>
                </c:pt>
                <c:pt idx="2">
                  <c:v>11.3</c:v>
                </c:pt>
                <c:pt idx="3">
                  <c:v>15.1</c:v>
                </c:pt>
                <c:pt idx="4">
                  <c:v>20.2</c:v>
                </c:pt>
                <c:pt idx="5">
                  <c:v>29.5</c:v>
                </c:pt>
                <c:pt idx="6">
                  <c:v>44.5</c:v>
                </c:pt>
                <c:pt idx="7">
                  <c:v>64.7</c:v>
                </c:pt>
                <c:pt idx="8">
                  <c:v>80.900000000000006</c:v>
                </c:pt>
                <c:pt idx="9">
                  <c:v>96.6</c:v>
                </c:pt>
                <c:pt idx="1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5.29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25-45E5-AAF2-290D0AAB315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'141222'!$E$58:$W$58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25-45E5-AAF2-290D0AAB315D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F25-45E5-AAF2-290D0AAB315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'141222'!$E$50:$W$50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'141222'!$E$60:$W$60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25-45E5-AAF2-290D0AAB315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'141222'!$E$50:$W$50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'141222'!$E$59:$W$59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25-45E5-AAF2-290D0AAB3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'081222'!$E$50:$W$50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'081222'!$E$57:$W$57</c:f>
              <c:numCache>
                <c:formatCode>0.0</c:formatCode>
                <c:ptCount val="19"/>
                <c:pt idx="0">
                  <c:v>7.5</c:v>
                </c:pt>
                <c:pt idx="1">
                  <c:v>9.6999999999999993</c:v>
                </c:pt>
                <c:pt idx="2">
                  <c:v>12.9</c:v>
                </c:pt>
                <c:pt idx="3">
                  <c:v>16.8</c:v>
                </c:pt>
                <c:pt idx="4">
                  <c:v>21.9</c:v>
                </c:pt>
                <c:pt idx="5">
                  <c:v>30.4</c:v>
                </c:pt>
                <c:pt idx="6">
                  <c:v>44.3</c:v>
                </c:pt>
                <c:pt idx="7">
                  <c:v>57.7</c:v>
                </c:pt>
                <c:pt idx="8">
                  <c:v>65.599999999999994</c:v>
                </c:pt>
                <c:pt idx="9">
                  <c:v>75.099999999999994</c:v>
                </c:pt>
                <c:pt idx="10">
                  <c:v>87.3</c:v>
                </c:pt>
                <c:pt idx="11">
                  <c:v>96.2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3.96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B8-4DC8-BC17-A9B289699A09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'081222'!$E$50:$W$50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'081222'!$E$58:$W$58</c:f>
              <c:numCache>
                <c:formatCode>0.0</c:formatCode>
                <c:ptCount val="19"/>
                <c:pt idx="0">
                  <c:v>6.2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30</c:v>
                </c:pt>
                <c:pt idx="6">
                  <c:v>43</c:v>
                </c:pt>
                <c:pt idx="7">
                  <c:v>59</c:v>
                </c:pt>
                <c:pt idx="8">
                  <c:v>68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B8-4DC8-BC17-A9B289699A09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4B8-4DC8-BC17-A9B289699A09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'081222'!$E$60:$W$60</c:f>
              <c:numCache>
                <c:formatCode>0.0</c:formatCode>
                <c:ptCount val="19"/>
                <c:pt idx="0">
                  <c:v>4.2</c:v>
                </c:pt>
                <c:pt idx="5">
                  <c:v>24</c:v>
                </c:pt>
                <c:pt idx="7">
                  <c:v>52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B8-4DC8-BC17-A9B289699A09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'081222'!$E$59:$W$59</c:f>
              <c:numCache>
                <c:formatCode>0.0</c:formatCode>
                <c:ptCount val="19"/>
                <c:pt idx="0">
                  <c:v>8.1999999999999993</c:v>
                </c:pt>
                <c:pt idx="5">
                  <c:v>36</c:v>
                </c:pt>
                <c:pt idx="7">
                  <c:v>66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B8-4DC8-BC17-A9B289699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'061222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 (2)'!$E$57:$W$57</c:f>
              <c:numCache>
                <c:formatCode>0.0</c:formatCode>
                <c:ptCount val="19"/>
                <c:pt idx="0">
                  <c:v>7.1</c:v>
                </c:pt>
                <c:pt idx="1">
                  <c:v>9.1</c:v>
                </c:pt>
                <c:pt idx="2">
                  <c:v>12.4</c:v>
                </c:pt>
                <c:pt idx="3">
                  <c:v>16.600000000000001</c:v>
                </c:pt>
                <c:pt idx="4">
                  <c:v>22.5</c:v>
                </c:pt>
                <c:pt idx="5">
                  <c:v>33.4</c:v>
                </c:pt>
                <c:pt idx="6">
                  <c:v>48.4</c:v>
                </c:pt>
                <c:pt idx="7">
                  <c:v>65.3</c:v>
                </c:pt>
                <c:pt idx="8">
                  <c:v>80.8</c:v>
                </c:pt>
                <c:pt idx="9">
                  <c:v>96.8</c:v>
                </c:pt>
                <c:pt idx="1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9D-46B8-975E-90B9ADF6BC6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'061222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 (2)'!$E$58:$W$58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9D-46B8-975E-90B9ADF6BC67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09D-46B8-975E-90B9ADF6BC6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'061222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 (2)'!$E$60:$W$60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9D-46B8-975E-90B9ADF6BC6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'061222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 (2)'!$E$59:$W$59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9D-46B8-975E-90B9ADF6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'061222'!$E$57:$W$57</c:f>
              <c:numCache>
                <c:formatCode>0.0</c:formatCode>
                <c:ptCount val="19"/>
                <c:pt idx="0">
                  <c:v>7.9</c:v>
                </c:pt>
                <c:pt idx="1">
                  <c:v>10.1</c:v>
                </c:pt>
                <c:pt idx="2">
                  <c:v>13</c:v>
                </c:pt>
                <c:pt idx="3">
                  <c:v>16.5</c:v>
                </c:pt>
                <c:pt idx="4">
                  <c:v>21.4</c:v>
                </c:pt>
                <c:pt idx="5">
                  <c:v>29.8</c:v>
                </c:pt>
                <c:pt idx="6">
                  <c:v>44.6</c:v>
                </c:pt>
                <c:pt idx="7">
                  <c:v>58.3</c:v>
                </c:pt>
                <c:pt idx="8">
                  <c:v>69.400000000000006</c:v>
                </c:pt>
                <c:pt idx="9">
                  <c:v>82.8</c:v>
                </c:pt>
                <c:pt idx="10">
                  <c:v>92.3</c:v>
                </c:pt>
                <c:pt idx="11">
                  <c:v>98.4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DC-4B45-9A32-84104E14F3F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'061222'!$E$58:$W$58</c:f>
              <c:numCache>
                <c:formatCode>0.0</c:formatCode>
                <c:ptCount val="19"/>
                <c:pt idx="0">
                  <c:v>6.2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30</c:v>
                </c:pt>
                <c:pt idx="6">
                  <c:v>43</c:v>
                </c:pt>
                <c:pt idx="7">
                  <c:v>59</c:v>
                </c:pt>
                <c:pt idx="8">
                  <c:v>68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DC-4B45-9A32-84104E14F3F7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5DC-4B45-9A32-84104E14F3F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'061222'!$E$60:$W$60</c:f>
              <c:numCache>
                <c:formatCode>0.0</c:formatCode>
                <c:ptCount val="19"/>
                <c:pt idx="0">
                  <c:v>4.2</c:v>
                </c:pt>
                <c:pt idx="5">
                  <c:v>24</c:v>
                </c:pt>
                <c:pt idx="7">
                  <c:v>52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DC-4B45-9A32-84104E14F3F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'061222'!$E$59:$W$59</c:f>
              <c:numCache>
                <c:formatCode>0.0</c:formatCode>
                <c:ptCount val="19"/>
                <c:pt idx="0">
                  <c:v>8.1999999999999993</c:v>
                </c:pt>
                <c:pt idx="5">
                  <c:v>36</c:v>
                </c:pt>
                <c:pt idx="7">
                  <c:v>66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DC-4B45-9A32-84104E14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'051222'!$E$50:$W$50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'051222'!$E$57:$W$57</c:f>
              <c:numCache>
                <c:formatCode>0.0</c:formatCode>
                <c:ptCount val="19"/>
                <c:pt idx="0">
                  <c:v>6.4</c:v>
                </c:pt>
                <c:pt idx="1">
                  <c:v>8.3000000000000007</c:v>
                </c:pt>
                <c:pt idx="2">
                  <c:v>11.6</c:v>
                </c:pt>
                <c:pt idx="3">
                  <c:v>15.7</c:v>
                </c:pt>
                <c:pt idx="4">
                  <c:v>21.2</c:v>
                </c:pt>
                <c:pt idx="5">
                  <c:v>30.4</c:v>
                </c:pt>
                <c:pt idx="6">
                  <c:v>45.1</c:v>
                </c:pt>
                <c:pt idx="7">
                  <c:v>61.3</c:v>
                </c:pt>
                <c:pt idx="8">
                  <c:v>69.099999999999994</c:v>
                </c:pt>
                <c:pt idx="9">
                  <c:v>79.099999999999994</c:v>
                </c:pt>
                <c:pt idx="10">
                  <c:v>90.7</c:v>
                </c:pt>
                <c:pt idx="11">
                  <c:v>97.9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F1-4491-8B1B-035FF0A8F9A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'051222'!$E$58:$W$58</c:f>
              <c:numCache>
                <c:formatCode>0.0</c:formatCode>
                <c:ptCount val="19"/>
                <c:pt idx="0">
                  <c:v>6.2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30</c:v>
                </c:pt>
                <c:pt idx="6">
                  <c:v>43</c:v>
                </c:pt>
                <c:pt idx="7">
                  <c:v>59</c:v>
                </c:pt>
                <c:pt idx="8">
                  <c:v>68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F1-4491-8B1B-035FF0A8F9A7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FF1-4491-8B1B-035FF0A8F9A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'051222'!$E$60:$W$60</c:f>
              <c:numCache>
                <c:formatCode>0.0</c:formatCode>
                <c:ptCount val="19"/>
                <c:pt idx="0">
                  <c:v>4.2</c:v>
                </c:pt>
                <c:pt idx="5">
                  <c:v>24</c:v>
                </c:pt>
                <c:pt idx="7">
                  <c:v>52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F1-4491-8B1B-035FF0A8F9A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'051222'!$E$50:$W$50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'051222'!$E$59:$W$59</c:f>
              <c:numCache>
                <c:formatCode>0.0</c:formatCode>
                <c:ptCount val="19"/>
                <c:pt idx="0">
                  <c:v>8.1999999999999993</c:v>
                </c:pt>
                <c:pt idx="5">
                  <c:v>36</c:v>
                </c:pt>
                <c:pt idx="7">
                  <c:v>66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F1-4491-8B1B-035FF0A8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 (2)'!$E$57:$W$57</c:f>
              <c:numCache>
                <c:formatCode>0.0</c:formatCode>
                <c:ptCount val="19"/>
                <c:pt idx="0">
                  <c:v>6.8</c:v>
                </c:pt>
                <c:pt idx="1">
                  <c:v>8.5</c:v>
                </c:pt>
                <c:pt idx="2">
                  <c:v>10.9</c:v>
                </c:pt>
                <c:pt idx="3">
                  <c:v>14.2</c:v>
                </c:pt>
                <c:pt idx="4">
                  <c:v>19.100000000000001</c:v>
                </c:pt>
                <c:pt idx="5">
                  <c:v>28.1</c:v>
                </c:pt>
                <c:pt idx="6">
                  <c:v>44.2</c:v>
                </c:pt>
                <c:pt idx="7">
                  <c:v>65.3</c:v>
                </c:pt>
                <c:pt idx="8">
                  <c:v>83.2</c:v>
                </c:pt>
                <c:pt idx="9">
                  <c:v>98.1</c:v>
                </c:pt>
                <c:pt idx="1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5.24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5-474F-85FA-377009F1FE1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 (2)'!$E$58:$W$58</c:f>
              <c:numCache>
                <c:formatCode>0.0</c:formatCode>
                <c:ptCount val="19"/>
                <c:pt idx="0">
                  <c:v>6.7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45</c:v>
                </c:pt>
                <c:pt idx="7">
                  <c:v>65</c:v>
                </c:pt>
                <c:pt idx="8">
                  <c:v>84</c:v>
                </c:pt>
                <c:pt idx="9">
                  <c:v>97</c:v>
                </c:pt>
                <c:pt idx="1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5-474F-85FA-377009F1FE1E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C75-474F-85FA-377009F1FE1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 (2)'!$E$60:$W$60</c:f>
              <c:numCache>
                <c:formatCode>0.0</c:formatCode>
                <c:ptCount val="19"/>
                <c:pt idx="0">
                  <c:v>4.7</c:v>
                </c:pt>
                <c:pt idx="5">
                  <c:v>24</c:v>
                </c:pt>
                <c:pt idx="7">
                  <c:v>58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75-474F-85FA-377009F1FE1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'130722 (2)'!$E$50:$W$50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 (2)'!$E$59:$W$59</c:f>
              <c:numCache>
                <c:formatCode>0.0</c:formatCode>
                <c:ptCount val="19"/>
                <c:pt idx="0">
                  <c:v>8.6999999999999993</c:v>
                </c:pt>
                <c:pt idx="5">
                  <c:v>36</c:v>
                </c:pt>
                <c:pt idx="7">
                  <c:v>72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75-474F-85FA-377009F1F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'130722'!$E$57:$W$57</c:f>
              <c:numCache>
                <c:formatCode>0.0</c:formatCode>
                <c:ptCount val="19"/>
                <c:pt idx="0">
                  <c:v>5.4</c:v>
                </c:pt>
                <c:pt idx="1">
                  <c:v>6.6</c:v>
                </c:pt>
                <c:pt idx="2">
                  <c:v>8.1</c:v>
                </c:pt>
                <c:pt idx="3">
                  <c:v>10</c:v>
                </c:pt>
                <c:pt idx="4">
                  <c:v>12.7</c:v>
                </c:pt>
                <c:pt idx="5">
                  <c:v>17.8</c:v>
                </c:pt>
                <c:pt idx="6">
                  <c:v>26.4</c:v>
                </c:pt>
                <c:pt idx="7">
                  <c:v>37.799999999999997</c:v>
                </c:pt>
                <c:pt idx="8">
                  <c:v>68.5</c:v>
                </c:pt>
                <c:pt idx="9">
                  <c:v>94.7</c:v>
                </c:pt>
                <c:pt idx="1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</c:v>
                </c:pt>
                <c:pt idx="18" formatCode="0.00">
                  <c:v>4.68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72-4D92-A8D4-B1123548571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'130722'!$E$58:$W$58</c:f>
              <c:numCache>
                <c:formatCode>0.0</c:formatCode>
                <c:ptCount val="19"/>
                <c:pt idx="0">
                  <c:v>4.2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12</c:v>
                </c:pt>
                <c:pt idx="5">
                  <c:v>16</c:v>
                </c:pt>
                <c:pt idx="6">
                  <c:v>24</c:v>
                </c:pt>
                <c:pt idx="7">
                  <c:v>31</c:v>
                </c:pt>
                <c:pt idx="8">
                  <c:v>58</c:v>
                </c:pt>
                <c:pt idx="9">
                  <c:v>93</c:v>
                </c:pt>
                <c:pt idx="1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72-4D92-A8D4-B11235485715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D72-4D92-A8D4-B1123548571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'130722'!$E$60:$W$60</c:f>
              <c:numCache>
                <c:formatCode>0.0</c:formatCode>
                <c:ptCount val="19"/>
                <c:pt idx="0">
                  <c:v>2.2000000000000002</c:v>
                </c:pt>
                <c:pt idx="5">
                  <c:v>10</c:v>
                </c:pt>
                <c:pt idx="7">
                  <c:v>24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72-4D92-A8D4-B1123548571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'130722'!$E$59:$W$59</c:f>
              <c:numCache>
                <c:formatCode>0.0</c:formatCode>
                <c:ptCount val="19"/>
                <c:pt idx="0">
                  <c:v>6.2</c:v>
                </c:pt>
                <c:pt idx="5">
                  <c:v>22</c:v>
                </c:pt>
                <c:pt idx="7">
                  <c:v>38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D72-4D92-A8D4-B11235485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'120722'!$E$57:$W$57</c:f>
              <c:numCache>
                <c:formatCode>0.0</c:formatCode>
                <c:ptCount val="19"/>
                <c:pt idx="0">
                  <c:v>7.5</c:v>
                </c:pt>
                <c:pt idx="1">
                  <c:v>9.5500000000000007</c:v>
                </c:pt>
                <c:pt idx="2">
                  <c:v>12.4</c:v>
                </c:pt>
                <c:pt idx="3">
                  <c:v>16.3</c:v>
                </c:pt>
                <c:pt idx="4">
                  <c:v>21.700000000000003</c:v>
                </c:pt>
                <c:pt idx="5">
                  <c:v>31.75</c:v>
                </c:pt>
                <c:pt idx="6">
                  <c:v>48.05</c:v>
                </c:pt>
                <c:pt idx="7">
                  <c:v>63.2</c:v>
                </c:pt>
                <c:pt idx="8">
                  <c:v>72.400000000000006</c:v>
                </c:pt>
                <c:pt idx="9">
                  <c:v>81.900000000000006</c:v>
                </c:pt>
                <c:pt idx="10">
                  <c:v>91.45</c:v>
                </c:pt>
                <c:pt idx="11">
                  <c:v>97.75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4.3599999999999994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'120722'!$E$58:$W$58</c:f>
              <c:numCache>
                <c:formatCode>0.0</c:formatCode>
                <c:ptCount val="19"/>
                <c:pt idx="0">
                  <c:v>6.2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30</c:v>
                </c:pt>
                <c:pt idx="6">
                  <c:v>43</c:v>
                </c:pt>
                <c:pt idx="7">
                  <c:v>59</c:v>
                </c:pt>
                <c:pt idx="8">
                  <c:v>68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'120722'!$E$60:$W$60</c:f>
              <c:numCache>
                <c:formatCode>0.0</c:formatCode>
                <c:ptCount val="19"/>
                <c:pt idx="0">
                  <c:v>4.2</c:v>
                </c:pt>
                <c:pt idx="5">
                  <c:v>24</c:v>
                </c:pt>
                <c:pt idx="7">
                  <c:v>52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'120722'!$E$50:$W$50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'120722'!$E$59:$W$59</c:f>
              <c:numCache>
                <c:formatCode>0.0</c:formatCode>
                <c:ptCount val="19"/>
                <c:pt idx="0">
                  <c:v>8.1999999999999993</c:v>
                </c:pt>
                <c:pt idx="5">
                  <c:v>36</c:v>
                </c:pt>
                <c:pt idx="7">
                  <c:v>66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DCD328-8924-46BA-B8F6-46037E6D7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61A122C-9FB2-4751-B723-FF388366900C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941C9B2-39DB-4728-B233-8176D1503691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817FDA1-EAAB-47D1-9B79-0DF858BEFAEE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FC8503B-F318-49E2-8238-B295EDF41FFA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DF101A9-2EA4-4D14-B759-66017445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6FA9E82-C799-4664-9A9C-5F2D094B12A1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A6DEC15-71DB-4238-BA71-BC8BC0E256E7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5EEB0E1-0E2E-4A32-8E13-E2BB2FE54AF1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FEF008C-6A85-4BCB-94A7-5DEEE0A71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41F5DE-78DD-4AC2-B991-731CAF01F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3C9D8A4-D7E1-4A21-BB1C-14547A1F41B6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7DF0D41-1B1C-4818-B302-D9D8173C626E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4206018-DD25-4A77-A0CB-E317849EC9A6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7BBF996-8736-4E49-9AEC-8CB9A1A0E511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4D73153-67E2-4E49-8559-2F71BA068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3FC23E2-6523-4FFD-826E-6C08A7802B32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6CE4B69-99BB-4C28-B20C-92C8E7AEE316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60CB730-3414-4D23-86B5-1E8F971DAF89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AE4655A-8869-43FE-8A34-3337C893E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D0AE6C-B6CC-4B40-BF27-CC6AFDC46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9095ED1-B385-4DF6-88DF-5A5AE7166255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60517C9-42A3-40BE-9ED2-ECD7630CFA9C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6C58C5A-C288-4877-82FC-AC91BBA6EE23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9DA3C5E-E7C9-4009-81D7-70986074656B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EE904C4-FC61-4108-8706-088FAD166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79ACA3A-4D84-4BC0-84A8-BB34D0538D29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39BC3D1-C637-4C77-881D-0DA6FE5271BE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8D25ED4-F193-4C3E-9601-4E0120954963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3A0D0DF-95FE-49C8-A5C4-6243FDBA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DEFFF1-DBE8-477E-BDAC-274598644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D5D44AC-B53D-418F-8DB5-CFA2FC46FB13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160D8F4-4DF3-48E3-A2B4-BFECE49B16AA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C38B20F-7607-4AFB-BC1C-6D3FAE7E7FD4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6DE0CE8-08D9-49A3-9057-402E54292A3A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40A81FB-598D-4C47-80D2-2A8DAC9F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FEDA7E2-2DEF-444F-9709-1226C8758F5E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29B3C6A-2961-4226-9DD5-E1B7CA32A4BA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E301EFD-AF30-455A-BB02-6FF25BAECED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65BB619-1C7F-422B-A51C-CAFC39220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7A081D0-FF29-4B48-A66A-B2DFD0CDB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03D2377-C44C-423F-A1B5-12377E54023D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648592C-E960-4091-915A-2741D80FC0B5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029A06D-9BA2-47AC-B399-A1C0F5CFEA93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150CF75-A799-45BF-9F1D-3FC4F5BD7F3C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DFD7BF9-D68E-4545-9AC3-BCFBA74B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F579976-F84E-49A1-95D7-605D976235A6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3A378FB-94AD-46A8-9BE1-010323E17CA0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C217067-EF1C-48CB-BD13-604EF4C0E2DD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5B76CCC-27A0-4785-843B-45C7AB0C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83CC33-F03E-4621-97F4-A2FEF7107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3A6636F-7195-424B-9812-1CD186C9235C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8EF570F-ACE9-4835-A8FB-A3CA42D36ED8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92F99E9-7BD9-49E2-BE6C-13B1D572F55D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98D5189-44D1-451C-9EE5-7E891D1807B2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A042052-129A-46FA-8C68-ED098A8A6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5DC4FA4-FF47-42E9-BEB3-4E73C03CB6B4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E524CE2-1A47-489F-8CBD-9DE02D5C4257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C28740E-EA9D-4CDF-859C-AA04EBDD8C0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F97629A-8C28-438B-B3E5-69263D2B0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7ACCE4-2EFE-4FCA-ABCD-EE58BFA9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FA718BD-D644-4C94-8F7F-002BE22737A1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03ABEC8-0584-430F-9223-6EC60D529F85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106D2A6-69D3-4D25-8EE1-BB9C59ED275C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A739412-8A51-4CE4-9CE2-D9734FB92A57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7B167C2-E489-4ACA-BB60-C20BAE1DC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7EEA582-505D-47C0-A721-31FD3133AD64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9E866F5-CC4E-4DFB-9454-281CFB88C411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D30999A-BFCC-41B4-A71E-20DF1FDF0528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7FF1834-5894-4F64-B95F-828251E0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4E3796-FB5B-4B6F-9EA6-5B901EB26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72E97C5-CE2D-4EC8-AD41-C12FA1BB75F8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80B1BBB-FD26-420A-9C0F-EAAC6951AEE2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1964F0F-ECAD-4985-AA99-D91AFC056B73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0F84693-5ECE-4429-9E29-0C033E31E39E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BC8D859-8476-4231-8F0C-994150DC6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F173827-80C5-4751-A3EB-4E0B07BBCF4E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A0416B1-33B0-439E-9A7F-DAF0DA9BE53C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483CDD4-3563-4728-97D6-173D8731D942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F8313B7-F054-42B3-81B1-5397827CE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3BF9C5-9D98-4C66-BC41-CE9C9D9B0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E21EA94-C42D-48D4-98AA-3504E0368152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6D2CD29-5BB3-4B85-AEE9-41B5BCCD44AA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0970923-6ED6-4000-99D9-E883672938A5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73CFCF9-F2E3-45DE-B4C7-D60787F5AA17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85B3B4B-E06A-4796-9A96-6FC345C2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3327952-078E-460B-8E9E-5BD37BCEC50D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82D179E-B81C-4D3C-AA04-22194A8B7BDF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3A04CB4-220D-4638-8FD9-01E305BB8560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505F179-DEC2-4FF4-8812-9064E2C8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D15CB4-4464-4611-9662-92FDD645D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FF94CB2-677E-40A7-97E3-37FC02459AE8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BBD8F46-2FA3-4191-B772-F620F76DF56A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134F413-E100-4280-8D5B-D0BB3B8237C5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54F62D2-CD7B-4514-9625-96DBDD4CACE1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2F949F6-0865-4F55-B686-7D7DC5BB3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15AF0D0-C9B6-4A67-BDC2-1D7FD32265F4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B8A1FD7-F80F-42B7-B4C1-3D299CF0DB47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62F2D00-071E-41D8-8C7C-C21BDF65128C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1D4A0C3-5116-4038-AF7F-560F8429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993094-B717-424C-B65D-EA7FD7901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32DDABE-4ABA-4EA5-AE31-BE5BA6348427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2C4881F-5DCB-4858-8E60-3D29CD3D0C0F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D5E6DBB-DAEF-420F-9FE1-F10B5B68A530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9D31830-3072-4DC9-AF1B-12B08A3E427F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A757DFE-BA66-4FD6-B6A4-E690BF536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9AF389C-D186-4DD5-A9BF-2FEF4B3F3865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FAB96CD-0CA3-449A-9949-13D98AD9B77F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C67D9A3-47E9-402B-AD2B-027594D3768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DB65D47-94ED-4D5B-9284-2FB34732A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7DC1260-B1E5-4D27-B8A5-A2D3B5A1C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A080677-1170-47FD-8D25-CED04B600E5C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2B4DC36-09F7-4B4C-A428-ECB6077E9076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5885159-A71D-484B-AC42-7A2699FF5323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65B145D-7B8C-477E-A923-F53CDFE8FE97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5E50C57-625E-4E4C-90D8-58CA8EC1E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B76408E-6493-4DA3-BBC4-B6F84C3F90C0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64F2F60-F009-4556-9AF8-7DCA22E1B324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8560B5A-5B40-492C-9C05-290E50F9A59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E6EDEC3-A830-40E4-B444-426000B22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E13176-44F4-4A5C-8563-FBA0D77AF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8ABED89-9D5D-4427-B60C-04C2E5571797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89439D9-24BD-495E-A07B-771602173FC6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A4DB23F-7F84-469E-98AA-F018A1B6DE0D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73CA3D0-4303-43CC-BCA3-E8B0B59998BB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A00A5BD-8174-453A-9AC9-B49EA4E7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8AE8047-D72F-4479-85D6-EF1F8D1F3D9E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BC6D1FC-C5C7-4445-B46B-B071335A715A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C4639BA-4D19-4B66-A2A9-B385D9DEF14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F957212-A61C-4BA3-858D-43462FE45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85B7E39-F4C6-4FA3-84EE-2EEE47FCE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37C00C7-BB2C-42B2-81DF-E84FA0B513D1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3E1B5A7-6010-44E6-96FC-C302E3578C0D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07EA9B0-196B-48C1-8C23-6D5D5F63CC1E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CCEAF68-3612-4A92-BB3D-1D81998FCE4F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3879550-B87F-4B88-8AA0-12D7770A2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76FB9D3-245D-4DDE-99FD-F0A8C12E1C2D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2B96C33-3D39-4EDC-8C2E-08AC3E1BAC7E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27111CF-BD7E-43BD-9D6A-5834EC35907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C449483-CD64-4E32-9B99-BE938FE2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737A78-4FB5-4EE3-B4D2-9490A87D8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0726FF5-0211-469C-9D76-B8F5125BA21A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800A7A4-90DF-4056-8561-7C4AB2F46AD7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C687A32-83EF-4659-8C4F-C6CCB60F80C9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AC2F17EB-90BB-4DE2-A941-254024D87577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0398124-FCA1-45CE-8C1D-BBAFFEFD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1708F35-26AC-4AE4-B4F2-CBFE3F178736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C21B54F-3694-4159-B320-97E7E5E1F63D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4D3DF08-1D56-4E9D-A1DA-CCAEC6D44573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E8209D6-D487-4332-9010-D9C860196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3731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E64E5F3-BDF0-4F2D-981D-12DA0139D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6FC40B9-B503-424C-A7C2-DCDD7EAA1090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AE3B8AB-0C2E-4DA3-BAE9-59AE13F7F124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A5CCCFD-C2E6-4ECF-B745-7BF3DECEE085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BF28F3D-75FD-4A8C-AB52-F5791108F4B4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38DB0E0-402F-463A-B766-73971A87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4EE5D9A-8D4B-4C20-BBDC-2E1D38FC5584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1E0548A-01B6-4FFA-A410-C6286EA26809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C767C12-0483-42CA-8396-4EFE0AB7A319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4232F8E-B2E8-44F0-93C7-096B57C82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100AB6-605B-4E88-8925-D85AE7881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3DD2018-8AFC-4B82-95B0-9203AE461041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1662185-FFCF-4A8F-9D74-72149823D365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8BE7D15-8CC1-4CE2-9C68-EECACC9A7C2E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85BB99C-FA3A-4661-ABF5-D25074E98270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7AAF252-748C-4A36-804E-20906389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99A2E7A-58C1-40A9-B57A-5C79A0F9621A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5F67D2D-488C-4E88-B309-7B13B3CA52D9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C4E7126-966B-4D3A-BB3B-90E7459F9282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8300EC1-4A1D-41F0-95C2-86B0C724C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4683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314325</xdr:colOff>
      <xdr:row>3</xdr:row>
      <xdr:rowOff>133350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17D1-DE19-4EB7-A28A-7A839B73E208}">
  <sheetPr>
    <pageSetUpPr fitToPage="1"/>
  </sheetPr>
  <dimension ref="A1:AN72"/>
  <sheetViews>
    <sheetView tabSelected="1" topLeftCell="A54" zoomScaleNormal="100" workbookViewId="0">
      <selection activeCell="K52" sqref="K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103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277">
        <v>18</v>
      </c>
      <c r="K5" s="350"/>
      <c r="L5" s="351" t="s">
        <v>52</v>
      </c>
      <c r="M5" s="277"/>
      <c r="N5" s="277"/>
      <c r="O5" s="350"/>
      <c r="P5" s="352">
        <v>45940</v>
      </c>
      <c r="Q5" s="353"/>
      <c r="R5" s="353"/>
      <c r="S5" s="353"/>
      <c r="T5" s="354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45940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365" t="s">
        <v>113</v>
      </c>
      <c r="T11" s="282"/>
      <c r="U11" s="282"/>
      <c r="V11" s="282"/>
      <c r="W11" s="282"/>
      <c r="X11" s="282"/>
      <c r="Y11" s="282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355" t="s">
        <v>110</v>
      </c>
      <c r="H12" s="355"/>
      <c r="I12" s="355"/>
      <c r="J12" s="355"/>
      <c r="K12" s="355"/>
      <c r="L12" s="355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2.6469999999999998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18" t="s">
        <v>114</v>
      </c>
      <c r="D51" s="319"/>
      <c r="E51" s="356">
        <v>7.3</v>
      </c>
      <c r="F51" s="357">
        <v>9.3000000000000007</v>
      </c>
      <c r="G51" s="358">
        <v>12.2</v>
      </c>
      <c r="H51" s="358">
        <v>15.9</v>
      </c>
      <c r="I51" s="358">
        <v>21</v>
      </c>
      <c r="J51" s="358">
        <v>29.7</v>
      </c>
      <c r="K51" s="358">
        <v>42.7</v>
      </c>
      <c r="L51" s="358">
        <v>61.5</v>
      </c>
      <c r="M51" s="358">
        <v>79.2</v>
      </c>
      <c r="N51" s="358">
        <v>95.5</v>
      </c>
      <c r="O51" s="364">
        <v>100</v>
      </c>
      <c r="P51" s="358"/>
      <c r="Q51" s="358"/>
      <c r="R51" s="358"/>
      <c r="S51" s="359"/>
      <c r="T51" s="359"/>
      <c r="U51" s="360">
        <v>177</v>
      </c>
      <c r="V51" s="361"/>
      <c r="W51" s="362">
        <v>5.13</v>
      </c>
      <c r="X51" s="363"/>
      <c r="Y51" s="253">
        <f>IF(W51&lt;&gt;0,AE51,"")</f>
        <v>3.190008023564475</v>
      </c>
      <c r="Z51" s="254"/>
      <c r="AA51" s="80"/>
      <c r="AB51" s="215">
        <f>(100*W51)/(100-W51)</f>
        <v>5.4073995994518809</v>
      </c>
      <c r="AC51" s="216"/>
      <c r="AD51" s="67">
        <f>(0.25*(100-O51)+2.3*(O51-H51)+12*(H51-E51)+150*(E51))/100</f>
        <v>13.916300000000001</v>
      </c>
      <c r="AE51" s="68">
        <f>(AB51*$AE$47)/(2.65*(AD51)^(1/5))</f>
        <v>3.190008023564475</v>
      </c>
      <c r="AF51" s="29"/>
      <c r="AG51" s="66"/>
    </row>
    <row r="52" spans="1:34" ht="24.9" customHeight="1" x14ac:dyDescent="0.25">
      <c r="A52" s="5"/>
      <c r="B52" s="44">
        <v>2</v>
      </c>
      <c r="C52" s="236"/>
      <c r="D52" s="237"/>
      <c r="E52" s="133"/>
      <c r="F52" s="134"/>
      <c r="G52" s="135"/>
      <c r="H52" s="135"/>
      <c r="I52" s="135"/>
      <c r="J52" s="135"/>
      <c r="K52" s="135"/>
      <c r="L52" s="135"/>
      <c r="M52" s="135"/>
      <c r="N52" s="135"/>
      <c r="O52" s="136"/>
      <c r="P52" s="135"/>
      <c r="Q52" s="135"/>
      <c r="R52" s="135"/>
      <c r="S52" s="128"/>
      <c r="T52" s="128"/>
      <c r="U52" s="238"/>
      <c r="V52" s="239"/>
      <c r="W52" s="240"/>
      <c r="X52" s="2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7.3</v>
      </c>
      <c r="F57" s="98">
        <f t="shared" ref="F57:L57" si="3">IF(F51&lt;&gt;0,AVERAGE(F51:F54),"")</f>
        <v>9.3000000000000007</v>
      </c>
      <c r="G57" s="98">
        <f t="shared" si="3"/>
        <v>12.2</v>
      </c>
      <c r="H57" s="98">
        <f t="shared" si="3"/>
        <v>15.9</v>
      </c>
      <c r="I57" s="98">
        <f t="shared" si="3"/>
        <v>21</v>
      </c>
      <c r="J57" s="98">
        <f t="shared" si="3"/>
        <v>29.7</v>
      </c>
      <c r="K57" s="98">
        <f t="shared" si="3"/>
        <v>42.7</v>
      </c>
      <c r="L57" s="98">
        <f t="shared" si="3"/>
        <v>61.5</v>
      </c>
      <c r="M57" s="98">
        <f>IF(M51&lt;&gt;0,AVERAGE(M51:M54),"")</f>
        <v>79.2</v>
      </c>
      <c r="N57" s="98">
        <f>IF(N51&lt;&gt;0,AVERAGE(N51:N54),"")</f>
        <v>95.5</v>
      </c>
      <c r="O57" s="124">
        <f>IF(O51&lt;&gt;0,AVERAGE(O51:O54),"")</f>
        <v>100</v>
      </c>
      <c r="P57" s="98"/>
      <c r="Q57" s="124"/>
      <c r="R57" s="98"/>
      <c r="S57" s="98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177</v>
      </c>
      <c r="V57" s="210"/>
      <c r="W57" s="211">
        <f>IF(W51&lt;&gt;0,AVERAGE(W51:X54),"")</f>
        <v>5.13</v>
      </c>
      <c r="X57" s="212"/>
      <c r="Y57" s="213">
        <f>IF(W51&lt;&gt;0,AVERAGE(Y51:Z54),"")</f>
        <v>3.190008023564475</v>
      </c>
      <c r="Z57" s="214"/>
      <c r="AA57" s="66"/>
      <c r="AB57" s="215">
        <f>(100*W57)/(100-W57)</f>
        <v>5.4073995994518809</v>
      </c>
      <c r="AC57" s="216"/>
      <c r="AD57" s="67">
        <f t="shared" si="0"/>
        <v>13.916300000000001</v>
      </c>
      <c r="AE57" s="68">
        <f t="shared" si="1"/>
        <v>3.190008023564475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3.4230996041984052</v>
      </c>
      <c r="Z58" s="225"/>
      <c r="AA58" s="66"/>
      <c r="AB58" s="215">
        <f>(100*W58)/(100-W58)</f>
        <v>5.7082452431289648</v>
      </c>
      <c r="AC58" s="216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5E72-1FBA-407D-8F49-AD9FC575A5AB}">
  <sheetPr>
    <pageSetUpPr fitToPage="1"/>
  </sheetPr>
  <dimension ref="A1:AN72"/>
  <sheetViews>
    <sheetView zoomScaleNormal="100" workbookViewId="0">
      <selection activeCell="G12" sqref="G12:L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103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277">
        <v>17</v>
      </c>
      <c r="K5" s="350"/>
      <c r="L5" s="351" t="s">
        <v>52</v>
      </c>
      <c r="M5" s="277"/>
      <c r="N5" s="277"/>
      <c r="O5" s="350"/>
      <c r="P5" s="352">
        <v>45940</v>
      </c>
      <c r="Q5" s="353"/>
      <c r="R5" s="353"/>
      <c r="S5" s="353"/>
      <c r="T5" s="354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355">
        <v>45940</v>
      </c>
      <c r="H11" s="355"/>
      <c r="I11" s="355"/>
      <c r="J11" s="355"/>
      <c r="K11" s="355"/>
      <c r="L11" s="355"/>
      <c r="M11" s="276" t="s">
        <v>45</v>
      </c>
      <c r="N11" s="276"/>
      <c r="O11" s="276"/>
      <c r="P11" s="276"/>
      <c r="Q11" s="276"/>
      <c r="R11" s="276"/>
      <c r="S11" s="279" t="s">
        <v>111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355" t="s">
        <v>110</v>
      </c>
      <c r="H12" s="355"/>
      <c r="I12" s="355"/>
      <c r="J12" s="355"/>
      <c r="K12" s="355"/>
      <c r="L12" s="355"/>
      <c r="M12" s="281" t="s">
        <v>44</v>
      </c>
      <c r="N12" s="281"/>
      <c r="O12" s="281"/>
      <c r="P12" s="281"/>
      <c r="Q12" s="281"/>
      <c r="R12" s="281"/>
      <c r="S12" s="279">
        <v>157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82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78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55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2.6779999999999999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18" t="s">
        <v>112</v>
      </c>
      <c r="D51" s="319"/>
      <c r="E51" s="356">
        <v>7.9</v>
      </c>
      <c r="F51" s="357">
        <v>10.1</v>
      </c>
      <c r="G51" s="358">
        <v>13.2</v>
      </c>
      <c r="H51" s="358">
        <v>17.2</v>
      </c>
      <c r="I51" s="358">
        <v>22.6</v>
      </c>
      <c r="J51" s="358">
        <v>32.299999999999997</v>
      </c>
      <c r="K51" s="358">
        <v>47.6</v>
      </c>
      <c r="L51" s="358">
        <v>62.4</v>
      </c>
      <c r="M51" s="358">
        <v>72.5</v>
      </c>
      <c r="N51" s="358">
        <v>81.2</v>
      </c>
      <c r="O51" s="358">
        <v>93.4</v>
      </c>
      <c r="P51" s="358">
        <v>97.5</v>
      </c>
      <c r="Q51" s="364">
        <v>100</v>
      </c>
      <c r="R51" s="358"/>
      <c r="S51" s="359"/>
      <c r="T51" s="359"/>
      <c r="U51" s="360">
        <v>170</v>
      </c>
      <c r="V51" s="361"/>
      <c r="W51" s="362">
        <v>4.34</v>
      </c>
      <c r="X51" s="363"/>
      <c r="Y51" s="253">
        <f>IF(W51&lt;&gt;0,AE51,"")</f>
        <v>2.6770312087417221</v>
      </c>
      <c r="Z51" s="254"/>
      <c r="AA51" s="80"/>
      <c r="AB51" s="215">
        <f>(100*W51)/(100-W51)</f>
        <v>4.5369015262387622</v>
      </c>
      <c r="AC51" s="216"/>
      <c r="AD51" s="67">
        <f>(0.25*(100-O51)+2.3*(O51-H51)+12*(H51-E51)+150*(E51))/100</f>
        <v>14.735099999999999</v>
      </c>
      <c r="AE51" s="68">
        <f>(AB51*$AE$47)/(2.65*(AD51)^(1/5))</f>
        <v>2.6770312087417221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7.9</v>
      </c>
      <c r="F57" s="98">
        <f t="shared" si="3"/>
        <v>10.1</v>
      </c>
      <c r="G57" s="98">
        <f t="shared" si="3"/>
        <v>13.2</v>
      </c>
      <c r="H57" s="98">
        <f t="shared" si="3"/>
        <v>17.2</v>
      </c>
      <c r="I57" s="98">
        <f t="shared" si="3"/>
        <v>22.6</v>
      </c>
      <c r="J57" s="98">
        <f t="shared" si="3"/>
        <v>32.299999999999997</v>
      </c>
      <c r="K57" s="98">
        <f t="shared" si="3"/>
        <v>47.6</v>
      </c>
      <c r="L57" s="98">
        <f t="shared" si="3"/>
        <v>62.4</v>
      </c>
      <c r="M57" s="98">
        <f t="shared" si="3"/>
        <v>72.5</v>
      </c>
      <c r="N57" s="98">
        <f t="shared" si="3"/>
        <v>81.2</v>
      </c>
      <c r="O57" s="98">
        <f t="shared" si="3"/>
        <v>93.4</v>
      </c>
      <c r="P57" s="98">
        <f t="shared" si="3"/>
        <v>97.5</v>
      </c>
      <c r="Q57" s="124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170</v>
      </c>
      <c r="V57" s="210"/>
      <c r="W57" s="211">
        <f>IF(W51&lt;&gt;0,AVERAGE(W51:X54),"")</f>
        <v>4.34</v>
      </c>
      <c r="X57" s="212"/>
      <c r="Y57" s="213">
        <f>IF(W51&lt;&gt;0,AVERAGE(Y51:Z54),"")</f>
        <v>2.6770312087417221</v>
      </c>
      <c r="Z57" s="214"/>
      <c r="AA57" s="66"/>
      <c r="AB57" s="215">
        <f>(100*W57)/(100-W57)</f>
        <v>4.5369015262387622</v>
      </c>
      <c r="AC57" s="216"/>
      <c r="AD57" s="67">
        <f t="shared" si="0"/>
        <v>14.735099999999999</v>
      </c>
      <c r="AE57" s="68">
        <f t="shared" si="1"/>
        <v>2.6770312087417221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6.9</v>
      </c>
      <c r="F58" s="100">
        <v>9</v>
      </c>
      <c r="G58" s="100">
        <v>12</v>
      </c>
      <c r="H58" s="100">
        <v>16</v>
      </c>
      <c r="I58" s="100">
        <v>22</v>
      </c>
      <c r="J58" s="100">
        <v>32</v>
      </c>
      <c r="K58" s="100">
        <v>47</v>
      </c>
      <c r="L58" s="100">
        <v>61</v>
      </c>
      <c r="M58" s="100">
        <v>69</v>
      </c>
      <c r="N58" s="100">
        <v>80</v>
      </c>
      <c r="O58" s="100">
        <v>92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4.4000000000000004</v>
      </c>
      <c r="X58" s="223"/>
      <c r="Y58" s="224">
        <f>AE58</f>
        <v>2.7757408663172658</v>
      </c>
      <c r="Z58" s="225"/>
      <c r="AA58" s="66"/>
      <c r="AB58" s="215">
        <f>(100*W58)/(100-W58)</f>
        <v>4.6025104602510467</v>
      </c>
      <c r="AC58" s="216"/>
      <c r="AD58" s="67">
        <f t="shared" si="0"/>
        <v>13.21</v>
      </c>
      <c r="AE58" s="68">
        <f t="shared" si="1"/>
        <v>2.7757408663172658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8.9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4.9000000000000004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4.9000000000000004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3.9000000000000004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3B6E-DC23-4D2B-BD5B-D39BA96AEDE9}">
  <sheetPr>
    <pageSetUpPr fitToPage="1"/>
  </sheetPr>
  <dimension ref="A1:AN72"/>
  <sheetViews>
    <sheetView zoomScaleNormal="100" workbookViewId="0">
      <selection activeCell="U1" sqref="U1:Z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103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16</v>
      </c>
      <c r="K5" s="313"/>
      <c r="L5" s="314" t="s">
        <v>52</v>
      </c>
      <c r="M5" s="312"/>
      <c r="N5" s="312"/>
      <c r="O5" s="313"/>
      <c r="P5" s="315">
        <v>45828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45828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82" t="s">
        <v>105</v>
      </c>
      <c r="T11" s="282"/>
      <c r="U11" s="282"/>
      <c r="V11" s="282"/>
      <c r="W11" s="282"/>
      <c r="X11" s="282"/>
      <c r="Y11" s="282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80" t="s">
        <v>108</v>
      </c>
      <c r="H12" s="280"/>
      <c r="I12" s="280"/>
      <c r="J12" s="280"/>
      <c r="K12" s="280"/>
      <c r="L12" s="280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2.6469999999999998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236" t="s">
        <v>106</v>
      </c>
      <c r="D51" s="237"/>
      <c r="E51" s="133">
        <v>7.4</v>
      </c>
      <c r="F51" s="134">
        <v>9.5</v>
      </c>
      <c r="G51" s="135">
        <v>12.3</v>
      </c>
      <c r="H51" s="135">
        <v>15.8</v>
      </c>
      <c r="I51" s="135">
        <v>20.6</v>
      </c>
      <c r="J51" s="135">
        <v>28.9</v>
      </c>
      <c r="K51" s="135">
        <v>42.4</v>
      </c>
      <c r="L51" s="135">
        <v>57.6</v>
      </c>
      <c r="M51" s="135">
        <v>74.7</v>
      </c>
      <c r="N51" s="135">
        <v>93.2</v>
      </c>
      <c r="O51" s="136">
        <v>100</v>
      </c>
      <c r="P51" s="135"/>
      <c r="Q51" s="135"/>
      <c r="R51" s="135"/>
      <c r="S51" s="128"/>
      <c r="T51" s="128"/>
      <c r="U51" s="238">
        <v>165</v>
      </c>
      <c r="V51" s="239"/>
      <c r="W51" s="240">
        <v>5.25</v>
      </c>
      <c r="X51" s="241"/>
      <c r="Y51" s="253">
        <f>IF(W51&lt;&gt;0,AE51,"")</f>
        <v>3.2627686230389568</v>
      </c>
      <c r="Z51" s="254"/>
      <c r="AA51" s="80"/>
      <c r="AB51" s="215">
        <f>(100*W51)/(100-W51)</f>
        <v>5.5408970976253302</v>
      </c>
      <c r="AC51" s="216"/>
      <c r="AD51" s="67">
        <f>(0.25*(100-O51)+2.3*(O51-H51)+12*(H51-E51)+150*(E51))/100</f>
        <v>14.044600000000001</v>
      </c>
      <c r="AE51" s="68">
        <f>(AB51*$AE$47)/(2.65*(AD51)^(1/5))</f>
        <v>3.2627686230389568</v>
      </c>
      <c r="AF51" s="29"/>
      <c r="AG51" s="66"/>
    </row>
    <row r="52" spans="1:34" ht="24.9" customHeight="1" x14ac:dyDescent="0.25">
      <c r="A52" s="5"/>
      <c r="B52" s="44">
        <v>2</v>
      </c>
      <c r="C52" s="236" t="s">
        <v>109</v>
      </c>
      <c r="D52" s="237"/>
      <c r="E52" s="133">
        <v>7.2</v>
      </c>
      <c r="F52" s="134">
        <v>9.1999999999999993</v>
      </c>
      <c r="G52" s="135">
        <v>11.8</v>
      </c>
      <c r="H52" s="135">
        <v>15.2</v>
      </c>
      <c r="I52" s="135">
        <v>20.2</v>
      </c>
      <c r="J52" s="135">
        <v>29</v>
      </c>
      <c r="K52" s="135">
        <v>43.5</v>
      </c>
      <c r="L52" s="135">
        <v>61.1</v>
      </c>
      <c r="M52" s="135">
        <v>78.8</v>
      </c>
      <c r="N52" s="135">
        <v>95.1</v>
      </c>
      <c r="O52" s="136">
        <v>100</v>
      </c>
      <c r="P52" s="135"/>
      <c r="Q52" s="135"/>
      <c r="R52" s="135"/>
      <c r="S52" s="128"/>
      <c r="T52" s="128"/>
      <c r="U52" s="238">
        <v>182</v>
      </c>
      <c r="V52" s="239"/>
      <c r="W52" s="240">
        <v>4.92</v>
      </c>
      <c r="X52" s="241"/>
      <c r="Y52" s="242">
        <f>IF(W52&lt;&gt;0,AE52,"")</f>
        <v>3.0617799304100064</v>
      </c>
      <c r="Z52" s="243"/>
      <c r="AA52" s="80"/>
      <c r="AB52" s="215">
        <f>(100*W52)/(100-W52)</f>
        <v>5.1745898190997055</v>
      </c>
      <c r="AC52" s="216"/>
      <c r="AD52" s="67">
        <f t="shared" ref="AD52:AD58" si="0">(0.25*(100-O52)+2.3*(O52-H52)+12*(H52-E52)+150*(E52))/100</f>
        <v>13.7104</v>
      </c>
      <c r="AE52" s="68">
        <f t="shared" ref="AE52:AE58" si="1">(AB52*$AE$47)/(2.65*(AD52)^(1/5))</f>
        <v>3.0617799304100064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7.3000000000000007</v>
      </c>
      <c r="F57" s="98">
        <f t="shared" ref="F57:L57" si="3">IF(F51&lt;&gt;0,AVERAGE(F51:F54),"")</f>
        <v>9.35</v>
      </c>
      <c r="G57" s="98">
        <f t="shared" si="3"/>
        <v>12.05</v>
      </c>
      <c r="H57" s="98">
        <f t="shared" si="3"/>
        <v>15.5</v>
      </c>
      <c r="I57" s="98">
        <f t="shared" si="3"/>
        <v>20.399999999999999</v>
      </c>
      <c r="J57" s="98">
        <f t="shared" si="3"/>
        <v>28.95</v>
      </c>
      <c r="K57" s="98">
        <f t="shared" si="3"/>
        <v>42.95</v>
      </c>
      <c r="L57" s="98">
        <f t="shared" si="3"/>
        <v>59.35</v>
      </c>
      <c r="M57" s="98">
        <f>IF(M51&lt;&gt;0,AVERAGE(M51:M54),"")</f>
        <v>76.75</v>
      </c>
      <c r="N57" s="98">
        <f>IF(N51&lt;&gt;0,AVERAGE(N51:N54),"")</f>
        <v>94.15</v>
      </c>
      <c r="O57" s="124">
        <f>IF(O51&lt;&gt;0,AVERAGE(O51:O54),"")</f>
        <v>100</v>
      </c>
      <c r="P57" s="98"/>
      <c r="Q57" s="124"/>
      <c r="R57" s="98"/>
      <c r="S57" s="98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173.5</v>
      </c>
      <c r="V57" s="210"/>
      <c r="W57" s="211">
        <f>IF(W51&lt;&gt;0,AVERAGE(W51:X54),"")</f>
        <v>5.085</v>
      </c>
      <c r="X57" s="212"/>
      <c r="Y57" s="213">
        <f>IF(W51&lt;&gt;0,AVERAGE(Y51:Z54),"")</f>
        <v>3.1622742767244816</v>
      </c>
      <c r="Z57" s="214"/>
      <c r="AA57" s="66"/>
      <c r="AB57" s="215">
        <f>(100*W57)/(100-W57)</f>
        <v>5.3574250645314221</v>
      </c>
      <c r="AC57" s="216"/>
      <c r="AD57" s="67">
        <f t="shared" si="0"/>
        <v>13.8775</v>
      </c>
      <c r="AE57" s="68">
        <f t="shared" si="1"/>
        <v>3.1622916794601283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3.4230996041984052</v>
      </c>
      <c r="Z58" s="225"/>
      <c r="AA58" s="66"/>
      <c r="AB58" s="215">
        <f>(100*W58)/(100-W58)</f>
        <v>5.7082452431289648</v>
      </c>
      <c r="AC58" s="216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1E1A-FAA6-424F-8425-93419A5CE5BB}">
  <sheetPr>
    <pageSetUpPr fitToPage="1"/>
  </sheetPr>
  <dimension ref="A1:AN72"/>
  <sheetViews>
    <sheetView topLeftCell="A41" zoomScaleNormal="100" workbookViewId="0">
      <selection activeCell="V70" sqref="V70:Y7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103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15</v>
      </c>
      <c r="K5" s="313"/>
      <c r="L5" s="314" t="s">
        <v>52</v>
      </c>
      <c r="M5" s="312"/>
      <c r="N5" s="312"/>
      <c r="O5" s="313"/>
      <c r="P5" s="315">
        <v>45828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45827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82" t="s">
        <v>105</v>
      </c>
      <c r="T11" s="282"/>
      <c r="U11" s="282"/>
      <c r="V11" s="282"/>
      <c r="W11" s="282"/>
      <c r="X11" s="282"/>
      <c r="Y11" s="282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80" t="s">
        <v>104</v>
      </c>
      <c r="H12" s="280"/>
      <c r="I12" s="280"/>
      <c r="J12" s="280"/>
      <c r="K12" s="280"/>
      <c r="L12" s="280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2.6469999999999998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236" t="s">
        <v>106</v>
      </c>
      <c r="D51" s="237"/>
      <c r="E51" s="133">
        <v>7.2</v>
      </c>
      <c r="F51" s="134">
        <v>9.1999999999999993</v>
      </c>
      <c r="G51" s="135">
        <v>11.8</v>
      </c>
      <c r="H51" s="135">
        <v>15</v>
      </c>
      <c r="I51" s="135">
        <v>19.7</v>
      </c>
      <c r="J51" s="135">
        <v>28.1</v>
      </c>
      <c r="K51" s="135">
        <v>41.9</v>
      </c>
      <c r="L51" s="135">
        <v>59.1</v>
      </c>
      <c r="M51" s="135">
        <v>75.5</v>
      </c>
      <c r="N51" s="135">
        <v>94.5</v>
      </c>
      <c r="O51" s="136">
        <v>100</v>
      </c>
      <c r="P51" s="135"/>
      <c r="Q51" s="135"/>
      <c r="R51" s="135"/>
      <c r="S51" s="128"/>
      <c r="T51" s="128"/>
      <c r="U51" s="238">
        <v>165</v>
      </c>
      <c r="V51" s="239"/>
      <c r="W51" s="240">
        <v>5.29</v>
      </c>
      <c r="X51" s="241"/>
      <c r="Y51" s="253">
        <f>IF(W51&lt;&gt;0,AE51,"")</f>
        <v>3.3058326807571388</v>
      </c>
      <c r="Z51" s="254"/>
      <c r="AA51" s="80"/>
      <c r="AB51" s="215">
        <f>(100*W51)/(100-W51)</f>
        <v>5.585471439129976</v>
      </c>
      <c r="AC51" s="216"/>
      <c r="AD51" s="67">
        <f>(0.25*(100-O51)+2.3*(O51-H51)+12*(H51-E51)+150*(E51))/100</f>
        <v>13.690999999999999</v>
      </c>
      <c r="AE51" s="68">
        <f>(AB51*$AE$47)/(2.65*(AD51)^(1/5))</f>
        <v>3.3058326807571388</v>
      </c>
      <c r="AF51" s="29"/>
      <c r="AG51" s="66"/>
    </row>
    <row r="52" spans="1:34" ht="24.9" customHeight="1" x14ac:dyDescent="0.25">
      <c r="A52" s="5"/>
      <c r="B52" s="44">
        <v>2</v>
      </c>
      <c r="C52" s="236" t="s">
        <v>107</v>
      </c>
      <c r="D52" s="237"/>
      <c r="E52" s="133">
        <v>7.6</v>
      </c>
      <c r="F52" s="134">
        <v>9.6</v>
      </c>
      <c r="G52" s="135">
        <v>12.4</v>
      </c>
      <c r="H52" s="135">
        <v>15.9</v>
      </c>
      <c r="I52" s="135">
        <v>20.9</v>
      </c>
      <c r="J52" s="135">
        <v>30.1</v>
      </c>
      <c r="K52" s="135">
        <v>45.6</v>
      </c>
      <c r="L52" s="135">
        <v>63.8</v>
      </c>
      <c r="M52" s="135">
        <v>79.099999999999994</v>
      </c>
      <c r="N52" s="135">
        <v>95.2</v>
      </c>
      <c r="O52" s="136">
        <v>100</v>
      </c>
      <c r="P52" s="135"/>
      <c r="Q52" s="135"/>
      <c r="R52" s="135"/>
      <c r="S52" s="128"/>
      <c r="T52" s="128"/>
      <c r="U52" s="238">
        <v>170</v>
      </c>
      <c r="V52" s="239"/>
      <c r="W52" s="240">
        <v>5.08</v>
      </c>
      <c r="X52" s="241"/>
      <c r="Y52" s="242">
        <f>IF(W52&lt;&gt;0,AE52,"")</f>
        <v>3.1387953000966835</v>
      </c>
      <c r="Z52" s="243"/>
      <c r="AA52" s="80"/>
      <c r="AB52" s="215">
        <f>(100*W52)/(100-W52)</f>
        <v>5.3518752633796884</v>
      </c>
      <c r="AC52" s="216"/>
      <c r="AD52" s="67">
        <f t="shared" ref="AD52:AD58" si="0">(0.25*(100-O52)+2.3*(O52-H52)+12*(H52-E52)+150*(E52))/100</f>
        <v>14.330299999999999</v>
      </c>
      <c r="AE52" s="68">
        <f t="shared" ref="AE52:AE58" si="1">(AB52*$AE$47)/(2.65*(AD52)^(1/5))</f>
        <v>3.1387953000966835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7.4</v>
      </c>
      <c r="F57" s="98">
        <f t="shared" ref="F57:L57" si="3">IF(F51&lt;&gt;0,AVERAGE(F51:F54),"")</f>
        <v>9.3999999999999986</v>
      </c>
      <c r="G57" s="98">
        <f t="shared" si="3"/>
        <v>12.100000000000001</v>
      </c>
      <c r="H57" s="98">
        <f t="shared" si="3"/>
        <v>15.45</v>
      </c>
      <c r="I57" s="98">
        <f t="shared" si="3"/>
        <v>20.299999999999997</v>
      </c>
      <c r="J57" s="98">
        <f t="shared" si="3"/>
        <v>29.1</v>
      </c>
      <c r="K57" s="98">
        <f t="shared" si="3"/>
        <v>43.75</v>
      </c>
      <c r="L57" s="98">
        <f t="shared" si="3"/>
        <v>61.45</v>
      </c>
      <c r="M57" s="98">
        <f>IF(M51&lt;&gt;0,AVERAGE(M51:M54),"")</f>
        <v>77.3</v>
      </c>
      <c r="N57" s="98">
        <f>IF(N51&lt;&gt;0,AVERAGE(N51:N54),"")</f>
        <v>94.85</v>
      </c>
      <c r="O57" s="124">
        <f>IF(O51&lt;&gt;0,AVERAGE(O51:O54),"")</f>
        <v>100</v>
      </c>
      <c r="P57" s="98"/>
      <c r="Q57" s="124"/>
      <c r="R57" s="98"/>
      <c r="S57" s="98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167.5</v>
      </c>
      <c r="V57" s="210"/>
      <c r="W57" s="211">
        <f>IF(W51&lt;&gt;0,AVERAGE(W51:X54),"")</f>
        <v>5.1850000000000005</v>
      </c>
      <c r="X57" s="212"/>
      <c r="Y57" s="213">
        <f>IF(W51&lt;&gt;0,AVERAGE(Y51:Z54),"")</f>
        <v>3.2223139904269109</v>
      </c>
      <c r="Z57" s="214"/>
      <c r="AA57" s="66"/>
      <c r="AB57" s="215">
        <f>(100*W57)/(100-W57)</f>
        <v>5.4685440067499869</v>
      </c>
      <c r="AC57" s="216"/>
      <c r="AD57" s="67">
        <f t="shared" si="0"/>
        <v>14.01065</v>
      </c>
      <c r="AE57" s="68">
        <f t="shared" si="1"/>
        <v>3.2217224386806071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3.4230996041984052</v>
      </c>
      <c r="Z58" s="225"/>
      <c r="AA58" s="66"/>
      <c r="AB58" s="215">
        <f>(100*W58)/(100-W58)</f>
        <v>5.7082452431289648</v>
      </c>
      <c r="AC58" s="216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0961-9F26-4B49-8F0D-5F99D31C5005}">
  <sheetPr>
    <pageSetUpPr fitToPage="1"/>
  </sheetPr>
  <dimension ref="A1:AN72"/>
  <sheetViews>
    <sheetView zoomScaleNormal="100" workbookViewId="0">
      <selection activeCell="M52" sqref="M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81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14</v>
      </c>
      <c r="K5" s="313"/>
      <c r="L5" s="314" t="s">
        <v>52</v>
      </c>
      <c r="M5" s="312"/>
      <c r="N5" s="312"/>
      <c r="O5" s="313"/>
      <c r="P5" s="315">
        <v>45362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45362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89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 t="s">
        <v>97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115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95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96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2.7210000000000001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18" t="s">
        <v>101</v>
      </c>
      <c r="D51" s="319"/>
      <c r="E51" s="149">
        <v>7.8</v>
      </c>
      <c r="F51" s="150">
        <v>9.8000000000000007</v>
      </c>
      <c r="G51" s="151">
        <v>12.1</v>
      </c>
      <c r="H51" s="151">
        <v>15.5</v>
      </c>
      <c r="I51" s="151">
        <v>20.8</v>
      </c>
      <c r="J51" s="151">
        <v>31.4</v>
      </c>
      <c r="K51" s="151">
        <v>47.4</v>
      </c>
      <c r="L51" s="151">
        <v>66.900000000000006</v>
      </c>
      <c r="M51" s="151">
        <v>83.2</v>
      </c>
      <c r="N51" s="151">
        <v>95.6</v>
      </c>
      <c r="O51" s="151">
        <v>100</v>
      </c>
      <c r="P51" s="151"/>
      <c r="Q51" s="151"/>
      <c r="R51" s="151"/>
      <c r="S51" s="152"/>
      <c r="T51" s="152"/>
      <c r="U51" s="320">
        <v>167</v>
      </c>
      <c r="V51" s="321"/>
      <c r="W51" s="322">
        <v>5.0999999999999996</v>
      </c>
      <c r="X51" s="323"/>
      <c r="Y51" s="253">
        <f>IF(W51&lt;&gt;0,AE51,"")</f>
        <v>3.2293091725714342</v>
      </c>
      <c r="Z51" s="254"/>
      <c r="AA51" s="80"/>
      <c r="AB51" s="215">
        <f>(100*W51)/(100-W51)</f>
        <v>5.3740779768177021</v>
      </c>
      <c r="AC51" s="216"/>
      <c r="AD51" s="67">
        <f>(0.25*(100-O51)+2.3*(O51-H51)+12*(H51-E51)+150*(E51))/100</f>
        <v>14.567500000000001</v>
      </c>
      <c r="AE51" s="68">
        <f>(AB51*$AE$47)/(2.65*(AD51)^(1/5))</f>
        <v>3.2293091725714342</v>
      </c>
      <c r="AF51" s="29"/>
      <c r="AG51" s="66"/>
    </row>
    <row r="52" spans="1:34" ht="24.9" customHeight="1" x14ac:dyDescent="0.25">
      <c r="A52" s="5"/>
      <c r="B52" s="44">
        <v>2</v>
      </c>
      <c r="C52" s="318" t="s">
        <v>102</v>
      </c>
      <c r="D52" s="319"/>
      <c r="E52" s="149">
        <v>8.1999999999999993</v>
      </c>
      <c r="F52" s="150">
        <v>10.3</v>
      </c>
      <c r="G52" s="151">
        <v>12.7</v>
      </c>
      <c r="H52" s="151">
        <v>16.399999999999999</v>
      </c>
      <c r="I52" s="151">
        <v>22</v>
      </c>
      <c r="J52" s="151">
        <v>33.200000000000003</v>
      </c>
      <c r="K52" s="151">
        <v>48.6</v>
      </c>
      <c r="L52" s="151">
        <v>67.5</v>
      </c>
      <c r="M52" s="151">
        <v>85</v>
      </c>
      <c r="N52" s="151">
        <v>96.3</v>
      </c>
      <c r="O52" s="151">
        <v>100</v>
      </c>
      <c r="P52" s="151"/>
      <c r="Q52" s="151"/>
      <c r="R52" s="151"/>
      <c r="S52" s="152"/>
      <c r="T52" s="152"/>
      <c r="U52" s="320">
        <v>168</v>
      </c>
      <c r="V52" s="321"/>
      <c r="W52" s="322">
        <v>5.23</v>
      </c>
      <c r="X52" s="323"/>
      <c r="Y52" s="242">
        <f>IF(W52&lt;&gt;0,AE52,"")</f>
        <v>3.2878039224981617</v>
      </c>
      <c r="Z52" s="243"/>
      <c r="AA52" s="80"/>
      <c r="AB52" s="215">
        <f>(100*W52)/(100-W52)</f>
        <v>5.5186240371425557</v>
      </c>
      <c r="AC52" s="216"/>
      <c r="AD52" s="67">
        <f t="shared" ref="AD52:AD58" si="0">(0.25*(100-O52)+2.3*(O52-H52)+12*(H52-E52)+150*(E52))/100</f>
        <v>15.206799999999998</v>
      </c>
      <c r="AE52" s="68">
        <f t="shared" ref="AE52:AE58" si="1">(AB52*$AE$47)/(2.65*(AD52)^(1/5))</f>
        <v>3.2878039224981617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142">
        <f>IF(E51&lt;&gt;0,AVERAGE(E51:E54),"")</f>
        <v>8</v>
      </c>
      <c r="F57" s="142">
        <f t="shared" ref="F57:L57" si="3">IF(F51&lt;&gt;0,AVERAGE(F51:F54),"")</f>
        <v>10.050000000000001</v>
      </c>
      <c r="G57" s="142">
        <f t="shared" si="3"/>
        <v>12.399999999999999</v>
      </c>
      <c r="H57" s="142">
        <f t="shared" si="3"/>
        <v>15.95</v>
      </c>
      <c r="I57" s="142">
        <f t="shared" si="3"/>
        <v>21.4</v>
      </c>
      <c r="J57" s="142">
        <f t="shared" si="3"/>
        <v>32.299999999999997</v>
      </c>
      <c r="K57" s="142">
        <f t="shared" si="3"/>
        <v>48</v>
      </c>
      <c r="L57" s="142">
        <f t="shared" si="3"/>
        <v>67.2</v>
      </c>
      <c r="M57" s="142">
        <f>IF(M51&lt;&gt;0,AVERAGE(M51:M54),"")</f>
        <v>84.1</v>
      </c>
      <c r="N57" s="142">
        <f>IF(N51&lt;&gt;0,AVERAGE(N51:N54),"")</f>
        <v>95.949999999999989</v>
      </c>
      <c r="O57" s="143">
        <f>IF(O51&lt;&gt;0,AVERAGE(O51:O54),"")</f>
        <v>100</v>
      </c>
      <c r="P57" s="142"/>
      <c r="Q57" s="143"/>
      <c r="R57" s="142"/>
      <c r="S57" s="142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167.5</v>
      </c>
      <c r="V57" s="210"/>
      <c r="W57" s="211">
        <f>IF(W51&lt;&gt;0,AVERAGE(W51:X54),"")</f>
        <v>5.165</v>
      </c>
      <c r="X57" s="212"/>
      <c r="Y57" s="213">
        <f>IF(W51&lt;&gt;0,AVERAGE(Y51:Z54),"")</f>
        <v>3.258556547534798</v>
      </c>
      <c r="Z57" s="214"/>
      <c r="AA57" s="66"/>
      <c r="AB57" s="215">
        <f>(100*W57)/(100-W57)</f>
        <v>5.4463014709759054</v>
      </c>
      <c r="AC57" s="216"/>
      <c r="AD57" s="67">
        <f t="shared" si="0"/>
        <v>14.887149999999998</v>
      </c>
      <c r="AE57" s="68">
        <f t="shared" si="1"/>
        <v>3.2585323153115549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7.2</v>
      </c>
      <c r="F58" s="100">
        <v>8</v>
      </c>
      <c r="G58" s="100">
        <v>11</v>
      </c>
      <c r="H58" s="100">
        <v>16</v>
      </c>
      <c r="I58" s="100">
        <v>22</v>
      </c>
      <c r="J58" s="100">
        <v>32</v>
      </c>
      <c r="K58" s="100">
        <v>45</v>
      </c>
      <c r="L58" s="100">
        <v>61</v>
      </c>
      <c r="M58" s="100">
        <v>77</v>
      </c>
      <c r="N58" s="100">
        <v>94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3.4680474933861301</v>
      </c>
      <c r="Z58" s="225"/>
      <c r="AA58" s="66"/>
      <c r="AB58" s="215">
        <f>(100*W58)/(100-W58)</f>
        <v>5.7082452431289648</v>
      </c>
      <c r="AC58" s="216"/>
      <c r="AD58" s="67">
        <f t="shared" si="0"/>
        <v>13.788</v>
      </c>
      <c r="AE58" s="68">
        <f t="shared" si="1"/>
        <v>3.4680474933861301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9.1999999999999993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5.2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1F60-C033-4D81-9BB6-B38ECEE2713F}">
  <sheetPr>
    <pageSetUpPr fitToPage="1"/>
  </sheetPr>
  <dimension ref="A1:AN72"/>
  <sheetViews>
    <sheetView topLeftCell="A2" zoomScaleNormal="100" workbookViewId="0">
      <selection activeCell="E58" sqref="E5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81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13</v>
      </c>
      <c r="K5" s="313"/>
      <c r="L5" s="314" t="s">
        <v>52</v>
      </c>
      <c r="M5" s="312"/>
      <c r="N5" s="312"/>
      <c r="O5" s="313"/>
      <c r="P5" s="315">
        <v>45358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45358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89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 t="s">
        <v>94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115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95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96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2.7210000000000001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24" t="s">
        <v>100</v>
      </c>
      <c r="D51" s="325"/>
      <c r="E51" s="144">
        <v>7.4</v>
      </c>
      <c r="F51" s="145">
        <v>9.3000000000000007</v>
      </c>
      <c r="G51" s="146">
        <v>11.4</v>
      </c>
      <c r="H51" s="146">
        <v>14.5</v>
      </c>
      <c r="I51" s="146">
        <v>19.600000000000001</v>
      </c>
      <c r="J51" s="146">
        <v>29.9</v>
      </c>
      <c r="K51" s="146">
        <v>45</v>
      </c>
      <c r="L51" s="146">
        <v>64.099999999999994</v>
      </c>
      <c r="M51" s="146">
        <v>84</v>
      </c>
      <c r="N51" s="146">
        <v>96.4</v>
      </c>
      <c r="O51" s="146">
        <v>100</v>
      </c>
      <c r="P51" s="146"/>
      <c r="Q51" s="146"/>
      <c r="R51" s="146"/>
      <c r="S51" s="148"/>
      <c r="T51" s="148"/>
      <c r="U51" s="326">
        <v>165</v>
      </c>
      <c r="V51" s="327"/>
      <c r="W51" s="328">
        <v>5.38</v>
      </c>
      <c r="X51" s="329"/>
      <c r="Y51" s="253">
        <f>IF(W51&lt;&gt;0,AE51,"")</f>
        <v>3.4479702744528362</v>
      </c>
      <c r="Z51" s="254"/>
      <c r="AA51" s="80"/>
      <c r="AB51" s="215">
        <f>(100*W51)/(100-W51)</f>
        <v>5.6859015007398011</v>
      </c>
      <c r="AC51" s="216"/>
      <c r="AD51" s="67">
        <f>(0.25*(100-O51)+2.3*(O51-H51)+12*(H51-E51)+150*(E51))/100</f>
        <v>13.9185</v>
      </c>
      <c r="AE51" s="68">
        <f>(AB51*$AE$47)/(2.65*(AD51)^(1/5))</f>
        <v>3.4479702744528362</v>
      </c>
      <c r="AF51" s="29"/>
      <c r="AG51" s="66"/>
    </row>
    <row r="52" spans="1:34" ht="24.9" customHeight="1" x14ac:dyDescent="0.25">
      <c r="A52" s="5"/>
      <c r="B52" s="44">
        <v>2</v>
      </c>
      <c r="C52" s="330" t="s">
        <v>99</v>
      </c>
      <c r="D52" s="331"/>
      <c r="E52" s="144">
        <v>7.3</v>
      </c>
      <c r="F52" s="145">
        <v>9.1999999999999993</v>
      </c>
      <c r="G52" s="146">
        <v>11.4</v>
      </c>
      <c r="H52" s="146">
        <v>14.4</v>
      </c>
      <c r="I52" s="146">
        <v>19.399999999999999</v>
      </c>
      <c r="J52" s="146">
        <v>29</v>
      </c>
      <c r="K52" s="146">
        <v>45.1</v>
      </c>
      <c r="L52" s="146">
        <v>65.400000000000006</v>
      </c>
      <c r="M52" s="146">
        <v>80.900000000000006</v>
      </c>
      <c r="N52" s="146">
        <v>96</v>
      </c>
      <c r="O52" s="147">
        <v>100</v>
      </c>
      <c r="P52" s="146"/>
      <c r="Q52" s="147"/>
      <c r="R52" s="146"/>
      <c r="S52" s="148"/>
      <c r="T52" s="148"/>
      <c r="U52" s="326">
        <v>167</v>
      </c>
      <c r="V52" s="327"/>
      <c r="W52" s="328">
        <v>5.3</v>
      </c>
      <c r="X52" s="329"/>
      <c r="Y52" s="242">
        <f>IF(W52&lt;&gt;0,AE52,"")</f>
        <v>3.4010790349169016</v>
      </c>
      <c r="Z52" s="243"/>
      <c r="AA52" s="80"/>
      <c r="AB52" s="215">
        <f>(100*W52)/(100-W52)</f>
        <v>5.5966209081309399</v>
      </c>
      <c r="AC52" s="216"/>
      <c r="AD52" s="67">
        <f t="shared" ref="AD52:AD58" si="0">(0.25*(100-O52)+2.3*(O52-H52)+12*(H52-E52)+150*(E52))/100</f>
        <v>13.770799999999999</v>
      </c>
      <c r="AE52" s="68">
        <f t="shared" ref="AE52:AE58" si="1">(AB52*$AE$47)/(2.65*(AD52)^(1/5))</f>
        <v>3.4010790349169016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142">
        <f>IF(E51&lt;&gt;0,AVERAGE(E51:E54),"")</f>
        <v>7.35</v>
      </c>
      <c r="F57" s="142">
        <f t="shared" ref="F57:L57" si="3">IF(F51&lt;&gt;0,AVERAGE(F51:F54),"")</f>
        <v>9.25</v>
      </c>
      <c r="G57" s="142">
        <f t="shared" si="3"/>
        <v>11.4</v>
      </c>
      <c r="H57" s="142">
        <f t="shared" si="3"/>
        <v>14.45</v>
      </c>
      <c r="I57" s="142">
        <f t="shared" si="3"/>
        <v>19.5</v>
      </c>
      <c r="J57" s="142">
        <f t="shared" si="3"/>
        <v>29.45</v>
      </c>
      <c r="K57" s="142">
        <f t="shared" si="3"/>
        <v>45.05</v>
      </c>
      <c r="L57" s="142">
        <f t="shared" si="3"/>
        <v>64.75</v>
      </c>
      <c r="M57" s="142">
        <f>IF(M51&lt;&gt;0,AVERAGE(M51:M54),"")</f>
        <v>82.45</v>
      </c>
      <c r="N57" s="142">
        <f>IF(N51&lt;&gt;0,AVERAGE(N51:N54),"")</f>
        <v>96.2</v>
      </c>
      <c r="O57" s="143">
        <f>IF(O51&lt;&gt;0,AVERAGE(O51:O54),"")</f>
        <v>100</v>
      </c>
      <c r="P57" s="142"/>
      <c r="Q57" s="143"/>
      <c r="R57" s="142"/>
      <c r="S57" s="142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166</v>
      </c>
      <c r="V57" s="210"/>
      <c r="W57" s="211">
        <f>IF(W51&lt;&gt;0,AVERAGE(W51:X54),"")</f>
        <v>5.34</v>
      </c>
      <c r="X57" s="212"/>
      <c r="Y57" s="213">
        <f>IF(W51&lt;&gt;0,AVERAGE(Y51:Z54),"")</f>
        <v>3.4245246546848689</v>
      </c>
      <c r="Z57" s="214"/>
      <c r="AA57" s="66"/>
      <c r="AB57" s="215">
        <f>(100*W57)/(100-W57)</f>
        <v>5.6412423410099306</v>
      </c>
      <c r="AC57" s="216"/>
      <c r="AD57" s="67">
        <f t="shared" si="0"/>
        <v>13.84465</v>
      </c>
      <c r="AE57" s="68">
        <f t="shared" si="1"/>
        <v>3.4245304211516445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7.2</v>
      </c>
      <c r="F58" s="100">
        <v>8</v>
      </c>
      <c r="G58" s="100">
        <v>11</v>
      </c>
      <c r="H58" s="100">
        <v>16</v>
      </c>
      <c r="I58" s="100">
        <v>22</v>
      </c>
      <c r="J58" s="100">
        <v>32</v>
      </c>
      <c r="K58" s="100">
        <v>45</v>
      </c>
      <c r="L58" s="100">
        <v>61</v>
      </c>
      <c r="M58" s="100">
        <v>77</v>
      </c>
      <c r="N58" s="100">
        <v>94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3.4680474933861301</v>
      </c>
      <c r="Z58" s="225"/>
      <c r="AA58" s="66"/>
      <c r="AB58" s="215">
        <f>(100*W58)/(100-W58)</f>
        <v>5.7082452431289648</v>
      </c>
      <c r="AC58" s="216"/>
      <c r="AD58" s="67">
        <f t="shared" si="0"/>
        <v>13.788</v>
      </c>
      <c r="AE58" s="68">
        <f t="shared" si="1"/>
        <v>3.4680474933861301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9.1999999999999993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5.2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Y51:Z51"/>
    <mergeCell ref="AB51:AC51"/>
    <mergeCell ref="C54:D54"/>
    <mergeCell ref="U54:V54"/>
    <mergeCell ref="W54:X54"/>
    <mergeCell ref="Y54:Z54"/>
    <mergeCell ref="AB54:AC54"/>
    <mergeCell ref="U51:V51"/>
    <mergeCell ref="W51:X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6CF5-9C6E-4A86-82B7-0304B0F44737}">
  <sheetPr>
    <pageSetUpPr fitToPage="1"/>
  </sheetPr>
  <dimension ref="A1:AN72"/>
  <sheetViews>
    <sheetView zoomScaleNormal="100" workbookViewId="0">
      <selection activeCell="T59" sqref="T5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81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12</v>
      </c>
      <c r="K5" s="313"/>
      <c r="L5" s="314" t="s">
        <v>52</v>
      </c>
      <c r="M5" s="312"/>
      <c r="N5" s="312"/>
      <c r="O5" s="313"/>
      <c r="P5" s="315">
        <v>45357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45357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89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 t="s">
        <v>91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160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92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75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93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2.649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24" t="s">
        <v>98</v>
      </c>
      <c r="D51" s="325"/>
      <c r="E51" s="137">
        <v>8.1999999999999993</v>
      </c>
      <c r="F51" s="138">
        <v>10.5</v>
      </c>
      <c r="G51" s="139">
        <v>13.6</v>
      </c>
      <c r="H51" s="139">
        <v>17.3</v>
      </c>
      <c r="I51" s="139">
        <v>22.3</v>
      </c>
      <c r="J51" s="139">
        <v>32</v>
      </c>
      <c r="K51" s="139">
        <v>46.9</v>
      </c>
      <c r="L51" s="139">
        <v>57.4</v>
      </c>
      <c r="M51" s="139">
        <v>67.900000000000006</v>
      </c>
      <c r="N51" s="139">
        <v>79.599999999999994</v>
      </c>
      <c r="O51" s="140">
        <v>91.4</v>
      </c>
      <c r="P51" s="139">
        <v>96.2</v>
      </c>
      <c r="Q51" s="139">
        <v>100</v>
      </c>
      <c r="R51" s="139"/>
      <c r="S51" s="141"/>
      <c r="T51" s="141"/>
      <c r="U51" s="332">
        <v>168</v>
      </c>
      <c r="V51" s="333"/>
      <c r="W51" s="334">
        <v>4.3899999999999997</v>
      </c>
      <c r="X51" s="335"/>
      <c r="Y51" s="253">
        <f>IF(W51&lt;&gt;0,AE51,"")</f>
        <v>2.6662420118265175</v>
      </c>
      <c r="Z51" s="254"/>
      <c r="AA51" s="80"/>
      <c r="AB51" s="215">
        <f>(100*W51)/(100-W51)</f>
        <v>4.591569919464491</v>
      </c>
      <c r="AC51" s="216"/>
      <c r="AD51" s="67">
        <f>(0.25*(100-O51)+2.3*(O51-H51)+12*(H51-E51)+150*(E51))/100</f>
        <v>15.117799999999999</v>
      </c>
      <c r="AE51" s="68">
        <f>(AB51*$AE$47)/(2.65*(AD51)^(1/5))</f>
        <v>2.6662420118265175</v>
      </c>
      <c r="AF51" s="29"/>
      <c r="AG51" s="66"/>
    </row>
    <row r="52" spans="1:34" ht="24.9" customHeight="1" x14ac:dyDescent="0.25">
      <c r="A52" s="5"/>
      <c r="B52" s="44">
        <v>2</v>
      </c>
      <c r="C52" s="330" t="s">
        <v>99</v>
      </c>
      <c r="D52" s="331"/>
      <c r="E52" s="144">
        <v>8.1</v>
      </c>
      <c r="F52" s="145">
        <v>10.3</v>
      </c>
      <c r="G52" s="146">
        <v>15.3</v>
      </c>
      <c r="H52" s="146">
        <v>17.3</v>
      </c>
      <c r="I52" s="146">
        <v>22.2</v>
      </c>
      <c r="J52" s="146">
        <v>31</v>
      </c>
      <c r="K52" s="146">
        <v>44.4</v>
      </c>
      <c r="L52" s="146">
        <v>53.6</v>
      </c>
      <c r="M52" s="146">
        <v>64.900000000000006</v>
      </c>
      <c r="N52" s="146">
        <v>78.400000000000006</v>
      </c>
      <c r="O52" s="146">
        <v>89.2</v>
      </c>
      <c r="P52" s="146">
        <v>96.8</v>
      </c>
      <c r="Q52" s="146">
        <v>100</v>
      </c>
      <c r="R52" s="146"/>
      <c r="S52" s="148"/>
      <c r="T52" s="148"/>
      <c r="U52" s="326">
        <v>165</v>
      </c>
      <c r="V52" s="327"/>
      <c r="W52" s="328">
        <v>4.3899999999999997</v>
      </c>
      <c r="X52" s="329"/>
      <c r="Y52" s="242">
        <f>IF(W52&lt;&gt;0,AE52,"")</f>
        <v>2.6727478309938348</v>
      </c>
      <c r="Z52" s="243"/>
      <c r="AA52" s="80"/>
      <c r="AB52" s="215">
        <f>(100*W52)/(100-W52)</f>
        <v>4.591569919464491</v>
      </c>
      <c r="AC52" s="216"/>
      <c r="AD52" s="67">
        <f t="shared" ref="AD52:AD58" si="0">(0.25*(100-O52)+2.3*(O52-H52)+12*(H52-E52)+150*(E52))/100</f>
        <v>14.934699999999999</v>
      </c>
      <c r="AE52" s="68">
        <f t="shared" ref="AE52:AE58" si="1">(AB52*$AE$47)/(2.65*(AD52)^(1/5))</f>
        <v>2.6727478309938348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142">
        <f>IF(E51&lt;&gt;0,AVERAGE(E51:E54),"")</f>
        <v>8.1499999999999986</v>
      </c>
      <c r="F57" s="142">
        <f t="shared" ref="F57:L57" si="3">IF(F51&lt;&gt;0,AVERAGE(F51:F54),"")</f>
        <v>10.4</v>
      </c>
      <c r="G57" s="142">
        <f t="shared" si="3"/>
        <v>14.45</v>
      </c>
      <c r="H57" s="142">
        <f t="shared" si="3"/>
        <v>17.3</v>
      </c>
      <c r="I57" s="142">
        <f t="shared" si="3"/>
        <v>22.25</v>
      </c>
      <c r="J57" s="142">
        <f t="shared" si="3"/>
        <v>31.5</v>
      </c>
      <c r="K57" s="142">
        <f t="shared" si="3"/>
        <v>45.65</v>
      </c>
      <c r="L57" s="142">
        <f t="shared" si="3"/>
        <v>55.5</v>
      </c>
      <c r="M57" s="142">
        <f>IF(M51&lt;&gt;0,AVERAGE(M51:M54),"")</f>
        <v>66.400000000000006</v>
      </c>
      <c r="N57" s="142">
        <f>IF(N51&lt;&gt;0,AVERAGE(N51:N54),"")</f>
        <v>79</v>
      </c>
      <c r="O57" s="143">
        <f>IF(O51&lt;&gt;0,AVERAGE(O51:O54),"")</f>
        <v>90.300000000000011</v>
      </c>
      <c r="P57" s="143">
        <f t="shared" ref="P57:Q57" si="4">IF(P51&lt;&gt;0,AVERAGE(P51:P54),"")</f>
        <v>96.5</v>
      </c>
      <c r="Q57" s="143">
        <f t="shared" si="4"/>
        <v>100</v>
      </c>
      <c r="R57" s="142"/>
      <c r="S57" s="142" t="str">
        <f t="shared" ref="S57:T57" si="5">IF(S51&lt;&gt;0,AVERAGE(S51:S54),"")</f>
        <v/>
      </c>
      <c r="T57" s="99" t="str">
        <f t="shared" si="5"/>
        <v/>
      </c>
      <c r="U57" s="209">
        <f>IF(U51&lt;&gt;0,AVERAGE(U51:V54),"")</f>
        <v>166.5</v>
      </c>
      <c r="V57" s="210"/>
      <c r="W57" s="211">
        <f>IF(W51&lt;&gt;0,AVERAGE(W51:X54),"")</f>
        <v>4.3899999999999997</v>
      </c>
      <c r="X57" s="212"/>
      <c r="Y57" s="213">
        <f>IF(W51&lt;&gt;0,AVERAGE(Y51:Z54),"")</f>
        <v>2.669494921410176</v>
      </c>
      <c r="Z57" s="214"/>
      <c r="AA57" s="66"/>
      <c r="AB57" s="215">
        <f>(100*W57)/(100-W57)</f>
        <v>4.591569919464491</v>
      </c>
      <c r="AC57" s="216"/>
      <c r="AD57" s="67">
        <f t="shared" si="0"/>
        <v>15.026249999999997</v>
      </c>
      <c r="AE57" s="68">
        <f t="shared" si="1"/>
        <v>2.669483030000392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7</v>
      </c>
      <c r="F58" s="100">
        <v>9</v>
      </c>
      <c r="G58" s="100">
        <v>12</v>
      </c>
      <c r="H58" s="100">
        <v>17</v>
      </c>
      <c r="I58" s="100">
        <v>22</v>
      </c>
      <c r="J58" s="100">
        <v>32</v>
      </c>
      <c r="K58" s="100">
        <v>44</v>
      </c>
      <c r="L58" s="100">
        <v>51</v>
      </c>
      <c r="M58" s="100">
        <v>61</v>
      </c>
      <c r="N58" s="100">
        <v>75</v>
      </c>
      <c r="O58" s="114">
        <v>92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4.5999999999999996</v>
      </c>
      <c r="X58" s="223"/>
      <c r="Y58" s="224">
        <f>AE58</f>
        <v>2.8663774597736555</v>
      </c>
      <c r="Z58" s="225"/>
      <c r="AA58" s="66"/>
      <c r="AB58" s="215">
        <f>(100*W58)/(100-W58)</f>
        <v>4.8218029350104814</v>
      </c>
      <c r="AC58" s="216"/>
      <c r="AD58" s="67">
        <f t="shared" si="0"/>
        <v>13.445</v>
      </c>
      <c r="AE58" s="68">
        <f t="shared" si="1"/>
        <v>2.8663774597736555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</v>
      </c>
      <c r="F59" s="92"/>
      <c r="G59" s="92"/>
      <c r="H59" s="92"/>
      <c r="I59" s="92"/>
      <c r="J59" s="92">
        <f>J58+6</f>
        <v>38</v>
      </c>
      <c r="K59" s="92"/>
      <c r="L59" s="92">
        <f>L58+7</f>
        <v>58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5.0999999999999996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5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44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4.0999999999999996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CA53-156C-4154-BBAD-26978FF4266A}">
  <sheetPr>
    <pageSetUpPr fitToPage="1"/>
  </sheetPr>
  <dimension ref="A1:AN72"/>
  <sheetViews>
    <sheetView zoomScaleNormal="100" workbookViewId="0">
      <selection activeCell="U1" sqref="U1:Z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81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11</v>
      </c>
      <c r="K5" s="313"/>
      <c r="L5" s="314" t="s">
        <v>52</v>
      </c>
      <c r="M5" s="312"/>
      <c r="N5" s="312"/>
      <c r="O5" s="313"/>
      <c r="P5" s="315">
        <v>45267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45266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89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45267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2.6469999999999998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236" t="s">
        <v>90</v>
      </c>
      <c r="D51" s="237"/>
      <c r="E51" s="133">
        <v>6.3</v>
      </c>
      <c r="F51" s="134">
        <v>8</v>
      </c>
      <c r="G51" s="135">
        <v>10.6</v>
      </c>
      <c r="H51" s="135">
        <v>14.1</v>
      </c>
      <c r="I51" s="135">
        <v>19</v>
      </c>
      <c r="J51" s="135">
        <v>28.3</v>
      </c>
      <c r="K51" s="135">
        <v>43.7</v>
      </c>
      <c r="L51" s="135">
        <v>60.4</v>
      </c>
      <c r="M51" s="135">
        <v>76.3</v>
      </c>
      <c r="N51" s="135">
        <v>95.2</v>
      </c>
      <c r="O51" s="136">
        <v>100</v>
      </c>
      <c r="P51" s="135"/>
      <c r="Q51" s="135"/>
      <c r="R51" s="135"/>
      <c r="S51" s="128"/>
      <c r="T51" s="128"/>
      <c r="U51" s="238">
        <v>174</v>
      </c>
      <c r="V51" s="239"/>
      <c r="W51" s="240">
        <v>5.0999999999999996</v>
      </c>
      <c r="X51" s="241"/>
      <c r="Y51" s="253">
        <f>IF(W51&lt;&gt;0,AE51,"")</f>
        <v>3.2463578511422453</v>
      </c>
      <c r="Z51" s="254"/>
      <c r="AA51" s="80"/>
      <c r="AB51" s="215">
        <f>(100*W51)/(100-W51)</f>
        <v>5.3740779768177021</v>
      </c>
      <c r="AC51" s="216"/>
      <c r="AD51" s="67">
        <f>(0.25*(100-O51)+2.3*(O51-H51)+12*(H51-E51)+150*(E51))/100</f>
        <v>12.361700000000001</v>
      </c>
      <c r="AE51" s="68">
        <f>(AB51*$AE$47)/(2.65*(AD51)^(1/5))</f>
        <v>3.2463578511422453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9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6.3</v>
      </c>
      <c r="F57" s="98">
        <f t="shared" ref="F57:L57" si="3">IF(F51&lt;&gt;0,AVERAGE(F51:F54),"")</f>
        <v>8</v>
      </c>
      <c r="G57" s="98">
        <f t="shared" si="3"/>
        <v>10.6</v>
      </c>
      <c r="H57" s="98">
        <f t="shared" si="3"/>
        <v>14.1</v>
      </c>
      <c r="I57" s="98">
        <f t="shared" si="3"/>
        <v>19</v>
      </c>
      <c r="J57" s="98">
        <f t="shared" si="3"/>
        <v>28.3</v>
      </c>
      <c r="K57" s="98">
        <f t="shared" si="3"/>
        <v>43.7</v>
      </c>
      <c r="L57" s="98">
        <f t="shared" si="3"/>
        <v>60.4</v>
      </c>
      <c r="M57" s="98">
        <f>IF(M51&lt;&gt;0,AVERAGE(M51:M54),"")</f>
        <v>76.3</v>
      </c>
      <c r="N57" s="98">
        <f>IF(N51&lt;&gt;0,AVERAGE(N51:N54),"")</f>
        <v>95.2</v>
      </c>
      <c r="O57" s="124">
        <f>IF(O51&lt;&gt;0,AVERAGE(O51:O54),"")</f>
        <v>100</v>
      </c>
      <c r="P57" s="98"/>
      <c r="Q57" s="124"/>
      <c r="R57" s="98"/>
      <c r="S57" s="98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174</v>
      </c>
      <c r="V57" s="210"/>
      <c r="W57" s="211">
        <f>IF(W51&lt;&gt;0,AVERAGE(W51:X54),"")</f>
        <v>5.0999999999999996</v>
      </c>
      <c r="X57" s="212"/>
      <c r="Y57" s="213">
        <f>IF(W51&lt;&gt;0,AVERAGE(Y51:Z54),"")</f>
        <v>3.2463578511422453</v>
      </c>
      <c r="Z57" s="214"/>
      <c r="AA57" s="66"/>
      <c r="AB57" s="215">
        <f>(100*W57)/(100-W57)</f>
        <v>5.3740779768177021</v>
      </c>
      <c r="AC57" s="216"/>
      <c r="AD57" s="67">
        <f t="shared" si="0"/>
        <v>12.361700000000001</v>
      </c>
      <c r="AE57" s="68">
        <f t="shared" si="1"/>
        <v>3.2463578511422453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3.4230996041984052</v>
      </c>
      <c r="Z58" s="225"/>
      <c r="AA58" s="66"/>
      <c r="AB58" s="215">
        <f>(100*W58)/(100-W58)</f>
        <v>5.7082452431289648</v>
      </c>
      <c r="AC58" s="216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5294-2D68-49BC-B35B-61661BB84FF7}">
  <sheetPr>
    <pageSetUpPr fitToPage="1"/>
  </sheetPr>
  <dimension ref="A1:AN72"/>
  <sheetViews>
    <sheetView topLeftCell="B1" zoomScaleNormal="100" workbookViewId="0">
      <selection activeCell="U1" sqref="U1:Z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81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10</v>
      </c>
      <c r="K5" s="313"/>
      <c r="L5" s="314" t="s">
        <v>52</v>
      </c>
      <c r="M5" s="312"/>
      <c r="N5" s="312"/>
      <c r="O5" s="313"/>
      <c r="P5" s="315">
        <v>45182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45182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84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45182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160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82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75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83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2.649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87</v>
      </c>
      <c r="D51" s="337"/>
      <c r="E51" s="129">
        <v>7.7</v>
      </c>
      <c r="F51" s="130">
        <v>9.8000000000000007</v>
      </c>
      <c r="G51" s="131">
        <v>12.8</v>
      </c>
      <c r="H51" s="131">
        <v>16.5</v>
      </c>
      <c r="I51" s="131">
        <v>21.7</v>
      </c>
      <c r="J51" s="131">
        <v>31.1</v>
      </c>
      <c r="K51" s="131">
        <v>44.2</v>
      </c>
      <c r="L51" s="131">
        <v>55.3</v>
      </c>
      <c r="M51" s="131">
        <v>65</v>
      </c>
      <c r="N51" s="131">
        <v>76.5</v>
      </c>
      <c r="O51" s="131">
        <v>91.7</v>
      </c>
      <c r="P51" s="131">
        <v>96.8</v>
      </c>
      <c r="Q51" s="132">
        <v>100</v>
      </c>
      <c r="R51" s="131"/>
      <c r="S51" s="115"/>
      <c r="T51" s="115"/>
      <c r="U51" s="342">
        <v>170</v>
      </c>
      <c r="V51" s="343"/>
      <c r="W51" s="344">
        <v>4.13</v>
      </c>
      <c r="X51" s="345"/>
      <c r="Y51" s="253">
        <f>IF(W51&lt;&gt;0,AE51,"")</f>
        <v>2.5275200018137847</v>
      </c>
      <c r="Z51" s="254"/>
      <c r="AA51" s="80"/>
      <c r="AB51" s="215">
        <f>(100*W51)/(100-W51)</f>
        <v>4.3079169708980913</v>
      </c>
      <c r="AC51" s="216"/>
      <c r="AD51" s="67">
        <f>(0.25*(100-O51)+2.3*(O51-H51)+12*(H51-E51)+150*(E51))/100</f>
        <v>14.356349999999999</v>
      </c>
      <c r="AE51" s="68">
        <f>(AB51*$AE$47)/(2.65*(AD51)^(1/5))</f>
        <v>2.5275200018137847</v>
      </c>
      <c r="AF51" s="29"/>
      <c r="AG51" s="66"/>
    </row>
    <row r="52" spans="1:34" ht="24.9" customHeight="1" x14ac:dyDescent="0.25">
      <c r="A52" s="5"/>
      <c r="B52" s="44">
        <v>2</v>
      </c>
      <c r="C52" s="336" t="s">
        <v>88</v>
      </c>
      <c r="D52" s="337"/>
      <c r="E52" s="129">
        <v>7.6</v>
      </c>
      <c r="F52" s="130">
        <v>9.5</v>
      </c>
      <c r="G52" s="131">
        <v>12.7</v>
      </c>
      <c r="H52" s="131">
        <v>16.100000000000001</v>
      </c>
      <c r="I52" s="131">
        <v>21.3</v>
      </c>
      <c r="J52" s="131">
        <v>30.8</v>
      </c>
      <c r="K52" s="131">
        <v>45.9</v>
      </c>
      <c r="L52" s="131">
        <v>55.2</v>
      </c>
      <c r="M52" s="131">
        <v>65.400000000000006</v>
      </c>
      <c r="N52" s="131">
        <v>79.5</v>
      </c>
      <c r="O52" s="131">
        <v>93</v>
      </c>
      <c r="P52" s="131">
        <v>97.1</v>
      </c>
      <c r="Q52" s="132">
        <v>100</v>
      </c>
      <c r="R52" s="131"/>
      <c r="S52" s="115"/>
      <c r="T52" s="115"/>
      <c r="U52" s="342">
        <v>175</v>
      </c>
      <c r="V52" s="343"/>
      <c r="W52" s="344">
        <v>4.24</v>
      </c>
      <c r="X52" s="345"/>
      <c r="Y52" s="242">
        <f>IF(W52&lt;&gt;0,AE52,"")</f>
        <v>2.6032880130360789</v>
      </c>
      <c r="Z52" s="243"/>
      <c r="AA52" s="80"/>
      <c r="AB52" s="215">
        <f>(100*W52)/(100-W52)</f>
        <v>4.4277360066833751</v>
      </c>
      <c r="AC52" s="216"/>
      <c r="AD52" s="67">
        <f t="shared" ref="AD52:AD58" si="0">(0.25*(100-O52)+2.3*(O52-H52)+12*(H52-E52)+150*(E52))/100</f>
        <v>14.206199999999999</v>
      </c>
      <c r="AE52" s="68">
        <f t="shared" ref="AE52:AE58" si="1">(AB52*$AE$47)/(2.65*(AD52)^(1/5))</f>
        <v>2.6032880130360789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7.65</v>
      </c>
      <c r="F57" s="98">
        <f t="shared" ref="F57:L57" si="3">IF(F51&lt;&gt;0,AVERAGE(F51:F54),"")</f>
        <v>9.65</v>
      </c>
      <c r="G57" s="98">
        <f t="shared" si="3"/>
        <v>12.75</v>
      </c>
      <c r="H57" s="98">
        <f t="shared" si="3"/>
        <v>16.3</v>
      </c>
      <c r="I57" s="98">
        <f t="shared" si="3"/>
        <v>21.5</v>
      </c>
      <c r="J57" s="98">
        <f t="shared" si="3"/>
        <v>30.950000000000003</v>
      </c>
      <c r="K57" s="98">
        <f t="shared" si="3"/>
        <v>45.05</v>
      </c>
      <c r="L57" s="98">
        <f t="shared" si="3"/>
        <v>55.25</v>
      </c>
      <c r="M57" s="98">
        <f>IF(M51&lt;&gt;0,AVERAGE(M51:M54),"")</f>
        <v>65.2</v>
      </c>
      <c r="N57" s="98">
        <f>IF(N51&lt;&gt;0,AVERAGE(N51:N54),"")</f>
        <v>78</v>
      </c>
      <c r="O57" s="98">
        <f>IF(O51&lt;&gt;0,AVERAGE(O51:O54),"")</f>
        <v>92.35</v>
      </c>
      <c r="P57" s="98">
        <f t="shared" ref="P57:Q57" si="4">IF(P51&lt;&gt;0,AVERAGE(P51:P54),"")</f>
        <v>96.949999999999989</v>
      </c>
      <c r="Q57" s="124">
        <f t="shared" si="4"/>
        <v>100</v>
      </c>
      <c r="R57" s="98"/>
      <c r="S57" s="98" t="str">
        <f t="shared" ref="S57:T57" si="5">IF(S51&lt;&gt;0,AVERAGE(S51:S54),"")</f>
        <v/>
      </c>
      <c r="T57" s="99" t="str">
        <f t="shared" si="5"/>
        <v/>
      </c>
      <c r="U57" s="209">
        <f>IF(U51&lt;&gt;0,AVERAGE(U51:V54),"")</f>
        <v>172.5</v>
      </c>
      <c r="V57" s="210"/>
      <c r="W57" s="211">
        <f>IF(W51&lt;&gt;0,AVERAGE(W51:X54),"")</f>
        <v>4.1850000000000005</v>
      </c>
      <c r="X57" s="212"/>
      <c r="Y57" s="213">
        <f>IF(W51&lt;&gt;0,AVERAGE(Y51:Z54),"")</f>
        <v>2.5654040074249318</v>
      </c>
      <c r="Z57" s="214"/>
      <c r="AA57" s="66"/>
      <c r="AB57" s="215">
        <f>(100*W57)/(100-W57)</f>
        <v>4.3677920993581392</v>
      </c>
      <c r="AC57" s="216"/>
      <c r="AD57" s="67">
        <f t="shared" si="0"/>
        <v>14.281275000000001</v>
      </c>
      <c r="AE57" s="68">
        <f t="shared" si="1"/>
        <v>2.5653383072054394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7</v>
      </c>
      <c r="F58" s="100">
        <v>9</v>
      </c>
      <c r="G58" s="100">
        <v>12</v>
      </c>
      <c r="H58" s="100">
        <v>17</v>
      </c>
      <c r="I58" s="100">
        <v>22</v>
      </c>
      <c r="J58" s="100">
        <v>32</v>
      </c>
      <c r="K58" s="100">
        <v>44</v>
      </c>
      <c r="L58" s="100">
        <v>51</v>
      </c>
      <c r="M58" s="100">
        <v>61</v>
      </c>
      <c r="N58" s="100">
        <v>75</v>
      </c>
      <c r="O58" s="114">
        <v>92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4.5999999999999996</v>
      </c>
      <c r="X58" s="223"/>
      <c r="Y58" s="224">
        <f>AE58</f>
        <v>2.8663774597736555</v>
      </c>
      <c r="Z58" s="225"/>
      <c r="AA58" s="66"/>
      <c r="AB58" s="215">
        <f>(100*W58)/(100-W58)</f>
        <v>4.8218029350104814</v>
      </c>
      <c r="AC58" s="216"/>
      <c r="AD58" s="67">
        <f t="shared" si="0"/>
        <v>13.445</v>
      </c>
      <c r="AE58" s="68">
        <f t="shared" si="1"/>
        <v>2.8663774597736555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</v>
      </c>
      <c r="F59" s="92"/>
      <c r="G59" s="92"/>
      <c r="H59" s="92"/>
      <c r="I59" s="92"/>
      <c r="J59" s="92">
        <f>J58+6</f>
        <v>38</v>
      </c>
      <c r="K59" s="92"/>
      <c r="L59" s="92">
        <f>L58+7</f>
        <v>58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5.0999999999999996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5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44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4.0999999999999996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V70:Y71"/>
    <mergeCell ref="C52:D52"/>
    <mergeCell ref="U52:V52"/>
    <mergeCell ref="W52:X52"/>
    <mergeCell ref="C51:D51"/>
    <mergeCell ref="U51:V51"/>
    <mergeCell ref="W51:X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5496-7970-427E-B0AA-79D6DAAD5C3E}">
  <sheetPr>
    <pageSetUpPr fitToPage="1"/>
  </sheetPr>
  <dimension ref="A1:AN72"/>
  <sheetViews>
    <sheetView topLeftCell="B7" zoomScaleNormal="100" workbookViewId="0">
      <selection activeCell="U53" sqref="U53:V5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81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9</v>
      </c>
      <c r="K5" s="313"/>
      <c r="L5" s="314" t="s">
        <v>52</v>
      </c>
      <c r="M5" s="312"/>
      <c r="N5" s="312"/>
      <c r="O5" s="313"/>
      <c r="P5" s="315">
        <v>45182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45182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84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45181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160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82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73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83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2.649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85</v>
      </c>
      <c r="D51" s="337"/>
      <c r="E51" s="125">
        <v>6.5</v>
      </c>
      <c r="F51" s="126">
        <v>8.4</v>
      </c>
      <c r="G51" s="127">
        <v>11.3</v>
      </c>
      <c r="H51" s="127">
        <v>14.8</v>
      </c>
      <c r="I51" s="127">
        <v>19.899999999999999</v>
      </c>
      <c r="J51" s="127">
        <v>28.9</v>
      </c>
      <c r="K51" s="127">
        <v>43.4</v>
      </c>
      <c r="L51" s="127">
        <v>57.8</v>
      </c>
      <c r="M51" s="127">
        <v>73</v>
      </c>
      <c r="N51" s="127">
        <v>87.2</v>
      </c>
      <c r="O51" s="127">
        <v>94.9</v>
      </c>
      <c r="P51" s="127">
        <v>98.4</v>
      </c>
      <c r="Q51" s="127">
        <v>100</v>
      </c>
      <c r="R51" s="127"/>
      <c r="S51" s="128"/>
      <c r="T51" s="128"/>
      <c r="U51" s="346">
        <v>183</v>
      </c>
      <c r="V51" s="347"/>
      <c r="W51" s="348">
        <v>4.49</v>
      </c>
      <c r="X51" s="349"/>
      <c r="Y51" s="253">
        <f>IF(W51&lt;&gt;0,AE51,"")</f>
        <v>2.8310805971520896</v>
      </c>
      <c r="Z51" s="254"/>
      <c r="AA51" s="80"/>
      <c r="AB51" s="215">
        <f>(100*W51)/(100-W51)</f>
        <v>4.701078421107737</v>
      </c>
      <c r="AC51" s="216"/>
      <c r="AD51" s="67">
        <f>(0.25*(100-O51)+2.3*(O51-H51)+12*(H51-E51)+150*(E51))/100</f>
        <v>12.601050000000001</v>
      </c>
      <c r="AE51" s="68">
        <f>(AB51*$AE$47)/(2.65*(AD51)^(1/5))</f>
        <v>2.8310805971520896</v>
      </c>
      <c r="AF51" s="29"/>
      <c r="AG51" s="66"/>
    </row>
    <row r="52" spans="1:34" ht="24.9" customHeight="1" x14ac:dyDescent="0.25">
      <c r="A52" s="5"/>
      <c r="B52" s="44">
        <v>2</v>
      </c>
      <c r="C52" s="336" t="s">
        <v>86</v>
      </c>
      <c r="D52" s="337"/>
      <c r="E52" s="129">
        <v>7.2</v>
      </c>
      <c r="F52" s="130">
        <v>9.1999999999999993</v>
      </c>
      <c r="G52" s="131">
        <v>12</v>
      </c>
      <c r="H52" s="131">
        <v>15.5</v>
      </c>
      <c r="I52" s="131">
        <v>20.5</v>
      </c>
      <c r="J52" s="131">
        <v>29.6</v>
      </c>
      <c r="K52" s="131">
        <v>44.7</v>
      </c>
      <c r="L52" s="131">
        <v>54.8</v>
      </c>
      <c r="M52" s="131">
        <v>65.3</v>
      </c>
      <c r="N52" s="131">
        <v>79.900000000000006</v>
      </c>
      <c r="O52" s="131">
        <v>93.6</v>
      </c>
      <c r="P52" s="131">
        <v>98.1</v>
      </c>
      <c r="Q52" s="131">
        <v>100</v>
      </c>
      <c r="R52" s="131"/>
      <c r="S52" s="115"/>
      <c r="T52" s="115"/>
      <c r="U52" s="342">
        <v>175</v>
      </c>
      <c r="V52" s="343"/>
      <c r="W52" s="344">
        <v>4.21</v>
      </c>
      <c r="X52" s="345"/>
      <c r="Y52" s="242">
        <f>IF(W52&lt;&gt;0,AE52,"")</f>
        <v>2.6063769844755198</v>
      </c>
      <c r="Z52" s="243"/>
      <c r="AA52" s="80"/>
      <c r="AB52" s="215">
        <f>(100*W52)/(100-W52)</f>
        <v>4.3950307965340851</v>
      </c>
      <c r="AC52" s="216"/>
      <c r="AD52" s="67">
        <f t="shared" ref="AD52:AD58" si="0">(0.25*(100-O52)+2.3*(O52-H52)+12*(H52-E52)+150*(E52))/100</f>
        <v>13.6083</v>
      </c>
      <c r="AE52" s="68">
        <f t="shared" ref="AE52:AE58" si="1">(AB52*$AE$47)/(2.65*(AD52)^(1/5))</f>
        <v>2.6063769844755198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6.85</v>
      </c>
      <c r="F57" s="98">
        <f t="shared" ref="F57:L57" si="3">IF(F51&lt;&gt;0,AVERAGE(F51:F54),"")</f>
        <v>8.8000000000000007</v>
      </c>
      <c r="G57" s="98">
        <f t="shared" si="3"/>
        <v>11.65</v>
      </c>
      <c r="H57" s="98">
        <f t="shared" si="3"/>
        <v>15.15</v>
      </c>
      <c r="I57" s="98">
        <f t="shared" si="3"/>
        <v>20.2</v>
      </c>
      <c r="J57" s="98">
        <f t="shared" si="3"/>
        <v>29.25</v>
      </c>
      <c r="K57" s="98">
        <f t="shared" si="3"/>
        <v>44.05</v>
      </c>
      <c r="L57" s="98">
        <f t="shared" si="3"/>
        <v>56.3</v>
      </c>
      <c r="M57" s="98">
        <f>IF(M51&lt;&gt;0,AVERAGE(M51:M54),"")</f>
        <v>69.150000000000006</v>
      </c>
      <c r="N57" s="98">
        <f>IF(N51&lt;&gt;0,AVERAGE(N51:N54),"")</f>
        <v>83.550000000000011</v>
      </c>
      <c r="O57" s="98">
        <f>IF(O51&lt;&gt;0,AVERAGE(O51:O54),"")</f>
        <v>94.25</v>
      </c>
      <c r="P57" s="98">
        <f t="shared" ref="P57:Q57" si="4">IF(P51&lt;&gt;0,AVERAGE(P51:P54),"")</f>
        <v>98.25</v>
      </c>
      <c r="Q57" s="98">
        <f t="shared" si="4"/>
        <v>100</v>
      </c>
      <c r="R57" s="98"/>
      <c r="S57" s="98" t="str">
        <f t="shared" ref="S57:T57" si="5">IF(S51&lt;&gt;0,AVERAGE(S51:S54),"")</f>
        <v/>
      </c>
      <c r="T57" s="99" t="str">
        <f t="shared" si="5"/>
        <v/>
      </c>
      <c r="U57" s="209">
        <f>IF(U51&lt;&gt;0,AVERAGE(U51:V54),"")</f>
        <v>179</v>
      </c>
      <c r="V57" s="210"/>
      <c r="W57" s="211">
        <f>IF(W51&lt;&gt;0,AVERAGE(W51:X54),"")</f>
        <v>4.3499999999999996</v>
      </c>
      <c r="X57" s="212"/>
      <c r="Y57" s="213">
        <f>IF(W51&lt;&gt;0,AVERAGE(Y51:Z54),"")</f>
        <v>2.7187287908138047</v>
      </c>
      <c r="Z57" s="214"/>
      <c r="AA57" s="66"/>
      <c r="AB57" s="215">
        <f>(100*W57)/(100-W57)</f>
        <v>4.5478306325143745</v>
      </c>
      <c r="AC57" s="216"/>
      <c r="AD57" s="67">
        <f t="shared" si="0"/>
        <v>13.104675</v>
      </c>
      <c r="AE57" s="68">
        <f t="shared" si="1"/>
        <v>2.7174096667098713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7</v>
      </c>
      <c r="F58" s="100">
        <v>9</v>
      </c>
      <c r="G58" s="100">
        <v>12</v>
      </c>
      <c r="H58" s="100">
        <v>17</v>
      </c>
      <c r="I58" s="100">
        <v>22</v>
      </c>
      <c r="J58" s="100">
        <v>32</v>
      </c>
      <c r="K58" s="100">
        <v>44</v>
      </c>
      <c r="L58" s="100">
        <v>51</v>
      </c>
      <c r="M58" s="100">
        <v>61</v>
      </c>
      <c r="N58" s="100">
        <v>75</v>
      </c>
      <c r="O58" s="114">
        <v>92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4.5999999999999996</v>
      </c>
      <c r="X58" s="223"/>
      <c r="Y58" s="224">
        <f>AE58</f>
        <v>2.8663774597736555</v>
      </c>
      <c r="Z58" s="225"/>
      <c r="AA58" s="66"/>
      <c r="AB58" s="215">
        <f>(100*W58)/(100-W58)</f>
        <v>4.8218029350104814</v>
      </c>
      <c r="AC58" s="216"/>
      <c r="AD58" s="67">
        <f t="shared" si="0"/>
        <v>13.445</v>
      </c>
      <c r="AE58" s="68">
        <f t="shared" si="1"/>
        <v>2.8663774597736555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9</v>
      </c>
      <c r="F59" s="92"/>
      <c r="G59" s="92"/>
      <c r="H59" s="92"/>
      <c r="I59" s="92"/>
      <c r="J59" s="92">
        <f>J58+6</f>
        <v>38</v>
      </c>
      <c r="K59" s="92"/>
      <c r="L59" s="92">
        <f>L58+7</f>
        <v>58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5.0999999999999996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5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44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4.0999999999999996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B56:D56"/>
    <mergeCell ref="Y52:Z52"/>
    <mergeCell ref="AB52:AC52"/>
    <mergeCell ref="C53:D53"/>
    <mergeCell ref="U53:V53"/>
    <mergeCell ref="W53:X53"/>
    <mergeCell ref="Y53:Z53"/>
    <mergeCell ref="AB53:AC53"/>
    <mergeCell ref="C52:D52"/>
    <mergeCell ref="U52:V52"/>
    <mergeCell ref="W52:X52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3716-CE81-4F51-908F-4DC3EC935599}">
  <sheetPr>
    <pageSetUpPr fitToPage="1"/>
  </sheetPr>
  <dimension ref="A1:AN72"/>
  <sheetViews>
    <sheetView zoomScaleNormal="100" workbookViewId="0">
      <selection activeCell="Q52" sqref="Q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8</v>
      </c>
      <c r="K5" s="313"/>
      <c r="L5" s="314" t="s">
        <v>52</v>
      </c>
      <c r="M5" s="312"/>
      <c r="N5" s="312"/>
      <c r="O5" s="313"/>
      <c r="P5" s="315">
        <v>44909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44909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74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44909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2.6469999999999998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80</v>
      </c>
      <c r="D51" s="337"/>
      <c r="E51" s="125">
        <v>6.6</v>
      </c>
      <c r="F51" s="126">
        <v>8.4</v>
      </c>
      <c r="G51" s="127">
        <v>11.3</v>
      </c>
      <c r="H51" s="127">
        <v>15.1</v>
      </c>
      <c r="I51" s="127">
        <v>20.2</v>
      </c>
      <c r="J51" s="127">
        <v>29.5</v>
      </c>
      <c r="K51" s="127">
        <v>44.5</v>
      </c>
      <c r="L51" s="127">
        <v>64.7</v>
      </c>
      <c r="M51" s="127">
        <v>80.900000000000006</v>
      </c>
      <c r="N51" s="127">
        <v>96.6</v>
      </c>
      <c r="O51" s="127">
        <v>100</v>
      </c>
      <c r="P51" s="127"/>
      <c r="Q51" s="127"/>
      <c r="R51" s="127"/>
      <c r="S51" s="128"/>
      <c r="T51" s="128"/>
      <c r="U51" s="346">
        <v>168</v>
      </c>
      <c r="V51" s="347"/>
      <c r="W51" s="348">
        <v>5.29</v>
      </c>
      <c r="X51" s="349"/>
      <c r="Y51" s="253">
        <f>IF(W51&lt;&gt;0,AE51,"")</f>
        <v>3.3468324656731552</v>
      </c>
      <c r="Z51" s="254"/>
      <c r="AA51" s="80"/>
      <c r="AB51" s="215">
        <f>(100*W51)/(100-W51)</f>
        <v>5.585471439129976</v>
      </c>
      <c r="AC51" s="216"/>
      <c r="AD51" s="67">
        <f>(0.25*(100-O51)+2.3*(O51-H51)+12*(H51-E51)+150*(E51))/100</f>
        <v>12.8727</v>
      </c>
      <c r="AE51" s="68">
        <f>(AB51*$AE$47)/(2.65*(AD51)^(1/5))</f>
        <v>3.3468324656731552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9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6.6</v>
      </c>
      <c r="F57" s="98">
        <f t="shared" ref="F57:L57" si="3">IF(F51&lt;&gt;0,AVERAGE(F51:F54),"")</f>
        <v>8.4</v>
      </c>
      <c r="G57" s="98">
        <f t="shared" si="3"/>
        <v>11.3</v>
      </c>
      <c r="H57" s="98">
        <f t="shared" si="3"/>
        <v>15.1</v>
      </c>
      <c r="I57" s="98">
        <f t="shared" si="3"/>
        <v>20.2</v>
      </c>
      <c r="J57" s="98">
        <f t="shared" si="3"/>
        <v>29.5</v>
      </c>
      <c r="K57" s="98">
        <f t="shared" si="3"/>
        <v>44.5</v>
      </c>
      <c r="L57" s="98">
        <f t="shared" si="3"/>
        <v>64.7</v>
      </c>
      <c r="M57" s="98">
        <f>IF(M51&lt;&gt;0,AVERAGE(M51:M54),"")</f>
        <v>80.900000000000006</v>
      </c>
      <c r="N57" s="98">
        <f>IF(N51&lt;&gt;0,AVERAGE(N51:N54),"")</f>
        <v>96.6</v>
      </c>
      <c r="O57" s="98">
        <f>IF(O51&lt;&gt;0,AVERAGE(O51:O54),"")</f>
        <v>100</v>
      </c>
      <c r="P57" s="98"/>
      <c r="Q57" s="124"/>
      <c r="R57" s="98"/>
      <c r="S57" s="98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168</v>
      </c>
      <c r="V57" s="210"/>
      <c r="W57" s="211">
        <f>IF(W51&lt;&gt;0,AVERAGE(W51:X54),"")</f>
        <v>5.29</v>
      </c>
      <c r="X57" s="212"/>
      <c r="Y57" s="213">
        <f>IF(W51&lt;&gt;0,AVERAGE(Y51:Z54),"")</f>
        <v>3.3468324656731552</v>
      </c>
      <c r="Z57" s="214"/>
      <c r="AA57" s="66"/>
      <c r="AB57" s="215">
        <f>(100*W57)/(100-W57)</f>
        <v>5.585471439129976</v>
      </c>
      <c r="AC57" s="216"/>
      <c r="AD57" s="67">
        <f t="shared" si="0"/>
        <v>12.8727</v>
      </c>
      <c r="AE57" s="68">
        <f t="shared" si="1"/>
        <v>3.3468324656731552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3.4230996041984052</v>
      </c>
      <c r="Z58" s="225"/>
      <c r="AA58" s="66"/>
      <c r="AB58" s="215">
        <f>(100*W58)/(100-W58)</f>
        <v>5.7082452431289648</v>
      </c>
      <c r="AC58" s="216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G49:AG50"/>
    <mergeCell ref="C50:D50"/>
    <mergeCell ref="C51:D51"/>
    <mergeCell ref="U51:V51"/>
    <mergeCell ref="W51:X51"/>
    <mergeCell ref="Y51:Z51"/>
    <mergeCell ref="AB51:AC51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9:Q72"/>
    <mergeCell ref="R69:T72"/>
    <mergeCell ref="V70:Y71"/>
    <mergeCell ref="U63:Z63"/>
    <mergeCell ref="A64:Q64"/>
    <mergeCell ref="R64:T64"/>
    <mergeCell ref="U64:Z64"/>
    <mergeCell ref="A65:Q67"/>
    <mergeCell ref="R65:T68"/>
    <mergeCell ref="U65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ADD0-E19F-48ED-A56D-9AE4E63FFD18}">
  <sheetPr>
    <pageSetUpPr fitToPage="1"/>
  </sheetPr>
  <dimension ref="A1:AN72"/>
  <sheetViews>
    <sheetView zoomScaleNormal="100" workbookViewId="0">
      <selection activeCell="V70" sqref="V70:Y7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7</v>
      </c>
      <c r="K5" s="313"/>
      <c r="L5" s="314" t="s">
        <v>52</v>
      </c>
      <c r="M5" s="312"/>
      <c r="N5" s="312"/>
      <c r="O5" s="313"/>
      <c r="P5" s="315">
        <v>44904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44903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74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44903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157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54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78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55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79</v>
      </c>
      <c r="D51" s="337"/>
      <c r="E51" s="116">
        <v>7.5</v>
      </c>
      <c r="F51" s="117">
        <v>9.6999999999999993</v>
      </c>
      <c r="G51" s="118">
        <v>12.9</v>
      </c>
      <c r="H51" s="118">
        <v>16.8</v>
      </c>
      <c r="I51" s="118">
        <v>21.9</v>
      </c>
      <c r="J51" s="118">
        <v>30.4</v>
      </c>
      <c r="K51" s="118">
        <v>44.3</v>
      </c>
      <c r="L51" s="118">
        <v>57.7</v>
      </c>
      <c r="M51" s="118">
        <v>65.599999999999994</v>
      </c>
      <c r="N51" s="118">
        <v>75.099999999999994</v>
      </c>
      <c r="O51" s="118">
        <v>87.3</v>
      </c>
      <c r="P51" s="118">
        <v>96.2</v>
      </c>
      <c r="Q51" s="118">
        <v>100</v>
      </c>
      <c r="R51" s="118"/>
      <c r="S51" s="115"/>
      <c r="T51" s="115"/>
      <c r="U51" s="338">
        <v>172</v>
      </c>
      <c r="V51" s="339"/>
      <c r="W51" s="340">
        <v>3.96</v>
      </c>
      <c r="X51" s="341"/>
      <c r="Y51" s="253">
        <f>IF(W51&lt;&gt;0,AE51,"")</f>
        <v>2.4499852283211223</v>
      </c>
      <c r="Z51" s="254"/>
      <c r="AA51" s="80"/>
      <c r="AB51" s="215">
        <f>(100*W51)/(100-W51)</f>
        <v>4.1232819658475632</v>
      </c>
      <c r="AC51" s="216"/>
      <c r="AD51" s="67">
        <f>(0.25*(100-O51)+2.3*(O51-H51)+12*(H51-E51)+150*(E51))/100</f>
        <v>14.01925</v>
      </c>
      <c r="AE51" s="68">
        <f>(AB51*$AE$47)/(2.65*(AD51)^(1/5))</f>
        <v>2.4499852283211223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7.5</v>
      </c>
      <c r="F57" s="98">
        <f t="shared" si="3"/>
        <v>9.6999999999999993</v>
      </c>
      <c r="G57" s="98">
        <f t="shared" si="3"/>
        <v>12.9</v>
      </c>
      <c r="H57" s="98">
        <f t="shared" si="3"/>
        <v>16.8</v>
      </c>
      <c r="I57" s="98">
        <f t="shared" si="3"/>
        <v>21.9</v>
      </c>
      <c r="J57" s="98">
        <f t="shared" si="3"/>
        <v>30.4</v>
      </c>
      <c r="K57" s="98">
        <f t="shared" si="3"/>
        <v>44.3</v>
      </c>
      <c r="L57" s="98">
        <f t="shared" si="3"/>
        <v>57.7</v>
      </c>
      <c r="M57" s="98">
        <f t="shared" si="3"/>
        <v>65.599999999999994</v>
      </c>
      <c r="N57" s="98">
        <f t="shared" si="3"/>
        <v>75.099999999999994</v>
      </c>
      <c r="O57" s="98">
        <f t="shared" si="3"/>
        <v>87.3</v>
      </c>
      <c r="P57" s="98">
        <f t="shared" si="3"/>
        <v>96.2</v>
      </c>
      <c r="Q57" s="124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172</v>
      </c>
      <c r="V57" s="210"/>
      <c r="W57" s="211">
        <f>IF(W51&lt;&gt;0,AVERAGE(W51:X54),"")</f>
        <v>3.96</v>
      </c>
      <c r="X57" s="212"/>
      <c r="Y57" s="213">
        <f>IF(W51&lt;&gt;0,AVERAGE(Y51:Z54),"")</f>
        <v>2.4499852283211223</v>
      </c>
      <c r="Z57" s="214"/>
      <c r="AA57" s="66"/>
      <c r="AB57" s="215">
        <f>(100*W57)/(100-W57)</f>
        <v>4.1232819658475632</v>
      </c>
      <c r="AC57" s="216"/>
      <c r="AD57" s="67">
        <f t="shared" si="0"/>
        <v>14.01925</v>
      </c>
      <c r="AE57" s="68">
        <f t="shared" si="1"/>
        <v>2.4499852283211223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6.2</v>
      </c>
      <c r="F58" s="100">
        <v>8</v>
      </c>
      <c r="G58" s="100">
        <v>12</v>
      </c>
      <c r="H58" s="100">
        <v>16</v>
      </c>
      <c r="I58" s="100">
        <v>22</v>
      </c>
      <c r="J58" s="100">
        <v>30</v>
      </c>
      <c r="K58" s="100">
        <v>43</v>
      </c>
      <c r="L58" s="100">
        <v>59</v>
      </c>
      <c r="M58" s="100">
        <v>68</v>
      </c>
      <c r="N58" s="100">
        <v>77</v>
      </c>
      <c r="O58" s="100">
        <v>91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4.4000000000000004</v>
      </c>
      <c r="X58" s="223"/>
      <c r="Y58" s="224">
        <f>AE58</f>
        <v>2.8107424726304413</v>
      </c>
      <c r="Z58" s="225"/>
      <c r="AA58" s="66"/>
      <c r="AB58" s="215">
        <f>(100*W58)/(100-W58)</f>
        <v>4.6025104602510467</v>
      </c>
      <c r="AC58" s="216"/>
      <c r="AD58" s="67">
        <f t="shared" si="0"/>
        <v>12.2235</v>
      </c>
      <c r="AE58" s="68">
        <f t="shared" si="1"/>
        <v>2.8107424726304413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8.1999999999999993</v>
      </c>
      <c r="F59" s="92"/>
      <c r="G59" s="92"/>
      <c r="H59" s="92"/>
      <c r="I59" s="92"/>
      <c r="J59" s="92">
        <f>J58+6</f>
        <v>36</v>
      </c>
      <c r="K59" s="92"/>
      <c r="L59" s="92">
        <f>L58+7</f>
        <v>66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4.9000000000000004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4.2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52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3.9000000000000004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51E9-DAF8-4577-94A6-3B6430762BC2}">
  <sheetPr>
    <pageSetUpPr fitToPage="1"/>
  </sheetPr>
  <dimension ref="A1:AN72"/>
  <sheetViews>
    <sheetView topLeftCell="A4" zoomScaleNormal="100" workbookViewId="0">
      <selection activeCell="P53" sqref="P5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6</v>
      </c>
      <c r="K5" s="313"/>
      <c r="L5" s="314" t="s">
        <v>52</v>
      </c>
      <c r="M5" s="312"/>
      <c r="N5" s="312"/>
      <c r="O5" s="313"/>
      <c r="P5" s="315">
        <v>44901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44901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74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44901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2.6469999999999998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76</v>
      </c>
      <c r="D51" s="337"/>
      <c r="E51" s="116">
        <v>7.1</v>
      </c>
      <c r="F51" s="117">
        <v>9.1</v>
      </c>
      <c r="G51" s="118">
        <v>12.4</v>
      </c>
      <c r="H51" s="118">
        <v>16.600000000000001</v>
      </c>
      <c r="I51" s="118">
        <v>22.5</v>
      </c>
      <c r="J51" s="118">
        <v>33.4</v>
      </c>
      <c r="K51" s="118">
        <v>48.4</v>
      </c>
      <c r="L51" s="118">
        <v>65.3</v>
      </c>
      <c r="M51" s="118">
        <v>80.8</v>
      </c>
      <c r="N51" s="118">
        <v>96.8</v>
      </c>
      <c r="O51" s="119">
        <v>100</v>
      </c>
      <c r="P51" s="118"/>
      <c r="Q51" s="118"/>
      <c r="R51" s="118"/>
      <c r="S51" s="115"/>
      <c r="T51" s="115"/>
      <c r="U51" s="338">
        <v>170</v>
      </c>
      <c r="V51" s="339"/>
      <c r="W51" s="340">
        <v>5.07</v>
      </c>
      <c r="X51" s="341"/>
      <c r="Y51" s="253">
        <f>IF(W51&lt;&gt;0,AE51,"")</f>
        <v>3.1602137577197653</v>
      </c>
      <c r="Z51" s="254"/>
      <c r="AA51" s="80"/>
      <c r="AB51" s="215">
        <f>(100*W51)/(100-W51)</f>
        <v>5.3407774149373219</v>
      </c>
      <c r="AC51" s="216"/>
      <c r="AD51" s="67">
        <f>(0.25*(100-O51)+2.3*(O51-H51)+12*(H51-E51)+150*(E51))/100</f>
        <v>13.708200000000001</v>
      </c>
      <c r="AE51" s="68">
        <f>(AB51*$AE$47)/(2.65*(AD51)^(1/5))</f>
        <v>3.1602137577197653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9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20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21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22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3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>IF(E51&lt;&gt;0,AVERAGE(E51:E54),"")</f>
        <v>7.1</v>
      </c>
      <c r="F57" s="98">
        <f t="shared" ref="F57:L57" si="3">IF(F51&lt;&gt;0,AVERAGE(F51:F54),"")</f>
        <v>9.1</v>
      </c>
      <c r="G57" s="98">
        <f t="shared" si="3"/>
        <v>12.4</v>
      </c>
      <c r="H57" s="98">
        <f t="shared" si="3"/>
        <v>16.600000000000001</v>
      </c>
      <c r="I57" s="98">
        <f t="shared" si="3"/>
        <v>22.5</v>
      </c>
      <c r="J57" s="98">
        <f t="shared" si="3"/>
        <v>33.4</v>
      </c>
      <c r="K57" s="98">
        <f t="shared" si="3"/>
        <v>48.4</v>
      </c>
      <c r="L57" s="98">
        <f t="shared" si="3"/>
        <v>65.3</v>
      </c>
      <c r="M57" s="98">
        <f>IF(M51&lt;&gt;0,AVERAGE(M51:M54),"")</f>
        <v>80.8</v>
      </c>
      <c r="N57" s="98">
        <f>IF(N51&lt;&gt;0,AVERAGE(N51:N54),"")</f>
        <v>96.8</v>
      </c>
      <c r="O57" s="98">
        <f>IF(O51&lt;&gt;0,AVERAGE(O51:O54),"")</f>
        <v>100</v>
      </c>
      <c r="P57" s="98"/>
      <c r="Q57" s="124"/>
      <c r="R57" s="98"/>
      <c r="S57" s="98" t="str">
        <f t="shared" ref="S57:T57" si="4">IF(S51&lt;&gt;0,AVERAGE(S51:S54),"")</f>
        <v/>
      </c>
      <c r="T57" s="99" t="str">
        <f t="shared" si="4"/>
        <v/>
      </c>
      <c r="U57" s="209">
        <f>IF(U51&lt;&gt;0,AVERAGE(U51:V54),"")</f>
        <v>170</v>
      </c>
      <c r="V57" s="210"/>
      <c r="W57" s="211">
        <f>IF(W51&lt;&gt;0,AVERAGE(W51:X54),"")</f>
        <v>5.07</v>
      </c>
      <c r="X57" s="212"/>
      <c r="Y57" s="213">
        <f>IF(W51&lt;&gt;0,AVERAGE(Y51:Z54),"")</f>
        <v>3.1602137577197653</v>
      </c>
      <c r="Z57" s="214"/>
      <c r="AA57" s="66"/>
      <c r="AB57" s="215">
        <f>(100*W57)/(100-W57)</f>
        <v>5.3407774149373219</v>
      </c>
      <c r="AC57" s="216"/>
      <c r="AD57" s="67">
        <f t="shared" si="0"/>
        <v>13.708200000000001</v>
      </c>
      <c r="AE57" s="68">
        <f t="shared" si="1"/>
        <v>3.1602137577197653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4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3.4230996041984052</v>
      </c>
      <c r="Z58" s="225"/>
      <c r="AA58" s="66"/>
      <c r="AB58" s="215">
        <f>(100*W58)/(100-W58)</f>
        <v>5.7082452431289648</v>
      </c>
      <c r="AC58" s="216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7B21-8D2C-437B-BDC1-0EDF41533633}">
  <sheetPr>
    <pageSetUpPr fitToPage="1"/>
  </sheetPr>
  <dimension ref="A1:AN72"/>
  <sheetViews>
    <sheetView zoomScaleNormal="100" workbookViewId="0">
      <selection activeCell="S52" sqref="S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5</v>
      </c>
      <c r="K5" s="313"/>
      <c r="L5" s="314" t="s">
        <v>52</v>
      </c>
      <c r="M5" s="312"/>
      <c r="N5" s="312"/>
      <c r="O5" s="313"/>
      <c r="P5" s="315">
        <v>44901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44901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74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44901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157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54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75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55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77</v>
      </c>
      <c r="D51" s="337"/>
      <c r="E51" s="116">
        <v>7.9</v>
      </c>
      <c r="F51" s="117">
        <v>10.1</v>
      </c>
      <c r="G51" s="118">
        <v>13</v>
      </c>
      <c r="H51" s="118">
        <v>16.5</v>
      </c>
      <c r="I51" s="118">
        <v>21.4</v>
      </c>
      <c r="J51" s="118">
        <v>29.8</v>
      </c>
      <c r="K51" s="118">
        <v>44.6</v>
      </c>
      <c r="L51" s="118">
        <v>58.3</v>
      </c>
      <c r="M51" s="118">
        <v>69.400000000000006</v>
      </c>
      <c r="N51" s="118">
        <v>82.8</v>
      </c>
      <c r="O51" s="118">
        <v>92.3</v>
      </c>
      <c r="P51" s="118">
        <v>98.4</v>
      </c>
      <c r="Q51" s="119">
        <v>100</v>
      </c>
      <c r="R51" s="118"/>
      <c r="S51" s="115"/>
      <c r="T51" s="115"/>
      <c r="U51" s="338">
        <v>172</v>
      </c>
      <c r="V51" s="339"/>
      <c r="W51" s="340">
        <v>4.08</v>
      </c>
      <c r="X51" s="341"/>
      <c r="Y51" s="253">
        <f>IF(W51&lt;&gt;0,AE51,"")</f>
        <v>2.5054202373512116</v>
      </c>
      <c r="Z51" s="254"/>
      <c r="AA51" s="80"/>
      <c r="AB51" s="215">
        <f>(100*W51)/(100-W51)</f>
        <v>4.2535446205170979</v>
      </c>
      <c r="AC51" s="216"/>
      <c r="AD51" s="67">
        <f>(0.25*(100-O51)+2.3*(O51-H51)+12*(H51-E51)+150*(E51))/100</f>
        <v>14.644649999999999</v>
      </c>
      <c r="AE51" s="68">
        <f>(AB51*$AE$47)/(2.65*(AD51)^(1/5))</f>
        <v>2.5054202373512116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7.9</v>
      </c>
      <c r="F57" s="98">
        <f t="shared" si="3"/>
        <v>10.1</v>
      </c>
      <c r="G57" s="98">
        <f t="shared" si="3"/>
        <v>13</v>
      </c>
      <c r="H57" s="98">
        <f t="shared" si="3"/>
        <v>16.5</v>
      </c>
      <c r="I57" s="98">
        <f t="shared" si="3"/>
        <v>21.4</v>
      </c>
      <c r="J57" s="98">
        <f t="shared" si="3"/>
        <v>29.8</v>
      </c>
      <c r="K57" s="98">
        <f t="shared" si="3"/>
        <v>44.6</v>
      </c>
      <c r="L57" s="98">
        <f t="shared" si="3"/>
        <v>58.3</v>
      </c>
      <c r="M57" s="98">
        <f t="shared" si="3"/>
        <v>69.400000000000006</v>
      </c>
      <c r="N57" s="98">
        <f t="shared" si="3"/>
        <v>82.8</v>
      </c>
      <c r="O57" s="98">
        <f t="shared" si="3"/>
        <v>92.3</v>
      </c>
      <c r="P57" s="98">
        <f t="shared" si="3"/>
        <v>98.4</v>
      </c>
      <c r="Q57" s="124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172</v>
      </c>
      <c r="V57" s="210"/>
      <c r="W57" s="211">
        <f>IF(W51&lt;&gt;0,AVERAGE(W51:X54),"")</f>
        <v>4.08</v>
      </c>
      <c r="X57" s="212"/>
      <c r="Y57" s="213">
        <f>IF(W51&lt;&gt;0,AVERAGE(Y51:Z54),"")</f>
        <v>2.5054202373512116</v>
      </c>
      <c r="Z57" s="214"/>
      <c r="AA57" s="66"/>
      <c r="AB57" s="215">
        <f>(100*W57)/(100-W57)</f>
        <v>4.2535446205170979</v>
      </c>
      <c r="AC57" s="216"/>
      <c r="AD57" s="67">
        <f t="shared" si="0"/>
        <v>14.644649999999999</v>
      </c>
      <c r="AE57" s="68">
        <f t="shared" si="1"/>
        <v>2.5054202373512116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6.2</v>
      </c>
      <c r="F58" s="100">
        <v>8</v>
      </c>
      <c r="G58" s="100">
        <v>12</v>
      </c>
      <c r="H58" s="100">
        <v>16</v>
      </c>
      <c r="I58" s="100">
        <v>22</v>
      </c>
      <c r="J58" s="100">
        <v>30</v>
      </c>
      <c r="K58" s="100">
        <v>43</v>
      </c>
      <c r="L58" s="100">
        <v>59</v>
      </c>
      <c r="M58" s="100">
        <v>68</v>
      </c>
      <c r="N58" s="100">
        <v>77</v>
      </c>
      <c r="O58" s="100">
        <v>91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4.4000000000000004</v>
      </c>
      <c r="X58" s="223"/>
      <c r="Y58" s="224">
        <f>AE58</f>
        <v>2.8107424726304413</v>
      </c>
      <c r="Z58" s="225"/>
      <c r="AA58" s="66"/>
      <c r="AB58" s="215">
        <f>(100*W58)/(100-W58)</f>
        <v>4.6025104602510467</v>
      </c>
      <c r="AC58" s="216"/>
      <c r="AD58" s="67">
        <f t="shared" si="0"/>
        <v>12.2235</v>
      </c>
      <c r="AE58" s="68">
        <f t="shared" si="1"/>
        <v>2.8107424726304413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8.1999999999999993</v>
      </c>
      <c r="F59" s="92"/>
      <c r="G59" s="92"/>
      <c r="H59" s="92"/>
      <c r="I59" s="92"/>
      <c r="J59" s="92">
        <f>J58+6</f>
        <v>36</v>
      </c>
      <c r="K59" s="92"/>
      <c r="L59" s="92">
        <f>L58+7</f>
        <v>66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4.9000000000000004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4.2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52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3.9000000000000004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0E43-C1DD-4271-98A4-6BA86C0D38D4}">
  <sheetPr>
    <pageSetUpPr fitToPage="1"/>
  </sheetPr>
  <dimension ref="A1:AN72"/>
  <sheetViews>
    <sheetView zoomScaleNormal="100" workbookViewId="0">
      <selection activeCell="AB28" sqref="AB2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4</v>
      </c>
      <c r="K5" s="313"/>
      <c r="L5" s="314" t="s">
        <v>52</v>
      </c>
      <c r="M5" s="312"/>
      <c r="N5" s="312"/>
      <c r="O5" s="313"/>
      <c r="P5" s="315">
        <v>44900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44900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74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44900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157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54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73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55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72</v>
      </c>
      <c r="D51" s="337"/>
      <c r="E51" s="116">
        <v>6.4</v>
      </c>
      <c r="F51" s="117">
        <v>8.3000000000000007</v>
      </c>
      <c r="G51" s="118">
        <v>11.6</v>
      </c>
      <c r="H51" s="118">
        <v>15.7</v>
      </c>
      <c r="I51" s="118">
        <v>21.2</v>
      </c>
      <c r="J51" s="118">
        <v>30.4</v>
      </c>
      <c r="K51" s="118">
        <v>45.1</v>
      </c>
      <c r="L51" s="118">
        <v>61.3</v>
      </c>
      <c r="M51" s="118">
        <v>69.099999999999994</v>
      </c>
      <c r="N51" s="118">
        <v>79.099999999999994</v>
      </c>
      <c r="O51" s="118">
        <v>90.7</v>
      </c>
      <c r="P51" s="118">
        <v>97.9</v>
      </c>
      <c r="Q51" s="119">
        <v>100</v>
      </c>
      <c r="R51" s="118"/>
      <c r="S51" s="115"/>
      <c r="T51" s="115"/>
      <c r="U51" s="338">
        <v>175</v>
      </c>
      <c r="V51" s="339"/>
      <c r="W51" s="340">
        <v>4.25</v>
      </c>
      <c r="X51" s="341"/>
      <c r="Y51" s="253">
        <f>IF(W51&lt;&gt;0,AE51,"")</f>
        <v>2.7001152679678784</v>
      </c>
      <c r="Z51" s="254"/>
      <c r="AA51" s="80"/>
      <c r="AB51" s="215">
        <f>(100*W51)/(100-W51)</f>
        <v>4.438642297650131</v>
      </c>
      <c r="AC51" s="216"/>
      <c r="AD51" s="67">
        <f>(0.25*(100-O51)+2.3*(O51-H51)+12*(H51-E51)+150*(E51))/100</f>
        <v>12.46425</v>
      </c>
      <c r="AE51" s="68">
        <f>(AB51*$AE$47)/(2.65*(AD51)^(1/5))</f>
        <v>2.7001152679678784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6.4</v>
      </c>
      <c r="F57" s="98">
        <f t="shared" si="3"/>
        <v>8.3000000000000007</v>
      </c>
      <c r="G57" s="98">
        <f t="shared" si="3"/>
        <v>11.6</v>
      </c>
      <c r="H57" s="98">
        <f t="shared" si="3"/>
        <v>15.7</v>
      </c>
      <c r="I57" s="98">
        <f t="shared" si="3"/>
        <v>21.2</v>
      </c>
      <c r="J57" s="98">
        <f t="shared" si="3"/>
        <v>30.4</v>
      </c>
      <c r="K57" s="98">
        <f t="shared" si="3"/>
        <v>45.1</v>
      </c>
      <c r="L57" s="98">
        <f t="shared" si="3"/>
        <v>61.3</v>
      </c>
      <c r="M57" s="98">
        <f t="shared" si="3"/>
        <v>69.099999999999994</v>
      </c>
      <c r="N57" s="98">
        <f t="shared" si="3"/>
        <v>79.099999999999994</v>
      </c>
      <c r="O57" s="98">
        <f t="shared" si="3"/>
        <v>90.7</v>
      </c>
      <c r="P57" s="98">
        <f t="shared" si="3"/>
        <v>97.9</v>
      </c>
      <c r="Q57" s="124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175</v>
      </c>
      <c r="V57" s="210"/>
      <c r="W57" s="211">
        <f>IF(W51&lt;&gt;0,AVERAGE(W51:X54),"")</f>
        <v>4.25</v>
      </c>
      <c r="X57" s="212"/>
      <c r="Y57" s="213">
        <f>IF(W51&lt;&gt;0,AVERAGE(Y51:Z54),"")</f>
        <v>2.7001152679678784</v>
      </c>
      <c r="Z57" s="214"/>
      <c r="AA57" s="66"/>
      <c r="AB57" s="215">
        <f>(100*W57)/(100-W57)</f>
        <v>4.438642297650131</v>
      </c>
      <c r="AC57" s="216"/>
      <c r="AD57" s="67">
        <f t="shared" si="0"/>
        <v>12.46425</v>
      </c>
      <c r="AE57" s="68">
        <f t="shared" si="1"/>
        <v>2.7001152679678784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6.2</v>
      </c>
      <c r="F58" s="100">
        <v>8</v>
      </c>
      <c r="G58" s="100">
        <v>12</v>
      </c>
      <c r="H58" s="100">
        <v>16</v>
      </c>
      <c r="I58" s="100">
        <v>22</v>
      </c>
      <c r="J58" s="100">
        <v>30</v>
      </c>
      <c r="K58" s="100">
        <v>43</v>
      </c>
      <c r="L58" s="100">
        <v>59</v>
      </c>
      <c r="M58" s="100">
        <v>68</v>
      </c>
      <c r="N58" s="100">
        <v>77</v>
      </c>
      <c r="O58" s="100">
        <v>91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4.4000000000000004</v>
      </c>
      <c r="X58" s="223"/>
      <c r="Y58" s="224">
        <f>AE58</f>
        <v>2.8107424726304413</v>
      </c>
      <c r="Z58" s="225"/>
      <c r="AA58" s="66"/>
      <c r="AB58" s="215">
        <f>(100*W58)/(100-W58)</f>
        <v>4.6025104602510467</v>
      </c>
      <c r="AC58" s="216"/>
      <c r="AD58" s="67">
        <f t="shared" si="0"/>
        <v>12.2235</v>
      </c>
      <c r="AE58" s="68">
        <f t="shared" si="1"/>
        <v>2.8107424726304413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8.1999999999999993</v>
      </c>
      <c r="F59" s="92"/>
      <c r="G59" s="92"/>
      <c r="H59" s="92"/>
      <c r="I59" s="92"/>
      <c r="J59" s="92">
        <f>J58+6</f>
        <v>36</v>
      </c>
      <c r="K59" s="92"/>
      <c r="L59" s="92">
        <f>L58+7</f>
        <v>66</v>
      </c>
      <c r="M59" s="92"/>
      <c r="N59" s="92"/>
      <c r="O59" s="92"/>
      <c r="P59" s="92"/>
      <c r="Q59" s="120"/>
      <c r="R59" s="92"/>
      <c r="S59" s="92"/>
      <c r="T59" s="93"/>
      <c r="U59" s="189"/>
      <c r="V59" s="190"/>
      <c r="W59" s="191">
        <f>W58+0.5</f>
        <v>4.9000000000000004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4.2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52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3.9000000000000004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V70:Y71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DEEC-6A2C-4471-B93D-1D0167D5E285}">
  <sheetPr>
    <pageSetUpPr fitToPage="1"/>
  </sheetPr>
  <dimension ref="A1:AN72"/>
  <sheetViews>
    <sheetView zoomScaleNormal="100" workbookViewId="0">
      <selection activeCell="G13" sqref="G13:L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2</v>
      </c>
      <c r="K5" s="313"/>
      <c r="L5" s="314" t="s">
        <v>52</v>
      </c>
      <c r="M5" s="312"/>
      <c r="N5" s="312"/>
      <c r="O5" s="313"/>
      <c r="P5" s="315">
        <v>44754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44755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57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44755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110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68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70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69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71</v>
      </c>
      <c r="D51" s="337"/>
      <c r="E51" s="116">
        <v>6.8</v>
      </c>
      <c r="F51" s="117">
        <v>8.5</v>
      </c>
      <c r="G51" s="118">
        <v>10.9</v>
      </c>
      <c r="H51" s="118">
        <v>14.2</v>
      </c>
      <c r="I51" s="118">
        <v>19.100000000000001</v>
      </c>
      <c r="J51" s="118">
        <v>28.1</v>
      </c>
      <c r="K51" s="118">
        <v>44.2</v>
      </c>
      <c r="L51" s="118">
        <v>65.3</v>
      </c>
      <c r="M51" s="118">
        <v>83.2</v>
      </c>
      <c r="N51" s="118">
        <v>98.1</v>
      </c>
      <c r="O51" s="118">
        <v>100</v>
      </c>
      <c r="P51" s="118"/>
      <c r="Q51" s="118"/>
      <c r="R51" s="118"/>
      <c r="S51" s="115"/>
      <c r="T51" s="115"/>
      <c r="U51" s="338">
        <v>165</v>
      </c>
      <c r="V51" s="339"/>
      <c r="W51" s="340">
        <v>5.24</v>
      </c>
      <c r="X51" s="341"/>
      <c r="Y51" s="253">
        <f>IF(W51&lt;&gt;0,AE51,"")</f>
        <v>3.3325269975023089</v>
      </c>
      <c r="Z51" s="254"/>
      <c r="AA51" s="80"/>
      <c r="AB51" s="215">
        <f>(100*W51)/(100-W51)</f>
        <v>5.5297593921485859</v>
      </c>
      <c r="AC51" s="216"/>
      <c r="AD51" s="67">
        <f>(0.25*(100-O51)+2.3*(O51-H51)+12*(H51-E51)+150*(E51))/100</f>
        <v>13.061399999999999</v>
      </c>
      <c r="AE51" s="68">
        <f>(AB51*$AE$47)/(2.65*(AD51)^(1/5))</f>
        <v>3.3325269975023089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6.8</v>
      </c>
      <c r="F57" s="98">
        <f t="shared" si="3"/>
        <v>8.5</v>
      </c>
      <c r="G57" s="98">
        <f t="shared" si="3"/>
        <v>10.9</v>
      </c>
      <c r="H57" s="98">
        <f t="shared" si="3"/>
        <v>14.2</v>
      </c>
      <c r="I57" s="98">
        <f t="shared" si="3"/>
        <v>19.100000000000001</v>
      </c>
      <c r="J57" s="98">
        <f t="shared" si="3"/>
        <v>28.1</v>
      </c>
      <c r="K57" s="98">
        <f t="shared" si="3"/>
        <v>44.2</v>
      </c>
      <c r="L57" s="98">
        <f t="shared" si="3"/>
        <v>65.3</v>
      </c>
      <c r="M57" s="98">
        <f t="shared" si="3"/>
        <v>83.2</v>
      </c>
      <c r="N57" s="98">
        <f t="shared" si="3"/>
        <v>98.1</v>
      </c>
      <c r="O57" s="98">
        <f t="shared" si="3"/>
        <v>100</v>
      </c>
      <c r="P57" s="98"/>
      <c r="Q57" s="124"/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165</v>
      </c>
      <c r="V57" s="210"/>
      <c r="W57" s="211">
        <f>IF(W51&lt;&gt;0,AVERAGE(W51:X54),"")</f>
        <v>5.24</v>
      </c>
      <c r="X57" s="212"/>
      <c r="Y57" s="213">
        <f>IF(W51&lt;&gt;0,AVERAGE(Y51:Z54),"")</f>
        <v>3.3325269975023089</v>
      </c>
      <c r="Z57" s="214"/>
      <c r="AA57" s="66"/>
      <c r="AB57" s="215">
        <f>(100*W57)/(100-W57)</f>
        <v>5.5297593921485859</v>
      </c>
      <c r="AC57" s="216"/>
      <c r="AD57" s="67">
        <f t="shared" si="0"/>
        <v>13.061399999999999</v>
      </c>
      <c r="AE57" s="68">
        <f t="shared" si="1"/>
        <v>3.3325269975023089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6.7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45</v>
      </c>
      <c r="L58" s="100">
        <v>65</v>
      </c>
      <c r="M58" s="100">
        <v>84</v>
      </c>
      <c r="N58" s="100">
        <v>97</v>
      </c>
      <c r="O58" s="100">
        <v>100</v>
      </c>
      <c r="P58" s="100"/>
      <c r="Q58" s="114"/>
      <c r="R58" s="100"/>
      <c r="S58" s="100"/>
      <c r="T58" s="101"/>
      <c r="U58" s="220"/>
      <c r="V58" s="221"/>
      <c r="W58" s="222">
        <v>5.4</v>
      </c>
      <c r="X58" s="223"/>
      <c r="Y58" s="224">
        <f>AE58</f>
        <v>3.4381673645201127</v>
      </c>
      <c r="Z58" s="225"/>
      <c r="AA58" s="66"/>
      <c r="AB58" s="215">
        <f>(100*W58)/(100-W58)</f>
        <v>5.7082452431289648</v>
      </c>
      <c r="AC58" s="216"/>
      <c r="AD58" s="67">
        <f t="shared" si="0"/>
        <v>13.097999999999999</v>
      </c>
      <c r="AE58" s="68">
        <f t="shared" si="1"/>
        <v>3.4381673645201127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8.6999999999999993</v>
      </c>
      <c r="F59" s="92"/>
      <c r="G59" s="92"/>
      <c r="H59" s="92"/>
      <c r="I59" s="92"/>
      <c r="J59" s="92">
        <f>J58+6</f>
        <v>36</v>
      </c>
      <c r="K59" s="92"/>
      <c r="L59" s="92">
        <f>L58+7</f>
        <v>72</v>
      </c>
      <c r="M59" s="92"/>
      <c r="N59" s="92"/>
      <c r="O59" s="92"/>
      <c r="P59" s="92"/>
      <c r="Q59" s="92"/>
      <c r="R59" s="92"/>
      <c r="S59" s="92"/>
      <c r="T59" s="93"/>
      <c r="U59" s="189"/>
      <c r="V59" s="190"/>
      <c r="W59" s="191">
        <f>W58+0.5</f>
        <v>5.9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4.7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58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5F56-F1C5-4BEF-AC64-1A37AC7FF6AC}">
  <sheetPr>
    <pageSetUpPr fitToPage="1"/>
  </sheetPr>
  <dimension ref="A1:AN72"/>
  <sheetViews>
    <sheetView zoomScaleNormal="100" workbookViewId="0">
      <selection activeCell="R54" sqref="R5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2</v>
      </c>
      <c r="K5" s="313"/>
      <c r="L5" s="314" t="s">
        <v>52</v>
      </c>
      <c r="M5" s="312"/>
      <c r="N5" s="312"/>
      <c r="O5" s="313"/>
      <c r="P5" s="315">
        <v>44754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44755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57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44755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129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66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64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65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67</v>
      </c>
      <c r="D51" s="337"/>
      <c r="E51" s="116">
        <v>5.4</v>
      </c>
      <c r="F51" s="117">
        <v>6.6</v>
      </c>
      <c r="G51" s="118">
        <v>8.1</v>
      </c>
      <c r="H51" s="118">
        <v>10</v>
      </c>
      <c r="I51" s="118">
        <v>12.7</v>
      </c>
      <c r="J51" s="118">
        <v>17.8</v>
      </c>
      <c r="K51" s="118">
        <v>26.4</v>
      </c>
      <c r="L51" s="118">
        <v>37.799999999999997</v>
      </c>
      <c r="M51" s="118">
        <v>68.5</v>
      </c>
      <c r="N51" s="118">
        <v>94.7</v>
      </c>
      <c r="O51" s="118">
        <v>100</v>
      </c>
      <c r="P51" s="118"/>
      <c r="Q51" s="118"/>
      <c r="R51" s="118"/>
      <c r="S51" s="115"/>
      <c r="T51" s="115"/>
      <c r="U51" s="338">
        <v>166</v>
      </c>
      <c r="V51" s="339"/>
      <c r="W51" s="340">
        <v>4.68</v>
      </c>
      <c r="X51" s="341"/>
      <c r="Y51" s="253">
        <f>IF(W51&lt;&gt;0,AE51,"")</f>
        <v>3.0780243150752304</v>
      </c>
      <c r="Z51" s="254"/>
      <c r="AA51" s="80"/>
      <c r="AB51" s="215">
        <f>(100*W51)/(100-W51)</f>
        <v>4.9097775912715065</v>
      </c>
      <c r="AC51" s="216"/>
      <c r="AD51" s="67">
        <f>(0.25*(100-O51)+2.3*(O51-H51)+12*(H51-E51)+150*(E51))/100</f>
        <v>10.722000000000001</v>
      </c>
      <c r="AE51" s="68">
        <f>(AB51*$AE$47)/(2.65*(AD51)^(1/5))</f>
        <v>3.0780243150752304</v>
      </c>
      <c r="AF51" s="29"/>
      <c r="AG51" s="66"/>
    </row>
    <row r="52" spans="1:34" ht="24.9" customHeight="1" x14ac:dyDescent="0.25">
      <c r="A52" s="5"/>
      <c r="B52" s="44">
        <v>2</v>
      </c>
      <c r="C52" s="336"/>
      <c r="D52" s="337"/>
      <c r="E52" s="116"/>
      <c r="F52" s="11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118"/>
      <c r="S52" s="115"/>
      <c r="T52" s="115"/>
      <c r="U52" s="338"/>
      <c r="V52" s="339"/>
      <c r="W52" s="340"/>
      <c r="X52" s="341"/>
      <c r="Y52" s="242" t="str">
        <f>IF(W52&lt;&gt;0,AE52,"")</f>
        <v/>
      </c>
      <c r="Z52" s="243"/>
      <c r="AA52" s="80"/>
      <c r="AB52" s="215">
        <f>(100*W52)/(100-W52)</f>
        <v>0</v>
      </c>
      <c r="AC52" s="216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5.4</v>
      </c>
      <c r="F57" s="98">
        <f t="shared" si="3"/>
        <v>6.6</v>
      </c>
      <c r="G57" s="98">
        <f t="shared" si="3"/>
        <v>8.1</v>
      </c>
      <c r="H57" s="98">
        <f t="shared" si="3"/>
        <v>10</v>
      </c>
      <c r="I57" s="98">
        <f t="shared" si="3"/>
        <v>12.7</v>
      </c>
      <c r="J57" s="98">
        <f t="shared" si="3"/>
        <v>17.8</v>
      </c>
      <c r="K57" s="98">
        <f t="shared" si="3"/>
        <v>26.4</v>
      </c>
      <c r="L57" s="98">
        <f t="shared" si="3"/>
        <v>37.799999999999997</v>
      </c>
      <c r="M57" s="98">
        <f t="shared" si="3"/>
        <v>68.5</v>
      </c>
      <c r="N57" s="98">
        <f t="shared" si="3"/>
        <v>94.7</v>
      </c>
      <c r="O57" s="98">
        <f t="shared" si="3"/>
        <v>100</v>
      </c>
      <c r="P57" s="98"/>
      <c r="Q57" s="124"/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166</v>
      </c>
      <c r="V57" s="210"/>
      <c r="W57" s="211">
        <f>IF(W51&lt;&gt;0,AVERAGE(W51:X54),"")</f>
        <v>4.68</v>
      </c>
      <c r="X57" s="212"/>
      <c r="Y57" s="213">
        <f>IF(W51&lt;&gt;0,AVERAGE(Y51:Z54),"")</f>
        <v>3.0780243150752304</v>
      </c>
      <c r="Z57" s="214"/>
      <c r="AA57" s="66"/>
      <c r="AB57" s="215">
        <f>(100*W57)/(100-W57)</f>
        <v>4.9097775912715065</v>
      </c>
      <c r="AC57" s="216"/>
      <c r="AD57" s="67">
        <f t="shared" si="0"/>
        <v>10.722000000000001</v>
      </c>
      <c r="AE57" s="68">
        <f t="shared" si="1"/>
        <v>3.0780243150752304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4.2</v>
      </c>
      <c r="F58" s="100">
        <v>5</v>
      </c>
      <c r="G58" s="100">
        <v>7</v>
      </c>
      <c r="H58" s="100">
        <v>9</v>
      </c>
      <c r="I58" s="100">
        <v>12</v>
      </c>
      <c r="J58" s="100">
        <v>16</v>
      </c>
      <c r="K58" s="100">
        <v>24</v>
      </c>
      <c r="L58" s="100">
        <v>31</v>
      </c>
      <c r="M58" s="100">
        <v>58</v>
      </c>
      <c r="N58" s="100">
        <v>93</v>
      </c>
      <c r="O58" s="100">
        <v>100</v>
      </c>
      <c r="P58" s="100"/>
      <c r="Q58" s="114"/>
      <c r="R58" s="100"/>
      <c r="S58" s="100"/>
      <c r="T58" s="101"/>
      <c r="U58" s="220"/>
      <c r="V58" s="221"/>
      <c r="W58" s="222">
        <v>4.5999999999999996</v>
      </c>
      <c r="X58" s="223"/>
      <c r="Y58" s="224">
        <f>AE58</f>
        <v>3.1327521708476853</v>
      </c>
      <c r="Z58" s="225"/>
      <c r="AA58" s="66"/>
      <c r="AB58" s="215">
        <f>(100*W58)/(100-W58)</f>
        <v>4.8218029350104814</v>
      </c>
      <c r="AC58" s="216"/>
      <c r="AD58" s="67">
        <f t="shared" si="0"/>
        <v>8.9689999999999994</v>
      </c>
      <c r="AE58" s="68">
        <f t="shared" si="1"/>
        <v>3.1327521708476853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6.2</v>
      </c>
      <c r="F59" s="92"/>
      <c r="G59" s="92"/>
      <c r="H59" s="92"/>
      <c r="I59" s="92"/>
      <c r="J59" s="92">
        <f>J58+6</f>
        <v>22</v>
      </c>
      <c r="K59" s="92"/>
      <c r="L59" s="92">
        <f>L58+7</f>
        <v>38</v>
      </c>
      <c r="M59" s="92"/>
      <c r="N59" s="92"/>
      <c r="O59" s="92"/>
      <c r="P59" s="92"/>
      <c r="Q59" s="92"/>
      <c r="R59" s="92"/>
      <c r="S59" s="92"/>
      <c r="T59" s="93"/>
      <c r="U59" s="189"/>
      <c r="V59" s="190"/>
      <c r="W59" s="191">
        <f>W58+0.5</f>
        <v>5.0999999999999996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2.2000000000000002</v>
      </c>
      <c r="F60" s="102"/>
      <c r="G60" s="103"/>
      <c r="H60" s="103"/>
      <c r="I60" s="103"/>
      <c r="J60" s="102">
        <f>J58-6</f>
        <v>10</v>
      </c>
      <c r="K60" s="103"/>
      <c r="L60" s="102">
        <f>L58-7</f>
        <v>24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4.0999999999999996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9:Q72"/>
    <mergeCell ref="R69:T72"/>
    <mergeCell ref="V70:Y71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zoomScaleNormal="100" workbookViewId="0">
      <selection activeCell="P80" sqref="P8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87"/>
      <c r="B1" s="288"/>
      <c r="C1" s="288"/>
      <c r="D1" s="288"/>
      <c r="E1" s="288"/>
      <c r="F1" s="289"/>
      <c r="G1" s="296" t="s">
        <v>34</v>
      </c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8"/>
      <c r="U1" s="299" t="s">
        <v>51</v>
      </c>
      <c r="V1" s="300"/>
      <c r="W1" s="300"/>
      <c r="X1" s="300"/>
      <c r="Y1" s="300"/>
      <c r="Z1" s="301"/>
      <c r="AA1" s="78"/>
    </row>
    <row r="2" spans="1:36" ht="12.75" customHeight="1" x14ac:dyDescent="0.25">
      <c r="A2" s="290"/>
      <c r="B2" s="291"/>
      <c r="C2" s="291"/>
      <c r="D2" s="291"/>
      <c r="E2" s="291"/>
      <c r="F2" s="292"/>
      <c r="G2" s="308" t="s">
        <v>40</v>
      </c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10"/>
      <c r="U2" s="302"/>
      <c r="V2" s="303"/>
      <c r="W2" s="303"/>
      <c r="X2" s="303"/>
      <c r="Y2" s="303"/>
      <c r="Z2" s="304"/>
      <c r="AA2" s="78"/>
    </row>
    <row r="3" spans="1:36" ht="12.75" customHeight="1" x14ac:dyDescent="0.25">
      <c r="A3" s="290"/>
      <c r="B3" s="291"/>
      <c r="C3" s="291"/>
      <c r="D3" s="291"/>
      <c r="E3" s="291"/>
      <c r="F3" s="292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  <c r="U3" s="302"/>
      <c r="V3" s="303"/>
      <c r="W3" s="303"/>
      <c r="X3" s="303"/>
      <c r="Y3" s="303"/>
      <c r="Z3" s="304"/>
      <c r="AA3" s="78"/>
    </row>
    <row r="4" spans="1:36" ht="12.75" customHeight="1" x14ac:dyDescent="0.25">
      <c r="A4" s="290"/>
      <c r="B4" s="291"/>
      <c r="C4" s="291"/>
      <c r="D4" s="291"/>
      <c r="E4" s="291"/>
      <c r="F4" s="292"/>
      <c r="G4" s="311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302"/>
      <c r="V4" s="303"/>
      <c r="W4" s="303"/>
      <c r="X4" s="303"/>
      <c r="Y4" s="303"/>
      <c r="Z4" s="304"/>
      <c r="AA4" s="78"/>
    </row>
    <row r="5" spans="1:36" ht="12.75" customHeight="1" x14ac:dyDescent="0.25">
      <c r="A5" s="290"/>
      <c r="B5" s="291"/>
      <c r="C5" s="291"/>
      <c r="D5" s="291"/>
      <c r="E5" s="291"/>
      <c r="F5" s="292"/>
      <c r="G5" s="311" t="s">
        <v>41</v>
      </c>
      <c r="H5" s="309"/>
      <c r="I5" s="2" t="s">
        <v>35</v>
      </c>
      <c r="J5" s="312">
        <v>1</v>
      </c>
      <c r="K5" s="313"/>
      <c r="L5" s="314" t="s">
        <v>52</v>
      </c>
      <c r="M5" s="312"/>
      <c r="N5" s="312"/>
      <c r="O5" s="313"/>
      <c r="P5" s="315">
        <v>44754</v>
      </c>
      <c r="Q5" s="316"/>
      <c r="R5" s="316"/>
      <c r="S5" s="316"/>
      <c r="T5" s="317"/>
      <c r="U5" s="302"/>
      <c r="V5" s="303"/>
      <c r="W5" s="303"/>
      <c r="X5" s="303"/>
      <c r="Y5" s="303"/>
      <c r="Z5" s="304"/>
      <c r="AA5" s="78"/>
    </row>
    <row r="6" spans="1:36" ht="12.75" customHeight="1" x14ac:dyDescent="0.25">
      <c r="A6" s="293"/>
      <c r="B6" s="294"/>
      <c r="C6" s="294"/>
      <c r="D6" s="294"/>
      <c r="E6" s="294"/>
      <c r="F6" s="295"/>
      <c r="G6" s="3"/>
      <c r="H6" s="4"/>
      <c r="I6" s="4"/>
      <c r="J6" s="283" t="s">
        <v>36</v>
      </c>
      <c r="K6" s="283"/>
      <c r="L6" s="283" t="s">
        <v>37</v>
      </c>
      <c r="M6" s="283"/>
      <c r="N6" s="283"/>
      <c r="O6" s="283"/>
      <c r="P6" s="283" t="s">
        <v>38</v>
      </c>
      <c r="Q6" s="283"/>
      <c r="R6" s="283"/>
      <c r="S6" s="283"/>
      <c r="T6" s="284"/>
      <c r="U6" s="305"/>
      <c r="V6" s="306"/>
      <c r="W6" s="306"/>
      <c r="X6" s="306"/>
      <c r="Y6" s="306"/>
      <c r="Z6" s="307"/>
      <c r="AA6" s="78"/>
    </row>
    <row r="7" spans="1:36" ht="37.5" customHeight="1" x14ac:dyDescent="0.25">
      <c r="A7" s="285" t="s">
        <v>39</v>
      </c>
      <c r="B7" s="285"/>
      <c r="C7" s="285"/>
      <c r="D7" s="285"/>
      <c r="E7" s="285"/>
      <c r="F7" s="285"/>
      <c r="G7" s="286" t="s">
        <v>33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76" t="s">
        <v>28</v>
      </c>
      <c r="C10" s="276"/>
      <c r="D10" s="276"/>
      <c r="E10" s="276"/>
      <c r="F10" s="276"/>
      <c r="G10" s="278" t="s">
        <v>53</v>
      </c>
      <c r="H10" s="278"/>
      <c r="I10" s="278"/>
      <c r="J10" s="278"/>
      <c r="K10" s="278"/>
      <c r="L10" s="278"/>
      <c r="M10" s="276" t="s">
        <v>31</v>
      </c>
      <c r="N10" s="276"/>
      <c r="O10" s="276"/>
      <c r="P10" s="276"/>
      <c r="Q10" s="276"/>
      <c r="R10" s="276"/>
      <c r="S10" s="279" t="s">
        <v>56</v>
      </c>
      <c r="T10" s="279"/>
      <c r="U10" s="279"/>
      <c r="V10" s="279"/>
      <c r="W10" s="279"/>
      <c r="X10" s="279"/>
      <c r="Y10" s="279"/>
      <c r="Z10" s="17"/>
      <c r="AA10" s="75"/>
      <c r="AB10" s="12"/>
      <c r="AC10" s="12"/>
      <c r="AD10" s="12"/>
      <c r="AE10" s="276"/>
      <c r="AF10" s="276"/>
      <c r="AG10" s="276"/>
      <c r="AH10" s="276"/>
      <c r="AI10" s="276"/>
    </row>
    <row r="11" spans="1:36" ht="15.9" customHeight="1" x14ac:dyDescent="0.25">
      <c r="A11" s="13"/>
      <c r="B11" s="276" t="s">
        <v>6</v>
      </c>
      <c r="C11" s="276"/>
      <c r="D11" s="276"/>
      <c r="E11" s="276"/>
      <c r="F11" s="276"/>
      <c r="G11" s="278">
        <v>44754</v>
      </c>
      <c r="H11" s="278"/>
      <c r="I11" s="278"/>
      <c r="J11" s="278"/>
      <c r="K11" s="278"/>
      <c r="L11" s="278"/>
      <c r="M11" s="276" t="s">
        <v>45</v>
      </c>
      <c r="N11" s="276"/>
      <c r="O11" s="276"/>
      <c r="P11" s="276"/>
      <c r="Q11" s="276"/>
      <c r="R11" s="276"/>
      <c r="S11" s="279" t="s">
        <v>57</v>
      </c>
      <c r="T11" s="279"/>
      <c r="U11" s="279"/>
      <c r="V11" s="279"/>
      <c r="W11" s="279"/>
      <c r="X11" s="279"/>
      <c r="Y11" s="279"/>
      <c r="Z11" s="17"/>
      <c r="AA11" s="75"/>
      <c r="AB11" s="12"/>
      <c r="AC11" s="12"/>
      <c r="AD11" s="12"/>
      <c r="AE11" s="276"/>
      <c r="AF11" s="276"/>
      <c r="AG11" s="276"/>
      <c r="AH11" s="276"/>
      <c r="AI11" s="276"/>
    </row>
    <row r="12" spans="1:36" ht="15.9" customHeight="1" x14ac:dyDescent="0.25">
      <c r="A12" s="13"/>
      <c r="B12" s="276" t="s">
        <v>29</v>
      </c>
      <c r="C12" s="276"/>
      <c r="D12" s="276"/>
      <c r="E12" s="276"/>
      <c r="F12" s="276"/>
      <c r="G12" s="278">
        <v>44754</v>
      </c>
      <c r="H12" s="278"/>
      <c r="I12" s="278"/>
      <c r="J12" s="278"/>
      <c r="K12" s="278"/>
      <c r="L12" s="278"/>
      <c r="M12" s="281" t="s">
        <v>44</v>
      </c>
      <c r="N12" s="281"/>
      <c r="O12" s="281"/>
      <c r="P12" s="281"/>
      <c r="Q12" s="281"/>
      <c r="R12" s="281"/>
      <c r="S12" s="279">
        <v>157</v>
      </c>
      <c r="T12" s="279"/>
      <c r="U12" s="279"/>
      <c r="V12" s="279"/>
      <c r="W12" s="279"/>
      <c r="X12" s="279"/>
      <c r="Y12" s="27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78" t="s">
        <v>54</v>
      </c>
      <c r="H13" s="278"/>
      <c r="I13" s="278"/>
      <c r="J13" s="278"/>
      <c r="K13" s="278"/>
      <c r="L13" s="278"/>
      <c r="M13" s="276" t="s">
        <v>30</v>
      </c>
      <c r="N13" s="276"/>
      <c r="O13" s="276"/>
      <c r="P13" s="276"/>
      <c r="Q13" s="276"/>
      <c r="R13" s="276"/>
      <c r="S13" s="278" t="s">
        <v>58</v>
      </c>
      <c r="T13" s="278"/>
      <c r="U13" s="278"/>
      <c r="V13" s="278"/>
      <c r="W13" s="278"/>
      <c r="X13" s="278"/>
      <c r="Y13" s="278"/>
      <c r="Z13" s="17"/>
      <c r="AA13" s="75"/>
      <c r="AB13" s="12"/>
      <c r="AC13" s="12"/>
      <c r="AD13" s="12"/>
      <c r="AE13" s="276"/>
      <c r="AF13" s="276"/>
      <c r="AG13" s="276"/>
      <c r="AH13" s="276"/>
      <c r="AI13" s="276"/>
      <c r="AJ13" s="276"/>
    </row>
    <row r="14" spans="1:36" ht="15.9" customHeight="1" x14ac:dyDescent="0.25">
      <c r="A14" s="18"/>
      <c r="B14" s="276" t="s">
        <v>43</v>
      </c>
      <c r="C14" s="276"/>
      <c r="D14" s="276"/>
      <c r="E14" s="276"/>
      <c r="F14" s="276"/>
      <c r="G14" s="278" t="s">
        <v>55</v>
      </c>
      <c r="H14" s="278"/>
      <c r="I14" s="278"/>
      <c r="J14" s="278"/>
      <c r="K14" s="278"/>
      <c r="L14" s="278"/>
      <c r="M14" s="279" t="s">
        <v>27</v>
      </c>
      <c r="N14" s="279"/>
      <c r="O14" s="279"/>
      <c r="P14" s="279"/>
      <c r="Q14" s="279"/>
      <c r="R14" s="279"/>
      <c r="S14" s="279" t="s">
        <v>50</v>
      </c>
      <c r="T14" s="279"/>
      <c r="U14" s="279"/>
      <c r="V14" s="279"/>
      <c r="W14" s="279"/>
      <c r="X14" s="279"/>
      <c r="Y14" s="279"/>
      <c r="Z14" s="19"/>
      <c r="AA14" s="12"/>
      <c r="AB14" s="12"/>
      <c r="AC14" s="12"/>
      <c r="AD14" s="12"/>
      <c r="AE14" s="276"/>
      <c r="AF14" s="276"/>
      <c r="AG14" s="276"/>
      <c r="AH14" s="276"/>
      <c r="AI14" s="276"/>
      <c r="AJ14" s="276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76"/>
      <c r="AF15" s="276"/>
      <c r="AG15" s="276"/>
      <c r="AH15" s="276"/>
      <c r="AI15" s="276"/>
      <c r="AJ15" s="276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76"/>
      <c r="AF16" s="276"/>
      <c r="AG16" s="276"/>
      <c r="AH16" s="276"/>
      <c r="AI16" s="276"/>
      <c r="AJ16" s="276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76" t="s">
        <v>19</v>
      </c>
      <c r="C19" s="276"/>
      <c r="D19" s="276"/>
      <c r="E19" s="276"/>
      <c r="F19" s="276"/>
      <c r="G19" s="276"/>
      <c r="H19" s="276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17"/>
      <c r="AA19" s="75"/>
      <c r="AE19" s="20"/>
      <c r="AI19" s="20"/>
    </row>
    <row r="20" spans="1:40" ht="15.9" customHeight="1" x14ac:dyDescent="0.25">
      <c r="A20" s="13"/>
      <c r="B20" s="276" t="s">
        <v>20</v>
      </c>
      <c r="C20" s="276"/>
      <c r="D20" s="276"/>
      <c r="E20" s="276"/>
      <c r="F20" s="276"/>
      <c r="G20" s="276"/>
      <c r="H20" s="276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5" t="s">
        <v>16</v>
      </c>
      <c r="AE47" s="257">
        <v>2.67</v>
      </c>
      <c r="AF47" s="249"/>
      <c r="AG47" s="260"/>
      <c r="AH47" s="39"/>
    </row>
    <row r="48" spans="1:34" ht="12.75" customHeight="1" thickBot="1" x14ac:dyDescent="0.3">
      <c r="A48" s="18"/>
      <c r="Z48" s="87"/>
      <c r="AD48" s="256"/>
      <c r="AE48" s="258"/>
      <c r="AF48" s="259"/>
      <c r="AG48" s="260"/>
    </row>
    <row r="49" spans="1:34" ht="18.75" customHeight="1" thickBot="1" x14ac:dyDescent="0.3">
      <c r="A49" s="18"/>
      <c r="E49" s="261" t="s">
        <v>11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3" t="s">
        <v>48</v>
      </c>
      <c r="V49" s="264"/>
      <c r="W49" s="265" t="s">
        <v>12</v>
      </c>
      <c r="X49" s="264"/>
      <c r="Y49" s="266" t="s">
        <v>13</v>
      </c>
      <c r="Z49" s="267"/>
      <c r="AA49" s="82"/>
      <c r="AB49" s="270" t="s">
        <v>46</v>
      </c>
      <c r="AC49" s="271"/>
      <c r="AD49" s="274" t="s">
        <v>14</v>
      </c>
      <c r="AE49" s="247" t="s">
        <v>15</v>
      </c>
      <c r="AF49" s="249"/>
      <c r="AG49" s="249"/>
      <c r="AH49" s="40"/>
    </row>
    <row r="50" spans="1:34" ht="24.9" customHeight="1" thickBot="1" x14ac:dyDescent="0.3">
      <c r="A50" s="5"/>
      <c r="B50" s="41" t="s">
        <v>22</v>
      </c>
      <c r="C50" s="251" t="s">
        <v>10</v>
      </c>
      <c r="D50" s="252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98"/>
      <c r="V50" s="200"/>
      <c r="W50" s="199"/>
      <c r="X50" s="200"/>
      <c r="Y50" s="268"/>
      <c r="Z50" s="269"/>
      <c r="AA50" s="82"/>
      <c r="AB50" s="272"/>
      <c r="AC50" s="273"/>
      <c r="AD50" s="275"/>
      <c r="AE50" s="248"/>
      <c r="AF50" s="250"/>
      <c r="AG50" s="249"/>
    </row>
    <row r="51" spans="1:34" ht="24.9" customHeight="1" x14ac:dyDescent="0.25">
      <c r="A51" s="5"/>
      <c r="B51" s="43">
        <v>1</v>
      </c>
      <c r="C51" s="336" t="s">
        <v>61</v>
      </c>
      <c r="D51" s="337"/>
      <c r="E51" s="116">
        <v>7.5</v>
      </c>
      <c r="F51" s="117">
        <v>9.5</v>
      </c>
      <c r="G51" s="118">
        <v>12.5</v>
      </c>
      <c r="H51" s="118">
        <v>16.5</v>
      </c>
      <c r="I51" s="118">
        <v>22.1</v>
      </c>
      <c r="J51" s="118">
        <v>32.6</v>
      </c>
      <c r="K51" s="118">
        <v>49.6</v>
      </c>
      <c r="L51" s="118">
        <v>64.7</v>
      </c>
      <c r="M51" s="118">
        <v>74.2</v>
      </c>
      <c r="N51" s="118">
        <v>84.3</v>
      </c>
      <c r="O51" s="118">
        <v>91.9</v>
      </c>
      <c r="P51" s="118">
        <v>97.7</v>
      </c>
      <c r="Q51" s="119">
        <v>100</v>
      </c>
      <c r="R51" s="118"/>
      <c r="S51" s="115"/>
      <c r="T51" s="115"/>
      <c r="U51" s="338">
        <v>175</v>
      </c>
      <c r="V51" s="339"/>
      <c r="W51" s="340">
        <v>4.43</v>
      </c>
      <c r="X51" s="341"/>
      <c r="Y51" s="253">
        <f>IF(W51&lt;&gt;0,AE51,"")</f>
        <v>2.7516902763171691</v>
      </c>
      <c r="Z51" s="254"/>
      <c r="AA51" s="80"/>
      <c r="AB51" s="215">
        <f>(100*W51)/(100-W51)</f>
        <v>4.6353458198179345</v>
      </c>
      <c r="AC51" s="216"/>
      <c r="AD51" s="67">
        <f>(0.25*(100-O51)+2.3*(O51-H51)+12*(H51-E51)+150*(E51))/100</f>
        <v>14.084449999999999</v>
      </c>
      <c r="AE51" s="68">
        <f>(AB51*$AE$47)/(2.65*(AD51)^(1/5))</f>
        <v>2.7516902763171691</v>
      </c>
      <c r="AF51" s="29"/>
      <c r="AG51" s="66"/>
    </row>
    <row r="52" spans="1:34" ht="24.9" customHeight="1" x14ac:dyDescent="0.25">
      <c r="A52" s="5"/>
      <c r="B52" s="44">
        <v>2</v>
      </c>
      <c r="C52" s="336" t="s">
        <v>62</v>
      </c>
      <c r="D52" s="337"/>
      <c r="E52" s="116">
        <v>7.5</v>
      </c>
      <c r="F52" s="117">
        <v>9.6</v>
      </c>
      <c r="G52" s="118">
        <v>12.3</v>
      </c>
      <c r="H52" s="118">
        <v>16.100000000000001</v>
      </c>
      <c r="I52" s="118">
        <v>21.3</v>
      </c>
      <c r="J52" s="118">
        <v>30.9</v>
      </c>
      <c r="K52" s="118">
        <v>46.5</v>
      </c>
      <c r="L52" s="118">
        <v>61.7</v>
      </c>
      <c r="M52" s="118">
        <v>70.599999999999994</v>
      </c>
      <c r="N52" s="118">
        <v>79.5</v>
      </c>
      <c r="O52" s="118">
        <v>91</v>
      </c>
      <c r="P52" s="118">
        <v>97.8</v>
      </c>
      <c r="Q52" s="119">
        <v>100</v>
      </c>
      <c r="R52" s="118"/>
      <c r="S52" s="115"/>
      <c r="T52" s="115"/>
      <c r="U52" s="338">
        <v>165</v>
      </c>
      <c r="V52" s="339"/>
      <c r="W52" s="340">
        <v>4.29</v>
      </c>
      <c r="X52" s="341"/>
      <c r="Y52" s="242">
        <f>IF(W52&lt;&gt;0,AE52,"")</f>
        <v>2.662999994492909</v>
      </c>
      <c r="Z52" s="243"/>
      <c r="AA52" s="80"/>
      <c r="AB52" s="215">
        <f>(100*W52)/(100-W52)</f>
        <v>4.4822902518023202</v>
      </c>
      <c r="AC52" s="216"/>
      <c r="AD52" s="67">
        <f t="shared" ref="AD52:AD58" si="0">(0.25*(100-O52)+2.3*(O52-H52)+12*(H52-E52)+150*(E52))/100</f>
        <v>14.027200000000001</v>
      </c>
      <c r="AE52" s="68">
        <f t="shared" ref="AE52:AE58" si="1">(AB52*$AE$47)/(2.65*(AD52)^(1/5))</f>
        <v>2.662999994492909</v>
      </c>
      <c r="AF52" s="29"/>
      <c r="AG52" s="66"/>
    </row>
    <row r="53" spans="1:34" ht="24.9" customHeight="1" x14ac:dyDescent="0.25">
      <c r="A53" s="5"/>
      <c r="B53" s="44">
        <v>3</v>
      </c>
      <c r="C53" s="192"/>
      <c r="D53" s="24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20"/>
      <c r="R53" s="92"/>
      <c r="S53" s="92"/>
      <c r="T53" s="93"/>
      <c r="U53" s="189"/>
      <c r="V53" s="190"/>
      <c r="W53" s="245"/>
      <c r="X53" s="246"/>
      <c r="Y53" s="242" t="str">
        <f t="shared" ref="Y53:Y54" si="2">IF(W53&lt;&gt;0,AE53,"")</f>
        <v/>
      </c>
      <c r="Z53" s="243"/>
      <c r="AA53" s="80"/>
      <c r="AB53" s="215">
        <f>(100*W53)/(100-W53)</f>
        <v>0</v>
      </c>
      <c r="AC53" s="216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04"/>
      <c r="D54" s="226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21"/>
      <c r="R54" s="96"/>
      <c r="S54" s="96"/>
      <c r="T54" s="97"/>
      <c r="U54" s="227"/>
      <c r="V54" s="228"/>
      <c r="W54" s="229"/>
      <c r="X54" s="230"/>
      <c r="Y54" s="231" t="str">
        <f t="shared" si="2"/>
        <v/>
      </c>
      <c r="Z54" s="232"/>
      <c r="AA54" s="80"/>
      <c r="AB54" s="215">
        <f>(100*W54)/(100-W54)</f>
        <v>0</v>
      </c>
      <c r="AC54" s="216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22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33" t="s">
        <v>8</v>
      </c>
      <c r="C56" s="234"/>
      <c r="D56" s="235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23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06" t="s">
        <v>7</v>
      </c>
      <c r="C57" s="207"/>
      <c r="D57" s="208"/>
      <c r="E57" s="98">
        <f t="shared" ref="E57:T57" si="3">IF(E51&lt;&gt;0,AVERAGE(E51:E54),"")</f>
        <v>7.5</v>
      </c>
      <c r="F57" s="98">
        <f t="shared" si="3"/>
        <v>9.5500000000000007</v>
      </c>
      <c r="G57" s="98">
        <f t="shared" si="3"/>
        <v>12.4</v>
      </c>
      <c r="H57" s="98">
        <f t="shared" si="3"/>
        <v>16.3</v>
      </c>
      <c r="I57" s="98">
        <f t="shared" si="3"/>
        <v>21.700000000000003</v>
      </c>
      <c r="J57" s="98">
        <f t="shared" si="3"/>
        <v>31.75</v>
      </c>
      <c r="K57" s="98">
        <f t="shared" si="3"/>
        <v>48.05</v>
      </c>
      <c r="L57" s="98">
        <f t="shared" si="3"/>
        <v>63.2</v>
      </c>
      <c r="M57" s="98">
        <f t="shared" si="3"/>
        <v>72.400000000000006</v>
      </c>
      <c r="N57" s="98">
        <f t="shared" si="3"/>
        <v>81.900000000000006</v>
      </c>
      <c r="O57" s="98">
        <f t="shared" si="3"/>
        <v>91.45</v>
      </c>
      <c r="P57" s="98">
        <f t="shared" si="3"/>
        <v>97.75</v>
      </c>
      <c r="Q57" s="124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209">
        <f>IF(U51&lt;&gt;0,AVERAGE(U51:V54),"")</f>
        <v>170</v>
      </c>
      <c r="V57" s="210"/>
      <c r="W57" s="211">
        <f>IF(W51&lt;&gt;0,AVERAGE(W51:X54),"")</f>
        <v>4.3599999999999994</v>
      </c>
      <c r="X57" s="212"/>
      <c r="Y57" s="213">
        <f>IF(W51&lt;&gt;0,AVERAGE(Y51:Z54),"")</f>
        <v>2.7073451354050393</v>
      </c>
      <c r="Z57" s="214"/>
      <c r="AA57" s="66"/>
      <c r="AB57" s="215">
        <f>(100*W57)/(100-W57)</f>
        <v>4.5587620242576321</v>
      </c>
      <c r="AC57" s="216"/>
      <c r="AD57" s="67">
        <f t="shared" si="0"/>
        <v>14.055825</v>
      </c>
      <c r="AE57" s="68">
        <f t="shared" si="1"/>
        <v>2.7073290353241237</v>
      </c>
      <c r="AF57" s="29"/>
      <c r="AG57" s="66"/>
    </row>
    <row r="58" spans="1:34" ht="21" customHeight="1" x14ac:dyDescent="0.25">
      <c r="A58" s="5"/>
      <c r="B58" s="217" t="s">
        <v>9</v>
      </c>
      <c r="C58" s="218"/>
      <c r="D58" s="219"/>
      <c r="E58" s="100">
        <v>6.2</v>
      </c>
      <c r="F58" s="100">
        <v>8</v>
      </c>
      <c r="G58" s="100">
        <v>12</v>
      </c>
      <c r="H58" s="100">
        <v>16</v>
      </c>
      <c r="I58" s="100">
        <v>22</v>
      </c>
      <c r="J58" s="100">
        <v>30</v>
      </c>
      <c r="K58" s="100">
        <v>43</v>
      </c>
      <c r="L58" s="100">
        <v>59</v>
      </c>
      <c r="M58" s="100">
        <v>68</v>
      </c>
      <c r="N58" s="100">
        <v>77</v>
      </c>
      <c r="O58" s="100">
        <v>91</v>
      </c>
      <c r="P58" s="100">
        <v>98</v>
      </c>
      <c r="Q58" s="114">
        <v>100</v>
      </c>
      <c r="R58" s="100"/>
      <c r="S58" s="100"/>
      <c r="T58" s="101"/>
      <c r="U58" s="220"/>
      <c r="V58" s="221"/>
      <c r="W58" s="222">
        <v>4.4000000000000004</v>
      </c>
      <c r="X58" s="223"/>
      <c r="Y58" s="224">
        <f>AE58</f>
        <v>2.8107424726304413</v>
      </c>
      <c r="Z58" s="225"/>
      <c r="AA58" s="66"/>
      <c r="AB58" s="215">
        <f>(100*W58)/(100-W58)</f>
        <v>4.6025104602510467</v>
      </c>
      <c r="AC58" s="216"/>
      <c r="AD58" s="67">
        <f t="shared" si="0"/>
        <v>12.2235</v>
      </c>
      <c r="AE58" s="68">
        <f t="shared" si="1"/>
        <v>2.8107424726304413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8.1999999999999993</v>
      </c>
      <c r="F59" s="92"/>
      <c r="G59" s="92"/>
      <c r="H59" s="92"/>
      <c r="I59" s="92"/>
      <c r="J59" s="92">
        <f>J58+6</f>
        <v>36</v>
      </c>
      <c r="K59" s="92"/>
      <c r="L59" s="92">
        <f>L58+7</f>
        <v>66</v>
      </c>
      <c r="M59" s="92"/>
      <c r="N59" s="92"/>
      <c r="O59" s="92"/>
      <c r="P59" s="92"/>
      <c r="Q59" s="92"/>
      <c r="R59" s="92"/>
      <c r="S59" s="92"/>
      <c r="T59" s="93"/>
      <c r="U59" s="189"/>
      <c r="V59" s="190"/>
      <c r="W59" s="191">
        <f>W58+0.5</f>
        <v>4.9000000000000004</v>
      </c>
      <c r="X59" s="190"/>
      <c r="Y59" s="192"/>
      <c r="Z59" s="193"/>
      <c r="AA59" s="83"/>
      <c r="AB59" s="71"/>
      <c r="AC59" s="69"/>
      <c r="AD59" s="194"/>
      <c r="AE59" s="196" t="s">
        <v>47</v>
      </c>
      <c r="AF59" s="29"/>
      <c r="AG59" s="66"/>
    </row>
    <row r="60" spans="1:34" ht="13.5" customHeight="1" thickBot="1" x14ac:dyDescent="0.3">
      <c r="A60" s="5"/>
      <c r="B60" s="198" t="s">
        <v>24</v>
      </c>
      <c r="C60" s="199"/>
      <c r="D60" s="200"/>
      <c r="E60" s="102">
        <f>E58-2</f>
        <v>4.2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52</v>
      </c>
      <c r="M60" s="102"/>
      <c r="N60" s="103"/>
      <c r="O60" s="103"/>
      <c r="P60" s="103"/>
      <c r="Q60" s="102"/>
      <c r="R60" s="103"/>
      <c r="S60" s="103"/>
      <c r="T60" s="104"/>
      <c r="U60" s="201"/>
      <c r="V60" s="202"/>
      <c r="W60" s="203">
        <f>W58-0.5</f>
        <v>3.9000000000000004</v>
      </c>
      <c r="X60" s="202"/>
      <c r="Y60" s="204"/>
      <c r="Z60" s="205"/>
      <c r="AA60" s="84"/>
      <c r="AB60" s="72"/>
      <c r="AC60" s="73"/>
      <c r="AD60" s="195"/>
      <c r="AE60" s="197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6"/>
      <c r="V63" s="166"/>
      <c r="W63" s="166"/>
      <c r="X63" s="166"/>
      <c r="Y63" s="166"/>
      <c r="Z63" s="167"/>
      <c r="AA63" s="81"/>
      <c r="AB63" s="58"/>
      <c r="AC63" s="58"/>
      <c r="AD63" s="59"/>
    </row>
    <row r="64" spans="1:34" ht="27" customHeight="1" x14ac:dyDescent="0.25">
      <c r="A64" s="168" t="s">
        <v>49</v>
      </c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0"/>
      <c r="R64" s="159" t="s">
        <v>32</v>
      </c>
      <c r="S64" s="160"/>
      <c r="T64" s="161"/>
      <c r="U64" s="171" t="s">
        <v>59</v>
      </c>
      <c r="V64" s="172"/>
      <c r="W64" s="172"/>
      <c r="X64" s="172"/>
      <c r="Y64" s="172"/>
      <c r="Z64" s="173"/>
      <c r="AA64" s="76"/>
      <c r="AB64" s="60"/>
      <c r="AC64" s="60"/>
      <c r="AD64" s="59"/>
    </row>
    <row r="65" spans="1:30" ht="15.75" customHeight="1" x14ac:dyDescent="0.25">
      <c r="A65" s="174" t="s">
        <v>63</v>
      </c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  <c r="R65" s="159" t="s">
        <v>25</v>
      </c>
      <c r="S65" s="160"/>
      <c r="T65" s="161"/>
      <c r="U65" s="180" t="s">
        <v>60</v>
      </c>
      <c r="V65" s="181"/>
      <c r="W65" s="181"/>
      <c r="X65" s="181"/>
      <c r="Y65" s="181"/>
      <c r="Z65" s="182"/>
      <c r="AA65" s="76"/>
      <c r="AB65" s="60"/>
      <c r="AC65" s="60"/>
      <c r="AD65" s="59"/>
    </row>
    <row r="66" spans="1:30" ht="9" customHeight="1" x14ac:dyDescent="0.25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6"/>
      <c r="R66" s="159"/>
      <c r="S66" s="160"/>
      <c r="T66" s="161"/>
      <c r="U66" s="183"/>
      <c r="V66" s="184"/>
      <c r="W66" s="184"/>
      <c r="X66" s="184"/>
      <c r="Y66" s="184"/>
      <c r="Z66" s="185"/>
      <c r="AA66" s="76"/>
      <c r="AB66" s="60"/>
      <c r="AC66" s="60"/>
      <c r="AD66" s="59"/>
    </row>
    <row r="67" spans="1:30" ht="15.9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9"/>
      <c r="R67" s="159"/>
      <c r="S67" s="160"/>
      <c r="T67" s="161"/>
      <c r="U67" s="183"/>
      <c r="V67" s="184"/>
      <c r="W67" s="184"/>
      <c r="X67" s="184"/>
      <c r="Y67" s="184"/>
      <c r="Z67" s="185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59"/>
      <c r="S68" s="160"/>
      <c r="T68" s="161"/>
      <c r="U68" s="186"/>
      <c r="V68" s="187"/>
      <c r="W68" s="187"/>
      <c r="X68" s="187"/>
      <c r="Y68" s="187"/>
      <c r="Z68" s="188"/>
      <c r="AA68" s="76"/>
      <c r="AB68" s="60"/>
      <c r="AC68" s="60"/>
      <c r="AD68" s="59"/>
    </row>
    <row r="69" spans="1:30" ht="15.75" customHeight="1" x14ac:dyDescent="0.25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5"/>
      <c r="R69" s="159" t="s">
        <v>26</v>
      </c>
      <c r="S69" s="160"/>
      <c r="T69" s="161"/>
      <c r="U69" s="106"/>
      <c r="V69" s="107"/>
      <c r="W69" s="107"/>
      <c r="X69" s="107"/>
      <c r="Y69" s="107"/>
      <c r="Z69" s="108"/>
      <c r="AA69" s="77"/>
      <c r="AB69" s="65"/>
      <c r="AC69" s="65"/>
      <c r="AD69" s="59"/>
    </row>
    <row r="70" spans="1:30" ht="15.9" customHeight="1" x14ac:dyDescent="0.25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5"/>
      <c r="R70" s="159"/>
      <c r="S70" s="160"/>
      <c r="T70" s="161"/>
      <c r="U70" s="109"/>
      <c r="V70" s="165"/>
      <c r="W70" s="165"/>
      <c r="X70" s="165"/>
      <c r="Y70" s="165"/>
      <c r="Z70" s="110"/>
      <c r="AA70" s="77"/>
      <c r="AB70" s="65"/>
      <c r="AC70" s="65"/>
      <c r="AD70" s="59"/>
    </row>
    <row r="71" spans="1:30" ht="15.9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5"/>
      <c r="R71" s="159"/>
      <c r="S71" s="160"/>
      <c r="T71" s="161"/>
      <c r="U71" s="109"/>
      <c r="V71" s="165"/>
      <c r="W71" s="165"/>
      <c r="X71" s="165"/>
      <c r="Y71" s="165"/>
      <c r="Z71" s="110"/>
      <c r="AA71" s="77"/>
      <c r="AB71" s="65"/>
      <c r="AC71" s="65"/>
      <c r="AD71" s="59"/>
    </row>
    <row r="72" spans="1:30" ht="15.75" customHeight="1" x14ac:dyDescent="0.25">
      <c r="A72" s="156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8"/>
      <c r="R72" s="162"/>
      <c r="S72" s="163"/>
      <c r="T72" s="164"/>
      <c r="U72" s="111"/>
      <c r="V72" s="112"/>
      <c r="W72" s="112"/>
      <c r="X72" s="112"/>
      <c r="Y72" s="112"/>
      <c r="Z72" s="113"/>
      <c r="AA72" s="77"/>
      <c r="AB72" s="65"/>
      <c r="AC72" s="65"/>
      <c r="AD72" s="59"/>
    </row>
  </sheetData>
  <mergeCells count="106">
    <mergeCell ref="A65:Q67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U63:Z63"/>
    <mergeCell ref="U64:Z64"/>
    <mergeCell ref="B58:D58"/>
    <mergeCell ref="R64:T64"/>
    <mergeCell ref="B60:D60"/>
    <mergeCell ref="A64:Q64"/>
    <mergeCell ref="B57:D57"/>
    <mergeCell ref="B56:D56"/>
    <mergeCell ref="C53:D53"/>
    <mergeCell ref="C54:D54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Y51:Z51"/>
    <mergeCell ref="Y52:Z52"/>
    <mergeCell ref="Y53:Z53"/>
    <mergeCell ref="Y54:Z54"/>
    <mergeCell ref="U53:V53"/>
    <mergeCell ref="U54:V54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R69:T72"/>
    <mergeCell ref="U65:Z68"/>
    <mergeCell ref="A69:Q72"/>
    <mergeCell ref="R65:T68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I20:Y20"/>
    <mergeCell ref="C50:D50"/>
    <mergeCell ref="V70:Y71"/>
    <mergeCell ref="U51:V51"/>
    <mergeCell ref="W51:X51"/>
    <mergeCell ref="C52:D52"/>
    <mergeCell ref="U52:V52"/>
    <mergeCell ref="W52:X52"/>
    <mergeCell ref="C51:D51"/>
    <mergeCell ref="AE10:AI10"/>
    <mergeCell ref="AE11:AI11"/>
    <mergeCell ref="AE13:AJ13"/>
    <mergeCell ref="AE14:AJ14"/>
    <mergeCell ref="AE15:AJ15"/>
    <mergeCell ref="AE16:AJ16"/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9:H19"/>
    <mergeCell ref="I19:Y19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18</vt:i4>
      </vt:variant>
    </vt:vector>
  </HeadingPairs>
  <TitlesOfParts>
    <vt:vector size="36" baseType="lpstr">
      <vt:lpstr>Nuit 09-101025 Albigny BBSG</vt:lpstr>
      <vt:lpstr>Nuit 09-101025 Albigny GB</vt:lpstr>
      <vt:lpstr>Nuit 18-190625 Albigny BBSG </vt:lpstr>
      <vt:lpstr>Nuit 17-180625 Albigny BBSG</vt:lpstr>
      <vt:lpstr>Nuit 07-080324</vt:lpstr>
      <vt:lpstr>Nuit 06-070324</vt:lpstr>
      <vt:lpstr>Nuit 05-060324</vt:lpstr>
      <vt:lpstr>061223</vt:lpstr>
      <vt:lpstr>130923</vt:lpstr>
      <vt:lpstr>120923</vt:lpstr>
      <vt:lpstr>141222</vt:lpstr>
      <vt:lpstr>081222</vt:lpstr>
      <vt:lpstr>061222 (2)</vt:lpstr>
      <vt:lpstr>061222</vt:lpstr>
      <vt:lpstr>051222</vt:lpstr>
      <vt:lpstr>130722 (2)</vt:lpstr>
      <vt:lpstr>130722</vt:lpstr>
      <vt:lpstr>120722</vt:lpstr>
      <vt:lpstr>'051222'!Zone_d_impression</vt:lpstr>
      <vt:lpstr>'061222'!Zone_d_impression</vt:lpstr>
      <vt:lpstr>'061222 (2)'!Zone_d_impression</vt:lpstr>
      <vt:lpstr>'061223'!Zone_d_impression</vt:lpstr>
      <vt:lpstr>'081222'!Zone_d_impression</vt:lpstr>
      <vt:lpstr>'120722'!Zone_d_impression</vt:lpstr>
      <vt:lpstr>'120923'!Zone_d_impression</vt:lpstr>
      <vt:lpstr>'130722'!Zone_d_impression</vt:lpstr>
      <vt:lpstr>'130722 (2)'!Zone_d_impression</vt:lpstr>
      <vt:lpstr>'130923'!Zone_d_impression</vt:lpstr>
      <vt:lpstr>'141222'!Zone_d_impression</vt:lpstr>
      <vt:lpstr>'Nuit 05-060324'!Zone_d_impression</vt:lpstr>
      <vt:lpstr>'Nuit 06-070324'!Zone_d_impression</vt:lpstr>
      <vt:lpstr>'Nuit 07-080324'!Zone_d_impression</vt:lpstr>
      <vt:lpstr>'Nuit 09-101025 Albigny BBSG'!Zone_d_impression</vt:lpstr>
      <vt:lpstr>'Nuit 09-101025 Albigny GB'!Zone_d_impression</vt:lpstr>
      <vt:lpstr>'Nuit 17-180625 Albigny BBSG'!Zone_d_impression</vt:lpstr>
      <vt:lpstr>'Nuit 18-190625 Albigny BBSG 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2025-10-10T12:06:33Z</cp:lastPrinted>
  <dcterms:created xsi:type="dcterms:W3CDTF">2004-11-13T18:13:05Z</dcterms:created>
  <dcterms:modified xsi:type="dcterms:W3CDTF">2025-10-10T12:06:42Z</dcterms:modified>
</cp:coreProperties>
</file>