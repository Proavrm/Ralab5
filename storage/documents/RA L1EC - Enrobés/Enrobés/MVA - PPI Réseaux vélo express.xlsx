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2\69\RA L1EC PPI Réseau vélo express\Essais de laboratoire\Enrobés\"/>
    </mc:Choice>
  </mc:AlternateContent>
  <xr:revisionPtr revIDLastSave="0" documentId="13_ncr:1_{DA02D8A2-7F90-4E0A-9E30-94CCC8B545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30722 (3)" sheetId="4" r:id="rId1"/>
    <sheet name="130722 (2)" sheetId="3" r:id="rId2"/>
    <sheet name="130722" sheetId="2" r:id="rId3"/>
    <sheet name="120722" sheetId="1" r:id="rId4"/>
  </sheets>
  <definedNames>
    <definedName name="_xlnm.Print_Area" localSheetId="3">'120722'!$A$1:$Z$52</definedName>
    <definedName name="_xlnm.Print_Area" localSheetId="2">'130722'!$A$1:$Z$52</definedName>
    <definedName name="_xlnm.Print_Area" localSheetId="1">'130722 (2)'!$A$1:$Z$52</definedName>
    <definedName name="_xlnm.Print_Area" localSheetId="0">'130722 (3)'!$A$1:$Z$52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5" i="4" l="1"/>
  <c r="AD36" i="4"/>
  <c r="N37" i="4"/>
  <c r="Q37" i="4" s="1"/>
  <c r="T37" i="4" s="1"/>
  <c r="AD37" i="4"/>
  <c r="N38" i="4"/>
  <c r="Q38" i="4" s="1"/>
  <c r="T38" i="4" s="1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35" i="3"/>
  <c r="AD36" i="3"/>
  <c r="AD37" i="3"/>
  <c r="N38" i="3"/>
  <c r="Q38" i="3" s="1"/>
  <c r="T38" i="3" s="1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35" i="2"/>
  <c r="AD36" i="2"/>
  <c r="AD37" i="2"/>
  <c r="N38" i="2"/>
  <c r="Q38" i="2" s="1"/>
  <c r="T38" i="2" s="1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N38" i="1"/>
  <c r="Q38" i="1" s="1"/>
  <c r="T38" i="1" s="1"/>
  <c r="AD37" i="1"/>
  <c r="AD36" i="1"/>
  <c r="AD35" i="1"/>
  <c r="F27" i="4" l="1"/>
  <c r="N36" i="4" s="1"/>
  <c r="Q36" i="4" s="1"/>
  <c r="T36" i="4" s="1"/>
  <c r="F27" i="3"/>
  <c r="N35" i="3" s="1"/>
  <c r="Q35" i="3" s="1"/>
  <c r="T35" i="3" s="1"/>
  <c r="F27" i="2"/>
  <c r="F27" i="1"/>
  <c r="N37" i="1" s="1"/>
  <c r="Q37" i="1" s="1"/>
  <c r="T37" i="1" s="1"/>
  <c r="N35" i="4" l="1"/>
  <c r="Q35" i="4" s="1"/>
  <c r="T35" i="4" s="1"/>
  <c r="N36" i="3"/>
  <c r="Q36" i="3" s="1"/>
  <c r="T36" i="3" s="1"/>
  <c r="N37" i="3"/>
  <c r="Q37" i="3" s="1"/>
  <c r="T37" i="3" s="1"/>
  <c r="N36" i="2"/>
  <c r="Q36" i="2" s="1"/>
  <c r="N37" i="2"/>
  <c r="Q37" i="2" s="1"/>
  <c r="T37" i="2" s="1"/>
  <c r="N35" i="2"/>
  <c r="N36" i="1"/>
  <c r="Q36" i="1" s="1"/>
  <c r="T36" i="1" s="1"/>
  <c r="N35" i="1"/>
  <c r="Q35" i="1" s="1"/>
  <c r="T35" i="1" s="1"/>
  <c r="T36" i="2" l="1"/>
  <c r="Q35" i="2"/>
  <c r="T35" i="2" s="1"/>
</calcChain>
</file>

<file path=xl/sharedStrings.xml><?xml version="1.0" encoding="utf-8"?>
<sst xmlns="http://schemas.openxmlformats.org/spreadsheetml/2006/main" count="282" uniqueCount="81">
  <si>
    <t>COMPTE RENDU D'ESSAIS</t>
  </si>
  <si>
    <t>MASSE VOLUMIQUE DES ENROBES
(NF EN 12697-6-A1)</t>
  </si>
  <si>
    <t>n°</t>
  </si>
  <si>
    <t>RA L1EC</t>
  </si>
  <si>
    <t>13/07/2022</t>
  </si>
  <si>
    <t>Chrono</t>
  </si>
  <si>
    <t>N° d'affaire</t>
  </si>
  <si>
    <t>Date de rédaction</t>
  </si>
  <si>
    <t>Laboratoire :</t>
  </si>
  <si>
    <t>Laboratoire Rhône-Ain-Loire et Haute-Loire -  29-31 rue des Tâches ZI Mi-Plaine - 69800 SAINT PRIEST</t>
  </si>
  <si>
    <t>1/</t>
  </si>
  <si>
    <t>RENSEIGNEMENTS GENERAUX</t>
  </si>
  <si>
    <t>Sylvain LHOPITAL</t>
  </si>
  <si>
    <t>12/07/2022</t>
  </si>
  <si>
    <t>Opérateur :</t>
  </si>
  <si>
    <t>Nature du produit :</t>
  </si>
  <si>
    <t>GB 0/14 Classe 3</t>
  </si>
  <si>
    <t>Date de(s) prélèvement(s) :</t>
  </si>
  <si>
    <t>Provenance :</t>
  </si>
  <si>
    <t>P2R</t>
  </si>
  <si>
    <t>Date de(s) essai(s) :</t>
  </si>
  <si>
    <t>Couche :</t>
  </si>
  <si>
    <t>Base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</si>
  <si>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</si>
  <si>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</si>
  <si>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</si>
  <si>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</si>
  <si>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</si>
  <si>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</si>
  <si>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</si>
  <si>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</si>
  <si>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</si>
  <si>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0"/>
        <color rgb="FF000000"/>
        <rFont val="Century Gothic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</si>
  <si>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</si>
  <si>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</si>
  <si>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</si>
  <si>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</si>
  <si>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</si>
  <si>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</si>
  <si>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</si>
  <si>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0"/>
        <color rgb="FF000000"/>
        <rFont val="Century Gothic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</si>
  <si>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</si>
  <si>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</si>
  <si>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</si>
  <si>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</si>
  <si>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</si>
  <si>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</si>
  <si>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SC1</t>
  </si>
  <si>
    <t>SC2</t>
  </si>
  <si>
    <t>SC3</t>
  </si>
  <si>
    <t>4/</t>
  </si>
  <si>
    <t>CONCLUSIONS</t>
  </si>
  <si>
    <t>Contrôle</t>
  </si>
  <si>
    <t>Nom</t>
  </si>
  <si>
    <t>SYLVAIN LHOPITAL</t>
  </si>
  <si>
    <t>Pour information</t>
  </si>
  <si>
    <t>Fonction</t>
  </si>
  <si>
    <t>Chef de section laboratoire</t>
  </si>
  <si>
    <t>7/</t>
  </si>
  <si>
    <t>COMMENTAIRES</t>
  </si>
  <si>
    <t>Visa</t>
  </si>
  <si>
    <t>PPI - Réseau Velo Express</t>
  </si>
  <si>
    <t>SC5</t>
  </si>
  <si>
    <t>Fondation</t>
  </si>
  <si>
    <t>18/07/2022</t>
  </si>
  <si>
    <t>F. Montet</t>
  </si>
  <si>
    <t>Laboratoire Rhône-Alpes - 29-31 rue des tâches - ZI mi-plaine - 69800 SAINT PRIEST</t>
  </si>
  <si>
    <t>RAL1EC</t>
  </si>
  <si>
    <t>PPI - Réseau vélo express</t>
  </si>
  <si>
    <t>Conforme</t>
  </si>
  <si>
    <t>F. MONTET</t>
  </si>
  <si>
    <t>Technicien de laboratoire</t>
  </si>
  <si>
    <r>
      <t>Masse volumique de l'éprouvette
(kg/m</t>
    </r>
    <r>
      <rPr>
        <b/>
        <vertAlign val="superscript"/>
        <sz val="10"/>
        <color rgb="FF000000"/>
        <rFont val="Century Gothic"/>
        <family val="2"/>
      </rPr>
      <t>3)</t>
    </r>
  </si>
  <si>
    <r>
      <t>kg/m</t>
    </r>
    <r>
      <rPr>
        <b/>
        <vertAlign val="superscript"/>
        <sz val="10"/>
        <color rgb="FF000000"/>
        <rFont val="Century Gothic"/>
        <family val="2"/>
      </rPr>
      <t>3</t>
    </r>
  </si>
  <si>
    <t>0 ≤ %vides ≤ 9%</t>
  </si>
  <si>
    <t xml:space="preserve">GB 0/14 Classe 3 </t>
  </si>
  <si>
    <t>P2R F157</t>
  </si>
  <si>
    <t>Roulement</t>
  </si>
  <si>
    <t>BBSG 0/10 Classe 3</t>
  </si>
  <si>
    <t>P2R F110</t>
  </si>
  <si>
    <t>4 ≤ %vides ≤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</si>
</sst>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28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alibri"/>
    </font>
    <font>
      <sz val="11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b/>
      <vertAlign val="superscript"/>
      <sz val="10"/>
      <color rgb="FF000000"/>
      <name val="Century Gothic"/>
    </font>
    <font>
      <sz val="11"/>
      <color rgb="FF000000"/>
      <name val="Calibri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vertAlign val="superscript"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6" fillId="0" borderId="0"/>
  </cellStyleXfs>
  <cellXfs count="414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9" fillId="0" borderId="0" xfId="0" applyFont="1"/>
    <xf numFmtId="0" fontId="9" fillId="0" borderId="0" xfId="0" applyFont="1"/>
    <xf numFmtId="0" fontId="9" fillId="0" borderId="0" xfId="0" applyFont="1"/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0" fillId="0" borderId="0" xfId="0"/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 vertical="center" wrapText="1"/>
      <protection hidden="1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165" fontId="10" fillId="0" borderId="17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0" fontId="10" fillId="0" borderId="0" xfId="0" applyFont="1" applyAlignment="1" applyProtection="1">
      <alignment horizontal="left"/>
      <protection locked="0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/>
      <protection hidden="1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31" xfId="0" applyFont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/>
      <protection locked="0"/>
    </xf>
    <xf numFmtId="0" fontId="16" fillId="0" borderId="0" xfId="1"/>
    <xf numFmtId="0" fontId="17" fillId="0" borderId="0" xfId="1" applyFont="1" applyAlignment="1" applyProtection="1">
      <alignment vertical="center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vertical="center"/>
      <protection hidden="1"/>
    </xf>
    <xf numFmtId="0" fontId="17" fillId="0" borderId="2" xfId="1" applyFont="1" applyBorder="1" applyAlignment="1" applyProtection="1">
      <alignment horizontal="center" vertical="center"/>
      <protection hidden="1"/>
    </xf>
    <xf numFmtId="0" fontId="17" fillId="0" borderId="1" xfId="1" applyFont="1" applyBorder="1" applyAlignment="1" applyProtection="1">
      <alignment horizontal="center" vertical="center"/>
      <protection hidden="1"/>
    </xf>
    <xf numFmtId="164" fontId="17" fillId="0" borderId="7" xfId="1" applyNumberFormat="1" applyFont="1" applyBorder="1" applyAlignment="1" applyProtection="1">
      <alignment vertical="center"/>
      <protection hidden="1"/>
    </xf>
    <xf numFmtId="0" fontId="17" fillId="0" borderId="6" xfId="1" applyFont="1" applyBorder="1" applyAlignment="1" applyProtection="1">
      <alignment horizontal="center" vertical="center"/>
      <protection hidden="1"/>
    </xf>
    <xf numFmtId="0" fontId="17" fillId="0" borderId="0" xfId="1" applyFont="1" applyProtection="1">
      <protection hidden="1"/>
    </xf>
    <xf numFmtId="0" fontId="17" fillId="0" borderId="8" xfId="1" applyFont="1" applyBorder="1" applyAlignment="1" applyProtection="1">
      <alignment vertical="center" wrapText="1"/>
      <protection locked="0"/>
    </xf>
    <xf numFmtId="0" fontId="17" fillId="0" borderId="2" xfId="1" applyFont="1" applyBorder="1" applyAlignment="1" applyProtection="1">
      <alignment vertical="center" wrapText="1"/>
      <protection locked="0"/>
    </xf>
    <xf numFmtId="0" fontId="17" fillId="0" borderId="1" xfId="1" applyFont="1" applyBorder="1" applyAlignment="1" applyProtection="1">
      <alignment vertical="center" wrapText="1"/>
      <protection locked="0"/>
    </xf>
    <xf numFmtId="0" fontId="18" fillId="0" borderId="8" xfId="1" applyFont="1" applyBorder="1" applyAlignment="1" applyProtection="1">
      <alignment horizontal="center" vertical="center"/>
      <protection hidden="1"/>
    </xf>
    <xf numFmtId="0" fontId="18" fillId="0" borderId="2" xfId="1" applyFont="1" applyBorder="1" applyAlignment="1" applyProtection="1">
      <alignment horizontal="center" vertical="center"/>
      <protection hidden="1"/>
    </xf>
    <xf numFmtId="0" fontId="18" fillId="0" borderId="1" xfId="1" applyFont="1" applyBorder="1" applyAlignment="1" applyProtection="1">
      <alignment horizontal="center" vertical="center"/>
      <protection hidden="1"/>
    </xf>
    <xf numFmtId="0" fontId="15" fillId="0" borderId="8" xfId="1" applyFont="1" applyBorder="1" applyAlignment="1" applyProtection="1">
      <alignment horizontal="left" vertical="center" wrapText="1"/>
      <protection locked="0"/>
    </xf>
    <xf numFmtId="0" fontId="15" fillId="0" borderId="2" xfId="1" applyFont="1" applyBorder="1" applyAlignment="1" applyProtection="1">
      <alignment horizontal="left" vertical="center" wrapText="1"/>
      <protection locked="0"/>
    </xf>
    <xf numFmtId="0" fontId="15" fillId="0" borderId="1" xfId="1" applyFont="1" applyBorder="1" applyAlignment="1" applyProtection="1">
      <alignment horizontal="left" vertical="center" wrapText="1"/>
      <protection locked="0"/>
    </xf>
    <xf numFmtId="0" fontId="17" fillId="0" borderId="7" xfId="1" applyFont="1" applyBorder="1" applyAlignment="1" applyProtection="1">
      <alignment vertical="center" wrapText="1"/>
      <protection locked="0"/>
    </xf>
    <xf numFmtId="0" fontId="17" fillId="0" borderId="0" xfId="1" applyFont="1" applyAlignment="1" applyProtection="1">
      <alignment horizontal="center" vertical="center" wrapText="1"/>
      <protection locked="0"/>
    </xf>
    <xf numFmtId="0" fontId="17" fillId="0" borderId="6" xfId="1" applyFont="1" applyBorder="1" applyAlignment="1" applyProtection="1">
      <alignment vertical="center" wrapText="1"/>
      <protection locked="0"/>
    </xf>
    <xf numFmtId="0" fontId="18" fillId="0" borderId="7" xfId="1" applyFont="1" applyBorder="1" applyAlignment="1" applyProtection="1">
      <alignment horizontal="center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0" fontId="18" fillId="0" borderId="6" xfId="1" applyFont="1" applyBorder="1" applyAlignment="1" applyProtection="1">
      <alignment horizontal="center" vertical="center"/>
      <protection hidden="1"/>
    </xf>
    <xf numFmtId="0" fontId="15" fillId="0" borderId="7" xfId="1" applyFont="1" applyBorder="1" applyAlignment="1" applyProtection="1">
      <alignment horizontal="left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15" fillId="0" borderId="6" xfId="1" applyFont="1" applyBorder="1" applyAlignment="1" applyProtection="1">
      <alignment horizontal="left" vertical="center" wrapText="1"/>
      <protection locked="0"/>
    </xf>
    <xf numFmtId="164" fontId="17" fillId="0" borderId="0" xfId="1" applyNumberFormat="1" applyFont="1" applyAlignment="1" applyProtection="1">
      <alignment horizontal="center" vertical="center"/>
      <protection hidden="1"/>
    </xf>
    <xf numFmtId="0" fontId="17" fillId="0" borderId="5" xfId="1" applyFont="1" applyBorder="1" applyAlignment="1" applyProtection="1">
      <alignment vertical="center" wrapText="1"/>
      <protection locked="0"/>
    </xf>
    <xf numFmtId="0" fontId="17" fillId="0" borderId="4" xfId="1" applyFont="1" applyBorder="1" applyAlignment="1" applyProtection="1">
      <alignment vertical="center" wrapText="1"/>
      <protection locked="0"/>
    </xf>
    <xf numFmtId="0" fontId="17" fillId="0" borderId="3" xfId="1" applyFont="1" applyBorder="1" applyAlignment="1" applyProtection="1">
      <alignment vertical="center" wrapText="1"/>
      <protection locked="0"/>
    </xf>
    <xf numFmtId="0" fontId="17" fillId="0" borderId="8" xfId="1" applyFont="1" applyBorder="1" applyAlignment="1" applyProtection="1">
      <alignment horizontal="center" vertical="center" wrapText="1"/>
      <protection locked="0"/>
    </xf>
    <xf numFmtId="0" fontId="17" fillId="0" borderId="2" xfId="1" applyFont="1" applyBorder="1" applyAlignment="1" applyProtection="1">
      <alignment horizontal="center" vertical="center" wrapText="1"/>
      <protection locked="0"/>
    </xf>
    <xf numFmtId="0" fontId="15" fillId="0" borderId="2" xfId="1" applyFont="1" applyBorder="1" applyAlignment="1" applyProtection="1">
      <alignment horizontal="center" vertical="center" wrapText="1"/>
      <protection locked="0"/>
    </xf>
    <xf numFmtId="0" fontId="15" fillId="0" borderId="1" xfId="1" applyFont="1" applyBorder="1" applyAlignment="1" applyProtection="1">
      <alignment horizontal="center" vertical="center" wrapText="1"/>
      <protection locked="0"/>
    </xf>
    <xf numFmtId="0" fontId="19" fillId="0" borderId="7" xfId="1" applyFont="1" applyBorder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20" fillId="0" borderId="0" xfId="1" applyFont="1" applyAlignment="1" applyProtection="1">
      <alignment vertical="center"/>
      <protection hidden="1"/>
    </xf>
    <xf numFmtId="0" fontId="21" fillId="0" borderId="6" xfId="1" applyFont="1" applyBorder="1" applyAlignment="1" applyProtection="1">
      <alignment horizontal="center" vertical="center"/>
      <protection hidden="1"/>
    </xf>
    <xf numFmtId="0" fontId="14" fillId="0" borderId="0" xfId="1" applyFont="1"/>
    <xf numFmtId="0" fontId="17" fillId="0" borderId="7" xfId="1" applyFont="1" applyBorder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6" xfId="1" applyFont="1" applyBorder="1" applyAlignment="1" applyProtection="1">
      <alignment horizontal="center" vertical="center" wrapText="1"/>
      <protection locked="0"/>
    </xf>
    <xf numFmtId="0" fontId="22" fillId="0" borderId="8" xfId="1" applyFont="1" applyBorder="1" applyAlignment="1" applyProtection="1">
      <alignment horizontal="center" vertical="center"/>
      <protection hidden="1"/>
    </xf>
    <xf numFmtId="0" fontId="22" fillId="0" borderId="2" xfId="1" applyFont="1" applyBorder="1" applyAlignment="1" applyProtection="1">
      <alignment horizontal="center" vertical="center"/>
      <protection hidden="1"/>
    </xf>
    <xf numFmtId="0" fontId="22" fillId="0" borderId="1" xfId="1" applyFont="1" applyBorder="1" applyAlignment="1" applyProtection="1">
      <alignment horizontal="center" vertical="center"/>
      <protection hidden="1"/>
    </xf>
    <xf numFmtId="0" fontId="22" fillId="0" borderId="7" xfId="1" applyFont="1" applyBorder="1" applyAlignment="1" applyProtection="1">
      <alignment horizontal="center" vertical="center"/>
      <protection hidden="1"/>
    </xf>
    <xf numFmtId="0" fontId="22" fillId="0" borderId="0" xfId="1" applyFont="1" applyAlignment="1" applyProtection="1">
      <alignment horizontal="center" vertical="center"/>
      <protection hidden="1"/>
    </xf>
    <xf numFmtId="0" fontId="22" fillId="0" borderId="6" xfId="1" applyFont="1" applyBorder="1" applyAlignment="1" applyProtection="1">
      <alignment horizontal="center" vertical="center"/>
      <protection hidden="1"/>
    </xf>
    <xf numFmtId="0" fontId="17" fillId="0" borderId="5" xfId="1" applyFont="1" applyBorder="1" applyAlignment="1" applyProtection="1">
      <alignment horizontal="center" vertical="center" wrapText="1"/>
      <protection locked="0"/>
    </xf>
    <xf numFmtId="0" fontId="17" fillId="0" borderId="4" xfId="1" applyFont="1" applyBorder="1" applyAlignment="1" applyProtection="1">
      <alignment horizontal="center" vertical="center" wrapText="1"/>
      <protection locked="0"/>
    </xf>
    <xf numFmtId="0" fontId="15" fillId="0" borderId="4" xfId="1" applyFont="1" applyBorder="1" applyAlignment="1" applyProtection="1">
      <alignment horizontal="center" vertical="center" wrapText="1"/>
      <protection locked="0"/>
    </xf>
    <xf numFmtId="0" fontId="15" fillId="0" borderId="3" xfId="1" applyFont="1" applyBorder="1" applyAlignment="1" applyProtection="1">
      <alignment horizontal="center" vertical="center" wrapText="1"/>
      <protection locked="0"/>
    </xf>
    <xf numFmtId="0" fontId="17" fillId="0" borderId="18" xfId="1" applyFont="1" applyBorder="1" applyAlignment="1" applyProtection="1">
      <alignment horizontal="center" vertical="center" wrapText="1"/>
      <protection locked="0"/>
    </xf>
    <xf numFmtId="0" fontId="17" fillId="0" borderId="11" xfId="1" applyFont="1" applyBorder="1" applyAlignment="1" applyProtection="1">
      <alignment horizontal="center" vertical="center" wrapText="1"/>
      <protection locked="0"/>
    </xf>
    <xf numFmtId="0" fontId="15" fillId="0" borderId="11" xfId="1" applyFont="1" applyBorder="1" applyAlignment="1" applyProtection="1">
      <alignment horizontal="center" vertical="center" wrapText="1"/>
      <protection locked="0"/>
    </xf>
    <xf numFmtId="0" fontId="15" fillId="0" borderId="19" xfId="1" applyFont="1" applyBorder="1" applyAlignment="1" applyProtection="1">
      <alignment horizontal="center" vertical="center" wrapText="1"/>
      <protection locked="0"/>
    </xf>
    <xf numFmtId="0" fontId="22" fillId="0" borderId="32" xfId="1" applyFont="1" applyBorder="1" applyAlignment="1" applyProtection="1">
      <alignment horizontal="center" vertical="center"/>
      <protection hidden="1"/>
    </xf>
    <xf numFmtId="0" fontId="22" fillId="0" borderId="31" xfId="1" applyFont="1" applyBorder="1" applyAlignment="1" applyProtection="1">
      <alignment horizontal="center" vertical="center"/>
      <protection hidden="1"/>
    </xf>
    <xf numFmtId="0" fontId="22" fillId="0" borderId="30" xfId="1" applyFont="1" applyBorder="1" applyAlignment="1" applyProtection="1">
      <alignment horizontal="center" vertical="center"/>
      <protection hidden="1"/>
    </xf>
    <xf numFmtId="0" fontId="17" fillId="0" borderId="18" xfId="1" applyFont="1" applyBorder="1" applyAlignment="1" applyProtection="1">
      <alignment horizontal="center" vertical="center" wrapText="1"/>
      <protection hidden="1"/>
    </xf>
    <xf numFmtId="0" fontId="17" fillId="0" borderId="11" xfId="1" applyFont="1" applyBorder="1" applyAlignment="1" applyProtection="1">
      <alignment horizontal="center" vertical="center" wrapText="1"/>
      <protection hidden="1"/>
    </xf>
    <xf numFmtId="0" fontId="18" fillId="0" borderId="11" xfId="1" applyFont="1" applyBorder="1" applyAlignment="1" applyProtection="1">
      <alignment horizontal="center" vertical="center" wrapText="1"/>
      <protection hidden="1"/>
    </xf>
    <xf numFmtId="0" fontId="17" fillId="0" borderId="4" xfId="1" applyFont="1" applyBorder="1" applyAlignment="1" applyProtection="1">
      <alignment vertical="center"/>
      <protection hidden="1"/>
    </xf>
    <xf numFmtId="0" fontId="17" fillId="0" borderId="10" xfId="1" applyFont="1" applyBorder="1" applyAlignment="1" applyProtection="1">
      <alignment vertical="center"/>
      <protection hidden="1"/>
    </xf>
    <xf numFmtId="0" fontId="23" fillId="0" borderId="10" xfId="1" applyFont="1" applyBorder="1" applyAlignment="1" applyProtection="1">
      <alignment vertical="center"/>
      <protection hidden="1"/>
    </xf>
    <xf numFmtId="0" fontId="20" fillId="0" borderId="10" xfId="1" applyFont="1" applyBorder="1" applyAlignment="1" applyProtection="1">
      <alignment vertical="center"/>
      <protection hidden="1"/>
    </xf>
    <xf numFmtId="0" fontId="21" fillId="0" borderId="9" xfId="1" applyFont="1" applyBorder="1" applyAlignment="1" applyProtection="1">
      <alignment horizontal="center" vertical="center"/>
      <protection hidden="1"/>
    </xf>
    <xf numFmtId="0" fontId="24" fillId="0" borderId="0" xfId="1" applyFont="1" applyAlignment="1" applyProtection="1">
      <alignment vertical="center"/>
      <protection hidden="1"/>
    </xf>
    <xf numFmtId="0" fontId="24" fillId="0" borderId="0" xfId="1" applyFont="1" applyAlignment="1" applyProtection="1">
      <alignment horizontal="center" vertical="center"/>
      <protection hidden="1"/>
    </xf>
    <xf numFmtId="0" fontId="17" fillId="0" borderId="8" xfId="1" applyFont="1" applyBorder="1" applyAlignment="1" applyProtection="1">
      <alignment vertical="center"/>
      <protection hidden="1"/>
    </xf>
    <xf numFmtId="0" fontId="17" fillId="0" borderId="2" xfId="1" applyFont="1" applyBorder="1" applyAlignment="1" applyProtection="1">
      <alignment vertical="center"/>
      <protection hidden="1"/>
    </xf>
    <xf numFmtId="0" fontId="24" fillId="0" borderId="2" xfId="1" applyFont="1" applyBorder="1" applyAlignment="1" applyProtection="1">
      <alignment vertical="center"/>
      <protection hidden="1"/>
    </xf>
    <xf numFmtId="0" fontId="24" fillId="0" borderId="1" xfId="1" applyFont="1" applyBorder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vertical="center"/>
      <protection hidden="1"/>
    </xf>
    <xf numFmtId="0" fontId="17" fillId="0" borderId="0" xfId="1" applyFont="1" applyAlignment="1">
      <alignment vertical="center"/>
    </xf>
    <xf numFmtId="2" fontId="17" fillId="0" borderId="0" xfId="1" applyNumberFormat="1" applyFont="1" applyAlignment="1">
      <alignment vertical="center"/>
    </xf>
    <xf numFmtId="165" fontId="17" fillId="0" borderId="0" xfId="1" applyNumberFormat="1" applyFont="1" applyAlignment="1">
      <alignment vertical="center"/>
    </xf>
    <xf numFmtId="0" fontId="17" fillId="0" borderId="15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17" fillId="0" borderId="35" xfId="1" applyFont="1" applyBorder="1" applyAlignment="1">
      <alignment horizontal="center" vertical="center"/>
    </xf>
    <xf numFmtId="0" fontId="15" fillId="0" borderId="29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165" fontId="15" fillId="0" borderId="17" xfId="1" applyNumberFormat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33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165" fontId="15" fillId="0" borderId="13" xfId="1" applyNumberFormat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7" fillId="0" borderId="8" xfId="1" applyFont="1" applyBorder="1" applyAlignment="1" applyProtection="1">
      <alignment horizontal="center" vertical="center" wrapText="1"/>
      <protection hidden="1"/>
    </xf>
    <xf numFmtId="0" fontId="17" fillId="0" borderId="2" xfId="1" applyFont="1" applyBorder="1" applyAlignment="1" applyProtection="1">
      <alignment horizontal="center" vertical="center" wrapText="1"/>
      <protection hidden="1"/>
    </xf>
    <xf numFmtId="0" fontId="17" fillId="0" borderId="1" xfId="1" applyFont="1" applyBorder="1" applyAlignment="1" applyProtection="1">
      <alignment horizontal="center" vertical="center" wrapText="1"/>
      <protection hidden="1"/>
    </xf>
    <xf numFmtId="0" fontId="24" fillId="0" borderId="24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/>
    </xf>
    <xf numFmtId="0" fontId="24" fillId="0" borderId="28" xfId="1" applyFont="1" applyBorder="1" applyAlignment="1">
      <alignment horizontal="center" vertical="center" wrapText="1"/>
    </xf>
    <xf numFmtId="0" fontId="17" fillId="0" borderId="7" xfId="1" applyFont="1" applyBorder="1" applyAlignment="1" applyProtection="1">
      <alignment horizontal="center" vertical="center" wrapText="1"/>
      <protection hidden="1"/>
    </xf>
    <xf numFmtId="0" fontId="17" fillId="0" borderId="0" xfId="1" applyFont="1" applyAlignment="1" applyProtection="1">
      <alignment horizontal="center" vertical="center" wrapText="1"/>
      <protection hidden="1"/>
    </xf>
    <xf numFmtId="0" fontId="17" fillId="0" borderId="6" xfId="1" applyFont="1" applyBorder="1" applyAlignment="1" applyProtection="1">
      <alignment horizontal="center" vertical="center" wrapText="1"/>
      <protection hidden="1"/>
    </xf>
    <xf numFmtId="0" fontId="24" fillId="0" borderId="23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24" fillId="0" borderId="27" xfId="1" applyFont="1" applyBorder="1" applyAlignment="1">
      <alignment horizontal="center" vertical="center" wrapText="1"/>
    </xf>
    <xf numFmtId="0" fontId="17" fillId="0" borderId="5" xfId="1" applyFont="1" applyBorder="1" applyAlignment="1" applyProtection="1">
      <alignment horizontal="center" vertical="center" wrapText="1"/>
      <protection hidden="1"/>
    </xf>
    <xf numFmtId="0" fontId="17" fillId="0" borderId="4" xfId="1" applyFont="1" applyBorder="1" applyAlignment="1" applyProtection="1">
      <alignment horizontal="center" vertical="center" wrapText="1"/>
      <protection hidden="1"/>
    </xf>
    <xf numFmtId="0" fontId="17" fillId="0" borderId="3" xfId="1" applyFont="1" applyBorder="1" applyAlignment="1" applyProtection="1">
      <alignment horizontal="center" vertical="center" wrapText="1"/>
      <protection hidden="1"/>
    </xf>
    <xf numFmtId="0" fontId="24" fillId="0" borderId="22" xfId="1" applyFont="1" applyBorder="1" applyAlignment="1">
      <alignment horizontal="center" vertical="center" wrapText="1"/>
    </xf>
    <xf numFmtId="0" fontId="24" fillId="0" borderId="20" xfId="1" applyFont="1" applyBorder="1" applyAlignment="1">
      <alignment horizontal="center" vertical="center" wrapText="1"/>
    </xf>
    <xf numFmtId="0" fontId="24" fillId="0" borderId="20" xfId="1" applyFont="1" applyBorder="1" applyAlignment="1">
      <alignment horizontal="center" vertical="center"/>
    </xf>
    <xf numFmtId="0" fontId="24" fillId="0" borderId="26" xfId="1" applyFont="1" applyBorder="1" applyAlignment="1">
      <alignment horizontal="center" vertical="center" wrapText="1"/>
    </xf>
    <xf numFmtId="0" fontId="17" fillId="0" borderId="0" xfId="1" applyFont="1"/>
    <xf numFmtId="0" fontId="24" fillId="0" borderId="0" xfId="1" applyFont="1"/>
    <xf numFmtId="0" fontId="24" fillId="0" borderId="0" xfId="1" applyFont="1" applyAlignment="1">
      <alignment horizontal="center"/>
    </xf>
    <xf numFmtId="0" fontId="24" fillId="0" borderId="0" xfId="1" applyFont="1" applyAlignment="1">
      <alignment horizontal="right"/>
    </xf>
    <xf numFmtId="0" fontId="24" fillId="0" borderId="0" xfId="1" applyFont="1" applyAlignment="1">
      <alignment horizontal="right" wrapText="1"/>
    </xf>
    <xf numFmtId="0" fontId="24" fillId="0" borderId="8" xfId="1" applyFont="1" applyBorder="1" applyAlignment="1">
      <alignment horizontal="left" vertical="center"/>
    </xf>
    <xf numFmtId="0" fontId="24" fillId="0" borderId="2" xfId="1" applyFont="1" applyBorder="1" applyAlignment="1">
      <alignment horizontal="left" vertical="center"/>
    </xf>
    <xf numFmtId="0" fontId="24" fillId="0" borderId="2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165" fontId="24" fillId="0" borderId="2" xfId="1" applyNumberFormat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24" fillId="0" borderId="7" xfId="1" applyFont="1" applyBorder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24" fillId="0" borderId="6" xfId="1" applyFont="1" applyBorder="1" applyAlignment="1">
      <alignment horizontal="center" vertical="center"/>
    </xf>
    <xf numFmtId="165" fontId="24" fillId="0" borderId="0" xfId="1" applyNumberFormat="1" applyFont="1" applyAlignment="1">
      <alignment horizontal="center" vertical="center"/>
    </xf>
    <xf numFmtId="0" fontId="24" fillId="0" borderId="6" xfId="1" applyFont="1" applyBorder="1" applyAlignment="1">
      <alignment horizontal="center" vertical="center" wrapText="1"/>
    </xf>
    <xf numFmtId="0" fontId="24" fillId="0" borderId="5" xfId="1" applyFont="1" applyBorder="1" applyAlignment="1">
      <alignment horizontal="left" vertical="center"/>
    </xf>
    <xf numFmtId="0" fontId="24" fillId="0" borderId="4" xfId="1" applyFont="1" applyBorder="1" applyAlignment="1">
      <alignment horizontal="left" vertical="center"/>
    </xf>
    <xf numFmtId="0" fontId="24" fillId="0" borderId="4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165" fontId="24" fillId="0" borderId="4" xfId="1" applyNumberFormat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17" fillId="0" borderId="5" xfId="1" applyFont="1" applyBorder="1" applyAlignment="1" applyProtection="1">
      <alignment vertical="center"/>
      <protection hidden="1"/>
    </xf>
    <xf numFmtId="0" fontId="23" fillId="0" borderId="4" xfId="1" applyFont="1" applyBorder="1" applyAlignment="1" applyProtection="1">
      <alignment vertical="center"/>
      <protection hidden="1"/>
    </xf>
    <xf numFmtId="0" fontId="23" fillId="0" borderId="4" xfId="1" applyFont="1" applyBorder="1" applyAlignment="1" applyProtection="1">
      <alignment horizontal="center" vertical="center"/>
      <protection hidden="1"/>
    </xf>
    <xf numFmtId="0" fontId="20" fillId="0" borderId="4" xfId="1" applyFont="1" applyBorder="1" applyAlignment="1" applyProtection="1">
      <alignment vertical="center"/>
      <protection hidden="1"/>
    </xf>
    <xf numFmtId="0" fontId="21" fillId="0" borderId="3" xfId="1" applyFont="1" applyBorder="1" applyAlignment="1" applyProtection="1">
      <alignment horizontal="center" vertical="center"/>
      <protection hidden="1"/>
    </xf>
    <xf numFmtId="0" fontId="17" fillId="0" borderId="0" xfId="1" applyFont="1" applyAlignment="1" applyProtection="1">
      <alignment horizontal="left" vertical="center"/>
      <protection hidden="1"/>
    </xf>
    <xf numFmtId="0" fontId="17" fillId="0" borderId="8" xfId="1" applyFont="1" applyBorder="1" applyProtection="1">
      <protection hidden="1"/>
    </xf>
    <xf numFmtId="0" fontId="17" fillId="0" borderId="2" xfId="1" applyFont="1" applyBorder="1" applyProtection="1">
      <protection hidden="1"/>
    </xf>
    <xf numFmtId="0" fontId="17" fillId="0" borderId="1" xfId="1" applyFont="1" applyBorder="1" applyProtection="1">
      <protection hidden="1"/>
    </xf>
    <xf numFmtId="0" fontId="19" fillId="0" borderId="7" xfId="1" applyFont="1" applyBorder="1" applyAlignment="1" applyProtection="1">
      <alignment horizontal="left"/>
      <protection hidden="1"/>
    </xf>
    <xf numFmtId="0" fontId="15" fillId="0" borderId="0" xfId="1" applyFont="1" applyAlignment="1" applyProtection="1">
      <alignment horizontal="left"/>
      <protection locked="0"/>
    </xf>
    <xf numFmtId="0" fontId="15" fillId="0" borderId="0" xfId="1" applyFont="1" applyAlignment="1" applyProtection="1">
      <alignment horizontal="left"/>
      <protection hidden="1"/>
    </xf>
    <xf numFmtId="0" fontId="15" fillId="0" borderId="6" xfId="1" applyFont="1" applyBorder="1" applyProtection="1">
      <protection hidden="1"/>
    </xf>
    <xf numFmtId="0" fontId="17" fillId="0" borderId="7" xfId="1" applyFont="1" applyBorder="1" applyProtection="1">
      <protection hidden="1"/>
    </xf>
    <xf numFmtId="0" fontId="15" fillId="0" borderId="0" xfId="1" applyFont="1" applyProtection="1">
      <protection hidden="1"/>
    </xf>
    <xf numFmtId="0" fontId="22" fillId="0" borderId="0" xfId="1" applyFont="1" applyProtection="1">
      <protection hidden="1"/>
    </xf>
    <xf numFmtId="0" fontId="17" fillId="0" borderId="5" xfId="1" applyFont="1" applyBorder="1" applyProtection="1">
      <protection hidden="1"/>
    </xf>
    <xf numFmtId="0" fontId="17" fillId="0" borderId="4" xfId="1" applyFont="1" applyBorder="1" applyProtection="1">
      <protection hidden="1"/>
    </xf>
    <xf numFmtId="0" fontId="15" fillId="0" borderId="4" xfId="1" applyFont="1" applyBorder="1" applyProtection="1">
      <protection hidden="1"/>
    </xf>
    <xf numFmtId="0" fontId="18" fillId="0" borderId="4" xfId="1" applyFont="1" applyBorder="1" applyProtection="1"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14" fontId="22" fillId="0" borderId="0" xfId="1" applyNumberFormat="1" applyFont="1" applyAlignment="1" applyProtection="1">
      <alignment horizontal="center"/>
      <protection hidden="1"/>
    </xf>
    <xf numFmtId="0" fontId="18" fillId="0" borderId="0" xfId="1" applyFont="1" applyAlignment="1" applyProtection="1">
      <alignment horizontal="right"/>
      <protection hidden="1"/>
    </xf>
    <xf numFmtId="0" fontId="20" fillId="0" borderId="0" xfId="1" applyFont="1" applyAlignment="1" applyProtection="1">
      <alignment horizontal="right"/>
      <protection hidden="1"/>
    </xf>
    <xf numFmtId="0" fontId="17" fillId="0" borderId="2" xfId="1" applyFont="1" applyBorder="1" applyAlignment="1" applyProtection="1">
      <alignment horizontal="left" vertical="center"/>
      <protection hidden="1"/>
    </xf>
    <xf numFmtId="0" fontId="19" fillId="0" borderId="7" xfId="1" applyFont="1" applyBorder="1" applyAlignment="1" applyProtection="1">
      <alignment horizontal="left" vertical="center"/>
      <protection hidden="1"/>
    </xf>
    <xf numFmtId="0" fontId="15" fillId="0" borderId="0" xfId="1" applyFont="1" applyAlignment="1" applyProtection="1">
      <alignment horizontal="left" vertical="center"/>
      <protection locked="0"/>
    </xf>
    <xf numFmtId="0" fontId="15" fillId="0" borderId="0" xfId="1" applyFont="1" applyAlignment="1" applyProtection="1">
      <alignment horizontal="left" vertical="center"/>
      <protection hidden="1"/>
    </xf>
    <xf numFmtId="14" fontId="15" fillId="0" borderId="0" xfId="1" applyNumberFormat="1" applyFont="1" applyAlignment="1" applyProtection="1">
      <alignment horizontal="left" vertical="center"/>
      <protection locked="0"/>
    </xf>
    <xf numFmtId="0" fontId="17" fillId="0" borderId="4" xfId="1" applyFont="1" applyBorder="1" applyAlignment="1" applyProtection="1">
      <alignment horizontal="center" vertical="center"/>
      <protection hidden="1"/>
    </xf>
    <xf numFmtId="0" fontId="15" fillId="0" borderId="4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19" fillId="0" borderId="11" xfId="1" applyFont="1" applyBorder="1" applyAlignment="1" applyProtection="1">
      <alignment horizontal="center" vertical="center"/>
      <protection hidden="1"/>
    </xf>
    <xf numFmtId="0" fontId="22" fillId="0" borderId="11" xfId="1" applyFont="1" applyBorder="1" applyAlignment="1" applyProtection="1">
      <alignment horizontal="center" vertical="center"/>
      <protection hidden="1"/>
    </xf>
    <xf numFmtId="0" fontId="26" fillId="0" borderId="8" xfId="1" applyFont="1" applyBorder="1" applyAlignment="1" applyProtection="1">
      <alignment horizontal="center" vertical="center" wrapText="1"/>
      <protection locked="0"/>
    </xf>
    <xf numFmtId="0" fontId="26" fillId="0" borderId="2" xfId="1" applyFont="1" applyBorder="1" applyAlignment="1" applyProtection="1">
      <alignment horizontal="center" vertical="center" wrapText="1"/>
      <protection locked="0"/>
    </xf>
    <xf numFmtId="0" fontId="26" fillId="0" borderId="1" xfId="1" applyFont="1" applyBorder="1" applyAlignment="1" applyProtection="1">
      <alignment horizontal="center" vertical="center" wrapText="1"/>
      <protection locked="0"/>
    </xf>
    <xf numFmtId="0" fontId="27" fillId="0" borderId="8" xfId="1" applyFont="1" applyBorder="1" applyAlignment="1" applyProtection="1">
      <alignment horizontal="center" vertical="center"/>
      <protection hidden="1"/>
    </xf>
    <xf numFmtId="0" fontId="27" fillId="0" borderId="2" xfId="1" applyFont="1" applyBorder="1" applyAlignment="1" applyProtection="1">
      <alignment horizontal="center" vertical="center"/>
      <protection hidden="1"/>
    </xf>
    <xf numFmtId="0" fontId="17" fillId="0" borderId="1" xfId="1" applyFont="1" applyBorder="1" applyAlignment="1" applyProtection="1">
      <alignment vertical="center"/>
      <protection hidden="1"/>
    </xf>
    <xf numFmtId="0" fontId="26" fillId="0" borderId="7" xfId="1" applyFont="1" applyBorder="1" applyAlignment="1" applyProtection="1">
      <alignment horizontal="center" vertical="center" wrapText="1"/>
      <protection locked="0"/>
    </xf>
    <xf numFmtId="0" fontId="26" fillId="0" borderId="0" xfId="1" applyFont="1" applyAlignment="1" applyProtection="1">
      <alignment horizontal="center" vertical="center" wrapText="1"/>
      <protection locked="0"/>
    </xf>
    <xf numFmtId="0" fontId="26" fillId="0" borderId="6" xfId="1" applyFont="1" applyBorder="1" applyAlignment="1" applyProtection="1">
      <alignment horizontal="center" vertical="center" wrapText="1"/>
      <protection locked="0"/>
    </xf>
    <xf numFmtId="14" fontId="22" fillId="0" borderId="7" xfId="1" applyNumberFormat="1" applyFont="1" applyBorder="1" applyAlignment="1" applyProtection="1">
      <alignment horizontal="center" vertical="center"/>
      <protection locked="0"/>
    </xf>
    <xf numFmtId="14" fontId="22" fillId="0" borderId="0" xfId="1" applyNumberFormat="1" applyFont="1" applyAlignment="1" applyProtection="1">
      <alignment horizontal="center" vertical="center"/>
      <protection locked="0"/>
    </xf>
    <xf numFmtId="14" fontId="22" fillId="0" borderId="6" xfId="1" applyNumberFormat="1" applyFont="1" applyBorder="1" applyAlignment="1" applyProtection="1">
      <alignment horizontal="center" vertical="center"/>
      <protection locked="0"/>
    </xf>
    <xf numFmtId="0" fontId="22" fillId="0" borderId="7" xfId="1" applyFont="1" applyBorder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0" fontId="22" fillId="0" borderId="6" xfId="1" applyFont="1" applyBorder="1" applyAlignment="1" applyProtection="1">
      <alignment horizontal="center" vertical="center"/>
      <protection locked="0"/>
    </xf>
    <xf numFmtId="166" fontId="22" fillId="0" borderId="7" xfId="1" applyNumberFormat="1" applyFont="1" applyBorder="1" applyAlignment="1" applyProtection="1">
      <alignment horizontal="center" vertical="center"/>
      <protection locked="0"/>
    </xf>
    <xf numFmtId="166" fontId="22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right" vertical="center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21" fillId="0" borderId="6" xfId="1" applyFont="1" applyBorder="1" applyAlignment="1" applyProtection="1">
      <alignment horizontal="center" vertical="center" wrapText="1"/>
      <protection hidden="1"/>
    </xf>
    <xf numFmtId="0" fontId="26" fillId="0" borderId="7" xfId="1" applyFont="1" applyBorder="1" applyAlignment="1" applyProtection="1">
      <alignment horizontal="center" vertical="center" wrapText="1"/>
      <protection hidden="1"/>
    </xf>
    <xf numFmtId="0" fontId="26" fillId="0" borderId="0" xfId="1" applyFont="1" applyAlignment="1" applyProtection="1">
      <alignment horizontal="center" vertical="center" wrapText="1"/>
      <protection hidden="1"/>
    </xf>
    <xf numFmtId="0" fontId="26" fillId="0" borderId="6" xfId="1" applyFont="1" applyBorder="1" applyAlignment="1" applyProtection="1">
      <alignment horizontal="center" vertical="center" wrapText="1"/>
      <protection hidden="1"/>
    </xf>
    <xf numFmtId="0" fontId="26" fillId="0" borderId="5" xfId="1" applyFont="1" applyBorder="1" applyAlignment="1" applyProtection="1">
      <alignment horizontal="center" vertical="center" wrapText="1"/>
      <protection locked="0"/>
    </xf>
    <xf numFmtId="0" fontId="26" fillId="0" borderId="4" xfId="1" applyFont="1" applyBorder="1" applyAlignment="1" applyProtection="1">
      <alignment horizontal="center" vertical="center" wrapText="1"/>
      <protection locked="0"/>
    </xf>
    <xf numFmtId="0" fontId="26" fillId="0" borderId="3" xfId="1" applyFont="1" applyBorder="1" applyAlignment="1" applyProtection="1">
      <alignment horizontal="center" vertical="center" wrapText="1"/>
      <protection locked="0"/>
    </xf>
    <xf numFmtId="0" fontId="24" fillId="0" borderId="5" xfId="1" applyFont="1" applyBorder="1" applyAlignment="1" applyProtection="1">
      <alignment horizontal="center" vertical="center"/>
      <protection hidden="1"/>
    </xf>
    <xf numFmtId="0" fontId="24" fillId="0" borderId="4" xfId="1" applyFont="1" applyBorder="1" applyAlignment="1" applyProtection="1">
      <alignment horizontal="center" vertical="center"/>
      <protection hidden="1"/>
    </xf>
    <xf numFmtId="0" fontId="24" fillId="0" borderId="3" xfId="1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F9A38DF9-BE58-42AC-A41B-151EA993678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835585F-FCEE-4466-AC4D-96A775FD3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" y="33528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12C0AD9-2569-45EB-B8FA-7C4458419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" y="33528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ECFC26D-A037-479E-AFB4-EBDD74437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FB6B-E006-459C-B041-B691B27EB821}">
  <sheetPr>
    <pageSetUpPr fitToPage="1"/>
  </sheetPr>
  <dimension ref="A1:AF55"/>
  <sheetViews>
    <sheetView tabSelected="1" topLeftCell="A34" workbookViewId="0">
      <selection activeCell="K38" sqref="K38:M38"/>
    </sheetView>
  </sheetViews>
  <sheetFormatPr baseColWidth="10" defaultColWidth="11.44140625" defaultRowHeight="12.75" customHeight="1" x14ac:dyDescent="0.25"/>
  <cols>
    <col min="1" max="1" width="5.109375" style="214" customWidth="1"/>
    <col min="2" max="26" width="5.109375" style="213" customWidth="1"/>
    <col min="27" max="27" width="20" style="213" customWidth="1"/>
    <col min="28" max="28" width="28.109375" style="213" customWidth="1"/>
    <col min="29" max="29" width="22.88671875" style="213" customWidth="1"/>
    <col min="30" max="30" width="29.33203125" style="213" customWidth="1"/>
    <col min="31" max="31" width="11.44140625" style="213"/>
    <col min="32" max="16384" width="11.44140625" style="212"/>
  </cols>
  <sheetData>
    <row r="1" spans="1:32" ht="12.75" customHeight="1" x14ac:dyDescent="0.25">
      <c r="A1" s="321"/>
      <c r="B1" s="320"/>
      <c r="C1" s="320"/>
      <c r="D1" s="320"/>
      <c r="E1" s="320"/>
      <c r="F1" s="319"/>
      <c r="G1" s="412" t="s">
        <v>0</v>
      </c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0"/>
      <c r="U1" s="409" t="s">
        <v>68</v>
      </c>
      <c r="V1" s="408"/>
      <c r="W1" s="408"/>
      <c r="X1" s="408"/>
      <c r="Y1" s="408"/>
      <c r="Z1" s="407"/>
    </row>
    <row r="2" spans="1:32" ht="12.75" customHeight="1" x14ac:dyDescent="0.3">
      <c r="A2" s="314"/>
      <c r="B2" s="313"/>
      <c r="C2" s="313"/>
      <c r="D2" s="313"/>
      <c r="E2" s="313"/>
      <c r="F2" s="312"/>
      <c r="G2" s="406" t="s">
        <v>1</v>
      </c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4"/>
      <c r="U2" s="392"/>
      <c r="V2" s="391"/>
      <c r="W2" s="391"/>
      <c r="X2" s="391"/>
      <c r="Y2" s="391"/>
      <c r="Z2" s="390"/>
      <c r="AA2" s="251"/>
      <c r="AB2" s="251"/>
    </row>
    <row r="3" spans="1:32" ht="12.75" customHeight="1" x14ac:dyDescent="0.3">
      <c r="A3" s="314"/>
      <c r="B3" s="313"/>
      <c r="C3" s="313"/>
      <c r="D3" s="313"/>
      <c r="E3" s="313"/>
      <c r="F3" s="312"/>
      <c r="G3" s="406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4"/>
      <c r="U3" s="392"/>
      <c r="V3" s="391"/>
      <c r="W3" s="391"/>
      <c r="X3" s="391"/>
      <c r="Y3" s="391"/>
      <c r="Z3" s="390"/>
      <c r="AA3" s="251"/>
      <c r="AB3" s="251"/>
    </row>
    <row r="4" spans="1:32" ht="12.75" customHeight="1" x14ac:dyDescent="0.3">
      <c r="A4" s="314"/>
      <c r="B4" s="313"/>
      <c r="C4" s="313"/>
      <c r="D4" s="313"/>
      <c r="E4" s="313"/>
      <c r="F4" s="312"/>
      <c r="G4" s="406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5"/>
      <c r="T4" s="404"/>
      <c r="U4" s="392"/>
      <c r="V4" s="391"/>
      <c r="W4" s="391"/>
      <c r="X4" s="391"/>
      <c r="Y4" s="391"/>
      <c r="Z4" s="390"/>
      <c r="AA4" s="251"/>
      <c r="AB4" s="251"/>
    </row>
    <row r="5" spans="1:32" ht="12.75" customHeight="1" x14ac:dyDescent="0.3">
      <c r="A5" s="314"/>
      <c r="B5" s="313"/>
      <c r="C5" s="313"/>
      <c r="D5" s="313"/>
      <c r="E5" s="313"/>
      <c r="F5" s="312"/>
      <c r="G5" s="403"/>
      <c r="H5" s="402"/>
      <c r="I5" s="401" t="s">
        <v>2</v>
      </c>
      <c r="J5" s="400">
        <v>4</v>
      </c>
      <c r="K5" s="399"/>
      <c r="L5" s="398" t="s">
        <v>67</v>
      </c>
      <c r="M5" s="397"/>
      <c r="N5" s="397"/>
      <c r="O5" s="396"/>
      <c r="P5" s="395" t="s">
        <v>64</v>
      </c>
      <c r="Q5" s="394"/>
      <c r="R5" s="394"/>
      <c r="S5" s="394"/>
      <c r="T5" s="393"/>
      <c r="U5" s="392"/>
      <c r="V5" s="391"/>
      <c r="W5" s="391"/>
      <c r="X5" s="391"/>
      <c r="Y5" s="391"/>
      <c r="Z5" s="390"/>
      <c r="AA5" s="251"/>
      <c r="AB5" s="251"/>
    </row>
    <row r="6" spans="1:32" ht="12.75" customHeight="1" x14ac:dyDescent="0.25">
      <c r="A6" s="307"/>
      <c r="B6" s="306"/>
      <c r="C6" s="306"/>
      <c r="D6" s="306"/>
      <c r="E6" s="306"/>
      <c r="F6" s="305"/>
      <c r="G6" s="389"/>
      <c r="H6" s="283"/>
      <c r="I6" s="283"/>
      <c r="J6" s="388" t="s">
        <v>5</v>
      </c>
      <c r="K6" s="388"/>
      <c r="L6" s="388" t="s">
        <v>6</v>
      </c>
      <c r="M6" s="388"/>
      <c r="N6" s="388"/>
      <c r="O6" s="388"/>
      <c r="P6" s="388" t="s">
        <v>7</v>
      </c>
      <c r="Q6" s="388"/>
      <c r="R6" s="388"/>
      <c r="S6" s="388"/>
      <c r="T6" s="387"/>
      <c r="U6" s="386"/>
      <c r="V6" s="385"/>
      <c r="W6" s="385"/>
      <c r="X6" s="385"/>
      <c r="Y6" s="385"/>
      <c r="Z6" s="384"/>
    </row>
    <row r="7" spans="1:32" ht="37.5" customHeight="1" x14ac:dyDescent="0.25">
      <c r="A7" s="383" t="s">
        <v>8</v>
      </c>
      <c r="B7" s="383"/>
      <c r="C7" s="383"/>
      <c r="D7" s="383"/>
      <c r="E7" s="383"/>
      <c r="F7" s="383"/>
      <c r="G7" s="382" t="s">
        <v>66</v>
      </c>
      <c r="H7" s="382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2"/>
      <c r="U7" s="382"/>
      <c r="V7" s="382"/>
      <c r="W7" s="382"/>
      <c r="X7" s="382"/>
      <c r="Y7" s="382"/>
      <c r="Z7" s="382"/>
    </row>
    <row r="8" spans="1:32" ht="15.9" customHeight="1" x14ac:dyDescent="0.3">
      <c r="A8" s="370" t="s">
        <v>10</v>
      </c>
      <c r="B8" s="381" t="s">
        <v>11</v>
      </c>
      <c r="C8" s="380"/>
      <c r="D8" s="379"/>
      <c r="E8" s="379"/>
      <c r="F8" s="379"/>
      <c r="G8" s="379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350"/>
      <c r="AB8" s="251"/>
      <c r="AF8" s="251" t="s">
        <v>65</v>
      </c>
    </row>
    <row r="9" spans="1:32" ht="8.25" customHeight="1" x14ac:dyDescent="0.3">
      <c r="A9" s="219"/>
      <c r="D9" s="214"/>
      <c r="E9" s="214"/>
      <c r="F9" s="214"/>
      <c r="G9" s="214"/>
      <c r="Z9" s="286"/>
      <c r="AB9" s="251"/>
      <c r="AF9" s="251" t="s">
        <v>4</v>
      </c>
    </row>
    <row r="10" spans="1:32" ht="15.9" customHeight="1" x14ac:dyDescent="0.3">
      <c r="A10" s="219"/>
      <c r="B10" s="377" t="s">
        <v>14</v>
      </c>
      <c r="C10" s="377"/>
      <c r="D10" s="377"/>
      <c r="E10" s="377"/>
      <c r="F10" s="377"/>
      <c r="G10" s="377"/>
      <c r="H10" s="378" t="s">
        <v>65</v>
      </c>
      <c r="I10" s="378"/>
      <c r="J10" s="378"/>
      <c r="K10" s="378"/>
      <c r="L10" s="378"/>
      <c r="M10" s="378"/>
      <c r="N10" s="377" t="s">
        <v>15</v>
      </c>
      <c r="O10" s="377"/>
      <c r="P10" s="377"/>
      <c r="Q10" s="377"/>
      <c r="R10" s="377"/>
      <c r="S10" s="376" t="s">
        <v>78</v>
      </c>
      <c r="T10" s="376"/>
      <c r="U10" s="376"/>
      <c r="V10" s="376"/>
      <c r="W10" s="376"/>
      <c r="X10" s="376"/>
      <c r="Y10" s="376"/>
      <c r="Z10" s="375"/>
      <c r="AB10" s="251"/>
      <c r="AF10" s="251" t="s">
        <v>64</v>
      </c>
    </row>
    <row r="11" spans="1:32" ht="15.9" customHeight="1" x14ac:dyDescent="0.3">
      <c r="A11" s="219"/>
      <c r="B11" s="377" t="s">
        <v>17</v>
      </c>
      <c r="C11" s="377"/>
      <c r="D11" s="377"/>
      <c r="E11" s="377"/>
      <c r="F11" s="377"/>
      <c r="G11" s="377"/>
      <c r="H11" s="378" t="s">
        <v>4</v>
      </c>
      <c r="I11" s="378"/>
      <c r="J11" s="378"/>
      <c r="K11" s="378"/>
      <c r="L11" s="378"/>
      <c r="M11" s="378"/>
      <c r="N11" s="377" t="s">
        <v>18</v>
      </c>
      <c r="O11" s="377"/>
      <c r="P11" s="377"/>
      <c r="Q11" s="377"/>
      <c r="R11" s="377"/>
      <c r="S11" s="376" t="s">
        <v>79</v>
      </c>
      <c r="T11" s="376"/>
      <c r="U11" s="376"/>
      <c r="V11" s="376"/>
      <c r="W11" s="376"/>
      <c r="X11" s="376"/>
      <c r="Y11" s="376"/>
      <c r="Z11" s="375"/>
      <c r="AB11" s="251"/>
      <c r="AF11" s="251" t="s">
        <v>78</v>
      </c>
    </row>
    <row r="12" spans="1:32" ht="15.9" customHeight="1" x14ac:dyDescent="0.3">
      <c r="A12" s="219"/>
      <c r="B12" s="377" t="s">
        <v>20</v>
      </c>
      <c r="C12" s="377"/>
      <c r="D12" s="377"/>
      <c r="E12" s="377"/>
      <c r="F12" s="377"/>
      <c r="G12" s="377"/>
      <c r="H12" s="378" t="s">
        <v>64</v>
      </c>
      <c r="I12" s="378"/>
      <c r="J12" s="378"/>
      <c r="K12" s="378"/>
      <c r="L12" s="378"/>
      <c r="M12" s="378"/>
      <c r="N12" s="377" t="s">
        <v>21</v>
      </c>
      <c r="O12" s="377"/>
      <c r="P12" s="377"/>
      <c r="Q12" s="377"/>
      <c r="R12" s="377"/>
      <c r="S12" s="376" t="s">
        <v>77</v>
      </c>
      <c r="T12" s="376"/>
      <c r="U12" s="376"/>
      <c r="V12" s="376"/>
      <c r="W12" s="376"/>
      <c r="X12" s="376"/>
      <c r="Y12" s="376"/>
      <c r="Z12" s="375"/>
      <c r="AB12" s="251"/>
      <c r="AF12" s="251" t="s">
        <v>19</v>
      </c>
    </row>
    <row r="13" spans="1:32" ht="8.25" customHeight="1" x14ac:dyDescent="0.3">
      <c r="A13" s="217"/>
      <c r="B13" s="283"/>
      <c r="C13" s="283"/>
      <c r="D13" s="216"/>
      <c r="E13" s="216"/>
      <c r="F13" s="216"/>
      <c r="G13" s="216"/>
      <c r="H13" s="283"/>
      <c r="I13" s="283"/>
      <c r="J13" s="283"/>
      <c r="K13" s="283"/>
      <c r="L13" s="283"/>
      <c r="M13" s="283"/>
      <c r="N13" s="374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2"/>
      <c r="AB13" s="251"/>
      <c r="AF13" s="251" t="s">
        <v>77</v>
      </c>
    </row>
    <row r="14" spans="1:32" s="220" customFormat="1" ht="15" customHeight="1" x14ac:dyDescent="0.25">
      <c r="B14" s="372"/>
      <c r="C14" s="372"/>
      <c r="K14" s="373"/>
      <c r="L14" s="372"/>
      <c r="M14" s="371"/>
    </row>
    <row r="15" spans="1:32" s="220" customFormat="1" ht="13.8" customHeight="1" x14ac:dyDescent="0.25">
      <c r="A15" s="370" t="s">
        <v>23</v>
      </c>
      <c r="B15" s="369" t="s">
        <v>24</v>
      </c>
      <c r="C15" s="368"/>
      <c r="D15" s="368"/>
      <c r="E15" s="368"/>
      <c r="F15" s="368"/>
      <c r="G15" s="368"/>
      <c r="H15" s="368"/>
      <c r="I15" s="367"/>
      <c r="J15" s="367"/>
      <c r="K15" s="367"/>
      <c r="L15" s="367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366"/>
    </row>
    <row r="16" spans="1:32" s="220" customFormat="1" ht="13.8" customHeight="1" x14ac:dyDescent="0.25">
      <c r="A16" s="362"/>
      <c r="B16" s="365"/>
      <c r="C16" s="364"/>
      <c r="D16" s="364"/>
      <c r="E16" s="364"/>
      <c r="F16" s="364"/>
      <c r="G16" s="364"/>
      <c r="H16" s="364"/>
      <c r="Z16" s="363"/>
    </row>
    <row r="17" spans="1:32" s="220" customFormat="1" ht="15" customHeight="1" x14ac:dyDescent="0.25">
      <c r="A17" s="362"/>
      <c r="B17" s="361" t="s">
        <v>25</v>
      </c>
      <c r="C17" s="361"/>
      <c r="D17" s="361"/>
      <c r="E17" s="361"/>
      <c r="F17" s="361"/>
      <c r="G17" s="361"/>
      <c r="H17" s="361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59"/>
    </row>
    <row r="18" spans="1:32" s="220" customFormat="1" ht="15" customHeight="1" x14ac:dyDescent="0.25">
      <c r="A18" s="362"/>
      <c r="B18" s="361" t="s">
        <v>26</v>
      </c>
      <c r="C18" s="361"/>
      <c r="D18" s="361"/>
      <c r="E18" s="361"/>
      <c r="F18" s="361"/>
      <c r="G18" s="361"/>
      <c r="H18" s="361"/>
      <c r="I18" s="211" t="s">
        <v>80</v>
      </c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359"/>
    </row>
    <row r="19" spans="1:32" s="220" customFormat="1" ht="13.2" customHeight="1" x14ac:dyDescent="0.25">
      <c r="A19" s="358"/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6"/>
    </row>
    <row r="20" spans="1:32" ht="12.75" customHeight="1" x14ac:dyDescent="0.25">
      <c r="D20" s="214"/>
      <c r="E20" s="214"/>
      <c r="F20" s="214"/>
      <c r="G20" s="214"/>
      <c r="N20" s="355"/>
    </row>
    <row r="21" spans="1:32" ht="15.9" customHeight="1" x14ac:dyDescent="0.25">
      <c r="A21" s="354" t="s">
        <v>27</v>
      </c>
      <c r="B21" s="353" t="s">
        <v>28</v>
      </c>
      <c r="C21" s="351"/>
      <c r="D21" s="352"/>
      <c r="E21" s="352"/>
      <c r="F21" s="352"/>
      <c r="G21" s="352"/>
      <c r="H21" s="351"/>
      <c r="I21" s="351"/>
      <c r="J21" s="351"/>
      <c r="K21" s="351"/>
      <c r="L21" s="351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350"/>
    </row>
    <row r="22" spans="1:32" ht="12.75" customHeight="1" x14ac:dyDescent="0.25">
      <c r="A22" s="219"/>
      <c r="Z22" s="286"/>
    </row>
    <row r="23" spans="1:32" ht="12.75" customHeight="1" x14ac:dyDescent="0.25">
      <c r="A23" s="219"/>
      <c r="Z23" s="286"/>
    </row>
    <row r="24" spans="1:32" ht="12.75" customHeight="1" x14ac:dyDescent="0.25">
      <c r="A24" s="219"/>
      <c r="B24" s="349" t="s">
        <v>29</v>
      </c>
      <c r="C24" s="345"/>
      <c r="D24" s="345"/>
      <c r="E24" s="345"/>
      <c r="F24" s="345">
        <v>21</v>
      </c>
      <c r="G24" s="345"/>
      <c r="H24" s="345"/>
      <c r="I24" s="345"/>
      <c r="J24" s="344" t="s">
        <v>30</v>
      </c>
      <c r="K24" s="344"/>
      <c r="L24" s="343"/>
      <c r="O24" s="349" t="s">
        <v>31</v>
      </c>
      <c r="P24" s="348"/>
      <c r="Q24" s="348"/>
      <c r="R24" s="348"/>
      <c r="S24" s="345">
        <v>890</v>
      </c>
      <c r="T24" s="345"/>
      <c r="U24" s="345"/>
      <c r="V24" s="345"/>
      <c r="W24" s="344" t="s">
        <v>73</v>
      </c>
      <c r="X24" s="344"/>
      <c r="Y24" s="343"/>
      <c r="Z24" s="286"/>
      <c r="AA24" s="212"/>
    </row>
    <row r="25" spans="1:32" ht="12.75" customHeight="1" x14ac:dyDescent="0.25">
      <c r="A25" s="219"/>
      <c r="B25" s="340"/>
      <c r="C25" s="317"/>
      <c r="D25" s="317"/>
      <c r="E25" s="317"/>
      <c r="F25" s="317"/>
      <c r="G25" s="317"/>
      <c r="H25" s="317"/>
      <c r="I25" s="317"/>
      <c r="J25" s="339"/>
      <c r="K25" s="339"/>
      <c r="L25" s="338"/>
      <c r="O25" s="342"/>
      <c r="P25" s="316"/>
      <c r="Q25" s="316"/>
      <c r="R25" s="316"/>
      <c r="S25" s="317"/>
      <c r="T25" s="317"/>
      <c r="U25" s="317"/>
      <c r="V25" s="317"/>
      <c r="W25" s="339"/>
      <c r="X25" s="339"/>
      <c r="Y25" s="338"/>
      <c r="Z25" s="286"/>
      <c r="AA25" s="212"/>
    </row>
    <row r="26" spans="1:32" ht="12.75" customHeight="1" x14ac:dyDescent="0.25">
      <c r="A26" s="219"/>
      <c r="B26" s="334"/>
      <c r="C26" s="333"/>
      <c r="D26" s="333"/>
      <c r="E26" s="333"/>
      <c r="F26" s="333"/>
      <c r="G26" s="333"/>
      <c r="H26" s="333"/>
      <c r="I26" s="333"/>
      <c r="J26" s="332"/>
      <c r="K26" s="332"/>
      <c r="L26" s="331"/>
      <c r="O26" s="337"/>
      <c r="P26" s="336"/>
      <c r="Q26" s="336"/>
      <c r="R26" s="336"/>
      <c r="S26" s="333"/>
      <c r="T26" s="333"/>
      <c r="U26" s="333"/>
      <c r="V26" s="333"/>
      <c r="W26" s="332"/>
      <c r="X26" s="332"/>
      <c r="Y26" s="331"/>
      <c r="Z26" s="286"/>
      <c r="AA26" s="212"/>
    </row>
    <row r="27" spans="1:32" ht="12.75" customHeight="1" x14ac:dyDescent="0.25">
      <c r="A27" s="219"/>
      <c r="B27" s="349" t="s">
        <v>33</v>
      </c>
      <c r="C27" s="348"/>
      <c r="D27" s="348"/>
      <c r="E27" s="348"/>
      <c r="F27" s="347">
        <f>IF(F24&lt;&gt;"",(997.1*(SUM(AD35:AD55))),"")</f>
        <v>998.09709999999995</v>
      </c>
      <c r="G27" s="347"/>
      <c r="H27" s="347"/>
      <c r="I27" s="347"/>
      <c r="J27" s="344" t="s">
        <v>34</v>
      </c>
      <c r="K27" s="344"/>
      <c r="L27" s="343"/>
      <c r="O27" s="346" t="s">
        <v>35</v>
      </c>
      <c r="P27" s="345"/>
      <c r="Q27" s="345"/>
      <c r="R27" s="345"/>
      <c r="S27" s="345">
        <v>2447</v>
      </c>
      <c r="T27" s="345"/>
      <c r="U27" s="345"/>
      <c r="V27" s="345"/>
      <c r="W27" s="344" t="s">
        <v>34</v>
      </c>
      <c r="X27" s="344"/>
      <c r="Y27" s="343"/>
      <c r="Z27" s="286"/>
      <c r="AA27" s="212"/>
    </row>
    <row r="28" spans="1:32" ht="12.75" customHeight="1" x14ac:dyDescent="0.25">
      <c r="A28" s="219"/>
      <c r="B28" s="342"/>
      <c r="C28" s="316"/>
      <c r="D28" s="316"/>
      <c r="E28" s="316"/>
      <c r="F28" s="341"/>
      <c r="G28" s="341"/>
      <c r="H28" s="341"/>
      <c r="I28" s="341"/>
      <c r="J28" s="339"/>
      <c r="K28" s="339"/>
      <c r="L28" s="338"/>
      <c r="O28" s="340"/>
      <c r="P28" s="317"/>
      <c r="Q28" s="317"/>
      <c r="R28" s="317"/>
      <c r="S28" s="317"/>
      <c r="T28" s="317"/>
      <c r="U28" s="317"/>
      <c r="V28" s="317"/>
      <c r="W28" s="339"/>
      <c r="X28" s="339"/>
      <c r="Y28" s="338"/>
      <c r="Z28" s="286"/>
      <c r="AA28" s="212"/>
    </row>
    <row r="29" spans="1:32" ht="12.75" customHeight="1" x14ac:dyDescent="0.25">
      <c r="A29" s="219"/>
      <c r="B29" s="337"/>
      <c r="C29" s="336"/>
      <c r="D29" s="336"/>
      <c r="E29" s="336"/>
      <c r="F29" s="335"/>
      <c r="G29" s="335"/>
      <c r="H29" s="335"/>
      <c r="I29" s="335"/>
      <c r="J29" s="332"/>
      <c r="K29" s="332"/>
      <c r="L29" s="331"/>
      <c r="O29" s="334"/>
      <c r="P29" s="333"/>
      <c r="Q29" s="333"/>
      <c r="R29" s="333"/>
      <c r="S29" s="333"/>
      <c r="T29" s="333"/>
      <c r="U29" s="333"/>
      <c r="V29" s="333"/>
      <c r="W29" s="332"/>
      <c r="X29" s="332"/>
      <c r="Y29" s="331"/>
      <c r="Z29" s="286"/>
    </row>
    <row r="30" spans="1:32" ht="12.75" customHeight="1" x14ac:dyDescent="0.3">
      <c r="A30" s="219"/>
      <c r="B30" s="330"/>
      <c r="C30" s="328"/>
      <c r="D30" s="327"/>
      <c r="I30" s="326"/>
      <c r="J30" s="326"/>
      <c r="P30" s="328"/>
      <c r="Q30" s="328"/>
      <c r="R30" s="328"/>
      <c r="S30" s="328"/>
      <c r="T30" s="328"/>
      <c r="U30" s="328"/>
      <c r="V30" s="328"/>
      <c r="W30" s="327"/>
      <c r="Z30" s="286"/>
      <c r="AA30" s="251"/>
      <c r="AB30" s="251"/>
      <c r="AC30" s="251"/>
      <c r="AD30" s="251"/>
      <c r="AE30" s="251"/>
      <c r="AF30" s="251"/>
    </row>
    <row r="31" spans="1:32" ht="12.75" customHeight="1" thickBot="1" x14ac:dyDescent="0.3">
      <c r="A31" s="219"/>
      <c r="B31" s="330"/>
      <c r="C31" s="328"/>
      <c r="D31" s="327"/>
      <c r="E31" s="326"/>
      <c r="F31" s="329"/>
      <c r="G31" s="328"/>
      <c r="H31" s="327"/>
      <c r="I31" s="326"/>
      <c r="J31" s="326"/>
      <c r="Z31" s="286"/>
    </row>
    <row r="32" spans="1:32" ht="19.5" customHeight="1" x14ac:dyDescent="0.25">
      <c r="A32" s="219"/>
      <c r="B32" s="325" t="s">
        <v>36</v>
      </c>
      <c r="C32" s="323"/>
      <c r="D32" s="323"/>
      <c r="E32" s="323" t="s">
        <v>37</v>
      </c>
      <c r="F32" s="323"/>
      <c r="G32" s="323"/>
      <c r="H32" s="323" t="s">
        <v>38</v>
      </c>
      <c r="I32" s="323"/>
      <c r="J32" s="323"/>
      <c r="K32" s="323" t="s">
        <v>39</v>
      </c>
      <c r="L32" s="323"/>
      <c r="M32" s="323"/>
      <c r="N32" s="323" t="s">
        <v>72</v>
      </c>
      <c r="O32" s="323"/>
      <c r="P32" s="323"/>
      <c r="Q32" s="323" t="s">
        <v>41</v>
      </c>
      <c r="R32" s="323"/>
      <c r="S32" s="323"/>
      <c r="T32" s="324" t="s">
        <v>42</v>
      </c>
      <c r="U32" s="324"/>
      <c r="V32" s="324"/>
      <c r="W32" s="323" t="s">
        <v>43</v>
      </c>
      <c r="X32" s="323"/>
      <c r="Y32" s="322"/>
      <c r="Z32" s="286"/>
      <c r="AB32" s="321" t="s">
        <v>44</v>
      </c>
      <c r="AC32" s="320" t="s">
        <v>45</v>
      </c>
      <c r="AD32" s="319" t="s">
        <v>46</v>
      </c>
    </row>
    <row r="33" spans="1:30" ht="19.5" customHeight="1" x14ac:dyDescent="0.25">
      <c r="A33" s="219"/>
      <c r="B33" s="318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7"/>
      <c r="U33" s="317"/>
      <c r="V33" s="317"/>
      <c r="W33" s="316"/>
      <c r="X33" s="316"/>
      <c r="Y33" s="315"/>
      <c r="Z33" s="286"/>
      <c r="AB33" s="314"/>
      <c r="AC33" s="313"/>
      <c r="AD33" s="312"/>
    </row>
    <row r="34" spans="1:30" ht="19.5" customHeight="1" thickBot="1" x14ac:dyDescent="0.3">
      <c r="A34" s="219"/>
      <c r="B34" s="311"/>
      <c r="C34" s="309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10"/>
      <c r="U34" s="310"/>
      <c r="V34" s="310"/>
      <c r="W34" s="309"/>
      <c r="X34" s="309"/>
      <c r="Y34" s="308"/>
      <c r="Z34" s="286"/>
      <c r="AB34" s="307"/>
      <c r="AC34" s="306"/>
      <c r="AD34" s="305"/>
    </row>
    <row r="35" spans="1:30" ht="25.5" customHeight="1" x14ac:dyDescent="0.25">
      <c r="A35" s="219"/>
      <c r="B35" s="304" t="s">
        <v>49</v>
      </c>
      <c r="C35" s="302"/>
      <c r="D35" s="302"/>
      <c r="E35" s="302">
        <v>1338.6</v>
      </c>
      <c r="F35" s="302"/>
      <c r="G35" s="302"/>
      <c r="H35" s="302">
        <v>1359.4</v>
      </c>
      <c r="I35" s="302"/>
      <c r="J35" s="302"/>
      <c r="K35" s="302">
        <v>752.6</v>
      </c>
      <c r="L35" s="302"/>
      <c r="M35" s="302"/>
      <c r="N35" s="303">
        <f>IF(E35&lt;&gt;"",E35/(((H35-K35)/$F$27)-((H35-E35)/$S$24)),"")</f>
        <v>2289.825249507523</v>
      </c>
      <c r="O35" s="303"/>
      <c r="P35" s="303"/>
      <c r="Q35" s="303">
        <f>IF(N35&lt;&gt;"",(N35/$S$27)*100,"")</f>
        <v>93.576838966388351</v>
      </c>
      <c r="R35" s="303"/>
      <c r="S35" s="303"/>
      <c r="T35" s="303">
        <f>IF(Q35&lt;&gt;"",100-Q35,"")</f>
        <v>6.4231610336116489</v>
      </c>
      <c r="U35" s="303"/>
      <c r="V35" s="303"/>
      <c r="W35" s="302">
        <v>5</v>
      </c>
      <c r="X35" s="302"/>
      <c r="Y35" s="301"/>
      <c r="Z35" s="286"/>
      <c r="AB35" s="219">
        <v>10</v>
      </c>
      <c r="AC35" s="214">
        <v>1.0026999999999999</v>
      </c>
      <c r="AD35" s="218" t="str">
        <f>IF($F$24=AB35,AC35,"")</f>
        <v/>
      </c>
    </row>
    <row r="36" spans="1:30" ht="25.5" customHeight="1" x14ac:dyDescent="0.25">
      <c r="A36" s="219"/>
      <c r="B36" s="300" t="s">
        <v>62</v>
      </c>
      <c r="C36" s="299"/>
      <c r="D36" s="299"/>
      <c r="E36" s="296">
        <v>1584.3</v>
      </c>
      <c r="F36" s="296"/>
      <c r="G36" s="296"/>
      <c r="H36" s="296">
        <v>1607.7</v>
      </c>
      <c r="I36" s="296"/>
      <c r="J36" s="296"/>
      <c r="K36" s="296">
        <v>879.1</v>
      </c>
      <c r="L36" s="296"/>
      <c r="M36" s="296"/>
      <c r="N36" s="295">
        <f>IF(E36&lt;&gt;"",E36/(((H36-K36)/$F$27)-((H36-E36)/$S$24)),"")</f>
        <v>2251.3952551443144</v>
      </c>
      <c r="O36" s="295"/>
      <c r="P36" s="295"/>
      <c r="Q36" s="295">
        <f>IF(N36&lt;&gt;"",(N36/$S$27)*100,"")</f>
        <v>92.006344713703086</v>
      </c>
      <c r="R36" s="295"/>
      <c r="S36" s="295"/>
      <c r="T36" s="295">
        <f>IF(Q36&lt;&gt;"",100-Q36,"")</f>
        <v>7.9936552862969137</v>
      </c>
      <c r="U36" s="295"/>
      <c r="V36" s="295"/>
      <c r="W36" s="299">
        <v>6.5</v>
      </c>
      <c r="X36" s="299"/>
      <c r="Y36" s="298"/>
      <c r="Z36" s="286"/>
      <c r="AB36" s="219">
        <v>11</v>
      </c>
      <c r="AC36" s="214">
        <v>1.0025999999999999</v>
      </c>
      <c r="AD36" s="218" t="str">
        <f>IF($F$24=AB36,AC36,"")</f>
        <v/>
      </c>
    </row>
    <row r="37" spans="1:30" ht="25.5" customHeight="1" x14ac:dyDescent="0.25">
      <c r="A37" s="219"/>
      <c r="B37" s="300"/>
      <c r="C37" s="299"/>
      <c r="D37" s="299"/>
      <c r="E37" s="296"/>
      <c r="F37" s="296"/>
      <c r="G37" s="296"/>
      <c r="H37" s="296"/>
      <c r="I37" s="296"/>
      <c r="J37" s="296"/>
      <c r="K37" s="296"/>
      <c r="L37" s="296"/>
      <c r="M37" s="296"/>
      <c r="N37" s="295" t="str">
        <f>IF(E37&lt;&gt;"",E37/(((H37-K37)/$F$27)-((H37-E37)/$S$24)),"")</f>
        <v/>
      </c>
      <c r="O37" s="295"/>
      <c r="P37" s="295"/>
      <c r="Q37" s="295" t="str">
        <f>IF(N37&lt;&gt;"",(N37/$S$27)*100,"")</f>
        <v/>
      </c>
      <c r="R37" s="295"/>
      <c r="S37" s="295"/>
      <c r="T37" s="295" t="str">
        <f>IF(Q37&lt;&gt;"",100-Q37,"")</f>
        <v/>
      </c>
      <c r="U37" s="295"/>
      <c r="V37" s="295"/>
      <c r="W37" s="299"/>
      <c r="X37" s="299"/>
      <c r="Y37" s="298"/>
      <c r="Z37" s="286"/>
      <c r="AB37" s="219">
        <v>12</v>
      </c>
      <c r="AC37" s="214">
        <v>1.0024999999999999</v>
      </c>
      <c r="AD37" s="218" t="str">
        <f>IF($F$24=AB37,AC37,"")</f>
        <v/>
      </c>
    </row>
    <row r="38" spans="1:30" ht="25.5" customHeight="1" x14ac:dyDescent="0.25">
      <c r="A38" s="219"/>
      <c r="B38" s="297"/>
      <c r="C38" s="294"/>
      <c r="D38" s="294"/>
      <c r="E38" s="296"/>
      <c r="F38" s="296"/>
      <c r="G38" s="296"/>
      <c r="H38" s="296"/>
      <c r="I38" s="296"/>
      <c r="J38" s="296"/>
      <c r="K38" s="296"/>
      <c r="L38" s="296"/>
      <c r="M38" s="296"/>
      <c r="N38" s="295" t="str">
        <f>IF(E38&lt;&gt;"",E38/(((H38-K38)/$F$27)-((H38-E38)/$S$24)),"")</f>
        <v/>
      </c>
      <c r="O38" s="295"/>
      <c r="P38" s="295"/>
      <c r="Q38" s="295" t="str">
        <f>IF(N38&lt;&gt;"",(N38/$S$27)*100,"")</f>
        <v/>
      </c>
      <c r="R38" s="295"/>
      <c r="S38" s="295"/>
      <c r="T38" s="295" t="str">
        <f>IF(Q38&lt;&gt;"",100-Q38,"")</f>
        <v/>
      </c>
      <c r="U38" s="295"/>
      <c r="V38" s="295"/>
      <c r="W38" s="294"/>
      <c r="X38" s="294"/>
      <c r="Y38" s="293"/>
      <c r="Z38" s="286"/>
      <c r="AB38" s="219">
        <v>13</v>
      </c>
      <c r="AC38" s="214">
        <v>1.0023</v>
      </c>
      <c r="AD38" s="218" t="str">
        <f>IF($F$24=AB38,AC38,"")</f>
        <v/>
      </c>
    </row>
    <row r="39" spans="1:30" ht="25.5" customHeight="1" thickBot="1" x14ac:dyDescent="0.3">
      <c r="A39" s="219"/>
      <c r="B39" s="292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0"/>
      <c r="Z39" s="286"/>
      <c r="AB39" s="219">
        <v>14</v>
      </c>
      <c r="AC39" s="214">
        <v>1.0022</v>
      </c>
      <c r="AD39" s="218" t="str">
        <f>IF($F$24=AB39,AC39,"")</f>
        <v/>
      </c>
    </row>
    <row r="40" spans="1:30" ht="12.75" customHeight="1" x14ac:dyDescent="0.25"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9"/>
      <c r="O40" s="289"/>
      <c r="P40" s="289"/>
      <c r="Q40" s="288"/>
      <c r="R40" s="288"/>
      <c r="S40" s="288"/>
      <c r="T40" s="288"/>
      <c r="U40" s="288"/>
      <c r="V40" s="288"/>
      <c r="W40" s="287"/>
      <c r="X40" s="287"/>
      <c r="Y40" s="287"/>
      <c r="Z40" s="286"/>
      <c r="AB40" s="219">
        <v>15</v>
      </c>
      <c r="AC40" s="214">
        <v>1.0021</v>
      </c>
      <c r="AD40" s="218" t="str">
        <f>IF($F$24=AB40,AC40,"")</f>
        <v/>
      </c>
    </row>
    <row r="41" spans="1:30" ht="15.9" customHeight="1" x14ac:dyDescent="0.25">
      <c r="A41" s="285"/>
      <c r="B41" s="284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2"/>
      <c r="AB41" s="219">
        <v>16</v>
      </c>
      <c r="AC41" s="214">
        <v>1.0019</v>
      </c>
      <c r="AD41" s="218" t="str">
        <f>IF($F$24=AB41,AC41,"")</f>
        <v/>
      </c>
    </row>
    <row r="42" spans="1:30" ht="12.75" customHeight="1" x14ac:dyDescent="0.25">
      <c r="A42" s="281"/>
      <c r="B42" s="280"/>
      <c r="AB42" s="219">
        <v>17</v>
      </c>
      <c r="AC42" s="214">
        <v>1.0017</v>
      </c>
      <c r="AD42" s="218" t="str">
        <f>IF($F$24=AB42,AC42,"")</f>
        <v/>
      </c>
    </row>
    <row r="43" spans="1:30" s="220" customFormat="1" ht="30.75" customHeight="1" x14ac:dyDescent="0.3">
      <c r="A43" s="279" t="s">
        <v>50</v>
      </c>
      <c r="B43" s="278" t="s">
        <v>51</v>
      </c>
      <c r="C43" s="277"/>
      <c r="D43" s="277"/>
      <c r="E43" s="277"/>
      <c r="F43" s="276"/>
      <c r="G43" s="276"/>
      <c r="H43" s="276"/>
      <c r="I43" s="275"/>
      <c r="J43" s="275"/>
      <c r="K43" s="275"/>
      <c r="L43" s="275"/>
      <c r="M43" s="275"/>
      <c r="N43" s="275"/>
      <c r="O43" s="275"/>
      <c r="P43" s="275"/>
      <c r="Q43" s="276"/>
      <c r="R43" s="275"/>
      <c r="S43" s="275"/>
      <c r="T43" s="275"/>
      <c r="U43" s="274"/>
      <c r="V43" s="274"/>
      <c r="W43" s="274"/>
      <c r="X43" s="273"/>
      <c r="Y43" s="273"/>
      <c r="Z43" s="272"/>
      <c r="AA43" s="251"/>
      <c r="AB43" s="219">
        <v>18</v>
      </c>
      <c r="AC43" s="214">
        <v>1.0016</v>
      </c>
      <c r="AD43" s="218" t="str">
        <f>IF($F$24=AB43,AC43,"")</f>
        <v/>
      </c>
    </row>
    <row r="44" spans="1:30" s="220" customFormat="1" ht="28.5" customHeight="1" x14ac:dyDescent="0.3">
      <c r="A44" s="271" t="s">
        <v>52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69"/>
      <c r="R44" s="235" t="s">
        <v>53</v>
      </c>
      <c r="S44" s="234"/>
      <c r="T44" s="233"/>
      <c r="U44" s="268" t="s">
        <v>70</v>
      </c>
      <c r="V44" s="267"/>
      <c r="W44" s="267"/>
      <c r="X44" s="266"/>
      <c r="Y44" s="266"/>
      <c r="Z44" s="265"/>
      <c r="AA44" s="251"/>
      <c r="AB44" s="219">
        <v>19</v>
      </c>
      <c r="AC44" s="214">
        <v>1.0014000000000001</v>
      </c>
      <c r="AD44" s="218" t="str">
        <f>IF($F$24=AB44,AC44,"")</f>
        <v/>
      </c>
    </row>
    <row r="45" spans="1:30" s="220" customFormat="1" ht="14.25" customHeight="1" x14ac:dyDescent="0.3">
      <c r="A45" s="260" t="s">
        <v>69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8"/>
      <c r="R45" s="235" t="s">
        <v>56</v>
      </c>
      <c r="S45" s="234"/>
      <c r="T45" s="233"/>
      <c r="U45" s="264" t="s">
        <v>71</v>
      </c>
      <c r="V45" s="263"/>
      <c r="W45" s="263"/>
      <c r="X45" s="262"/>
      <c r="Y45" s="262"/>
      <c r="Z45" s="261"/>
      <c r="AA45" s="251"/>
      <c r="AB45" s="219">
        <v>20</v>
      </c>
      <c r="AC45" s="214">
        <v>1.0012000000000001</v>
      </c>
      <c r="AD45" s="218" t="str">
        <f>IF($F$24=AB45,AC45,"")</f>
        <v/>
      </c>
    </row>
    <row r="46" spans="1:30" s="220" customFormat="1" ht="9" customHeight="1" x14ac:dyDescent="0.3">
      <c r="A46" s="260"/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8"/>
      <c r="R46" s="235"/>
      <c r="S46" s="234"/>
      <c r="T46" s="233"/>
      <c r="U46" s="254"/>
      <c r="V46" s="253"/>
      <c r="W46" s="253"/>
      <c r="X46" s="231"/>
      <c r="Y46" s="231"/>
      <c r="Z46" s="252"/>
      <c r="AA46" s="251"/>
      <c r="AB46" s="219">
        <v>21</v>
      </c>
      <c r="AC46" s="239">
        <v>1.0009999999999999</v>
      </c>
      <c r="AD46" s="218">
        <f>IF($F$24=AB46,AC46,"")</f>
        <v>1.0009999999999999</v>
      </c>
    </row>
    <row r="47" spans="1:30" s="220" customFormat="1" ht="12.75" customHeight="1" x14ac:dyDescent="0.3">
      <c r="A47" s="257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5"/>
      <c r="R47" s="235"/>
      <c r="S47" s="234"/>
      <c r="T47" s="233"/>
      <c r="U47" s="254"/>
      <c r="V47" s="253"/>
      <c r="W47" s="253"/>
      <c r="X47" s="231"/>
      <c r="Y47" s="231"/>
      <c r="Z47" s="252"/>
      <c r="AA47" s="251"/>
      <c r="AB47" s="219">
        <v>22</v>
      </c>
      <c r="AC47" s="214">
        <v>1.0006999999999999</v>
      </c>
      <c r="AD47" s="218" t="str">
        <f>IF($F$24=AB47,AC47,"")</f>
        <v/>
      </c>
    </row>
    <row r="48" spans="1:30" s="220" customFormat="1" ht="14.25" customHeight="1" x14ac:dyDescent="0.25">
      <c r="A48" s="250" t="s">
        <v>58</v>
      </c>
      <c r="B48" s="249" t="s">
        <v>59</v>
      </c>
      <c r="C48" s="213"/>
      <c r="D48" s="213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7"/>
      <c r="R48" s="235"/>
      <c r="S48" s="234"/>
      <c r="T48" s="233"/>
      <c r="U48" s="246"/>
      <c r="V48" s="245"/>
      <c r="W48" s="245"/>
      <c r="X48" s="244"/>
      <c r="Y48" s="244"/>
      <c r="Z48" s="243"/>
      <c r="AB48" s="219">
        <v>23</v>
      </c>
      <c r="AC48" s="214">
        <v>1.0004999999999999</v>
      </c>
      <c r="AD48" s="218" t="str">
        <f>IF($F$24=AB48,AC48,"")</f>
        <v/>
      </c>
    </row>
    <row r="49" spans="1:30" s="220" customFormat="1" ht="12.75" customHeight="1" x14ac:dyDescent="0.25">
      <c r="A49" s="238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6"/>
      <c r="R49" s="235" t="s">
        <v>60</v>
      </c>
      <c r="S49" s="234"/>
      <c r="T49" s="233"/>
      <c r="U49" s="242"/>
      <c r="V49" s="241"/>
      <c r="W49" s="241"/>
      <c r="X49" s="241"/>
      <c r="Y49" s="241"/>
      <c r="Z49" s="240"/>
      <c r="AB49" s="219">
        <v>24</v>
      </c>
      <c r="AC49" s="214">
        <v>1.0003</v>
      </c>
      <c r="AD49" s="218" t="str">
        <f>IF($F$24=AB49,AC49,"")</f>
        <v/>
      </c>
    </row>
    <row r="50" spans="1:30" s="220" customFormat="1" ht="16.5" customHeight="1" x14ac:dyDescent="0.25">
      <c r="A50" s="238"/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6"/>
      <c r="R50" s="235"/>
      <c r="S50" s="234"/>
      <c r="T50" s="233"/>
      <c r="U50" s="232"/>
      <c r="V50" s="231"/>
      <c r="W50" s="231"/>
      <c r="X50" s="231"/>
      <c r="Y50" s="231"/>
      <c r="Z50" s="230"/>
      <c r="AB50" s="219">
        <v>25</v>
      </c>
      <c r="AC50" s="239">
        <v>1</v>
      </c>
      <c r="AD50" s="218" t="str">
        <f>IF($F$24=AB50,AC50,"")</f>
        <v/>
      </c>
    </row>
    <row r="51" spans="1:30" s="220" customFormat="1" ht="15.6" customHeight="1" x14ac:dyDescent="0.25">
      <c r="A51" s="238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6"/>
      <c r="R51" s="235"/>
      <c r="S51" s="234"/>
      <c r="T51" s="233"/>
      <c r="U51" s="232"/>
      <c r="V51" s="231"/>
      <c r="W51" s="231"/>
      <c r="X51" s="231"/>
      <c r="Y51" s="231"/>
      <c r="Z51" s="230"/>
      <c r="AB51" s="219">
        <v>26</v>
      </c>
      <c r="AC51" s="214">
        <v>0.99970000000000003</v>
      </c>
      <c r="AD51" s="218" t="str">
        <f>IF($F$24=AB51,AC51,"")</f>
        <v/>
      </c>
    </row>
    <row r="52" spans="1:30" s="220" customFormat="1" ht="15" customHeight="1" x14ac:dyDescent="0.25">
      <c r="A52" s="229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7"/>
      <c r="R52" s="226"/>
      <c r="S52" s="225"/>
      <c r="T52" s="224"/>
      <c r="U52" s="223"/>
      <c r="V52" s="222"/>
      <c r="W52" s="222"/>
      <c r="X52" s="222"/>
      <c r="Y52" s="222"/>
      <c r="Z52" s="221"/>
      <c r="AB52" s="219">
        <v>27</v>
      </c>
      <c r="AC52" s="214">
        <v>0.99950000000000006</v>
      </c>
      <c r="AD52" s="218" t="str">
        <f>IF($F$24=AB52,AC52,"")</f>
        <v/>
      </c>
    </row>
    <row r="53" spans="1:30" ht="12.75" customHeight="1" x14ac:dyDescent="0.25">
      <c r="AB53" s="219">
        <v>28</v>
      </c>
      <c r="AC53" s="214">
        <v>0.99919999999999998</v>
      </c>
      <c r="AD53" s="218" t="str">
        <f>IF($F$24=AB53,AC53,"")</f>
        <v/>
      </c>
    </row>
    <row r="54" spans="1:30" ht="12.75" customHeight="1" x14ac:dyDescent="0.25">
      <c r="AB54" s="219">
        <v>29</v>
      </c>
      <c r="AC54" s="214">
        <v>0.99890000000000001</v>
      </c>
      <c r="AD54" s="218" t="str">
        <f>IF($F$24=AB54,AC54,"")</f>
        <v/>
      </c>
    </row>
    <row r="55" spans="1:30" ht="12.75" customHeight="1" x14ac:dyDescent="0.25">
      <c r="AB55" s="217">
        <v>30</v>
      </c>
      <c r="AC55" s="216">
        <v>0.99860000000000004</v>
      </c>
      <c r="AD55" s="215" t="str">
        <f>IF($F$24=AB55,AC55,"")</f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02">
    <mergeCell ref="Q39:S39"/>
    <mergeCell ref="Q38:S38"/>
    <mergeCell ref="T38:V38"/>
    <mergeCell ref="W38:Y38"/>
    <mergeCell ref="A45:Q47"/>
    <mergeCell ref="A44:Q44"/>
    <mergeCell ref="V50:Y51"/>
    <mergeCell ref="A49:Q52"/>
    <mergeCell ref="R49:T52"/>
    <mergeCell ref="H39:J39"/>
    <mergeCell ref="K39:M39"/>
    <mergeCell ref="N39:P39"/>
    <mergeCell ref="K32:M34"/>
    <mergeCell ref="N32:P34"/>
    <mergeCell ref="Q32:S34"/>
    <mergeCell ref="H35:J35"/>
    <mergeCell ref="K35:M35"/>
    <mergeCell ref="N35:P35"/>
    <mergeCell ref="AB32:AB34"/>
    <mergeCell ref="AC32:AC34"/>
    <mergeCell ref="B36:D36"/>
    <mergeCell ref="E36:G36"/>
    <mergeCell ref="H36:J36"/>
    <mergeCell ref="K36:M36"/>
    <mergeCell ref="N36:P36"/>
    <mergeCell ref="Q36:S36"/>
    <mergeCell ref="T36:V36"/>
    <mergeCell ref="W36:Y36"/>
    <mergeCell ref="K37:M37"/>
    <mergeCell ref="N37:P37"/>
    <mergeCell ref="B38:D38"/>
    <mergeCell ref="E38:G38"/>
    <mergeCell ref="N38:P38"/>
    <mergeCell ref="B35:D35"/>
    <mergeCell ref="E35:G35"/>
    <mergeCell ref="H32:J34"/>
    <mergeCell ref="B37:D37"/>
    <mergeCell ref="E37:G37"/>
    <mergeCell ref="H37:J37"/>
    <mergeCell ref="U45:Z48"/>
    <mergeCell ref="T35:V35"/>
    <mergeCell ref="W35:Y35"/>
    <mergeCell ref="B39:D39"/>
    <mergeCell ref="E39:G39"/>
    <mergeCell ref="R45:T48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N12:R12"/>
    <mergeCell ref="H10:M10"/>
    <mergeCell ref="H11:M11"/>
    <mergeCell ref="H12:M12"/>
    <mergeCell ref="B18:H18"/>
    <mergeCell ref="B12:G12"/>
    <mergeCell ref="B11:G11"/>
    <mergeCell ref="B17:H17"/>
    <mergeCell ref="I18:Y18"/>
    <mergeCell ref="I17:Y17"/>
    <mergeCell ref="T39:V39"/>
    <mergeCell ref="W39:Y39"/>
    <mergeCell ref="H38:J38"/>
    <mergeCell ref="K38:M38"/>
    <mergeCell ref="B24:E26"/>
    <mergeCell ref="B27:E29"/>
    <mergeCell ref="W27:Y29"/>
    <mergeCell ref="B32:D34"/>
    <mergeCell ref="E32:G34"/>
    <mergeCell ref="R44:T44"/>
    <mergeCell ref="U43:Z43"/>
    <mergeCell ref="U44:Z44"/>
    <mergeCell ref="S12:Y12"/>
    <mergeCell ref="T32:V34"/>
    <mergeCell ref="W32:Y34"/>
    <mergeCell ref="Q37:S37"/>
    <mergeCell ref="T37:V37"/>
    <mergeCell ref="W37:Y37"/>
    <mergeCell ref="Q35:S35"/>
    <mergeCell ref="J5:K5"/>
    <mergeCell ref="L5:O5"/>
    <mergeCell ref="P5:T5"/>
    <mergeCell ref="J6:K6"/>
    <mergeCell ref="L6:O6"/>
    <mergeCell ref="S11:Y11"/>
    <mergeCell ref="N10:R10"/>
    <mergeCell ref="N11:R11"/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9C58-76FA-4DD9-8404-D64C767D78AE}">
  <sheetPr>
    <pageSetUpPr fitToPage="1"/>
  </sheetPr>
  <dimension ref="A1:AF55"/>
  <sheetViews>
    <sheetView topLeftCell="A7" workbookViewId="0">
      <selection activeCell="I18" sqref="I18:Y18"/>
    </sheetView>
  </sheetViews>
  <sheetFormatPr baseColWidth="10" defaultColWidth="11.44140625" defaultRowHeight="12.75" customHeight="1" x14ac:dyDescent="0.25"/>
  <cols>
    <col min="1" max="1" width="5.109375" style="214" customWidth="1"/>
    <col min="2" max="26" width="5.109375" style="213" customWidth="1"/>
    <col min="27" max="27" width="20" style="213" customWidth="1"/>
    <col min="28" max="28" width="28.109375" style="213" customWidth="1"/>
    <col min="29" max="29" width="22.88671875" style="213" customWidth="1"/>
    <col min="30" max="30" width="29.33203125" style="213" customWidth="1"/>
    <col min="31" max="31" width="11.44140625" style="213"/>
    <col min="32" max="16384" width="11.44140625" style="212"/>
  </cols>
  <sheetData>
    <row r="1" spans="1:32" ht="12.75" customHeight="1" x14ac:dyDescent="0.25">
      <c r="A1" s="321"/>
      <c r="B1" s="320"/>
      <c r="C1" s="320"/>
      <c r="D1" s="320"/>
      <c r="E1" s="320"/>
      <c r="F1" s="319"/>
      <c r="G1" s="412" t="s">
        <v>0</v>
      </c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0"/>
      <c r="U1" s="409" t="s">
        <v>68</v>
      </c>
      <c r="V1" s="408"/>
      <c r="W1" s="408"/>
      <c r="X1" s="408"/>
      <c r="Y1" s="408"/>
      <c r="Z1" s="407"/>
    </row>
    <row r="2" spans="1:32" ht="12.75" customHeight="1" x14ac:dyDescent="0.3">
      <c r="A2" s="314"/>
      <c r="B2" s="313"/>
      <c r="C2" s="313"/>
      <c r="D2" s="313"/>
      <c r="E2" s="313"/>
      <c r="F2" s="312"/>
      <c r="G2" s="406" t="s">
        <v>1</v>
      </c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4"/>
      <c r="U2" s="392"/>
      <c r="V2" s="391"/>
      <c r="W2" s="391"/>
      <c r="X2" s="391"/>
      <c r="Y2" s="391"/>
      <c r="Z2" s="390"/>
      <c r="AA2" s="251"/>
      <c r="AB2" s="251"/>
    </row>
    <row r="3" spans="1:32" ht="12.75" customHeight="1" x14ac:dyDescent="0.3">
      <c r="A3" s="314"/>
      <c r="B3" s="313"/>
      <c r="C3" s="313"/>
      <c r="D3" s="313"/>
      <c r="E3" s="313"/>
      <c r="F3" s="312"/>
      <c r="G3" s="406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4"/>
      <c r="U3" s="392"/>
      <c r="V3" s="391"/>
      <c r="W3" s="391"/>
      <c r="X3" s="391"/>
      <c r="Y3" s="391"/>
      <c r="Z3" s="390"/>
      <c r="AA3" s="251"/>
      <c r="AB3" s="251"/>
    </row>
    <row r="4" spans="1:32" ht="12.75" customHeight="1" x14ac:dyDescent="0.3">
      <c r="A4" s="314"/>
      <c r="B4" s="313"/>
      <c r="C4" s="313"/>
      <c r="D4" s="313"/>
      <c r="E4" s="313"/>
      <c r="F4" s="312"/>
      <c r="G4" s="406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5"/>
      <c r="T4" s="404"/>
      <c r="U4" s="392"/>
      <c r="V4" s="391"/>
      <c r="W4" s="391"/>
      <c r="X4" s="391"/>
      <c r="Y4" s="391"/>
      <c r="Z4" s="390"/>
      <c r="AA4" s="251"/>
      <c r="AB4" s="251"/>
    </row>
    <row r="5" spans="1:32" ht="12.75" customHeight="1" x14ac:dyDescent="0.3">
      <c r="A5" s="314"/>
      <c r="B5" s="313"/>
      <c r="C5" s="313"/>
      <c r="D5" s="313"/>
      <c r="E5" s="313"/>
      <c r="F5" s="312"/>
      <c r="G5" s="403"/>
      <c r="H5" s="402"/>
      <c r="I5" s="401" t="s">
        <v>2</v>
      </c>
      <c r="J5" s="400">
        <v>3</v>
      </c>
      <c r="K5" s="399"/>
      <c r="L5" s="398" t="s">
        <v>67</v>
      </c>
      <c r="M5" s="397"/>
      <c r="N5" s="397"/>
      <c r="O5" s="396"/>
      <c r="P5" s="395" t="s">
        <v>64</v>
      </c>
      <c r="Q5" s="394"/>
      <c r="R5" s="394"/>
      <c r="S5" s="394"/>
      <c r="T5" s="393"/>
      <c r="U5" s="392"/>
      <c r="V5" s="391"/>
      <c r="W5" s="391"/>
      <c r="X5" s="391"/>
      <c r="Y5" s="391"/>
      <c r="Z5" s="390"/>
      <c r="AA5" s="251"/>
      <c r="AB5" s="251"/>
    </row>
    <row r="6" spans="1:32" ht="12.75" customHeight="1" x14ac:dyDescent="0.25">
      <c r="A6" s="307"/>
      <c r="B6" s="306"/>
      <c r="C6" s="306"/>
      <c r="D6" s="306"/>
      <c r="E6" s="306"/>
      <c r="F6" s="305"/>
      <c r="G6" s="389"/>
      <c r="H6" s="283"/>
      <c r="I6" s="283"/>
      <c r="J6" s="388" t="s">
        <v>5</v>
      </c>
      <c r="K6" s="388"/>
      <c r="L6" s="388" t="s">
        <v>6</v>
      </c>
      <c r="M6" s="388"/>
      <c r="N6" s="388"/>
      <c r="O6" s="388"/>
      <c r="P6" s="388" t="s">
        <v>7</v>
      </c>
      <c r="Q6" s="388"/>
      <c r="R6" s="388"/>
      <c r="S6" s="388"/>
      <c r="T6" s="387"/>
      <c r="U6" s="386"/>
      <c r="V6" s="385"/>
      <c r="W6" s="385"/>
      <c r="X6" s="385"/>
      <c r="Y6" s="385"/>
      <c r="Z6" s="384"/>
    </row>
    <row r="7" spans="1:32" ht="37.5" customHeight="1" x14ac:dyDescent="0.25">
      <c r="A7" s="383" t="s">
        <v>8</v>
      </c>
      <c r="B7" s="383"/>
      <c r="C7" s="383"/>
      <c r="D7" s="383"/>
      <c r="E7" s="383"/>
      <c r="F7" s="383"/>
      <c r="G7" s="382" t="s">
        <v>66</v>
      </c>
      <c r="H7" s="382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2"/>
      <c r="U7" s="382"/>
      <c r="V7" s="382"/>
      <c r="W7" s="382"/>
      <c r="X7" s="382"/>
      <c r="Y7" s="382"/>
      <c r="Z7" s="382"/>
    </row>
    <row r="8" spans="1:32" ht="15.9" customHeight="1" x14ac:dyDescent="0.3">
      <c r="A8" s="370" t="s">
        <v>10</v>
      </c>
      <c r="B8" s="381" t="s">
        <v>11</v>
      </c>
      <c r="C8" s="380"/>
      <c r="D8" s="379"/>
      <c r="E8" s="379"/>
      <c r="F8" s="379"/>
      <c r="G8" s="379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350"/>
      <c r="AB8" s="251"/>
      <c r="AF8" s="251" t="s">
        <v>65</v>
      </c>
    </row>
    <row r="9" spans="1:32" ht="8.25" customHeight="1" x14ac:dyDescent="0.3">
      <c r="A9" s="219"/>
      <c r="D9" s="214"/>
      <c r="E9" s="214"/>
      <c r="F9" s="214"/>
      <c r="G9" s="214"/>
      <c r="Z9" s="286"/>
      <c r="AB9" s="251"/>
      <c r="AF9" s="251" t="s">
        <v>4</v>
      </c>
    </row>
    <row r="10" spans="1:32" ht="15.9" customHeight="1" x14ac:dyDescent="0.3">
      <c r="A10" s="219"/>
      <c r="B10" s="377" t="s">
        <v>14</v>
      </c>
      <c r="C10" s="377"/>
      <c r="D10" s="377"/>
      <c r="E10" s="377"/>
      <c r="F10" s="377"/>
      <c r="G10" s="377"/>
      <c r="H10" s="378" t="s">
        <v>65</v>
      </c>
      <c r="I10" s="378"/>
      <c r="J10" s="378"/>
      <c r="K10" s="378"/>
      <c r="L10" s="378"/>
      <c r="M10" s="378"/>
      <c r="N10" s="377" t="s">
        <v>15</v>
      </c>
      <c r="O10" s="377"/>
      <c r="P10" s="377"/>
      <c r="Q10" s="377"/>
      <c r="R10" s="377"/>
      <c r="S10" s="376" t="s">
        <v>16</v>
      </c>
      <c r="T10" s="376"/>
      <c r="U10" s="376"/>
      <c r="V10" s="376"/>
      <c r="W10" s="376"/>
      <c r="X10" s="376"/>
      <c r="Y10" s="376"/>
      <c r="Z10" s="375"/>
      <c r="AB10" s="251"/>
      <c r="AF10" s="251" t="s">
        <v>64</v>
      </c>
    </row>
    <row r="11" spans="1:32" ht="15.9" customHeight="1" x14ac:dyDescent="0.3">
      <c r="A11" s="219"/>
      <c r="B11" s="377" t="s">
        <v>17</v>
      </c>
      <c r="C11" s="377"/>
      <c r="D11" s="377"/>
      <c r="E11" s="377"/>
      <c r="F11" s="377"/>
      <c r="G11" s="377"/>
      <c r="H11" s="378" t="s">
        <v>4</v>
      </c>
      <c r="I11" s="378"/>
      <c r="J11" s="378"/>
      <c r="K11" s="378"/>
      <c r="L11" s="378"/>
      <c r="M11" s="378"/>
      <c r="N11" s="377" t="s">
        <v>18</v>
      </c>
      <c r="O11" s="377"/>
      <c r="P11" s="377"/>
      <c r="Q11" s="377"/>
      <c r="R11" s="377"/>
      <c r="S11" s="376" t="s">
        <v>76</v>
      </c>
      <c r="T11" s="376"/>
      <c r="U11" s="376"/>
      <c r="V11" s="376"/>
      <c r="W11" s="376"/>
      <c r="X11" s="376"/>
      <c r="Y11" s="376"/>
      <c r="Z11" s="375"/>
      <c r="AB11" s="251"/>
      <c r="AF11" s="251" t="s">
        <v>16</v>
      </c>
    </row>
    <row r="12" spans="1:32" ht="15.9" customHeight="1" x14ac:dyDescent="0.3">
      <c r="A12" s="219"/>
      <c r="B12" s="377" t="s">
        <v>20</v>
      </c>
      <c r="C12" s="377"/>
      <c r="D12" s="377"/>
      <c r="E12" s="377"/>
      <c r="F12" s="377"/>
      <c r="G12" s="377"/>
      <c r="H12" s="378" t="s">
        <v>64</v>
      </c>
      <c r="I12" s="378"/>
      <c r="J12" s="378"/>
      <c r="K12" s="378"/>
      <c r="L12" s="378"/>
      <c r="M12" s="378"/>
      <c r="N12" s="377" t="s">
        <v>21</v>
      </c>
      <c r="O12" s="377"/>
      <c r="P12" s="377"/>
      <c r="Q12" s="377"/>
      <c r="R12" s="377"/>
      <c r="S12" s="376" t="s">
        <v>22</v>
      </c>
      <c r="T12" s="376"/>
      <c r="U12" s="376"/>
      <c r="V12" s="376"/>
      <c r="W12" s="376"/>
      <c r="X12" s="376"/>
      <c r="Y12" s="376"/>
      <c r="Z12" s="375"/>
      <c r="AB12" s="251"/>
      <c r="AF12" s="251" t="s">
        <v>19</v>
      </c>
    </row>
    <row r="13" spans="1:32" ht="8.25" customHeight="1" x14ac:dyDescent="0.3">
      <c r="A13" s="217"/>
      <c r="B13" s="283"/>
      <c r="C13" s="283"/>
      <c r="D13" s="216"/>
      <c r="E13" s="216"/>
      <c r="F13" s="216"/>
      <c r="G13" s="216"/>
      <c r="H13" s="283"/>
      <c r="I13" s="283"/>
      <c r="J13" s="283"/>
      <c r="K13" s="283"/>
      <c r="L13" s="283"/>
      <c r="M13" s="283"/>
      <c r="N13" s="374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2"/>
      <c r="AB13" s="251"/>
      <c r="AF13" s="251" t="s">
        <v>22</v>
      </c>
    </row>
    <row r="14" spans="1:32" s="220" customFormat="1" ht="15" customHeight="1" x14ac:dyDescent="0.25">
      <c r="B14" s="372"/>
      <c r="C14" s="372"/>
      <c r="K14" s="373"/>
      <c r="L14" s="372"/>
      <c r="M14" s="371"/>
    </row>
    <row r="15" spans="1:32" s="220" customFormat="1" ht="13.8" customHeight="1" x14ac:dyDescent="0.25">
      <c r="A15" s="370" t="s">
        <v>23</v>
      </c>
      <c r="B15" s="369" t="s">
        <v>24</v>
      </c>
      <c r="C15" s="368"/>
      <c r="D15" s="368"/>
      <c r="E15" s="368"/>
      <c r="F15" s="368"/>
      <c r="G15" s="368"/>
      <c r="H15" s="368"/>
      <c r="I15" s="367"/>
      <c r="J15" s="367"/>
      <c r="K15" s="367"/>
      <c r="L15" s="367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366"/>
    </row>
    <row r="16" spans="1:32" s="220" customFormat="1" ht="13.8" customHeight="1" x14ac:dyDescent="0.25">
      <c r="A16" s="362"/>
      <c r="B16" s="365"/>
      <c r="C16" s="364"/>
      <c r="D16" s="364"/>
      <c r="E16" s="364"/>
      <c r="F16" s="364"/>
      <c r="G16" s="364"/>
      <c r="H16" s="364"/>
      <c r="Z16" s="363"/>
    </row>
    <row r="17" spans="1:32" s="220" customFormat="1" ht="15" customHeight="1" x14ac:dyDescent="0.25">
      <c r="A17" s="362"/>
      <c r="B17" s="361" t="s">
        <v>25</v>
      </c>
      <c r="C17" s="361"/>
      <c r="D17" s="361"/>
      <c r="E17" s="361"/>
      <c r="F17" s="361"/>
      <c r="G17" s="361"/>
      <c r="H17" s="361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59"/>
    </row>
    <row r="18" spans="1:32" s="220" customFormat="1" ht="15" customHeight="1" x14ac:dyDescent="0.25">
      <c r="A18" s="362"/>
      <c r="B18" s="361" t="s">
        <v>26</v>
      </c>
      <c r="C18" s="361"/>
      <c r="D18" s="361"/>
      <c r="E18" s="361"/>
      <c r="F18" s="361"/>
      <c r="G18" s="361"/>
      <c r="H18" s="361"/>
      <c r="I18" s="211" t="s">
        <v>74</v>
      </c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359"/>
    </row>
    <row r="19" spans="1:32" s="220" customFormat="1" ht="13.2" customHeight="1" x14ac:dyDescent="0.25">
      <c r="A19" s="358"/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6"/>
    </row>
    <row r="20" spans="1:32" ht="12.75" customHeight="1" x14ac:dyDescent="0.25">
      <c r="D20" s="214"/>
      <c r="E20" s="214"/>
      <c r="F20" s="214"/>
      <c r="G20" s="214"/>
      <c r="N20" s="355"/>
    </row>
    <row r="21" spans="1:32" ht="15.9" customHeight="1" x14ac:dyDescent="0.25">
      <c r="A21" s="354" t="s">
        <v>27</v>
      </c>
      <c r="B21" s="353" t="s">
        <v>28</v>
      </c>
      <c r="C21" s="351"/>
      <c r="D21" s="352"/>
      <c r="E21" s="352"/>
      <c r="F21" s="352"/>
      <c r="G21" s="352"/>
      <c r="H21" s="351"/>
      <c r="I21" s="351"/>
      <c r="J21" s="351"/>
      <c r="K21" s="351"/>
      <c r="L21" s="351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350"/>
    </row>
    <row r="22" spans="1:32" ht="12.75" customHeight="1" x14ac:dyDescent="0.25">
      <c r="A22" s="219"/>
      <c r="Z22" s="286"/>
    </row>
    <row r="23" spans="1:32" ht="12.75" customHeight="1" x14ac:dyDescent="0.25">
      <c r="A23" s="219"/>
      <c r="Z23" s="286"/>
    </row>
    <row r="24" spans="1:32" ht="12.75" customHeight="1" x14ac:dyDescent="0.25">
      <c r="A24" s="219"/>
      <c r="B24" s="349" t="s">
        <v>29</v>
      </c>
      <c r="C24" s="345"/>
      <c r="D24" s="345"/>
      <c r="E24" s="345"/>
      <c r="F24" s="345">
        <v>21</v>
      </c>
      <c r="G24" s="345"/>
      <c r="H24" s="345"/>
      <c r="I24" s="345"/>
      <c r="J24" s="344" t="s">
        <v>30</v>
      </c>
      <c r="K24" s="344"/>
      <c r="L24" s="343"/>
      <c r="O24" s="349" t="s">
        <v>31</v>
      </c>
      <c r="P24" s="348"/>
      <c r="Q24" s="348"/>
      <c r="R24" s="348"/>
      <c r="S24" s="345">
        <v>890</v>
      </c>
      <c r="T24" s="345"/>
      <c r="U24" s="345"/>
      <c r="V24" s="345"/>
      <c r="W24" s="344" t="s">
        <v>73</v>
      </c>
      <c r="X24" s="344"/>
      <c r="Y24" s="343"/>
      <c r="Z24" s="286"/>
      <c r="AA24" s="212"/>
    </row>
    <row r="25" spans="1:32" ht="12.75" customHeight="1" x14ac:dyDescent="0.25">
      <c r="A25" s="219"/>
      <c r="B25" s="340"/>
      <c r="C25" s="317"/>
      <c r="D25" s="317"/>
      <c r="E25" s="317"/>
      <c r="F25" s="317"/>
      <c r="G25" s="317"/>
      <c r="H25" s="317"/>
      <c r="I25" s="317"/>
      <c r="J25" s="339"/>
      <c r="K25" s="339"/>
      <c r="L25" s="338"/>
      <c r="O25" s="342"/>
      <c r="P25" s="316"/>
      <c r="Q25" s="316"/>
      <c r="R25" s="316"/>
      <c r="S25" s="317"/>
      <c r="T25" s="317"/>
      <c r="U25" s="317"/>
      <c r="V25" s="317"/>
      <c r="W25" s="339"/>
      <c r="X25" s="339"/>
      <c r="Y25" s="338"/>
      <c r="Z25" s="286"/>
      <c r="AA25" s="212"/>
    </row>
    <row r="26" spans="1:32" ht="12.75" customHeight="1" x14ac:dyDescent="0.25">
      <c r="A26" s="219"/>
      <c r="B26" s="334"/>
      <c r="C26" s="333"/>
      <c r="D26" s="333"/>
      <c r="E26" s="333"/>
      <c r="F26" s="333"/>
      <c r="G26" s="333"/>
      <c r="H26" s="333"/>
      <c r="I26" s="333"/>
      <c r="J26" s="332"/>
      <c r="K26" s="332"/>
      <c r="L26" s="331"/>
      <c r="O26" s="337"/>
      <c r="P26" s="336"/>
      <c r="Q26" s="336"/>
      <c r="R26" s="336"/>
      <c r="S26" s="333"/>
      <c r="T26" s="333"/>
      <c r="U26" s="333"/>
      <c r="V26" s="333"/>
      <c r="W26" s="332"/>
      <c r="X26" s="332"/>
      <c r="Y26" s="331"/>
      <c r="Z26" s="286"/>
      <c r="AA26" s="212"/>
    </row>
    <row r="27" spans="1:32" ht="12.75" customHeight="1" x14ac:dyDescent="0.25">
      <c r="A27" s="219"/>
      <c r="B27" s="349" t="s">
        <v>33</v>
      </c>
      <c r="C27" s="348"/>
      <c r="D27" s="348"/>
      <c r="E27" s="348"/>
      <c r="F27" s="347">
        <f>IF(F24&lt;&gt;"",(997.1*(SUM(AD35:AD55))),"")</f>
        <v>998.09709999999995</v>
      </c>
      <c r="G27" s="347"/>
      <c r="H27" s="347"/>
      <c r="I27" s="347"/>
      <c r="J27" s="344" t="s">
        <v>34</v>
      </c>
      <c r="K27" s="344"/>
      <c r="L27" s="343"/>
      <c r="O27" s="346" t="s">
        <v>35</v>
      </c>
      <c r="P27" s="345"/>
      <c r="Q27" s="345"/>
      <c r="R27" s="345"/>
      <c r="S27" s="345">
        <v>2486</v>
      </c>
      <c r="T27" s="345"/>
      <c r="U27" s="345"/>
      <c r="V27" s="345"/>
      <c r="W27" s="344" t="s">
        <v>34</v>
      </c>
      <c r="X27" s="344"/>
      <c r="Y27" s="343"/>
      <c r="Z27" s="286"/>
      <c r="AA27" s="212"/>
    </row>
    <row r="28" spans="1:32" ht="12.75" customHeight="1" x14ac:dyDescent="0.25">
      <c r="A28" s="219"/>
      <c r="B28" s="342"/>
      <c r="C28" s="316"/>
      <c r="D28" s="316"/>
      <c r="E28" s="316"/>
      <c r="F28" s="341"/>
      <c r="G28" s="341"/>
      <c r="H28" s="341"/>
      <c r="I28" s="341"/>
      <c r="J28" s="339"/>
      <c r="K28" s="339"/>
      <c r="L28" s="338"/>
      <c r="O28" s="340"/>
      <c r="P28" s="317"/>
      <c r="Q28" s="317"/>
      <c r="R28" s="317"/>
      <c r="S28" s="317"/>
      <c r="T28" s="317"/>
      <c r="U28" s="317"/>
      <c r="V28" s="317"/>
      <c r="W28" s="339"/>
      <c r="X28" s="339"/>
      <c r="Y28" s="338"/>
      <c r="Z28" s="286"/>
      <c r="AA28" s="212"/>
    </row>
    <row r="29" spans="1:32" ht="12.75" customHeight="1" x14ac:dyDescent="0.25">
      <c r="A29" s="219"/>
      <c r="B29" s="337"/>
      <c r="C29" s="336"/>
      <c r="D29" s="336"/>
      <c r="E29" s="336"/>
      <c r="F29" s="335"/>
      <c r="G29" s="335"/>
      <c r="H29" s="335"/>
      <c r="I29" s="335"/>
      <c r="J29" s="332"/>
      <c r="K29" s="332"/>
      <c r="L29" s="331"/>
      <c r="O29" s="334"/>
      <c r="P29" s="333"/>
      <c r="Q29" s="333"/>
      <c r="R29" s="333"/>
      <c r="S29" s="333"/>
      <c r="T29" s="333"/>
      <c r="U29" s="333"/>
      <c r="V29" s="333"/>
      <c r="W29" s="332"/>
      <c r="X29" s="332"/>
      <c r="Y29" s="331"/>
      <c r="Z29" s="286"/>
    </row>
    <row r="30" spans="1:32" ht="12.75" customHeight="1" x14ac:dyDescent="0.3">
      <c r="A30" s="219"/>
      <c r="B30" s="330"/>
      <c r="C30" s="328"/>
      <c r="D30" s="327"/>
      <c r="I30" s="326"/>
      <c r="J30" s="326"/>
      <c r="P30" s="328"/>
      <c r="Q30" s="328"/>
      <c r="R30" s="328"/>
      <c r="S30" s="328"/>
      <c r="T30" s="328"/>
      <c r="U30" s="328"/>
      <c r="V30" s="328"/>
      <c r="W30" s="327"/>
      <c r="Z30" s="286"/>
      <c r="AA30" s="251"/>
      <c r="AB30" s="251"/>
      <c r="AC30" s="251"/>
      <c r="AD30" s="251"/>
      <c r="AE30" s="251"/>
      <c r="AF30" s="251"/>
    </row>
    <row r="31" spans="1:32" ht="12.75" customHeight="1" thickBot="1" x14ac:dyDescent="0.3">
      <c r="A31" s="219"/>
      <c r="B31" s="330"/>
      <c r="C31" s="328"/>
      <c r="D31" s="327"/>
      <c r="E31" s="326"/>
      <c r="F31" s="329"/>
      <c r="G31" s="328"/>
      <c r="H31" s="327"/>
      <c r="I31" s="326"/>
      <c r="J31" s="326"/>
      <c r="Z31" s="286"/>
    </row>
    <row r="32" spans="1:32" ht="19.5" customHeight="1" x14ac:dyDescent="0.25">
      <c r="A32" s="219"/>
      <c r="B32" s="325" t="s">
        <v>36</v>
      </c>
      <c r="C32" s="323"/>
      <c r="D32" s="323"/>
      <c r="E32" s="323" t="s">
        <v>37</v>
      </c>
      <c r="F32" s="323"/>
      <c r="G32" s="323"/>
      <c r="H32" s="323" t="s">
        <v>38</v>
      </c>
      <c r="I32" s="323"/>
      <c r="J32" s="323"/>
      <c r="K32" s="323" t="s">
        <v>39</v>
      </c>
      <c r="L32" s="323"/>
      <c r="M32" s="323"/>
      <c r="N32" s="323" t="s">
        <v>72</v>
      </c>
      <c r="O32" s="323"/>
      <c r="P32" s="323"/>
      <c r="Q32" s="323" t="s">
        <v>41</v>
      </c>
      <c r="R32" s="323"/>
      <c r="S32" s="323"/>
      <c r="T32" s="324" t="s">
        <v>42</v>
      </c>
      <c r="U32" s="324"/>
      <c r="V32" s="324"/>
      <c r="W32" s="323" t="s">
        <v>43</v>
      </c>
      <c r="X32" s="323"/>
      <c r="Y32" s="322"/>
      <c r="Z32" s="286"/>
      <c r="AB32" s="321" t="s">
        <v>44</v>
      </c>
      <c r="AC32" s="320" t="s">
        <v>45</v>
      </c>
      <c r="AD32" s="319" t="s">
        <v>46</v>
      </c>
    </row>
    <row r="33" spans="1:30" ht="19.5" customHeight="1" x14ac:dyDescent="0.25">
      <c r="A33" s="219"/>
      <c r="B33" s="318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7"/>
      <c r="U33" s="317"/>
      <c r="V33" s="317"/>
      <c r="W33" s="316"/>
      <c r="X33" s="316"/>
      <c r="Y33" s="315"/>
      <c r="Z33" s="286"/>
      <c r="AB33" s="314"/>
      <c r="AC33" s="313"/>
      <c r="AD33" s="312"/>
    </row>
    <row r="34" spans="1:30" ht="19.5" customHeight="1" thickBot="1" x14ac:dyDescent="0.3">
      <c r="A34" s="219"/>
      <c r="B34" s="311"/>
      <c r="C34" s="309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10"/>
      <c r="U34" s="310"/>
      <c r="V34" s="310"/>
      <c r="W34" s="309"/>
      <c r="X34" s="309"/>
      <c r="Y34" s="308"/>
      <c r="Z34" s="286"/>
      <c r="AB34" s="307"/>
      <c r="AC34" s="306"/>
      <c r="AD34" s="305"/>
    </row>
    <row r="35" spans="1:30" ht="25.5" customHeight="1" x14ac:dyDescent="0.25">
      <c r="A35" s="219"/>
      <c r="B35" s="304" t="s">
        <v>47</v>
      </c>
      <c r="C35" s="302"/>
      <c r="D35" s="302"/>
      <c r="E35" s="302">
        <v>2440.5</v>
      </c>
      <c r="F35" s="302"/>
      <c r="G35" s="302"/>
      <c r="H35" s="302">
        <v>2458.8000000000002</v>
      </c>
      <c r="I35" s="302"/>
      <c r="J35" s="302"/>
      <c r="K35" s="302">
        <v>1414.3</v>
      </c>
      <c r="L35" s="302"/>
      <c r="M35" s="302"/>
      <c r="N35" s="303">
        <f>IF(E35&lt;&gt;"",E35/(((H35-K35)/$F$27)-((H35-E35)/$S$24)),"")</f>
        <v>2378.8182637147665</v>
      </c>
      <c r="O35" s="303"/>
      <c r="P35" s="303"/>
      <c r="Q35" s="303">
        <f>IF(N35&lt;&gt;"",(N35/$S$27)*100,"")</f>
        <v>95.688586633739604</v>
      </c>
      <c r="R35" s="303"/>
      <c r="S35" s="303"/>
      <c r="T35" s="303">
        <f>IF(Q35&lt;&gt;"",100-Q35,"")</f>
        <v>4.3114133662603962</v>
      </c>
      <c r="U35" s="303"/>
      <c r="V35" s="303"/>
      <c r="W35" s="302">
        <v>9</v>
      </c>
      <c r="X35" s="302"/>
      <c r="Y35" s="301"/>
      <c r="Z35" s="286"/>
      <c r="AB35" s="219">
        <v>10</v>
      </c>
      <c r="AC35" s="214">
        <v>1.0026999999999999</v>
      </c>
      <c r="AD35" s="218" t="str">
        <f>IF($F$24=AB35,AC35,"")</f>
        <v/>
      </c>
    </row>
    <row r="36" spans="1:30" ht="25.5" customHeight="1" x14ac:dyDescent="0.25">
      <c r="A36" s="219"/>
      <c r="B36" s="300" t="s">
        <v>49</v>
      </c>
      <c r="C36" s="299"/>
      <c r="D36" s="299"/>
      <c r="E36" s="296">
        <v>2511.6</v>
      </c>
      <c r="F36" s="296"/>
      <c r="G36" s="296"/>
      <c r="H36" s="296">
        <v>2537.6</v>
      </c>
      <c r="I36" s="296"/>
      <c r="J36" s="296"/>
      <c r="K36" s="296">
        <v>1462.6</v>
      </c>
      <c r="L36" s="296"/>
      <c r="M36" s="296"/>
      <c r="N36" s="295">
        <f>IF(E36&lt;&gt;"",E36/(((H36-K36)/$F$27)-((H36-E36)/$S$24)),"")</f>
        <v>2396.9399005103905</v>
      </c>
      <c r="O36" s="295"/>
      <c r="P36" s="295"/>
      <c r="Q36" s="295">
        <f>IF(N36&lt;&gt;"",(N36/$S$27)*100,"")</f>
        <v>96.417534212002849</v>
      </c>
      <c r="R36" s="295"/>
      <c r="S36" s="295"/>
      <c r="T36" s="295">
        <f>IF(Q36&lt;&gt;"",100-Q36,"")</f>
        <v>3.5824657879971511</v>
      </c>
      <c r="U36" s="295"/>
      <c r="V36" s="295"/>
      <c r="W36" s="299">
        <v>9.5</v>
      </c>
      <c r="X36" s="299"/>
      <c r="Y36" s="298"/>
      <c r="Z36" s="286"/>
      <c r="AB36" s="219">
        <v>11</v>
      </c>
      <c r="AC36" s="214">
        <v>1.0025999999999999</v>
      </c>
      <c r="AD36" s="218" t="str">
        <f>IF($F$24=AB36,AC36,"")</f>
        <v/>
      </c>
    </row>
    <row r="37" spans="1:30" ht="25.5" customHeight="1" x14ac:dyDescent="0.25">
      <c r="A37" s="219"/>
      <c r="B37" s="300" t="s">
        <v>62</v>
      </c>
      <c r="C37" s="299"/>
      <c r="D37" s="299"/>
      <c r="E37" s="296">
        <v>1852.8</v>
      </c>
      <c r="F37" s="296"/>
      <c r="G37" s="296"/>
      <c r="H37" s="296">
        <v>1872</v>
      </c>
      <c r="I37" s="296"/>
      <c r="J37" s="296"/>
      <c r="K37" s="296">
        <v>1074.4000000000001</v>
      </c>
      <c r="L37" s="296"/>
      <c r="M37" s="296"/>
      <c r="N37" s="295">
        <f>IF(E37&lt;&gt;"",E37/(((H37-K37)/$F$27)-((H37-E37)/$S$24)),"")</f>
        <v>2382.8765841376453</v>
      </c>
      <c r="O37" s="295"/>
      <c r="P37" s="295"/>
      <c r="Q37" s="295">
        <f>IF(N37&lt;&gt;"",(N37/$S$27)*100,"")</f>
        <v>95.851833633855392</v>
      </c>
      <c r="R37" s="295"/>
      <c r="S37" s="295"/>
      <c r="T37" s="295">
        <f>IF(Q37&lt;&gt;"",100-Q37,"")</f>
        <v>4.1481663661446078</v>
      </c>
      <c r="U37" s="295"/>
      <c r="V37" s="295"/>
      <c r="W37" s="299">
        <v>8</v>
      </c>
      <c r="X37" s="299"/>
      <c r="Y37" s="298"/>
      <c r="Z37" s="286"/>
      <c r="AB37" s="219">
        <v>12</v>
      </c>
      <c r="AC37" s="214">
        <v>1.0024999999999999</v>
      </c>
      <c r="AD37" s="218" t="str">
        <f>IF($F$24=AB37,AC37,"")</f>
        <v/>
      </c>
    </row>
    <row r="38" spans="1:30" ht="25.5" customHeight="1" x14ac:dyDescent="0.25">
      <c r="A38" s="219"/>
      <c r="B38" s="297"/>
      <c r="C38" s="294"/>
      <c r="D38" s="294"/>
      <c r="E38" s="296"/>
      <c r="F38" s="296"/>
      <c r="G38" s="296"/>
      <c r="H38" s="296"/>
      <c r="I38" s="296"/>
      <c r="J38" s="296"/>
      <c r="K38" s="296"/>
      <c r="L38" s="296"/>
      <c r="M38" s="296"/>
      <c r="N38" s="295" t="str">
        <f>IF(E38&lt;&gt;"",E38/(((H38-K38)/$F$27)-((H38-E38)/$S$24)),"")</f>
        <v/>
      </c>
      <c r="O38" s="295"/>
      <c r="P38" s="295"/>
      <c r="Q38" s="295" t="str">
        <f>IF(N38&lt;&gt;"",(N38/$S$27)*100,"")</f>
        <v/>
      </c>
      <c r="R38" s="295"/>
      <c r="S38" s="295"/>
      <c r="T38" s="295" t="str">
        <f>IF(Q38&lt;&gt;"",100-Q38,"")</f>
        <v/>
      </c>
      <c r="U38" s="295"/>
      <c r="V38" s="295"/>
      <c r="W38" s="294"/>
      <c r="X38" s="294"/>
      <c r="Y38" s="293"/>
      <c r="Z38" s="286"/>
      <c r="AB38" s="219">
        <v>13</v>
      </c>
      <c r="AC38" s="214">
        <v>1.0023</v>
      </c>
      <c r="AD38" s="218" t="str">
        <f>IF($F$24=AB38,AC38,"")</f>
        <v/>
      </c>
    </row>
    <row r="39" spans="1:30" ht="25.5" customHeight="1" thickBot="1" x14ac:dyDescent="0.3">
      <c r="A39" s="219"/>
      <c r="B39" s="292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0"/>
      <c r="Z39" s="286"/>
      <c r="AB39" s="219">
        <v>14</v>
      </c>
      <c r="AC39" s="214">
        <v>1.0022</v>
      </c>
      <c r="AD39" s="218" t="str">
        <f>IF($F$24=AB39,AC39,"")</f>
        <v/>
      </c>
    </row>
    <row r="40" spans="1:30" ht="12.75" customHeight="1" x14ac:dyDescent="0.25"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9"/>
      <c r="O40" s="289"/>
      <c r="P40" s="289"/>
      <c r="Q40" s="288"/>
      <c r="R40" s="288"/>
      <c r="S40" s="288"/>
      <c r="T40" s="288"/>
      <c r="U40" s="288"/>
      <c r="V40" s="288"/>
      <c r="W40" s="287"/>
      <c r="X40" s="287"/>
      <c r="Y40" s="287"/>
      <c r="Z40" s="286"/>
      <c r="AB40" s="219">
        <v>15</v>
      </c>
      <c r="AC40" s="214">
        <v>1.0021</v>
      </c>
      <c r="AD40" s="218" t="str">
        <f>IF($F$24=AB40,AC40,"")</f>
        <v/>
      </c>
    </row>
    <row r="41" spans="1:30" ht="15.9" customHeight="1" x14ac:dyDescent="0.25">
      <c r="A41" s="285"/>
      <c r="B41" s="284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2"/>
      <c r="AB41" s="219">
        <v>16</v>
      </c>
      <c r="AC41" s="214">
        <v>1.0019</v>
      </c>
      <c r="AD41" s="218" t="str">
        <f>IF($F$24=AB41,AC41,"")</f>
        <v/>
      </c>
    </row>
    <row r="42" spans="1:30" ht="12.75" customHeight="1" x14ac:dyDescent="0.25">
      <c r="A42" s="281"/>
      <c r="B42" s="280"/>
      <c r="AB42" s="219">
        <v>17</v>
      </c>
      <c r="AC42" s="214">
        <v>1.0017</v>
      </c>
      <c r="AD42" s="218" t="str">
        <f>IF($F$24=AB42,AC42,"")</f>
        <v/>
      </c>
    </row>
    <row r="43" spans="1:30" s="220" customFormat="1" ht="30.75" customHeight="1" x14ac:dyDescent="0.3">
      <c r="A43" s="279" t="s">
        <v>50</v>
      </c>
      <c r="B43" s="278" t="s">
        <v>51</v>
      </c>
      <c r="C43" s="277"/>
      <c r="D43" s="277"/>
      <c r="E43" s="277"/>
      <c r="F43" s="276"/>
      <c r="G43" s="276"/>
      <c r="H43" s="276"/>
      <c r="I43" s="275"/>
      <c r="J43" s="275"/>
      <c r="K43" s="275"/>
      <c r="L43" s="275"/>
      <c r="M43" s="275"/>
      <c r="N43" s="275"/>
      <c r="O43" s="275"/>
      <c r="P43" s="275"/>
      <c r="Q43" s="276"/>
      <c r="R43" s="275"/>
      <c r="S43" s="275"/>
      <c r="T43" s="275"/>
      <c r="U43" s="274"/>
      <c r="V43" s="274"/>
      <c r="W43" s="274"/>
      <c r="X43" s="273"/>
      <c r="Y43" s="273"/>
      <c r="Z43" s="272"/>
      <c r="AA43" s="251"/>
      <c r="AB43" s="219">
        <v>18</v>
      </c>
      <c r="AC43" s="214">
        <v>1.0016</v>
      </c>
      <c r="AD43" s="218" t="str">
        <f>IF($F$24=AB43,AC43,"")</f>
        <v/>
      </c>
    </row>
    <row r="44" spans="1:30" s="220" customFormat="1" ht="28.5" customHeight="1" x14ac:dyDescent="0.3">
      <c r="A44" s="271" t="s">
        <v>52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69"/>
      <c r="R44" s="235" t="s">
        <v>53</v>
      </c>
      <c r="S44" s="234"/>
      <c r="T44" s="233"/>
      <c r="U44" s="268" t="s">
        <v>70</v>
      </c>
      <c r="V44" s="267"/>
      <c r="W44" s="267"/>
      <c r="X44" s="266"/>
      <c r="Y44" s="266"/>
      <c r="Z44" s="265"/>
      <c r="AA44" s="251"/>
      <c r="AB44" s="219">
        <v>19</v>
      </c>
      <c r="AC44" s="214">
        <v>1.0014000000000001</v>
      </c>
      <c r="AD44" s="218" t="str">
        <f>IF($F$24=AB44,AC44,"")</f>
        <v/>
      </c>
    </row>
    <row r="45" spans="1:30" s="220" customFormat="1" ht="14.25" customHeight="1" x14ac:dyDescent="0.3">
      <c r="A45" s="260" t="s">
        <v>69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8"/>
      <c r="R45" s="235" t="s">
        <v>56</v>
      </c>
      <c r="S45" s="234"/>
      <c r="T45" s="233"/>
      <c r="U45" s="264" t="s">
        <v>71</v>
      </c>
      <c r="V45" s="263"/>
      <c r="W45" s="263"/>
      <c r="X45" s="262"/>
      <c r="Y45" s="262"/>
      <c r="Z45" s="261"/>
      <c r="AA45" s="251"/>
      <c r="AB45" s="219">
        <v>20</v>
      </c>
      <c r="AC45" s="214">
        <v>1.0012000000000001</v>
      </c>
      <c r="AD45" s="218" t="str">
        <f>IF($F$24=AB45,AC45,"")</f>
        <v/>
      </c>
    </row>
    <row r="46" spans="1:30" s="220" customFormat="1" ht="9" customHeight="1" x14ac:dyDescent="0.3">
      <c r="A46" s="260"/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8"/>
      <c r="R46" s="235"/>
      <c r="S46" s="234"/>
      <c r="T46" s="233"/>
      <c r="U46" s="254"/>
      <c r="V46" s="253"/>
      <c r="W46" s="253"/>
      <c r="X46" s="231"/>
      <c r="Y46" s="231"/>
      <c r="Z46" s="252"/>
      <c r="AA46" s="251"/>
      <c r="AB46" s="219">
        <v>21</v>
      </c>
      <c r="AC46" s="239">
        <v>1.0009999999999999</v>
      </c>
      <c r="AD46" s="218">
        <f>IF($F$24=AB46,AC46,"")</f>
        <v>1.0009999999999999</v>
      </c>
    </row>
    <row r="47" spans="1:30" s="220" customFormat="1" ht="12.75" customHeight="1" x14ac:dyDescent="0.3">
      <c r="A47" s="257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5"/>
      <c r="R47" s="235"/>
      <c r="S47" s="234"/>
      <c r="T47" s="233"/>
      <c r="U47" s="254"/>
      <c r="V47" s="253"/>
      <c r="W47" s="253"/>
      <c r="X47" s="231"/>
      <c r="Y47" s="231"/>
      <c r="Z47" s="252"/>
      <c r="AA47" s="251"/>
      <c r="AB47" s="219">
        <v>22</v>
      </c>
      <c r="AC47" s="214">
        <v>1.0006999999999999</v>
      </c>
      <c r="AD47" s="218" t="str">
        <f>IF($F$24=AB47,AC47,"")</f>
        <v/>
      </c>
    </row>
    <row r="48" spans="1:30" s="220" customFormat="1" ht="14.25" customHeight="1" x14ac:dyDescent="0.25">
      <c r="A48" s="250" t="s">
        <v>58</v>
      </c>
      <c r="B48" s="249" t="s">
        <v>59</v>
      </c>
      <c r="C48" s="213"/>
      <c r="D48" s="213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7"/>
      <c r="R48" s="235"/>
      <c r="S48" s="234"/>
      <c r="T48" s="233"/>
      <c r="U48" s="246"/>
      <c r="V48" s="245"/>
      <c r="W48" s="245"/>
      <c r="X48" s="244"/>
      <c r="Y48" s="244"/>
      <c r="Z48" s="243"/>
      <c r="AB48" s="219">
        <v>23</v>
      </c>
      <c r="AC48" s="214">
        <v>1.0004999999999999</v>
      </c>
      <c r="AD48" s="218" t="str">
        <f>IF($F$24=AB48,AC48,"")</f>
        <v/>
      </c>
    </row>
    <row r="49" spans="1:30" s="220" customFormat="1" ht="12.75" customHeight="1" x14ac:dyDescent="0.25">
      <c r="A49" s="238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6"/>
      <c r="R49" s="235" t="s">
        <v>60</v>
      </c>
      <c r="S49" s="234"/>
      <c r="T49" s="233"/>
      <c r="U49" s="242"/>
      <c r="V49" s="241"/>
      <c r="W49" s="241"/>
      <c r="X49" s="241"/>
      <c r="Y49" s="241"/>
      <c r="Z49" s="240"/>
      <c r="AB49" s="219">
        <v>24</v>
      </c>
      <c r="AC49" s="214">
        <v>1.0003</v>
      </c>
      <c r="AD49" s="218" t="str">
        <f>IF($F$24=AB49,AC49,"")</f>
        <v/>
      </c>
    </row>
    <row r="50" spans="1:30" s="220" customFormat="1" ht="16.5" customHeight="1" x14ac:dyDescent="0.25">
      <c r="A50" s="238"/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6"/>
      <c r="R50" s="235"/>
      <c r="S50" s="234"/>
      <c r="T50" s="233"/>
      <c r="U50" s="232"/>
      <c r="V50" s="231"/>
      <c r="W50" s="231"/>
      <c r="X50" s="231"/>
      <c r="Y50" s="231"/>
      <c r="Z50" s="230"/>
      <c r="AB50" s="219">
        <v>25</v>
      </c>
      <c r="AC50" s="239">
        <v>1</v>
      </c>
      <c r="AD50" s="218" t="str">
        <f>IF($F$24=AB50,AC50,"")</f>
        <v/>
      </c>
    </row>
    <row r="51" spans="1:30" s="220" customFormat="1" ht="15.6" customHeight="1" x14ac:dyDescent="0.25">
      <c r="A51" s="238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6"/>
      <c r="R51" s="235"/>
      <c r="S51" s="234"/>
      <c r="T51" s="233"/>
      <c r="U51" s="232"/>
      <c r="V51" s="231"/>
      <c r="W51" s="231"/>
      <c r="X51" s="231"/>
      <c r="Y51" s="231"/>
      <c r="Z51" s="230"/>
      <c r="AB51" s="219">
        <v>26</v>
      </c>
      <c r="AC51" s="214">
        <v>0.99970000000000003</v>
      </c>
      <c r="AD51" s="218" t="str">
        <f>IF($F$24=AB51,AC51,"")</f>
        <v/>
      </c>
    </row>
    <row r="52" spans="1:30" s="220" customFormat="1" ht="15" customHeight="1" x14ac:dyDescent="0.25">
      <c r="A52" s="229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7"/>
      <c r="R52" s="226"/>
      <c r="S52" s="225"/>
      <c r="T52" s="224"/>
      <c r="U52" s="223"/>
      <c r="V52" s="222"/>
      <c r="W52" s="222"/>
      <c r="X52" s="222"/>
      <c r="Y52" s="222"/>
      <c r="Z52" s="221"/>
      <c r="AB52" s="219">
        <v>27</v>
      </c>
      <c r="AC52" s="214">
        <v>0.99950000000000006</v>
      </c>
      <c r="AD52" s="218" t="str">
        <f>IF($F$24=AB52,AC52,"")</f>
        <v/>
      </c>
    </row>
    <row r="53" spans="1:30" ht="12.75" customHeight="1" x14ac:dyDescent="0.25">
      <c r="AB53" s="219">
        <v>28</v>
      </c>
      <c r="AC53" s="214">
        <v>0.99919999999999998</v>
      </c>
      <c r="AD53" s="218" t="str">
        <f>IF($F$24=AB53,AC53,"")</f>
        <v/>
      </c>
    </row>
    <row r="54" spans="1:30" ht="12.75" customHeight="1" x14ac:dyDescent="0.25">
      <c r="AB54" s="219">
        <v>29</v>
      </c>
      <c r="AC54" s="214">
        <v>0.99890000000000001</v>
      </c>
      <c r="AD54" s="218" t="str">
        <f>IF($F$24=AB54,AC54,"")</f>
        <v/>
      </c>
    </row>
    <row r="55" spans="1:30" ht="12.75" customHeight="1" x14ac:dyDescent="0.25">
      <c r="AB55" s="217">
        <v>30</v>
      </c>
      <c r="AC55" s="216">
        <v>0.99860000000000004</v>
      </c>
      <c r="AD55" s="215" t="str">
        <f>IF($F$24=AB55,AC55,"")</f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02">
    <mergeCell ref="Q39:S39"/>
    <mergeCell ref="Q38:S38"/>
    <mergeCell ref="T38:V38"/>
    <mergeCell ref="W38:Y38"/>
    <mergeCell ref="A45:Q47"/>
    <mergeCell ref="A44:Q44"/>
    <mergeCell ref="V50:Y51"/>
    <mergeCell ref="A49:Q52"/>
    <mergeCell ref="R49:T52"/>
    <mergeCell ref="H39:J39"/>
    <mergeCell ref="K39:M39"/>
    <mergeCell ref="N39:P39"/>
    <mergeCell ref="K32:M34"/>
    <mergeCell ref="N32:P34"/>
    <mergeCell ref="Q32:S34"/>
    <mergeCell ref="H35:J35"/>
    <mergeCell ref="K35:M35"/>
    <mergeCell ref="N35:P35"/>
    <mergeCell ref="AB32:AB34"/>
    <mergeCell ref="AC32:AC34"/>
    <mergeCell ref="B36:D36"/>
    <mergeCell ref="E36:G36"/>
    <mergeCell ref="H36:J36"/>
    <mergeCell ref="K36:M36"/>
    <mergeCell ref="N36:P36"/>
    <mergeCell ref="Q36:S36"/>
    <mergeCell ref="T36:V36"/>
    <mergeCell ref="W36:Y36"/>
    <mergeCell ref="K37:M37"/>
    <mergeCell ref="N37:P37"/>
    <mergeCell ref="B38:D38"/>
    <mergeCell ref="E38:G38"/>
    <mergeCell ref="N38:P38"/>
    <mergeCell ref="B35:D35"/>
    <mergeCell ref="E35:G35"/>
    <mergeCell ref="H32:J34"/>
    <mergeCell ref="B37:D37"/>
    <mergeCell ref="E37:G37"/>
    <mergeCell ref="H37:J37"/>
    <mergeCell ref="U45:Z48"/>
    <mergeCell ref="T35:V35"/>
    <mergeCell ref="W35:Y35"/>
    <mergeCell ref="B39:D39"/>
    <mergeCell ref="E39:G39"/>
    <mergeCell ref="R45:T48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N12:R12"/>
    <mergeCell ref="H10:M10"/>
    <mergeCell ref="H11:M11"/>
    <mergeCell ref="H12:M12"/>
    <mergeCell ref="B18:H18"/>
    <mergeCell ref="B12:G12"/>
    <mergeCell ref="B11:G11"/>
    <mergeCell ref="B17:H17"/>
    <mergeCell ref="I18:Y18"/>
    <mergeCell ref="I17:Y17"/>
    <mergeCell ref="T39:V39"/>
    <mergeCell ref="W39:Y39"/>
    <mergeCell ref="H38:J38"/>
    <mergeCell ref="K38:M38"/>
    <mergeCell ref="B24:E26"/>
    <mergeCell ref="B27:E29"/>
    <mergeCell ref="W27:Y29"/>
    <mergeCell ref="B32:D34"/>
    <mergeCell ref="E32:G34"/>
    <mergeCell ref="R44:T44"/>
    <mergeCell ref="U43:Z43"/>
    <mergeCell ref="U44:Z44"/>
    <mergeCell ref="S12:Y12"/>
    <mergeCell ref="T32:V34"/>
    <mergeCell ref="W32:Y34"/>
    <mergeCell ref="Q37:S37"/>
    <mergeCell ref="T37:V37"/>
    <mergeCell ref="W37:Y37"/>
    <mergeCell ref="Q35:S35"/>
    <mergeCell ref="J5:K5"/>
    <mergeCell ref="L5:O5"/>
    <mergeCell ref="P5:T5"/>
    <mergeCell ref="J6:K6"/>
    <mergeCell ref="L6:O6"/>
    <mergeCell ref="S11:Y11"/>
    <mergeCell ref="N10:R10"/>
    <mergeCell ref="N11:R11"/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0F35-A639-406A-B689-89A241879429}">
  <sheetPr>
    <pageSetUpPr fitToPage="1"/>
  </sheetPr>
  <dimension ref="A1:AF55"/>
  <sheetViews>
    <sheetView workbookViewId="0">
      <selection activeCell="I18" sqref="I18:Y18"/>
    </sheetView>
  </sheetViews>
  <sheetFormatPr baseColWidth="10" defaultColWidth="11.44140625" defaultRowHeight="12.75" customHeight="1" x14ac:dyDescent="0.25"/>
  <cols>
    <col min="1" max="1" width="5.109375" style="54" customWidth="1"/>
    <col min="2" max="26" width="5.109375" style="11" customWidth="1"/>
    <col min="27" max="27" width="20" style="11" customWidth="1"/>
    <col min="28" max="28" width="28.109375" style="11" customWidth="1"/>
    <col min="29" max="29" width="22.88671875" style="11" customWidth="1"/>
    <col min="30" max="30" width="29.33203125" style="11" customWidth="1"/>
    <col min="31" max="31" width="11.44140625" style="11"/>
    <col min="32" max="16384" width="11.44140625" style="81"/>
  </cols>
  <sheetData>
    <row r="1" spans="1:32" ht="12.75" customHeight="1" x14ac:dyDescent="0.25">
      <c r="A1" s="88"/>
      <c r="B1" s="89"/>
      <c r="C1" s="89"/>
      <c r="D1" s="89"/>
      <c r="E1" s="89"/>
      <c r="F1" s="90"/>
      <c r="G1" s="97" t="s">
        <v>0</v>
      </c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  <c r="U1" s="100" t="s">
        <v>68</v>
      </c>
      <c r="V1" s="101"/>
      <c r="W1" s="101"/>
      <c r="X1" s="101"/>
      <c r="Y1" s="101"/>
      <c r="Z1" s="102"/>
    </row>
    <row r="2" spans="1:32" ht="12.75" customHeight="1" x14ac:dyDescent="0.3">
      <c r="A2" s="91"/>
      <c r="B2" s="92"/>
      <c r="C2" s="92"/>
      <c r="D2" s="92"/>
      <c r="E2" s="92"/>
      <c r="F2" s="93"/>
      <c r="G2" s="109" t="s">
        <v>1</v>
      </c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1"/>
      <c r="U2" s="103"/>
      <c r="V2" s="104"/>
      <c r="W2" s="104"/>
      <c r="X2" s="104"/>
      <c r="Y2" s="104"/>
      <c r="Z2" s="105"/>
      <c r="AA2" s="72"/>
      <c r="AB2" s="72"/>
    </row>
    <row r="3" spans="1:32" ht="12.75" customHeight="1" x14ac:dyDescent="0.3">
      <c r="A3" s="91"/>
      <c r="B3" s="92"/>
      <c r="C3" s="92"/>
      <c r="D3" s="92"/>
      <c r="E3" s="92"/>
      <c r="F3" s="9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1"/>
      <c r="U3" s="103"/>
      <c r="V3" s="104"/>
      <c r="W3" s="104"/>
      <c r="X3" s="104"/>
      <c r="Y3" s="104"/>
      <c r="Z3" s="105"/>
      <c r="AA3" s="72"/>
      <c r="AB3" s="72"/>
    </row>
    <row r="4" spans="1:32" ht="12.75" customHeight="1" x14ac:dyDescent="0.3">
      <c r="A4" s="91"/>
      <c r="B4" s="92"/>
      <c r="C4" s="92"/>
      <c r="D4" s="92"/>
      <c r="E4" s="92"/>
      <c r="F4" s="93"/>
      <c r="G4" s="109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1"/>
      <c r="U4" s="103"/>
      <c r="V4" s="104"/>
      <c r="W4" s="104"/>
      <c r="X4" s="104"/>
      <c r="Y4" s="104"/>
      <c r="Z4" s="105"/>
      <c r="AA4" s="72"/>
      <c r="AB4" s="72"/>
    </row>
    <row r="5" spans="1:32" ht="12.75" customHeight="1" x14ac:dyDescent="0.3">
      <c r="A5" s="91"/>
      <c r="B5" s="92"/>
      <c r="C5" s="92"/>
      <c r="D5" s="92"/>
      <c r="E5" s="92"/>
      <c r="F5" s="93"/>
      <c r="G5" s="112"/>
      <c r="H5" s="113"/>
      <c r="I5" s="2" t="s">
        <v>2</v>
      </c>
      <c r="J5" s="114">
        <v>2</v>
      </c>
      <c r="K5" s="115"/>
      <c r="L5" s="116" t="s">
        <v>67</v>
      </c>
      <c r="M5" s="117"/>
      <c r="N5" s="117"/>
      <c r="O5" s="118"/>
      <c r="P5" s="119" t="s">
        <v>64</v>
      </c>
      <c r="Q5" s="120"/>
      <c r="R5" s="120"/>
      <c r="S5" s="120"/>
      <c r="T5" s="121"/>
      <c r="U5" s="103"/>
      <c r="V5" s="104"/>
      <c r="W5" s="104"/>
      <c r="X5" s="104"/>
      <c r="Y5" s="104"/>
      <c r="Z5" s="105"/>
      <c r="AA5" s="72"/>
      <c r="AB5" s="72"/>
    </row>
    <row r="6" spans="1:32" ht="12.75" customHeight="1" x14ac:dyDescent="0.25">
      <c r="A6" s="94"/>
      <c r="B6" s="95"/>
      <c r="C6" s="95"/>
      <c r="D6" s="95"/>
      <c r="E6" s="95"/>
      <c r="F6" s="96"/>
      <c r="G6" s="3"/>
      <c r="H6" s="4"/>
      <c r="I6" s="4"/>
      <c r="J6" s="82" t="s">
        <v>5</v>
      </c>
      <c r="K6" s="82"/>
      <c r="L6" s="82" t="s">
        <v>6</v>
      </c>
      <c r="M6" s="82"/>
      <c r="N6" s="82"/>
      <c r="O6" s="82"/>
      <c r="P6" s="82" t="s">
        <v>7</v>
      </c>
      <c r="Q6" s="82"/>
      <c r="R6" s="82"/>
      <c r="S6" s="82"/>
      <c r="T6" s="83"/>
      <c r="U6" s="106"/>
      <c r="V6" s="107"/>
      <c r="W6" s="107"/>
      <c r="X6" s="107"/>
      <c r="Y6" s="107"/>
      <c r="Z6" s="108"/>
    </row>
    <row r="7" spans="1:32" ht="37.5" customHeight="1" x14ac:dyDescent="0.25">
      <c r="A7" s="84" t="s">
        <v>8</v>
      </c>
      <c r="B7" s="84"/>
      <c r="C7" s="84"/>
      <c r="D7" s="84"/>
      <c r="E7" s="84"/>
      <c r="F7" s="84"/>
      <c r="G7" s="85" t="s">
        <v>66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32" ht="15.9" customHeight="1" x14ac:dyDescent="0.3">
      <c r="A8" s="73" t="s">
        <v>10</v>
      </c>
      <c r="B8" s="74" t="s">
        <v>11</v>
      </c>
      <c r="C8" s="75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72"/>
      <c r="AF8" s="72" t="s">
        <v>65</v>
      </c>
    </row>
    <row r="9" spans="1:32" ht="8.25" customHeight="1" x14ac:dyDescent="0.3">
      <c r="A9" s="10"/>
      <c r="D9" s="54"/>
      <c r="E9" s="54"/>
      <c r="F9" s="54"/>
      <c r="G9" s="54"/>
      <c r="Z9" s="13"/>
      <c r="AB9" s="72"/>
      <c r="AF9" s="72" t="s">
        <v>4</v>
      </c>
    </row>
    <row r="10" spans="1:32" ht="15.9" customHeight="1" x14ac:dyDescent="0.3">
      <c r="A10" s="10"/>
      <c r="B10" s="86" t="s">
        <v>14</v>
      </c>
      <c r="C10" s="86"/>
      <c r="D10" s="86"/>
      <c r="E10" s="86"/>
      <c r="F10" s="86"/>
      <c r="G10" s="86"/>
      <c r="H10" s="158" t="s">
        <v>65</v>
      </c>
      <c r="I10" s="158"/>
      <c r="J10" s="158"/>
      <c r="K10" s="158"/>
      <c r="L10" s="158"/>
      <c r="M10" s="158"/>
      <c r="N10" s="86" t="s">
        <v>15</v>
      </c>
      <c r="O10" s="86"/>
      <c r="P10" s="86"/>
      <c r="Q10" s="86"/>
      <c r="R10" s="86"/>
      <c r="S10" s="413" t="s">
        <v>75</v>
      </c>
      <c r="T10" s="87"/>
      <c r="U10" s="87"/>
      <c r="V10" s="87"/>
      <c r="W10" s="87"/>
      <c r="X10" s="87"/>
      <c r="Y10" s="87"/>
      <c r="Z10" s="14"/>
      <c r="AB10" s="72"/>
      <c r="AF10" s="72" t="s">
        <v>64</v>
      </c>
    </row>
    <row r="11" spans="1:32" ht="15.9" customHeight="1" x14ac:dyDescent="0.3">
      <c r="A11" s="10"/>
      <c r="B11" s="86" t="s">
        <v>17</v>
      </c>
      <c r="C11" s="86"/>
      <c r="D11" s="86"/>
      <c r="E11" s="86"/>
      <c r="F11" s="86"/>
      <c r="G11" s="86"/>
      <c r="H11" s="158" t="s">
        <v>4</v>
      </c>
      <c r="I11" s="158"/>
      <c r="J11" s="158"/>
      <c r="K11" s="158"/>
      <c r="L11" s="158"/>
      <c r="M11" s="158"/>
      <c r="N11" s="86" t="s">
        <v>18</v>
      </c>
      <c r="O11" s="86"/>
      <c r="P11" s="86"/>
      <c r="Q11" s="86"/>
      <c r="R11" s="86"/>
      <c r="S11" s="413" t="s">
        <v>76</v>
      </c>
      <c r="T11" s="87"/>
      <c r="U11" s="87"/>
      <c r="V11" s="87"/>
      <c r="W11" s="87"/>
      <c r="X11" s="87"/>
      <c r="Y11" s="87"/>
      <c r="Z11" s="14"/>
      <c r="AB11" s="72"/>
      <c r="AF11" s="72" t="s">
        <v>16</v>
      </c>
    </row>
    <row r="12" spans="1:32" ht="15.9" customHeight="1" x14ac:dyDescent="0.3">
      <c r="A12" s="10"/>
      <c r="B12" s="86" t="s">
        <v>20</v>
      </c>
      <c r="C12" s="86"/>
      <c r="D12" s="86"/>
      <c r="E12" s="86"/>
      <c r="F12" s="86"/>
      <c r="G12" s="86"/>
      <c r="H12" s="158" t="s">
        <v>64</v>
      </c>
      <c r="I12" s="158"/>
      <c r="J12" s="158"/>
      <c r="K12" s="158"/>
      <c r="L12" s="158"/>
      <c r="M12" s="158"/>
      <c r="N12" s="86" t="s">
        <v>21</v>
      </c>
      <c r="O12" s="86"/>
      <c r="P12" s="86"/>
      <c r="Q12" s="86"/>
      <c r="R12" s="86"/>
      <c r="S12" s="87" t="s">
        <v>63</v>
      </c>
      <c r="T12" s="87"/>
      <c r="U12" s="87"/>
      <c r="V12" s="87"/>
      <c r="W12" s="87"/>
      <c r="X12" s="87"/>
      <c r="Y12" s="87"/>
      <c r="Z12" s="14"/>
      <c r="AB12" s="72"/>
      <c r="AF12" s="72" t="s">
        <v>19</v>
      </c>
    </row>
    <row r="13" spans="1:32" ht="8.25" customHeight="1" x14ac:dyDescent="0.3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  <c r="AB13" s="72"/>
      <c r="AF13" s="72" t="s">
        <v>63</v>
      </c>
    </row>
    <row r="14" spans="1:32" s="25" customFormat="1" ht="15" customHeight="1" x14ac:dyDescent="0.25">
      <c r="B14" s="20"/>
      <c r="C14" s="20"/>
      <c r="K14" s="21"/>
      <c r="L14" s="20"/>
      <c r="M14" s="22"/>
    </row>
    <row r="15" spans="1:32" s="25" customFormat="1" ht="13.8" customHeight="1" x14ac:dyDescent="0.25">
      <c r="A15" s="73" t="s">
        <v>23</v>
      </c>
      <c r="B15" s="76" t="s">
        <v>24</v>
      </c>
      <c r="C15" s="77"/>
      <c r="D15" s="77"/>
      <c r="E15" s="77"/>
      <c r="F15" s="77"/>
      <c r="G15" s="77"/>
      <c r="H15" s="7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1:32" s="25" customFormat="1" ht="13.8" customHeight="1" x14ac:dyDescent="0.25">
      <c r="A16" s="78"/>
      <c r="B16" s="79"/>
      <c r="C16" s="80"/>
      <c r="D16" s="80"/>
      <c r="E16" s="80"/>
      <c r="F16" s="80"/>
      <c r="G16" s="80"/>
      <c r="H16" s="80"/>
      <c r="Z16" s="26"/>
    </row>
    <row r="17" spans="1:32" s="25" customFormat="1" ht="15" customHeight="1" x14ac:dyDescent="0.25">
      <c r="A17" s="78"/>
      <c r="B17" s="159" t="s">
        <v>25</v>
      </c>
      <c r="C17" s="159"/>
      <c r="D17" s="159"/>
      <c r="E17" s="159"/>
      <c r="F17" s="159"/>
      <c r="G17" s="159"/>
      <c r="H17" s="159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27"/>
    </row>
    <row r="18" spans="1:32" s="25" customFormat="1" ht="15" customHeight="1" x14ac:dyDescent="0.25">
      <c r="A18" s="78"/>
      <c r="B18" s="159" t="s">
        <v>26</v>
      </c>
      <c r="C18" s="159"/>
      <c r="D18" s="159"/>
      <c r="E18" s="159"/>
      <c r="F18" s="159"/>
      <c r="G18" s="159"/>
      <c r="H18" s="159"/>
      <c r="I18" s="211" t="s">
        <v>74</v>
      </c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7"/>
    </row>
    <row r="19" spans="1:32" s="25" customFormat="1" ht="13.2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1:32" ht="12.75" customHeight="1" x14ac:dyDescent="0.25">
      <c r="D20" s="54"/>
      <c r="E20" s="54"/>
      <c r="F20" s="54"/>
      <c r="G20" s="54"/>
      <c r="N20" s="31"/>
    </row>
    <row r="21" spans="1:32" ht="15.9" customHeight="1" x14ac:dyDescent="0.25">
      <c r="A21" s="5" t="s">
        <v>27</v>
      </c>
      <c r="B21" s="6" t="s">
        <v>28</v>
      </c>
      <c r="C21" s="32"/>
      <c r="D21" s="33"/>
      <c r="E21" s="33"/>
      <c r="F21" s="33"/>
      <c r="G21" s="33"/>
      <c r="H21" s="32"/>
      <c r="I21" s="32"/>
      <c r="J21" s="32"/>
      <c r="K21" s="32"/>
      <c r="L21" s="3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3"/>
    </row>
    <row r="23" spans="1:32" ht="12.75" customHeight="1" x14ac:dyDescent="0.25">
      <c r="A23" s="10"/>
      <c r="Z23" s="13"/>
    </row>
    <row r="24" spans="1:32" ht="12.75" customHeight="1" x14ac:dyDescent="0.25">
      <c r="A24" s="10"/>
      <c r="B24" s="149" t="s">
        <v>29</v>
      </c>
      <c r="C24" s="150"/>
      <c r="D24" s="150"/>
      <c r="E24" s="150"/>
      <c r="F24" s="150">
        <v>21</v>
      </c>
      <c r="G24" s="150"/>
      <c r="H24" s="150"/>
      <c r="I24" s="150"/>
      <c r="J24" s="160" t="s">
        <v>30</v>
      </c>
      <c r="K24" s="160"/>
      <c r="L24" s="161"/>
      <c r="O24" s="149" t="s">
        <v>31</v>
      </c>
      <c r="P24" s="154"/>
      <c r="Q24" s="154"/>
      <c r="R24" s="154"/>
      <c r="S24" s="150">
        <v>890</v>
      </c>
      <c r="T24" s="150"/>
      <c r="U24" s="150"/>
      <c r="V24" s="150"/>
      <c r="W24" s="160" t="s">
        <v>32</v>
      </c>
      <c r="X24" s="160"/>
      <c r="Y24" s="161"/>
      <c r="Z24" s="13"/>
      <c r="AA24" s="81"/>
    </row>
    <row r="25" spans="1:32" ht="12.75" customHeight="1" x14ac:dyDescent="0.25">
      <c r="A25" s="10"/>
      <c r="B25" s="151"/>
      <c r="C25" s="133"/>
      <c r="D25" s="133"/>
      <c r="E25" s="133"/>
      <c r="F25" s="133"/>
      <c r="G25" s="133"/>
      <c r="H25" s="133"/>
      <c r="I25" s="133"/>
      <c r="J25" s="162"/>
      <c r="K25" s="162"/>
      <c r="L25" s="163"/>
      <c r="O25" s="155"/>
      <c r="P25" s="137"/>
      <c r="Q25" s="137"/>
      <c r="R25" s="137"/>
      <c r="S25" s="133"/>
      <c r="T25" s="133"/>
      <c r="U25" s="133"/>
      <c r="V25" s="133"/>
      <c r="W25" s="162"/>
      <c r="X25" s="162"/>
      <c r="Y25" s="163"/>
      <c r="Z25" s="13"/>
      <c r="AA25" s="81"/>
    </row>
    <row r="26" spans="1:32" ht="12.75" customHeight="1" x14ac:dyDescent="0.25">
      <c r="A26" s="10"/>
      <c r="B26" s="152"/>
      <c r="C26" s="153"/>
      <c r="D26" s="153"/>
      <c r="E26" s="153"/>
      <c r="F26" s="153"/>
      <c r="G26" s="153"/>
      <c r="H26" s="153"/>
      <c r="I26" s="153"/>
      <c r="J26" s="164"/>
      <c r="K26" s="164"/>
      <c r="L26" s="165"/>
      <c r="O26" s="156"/>
      <c r="P26" s="157"/>
      <c r="Q26" s="157"/>
      <c r="R26" s="157"/>
      <c r="S26" s="153"/>
      <c r="T26" s="153"/>
      <c r="U26" s="153"/>
      <c r="V26" s="153"/>
      <c r="W26" s="164"/>
      <c r="X26" s="164"/>
      <c r="Y26" s="165"/>
      <c r="Z26" s="13"/>
      <c r="AA26" s="81"/>
    </row>
    <row r="27" spans="1:32" ht="12.75" customHeight="1" x14ac:dyDescent="0.25">
      <c r="A27" s="10"/>
      <c r="B27" s="149" t="s">
        <v>33</v>
      </c>
      <c r="C27" s="154"/>
      <c r="D27" s="154"/>
      <c r="E27" s="154"/>
      <c r="F27" s="166">
        <f>IF(F24&lt;&gt;"",(997.1*(SUM(AD35:AD55))),"")</f>
        <v>998.09709999999995</v>
      </c>
      <c r="G27" s="166"/>
      <c r="H27" s="166"/>
      <c r="I27" s="166"/>
      <c r="J27" s="160" t="s">
        <v>34</v>
      </c>
      <c r="K27" s="160"/>
      <c r="L27" s="161"/>
      <c r="O27" s="169" t="s">
        <v>35</v>
      </c>
      <c r="P27" s="150"/>
      <c r="Q27" s="150"/>
      <c r="R27" s="150"/>
      <c r="S27" s="150">
        <v>2486</v>
      </c>
      <c r="T27" s="150"/>
      <c r="U27" s="150"/>
      <c r="V27" s="150"/>
      <c r="W27" s="160" t="s">
        <v>34</v>
      </c>
      <c r="X27" s="160"/>
      <c r="Y27" s="161"/>
      <c r="Z27" s="13"/>
      <c r="AA27" s="81"/>
    </row>
    <row r="28" spans="1:32" ht="12.75" customHeight="1" x14ac:dyDescent="0.25">
      <c r="A28" s="10"/>
      <c r="B28" s="155"/>
      <c r="C28" s="137"/>
      <c r="D28" s="137"/>
      <c r="E28" s="137"/>
      <c r="F28" s="167"/>
      <c r="G28" s="167"/>
      <c r="H28" s="167"/>
      <c r="I28" s="167"/>
      <c r="J28" s="162"/>
      <c r="K28" s="162"/>
      <c r="L28" s="163"/>
      <c r="O28" s="151"/>
      <c r="P28" s="133"/>
      <c r="Q28" s="133"/>
      <c r="R28" s="133"/>
      <c r="S28" s="133"/>
      <c r="T28" s="133"/>
      <c r="U28" s="133"/>
      <c r="V28" s="133"/>
      <c r="W28" s="162"/>
      <c r="X28" s="162"/>
      <c r="Y28" s="163"/>
      <c r="Z28" s="13"/>
      <c r="AA28" s="81"/>
    </row>
    <row r="29" spans="1:32" ht="12.75" customHeight="1" x14ac:dyDescent="0.25">
      <c r="A29" s="10"/>
      <c r="B29" s="156"/>
      <c r="C29" s="157"/>
      <c r="D29" s="157"/>
      <c r="E29" s="157"/>
      <c r="F29" s="168"/>
      <c r="G29" s="168"/>
      <c r="H29" s="168"/>
      <c r="I29" s="168"/>
      <c r="J29" s="164"/>
      <c r="K29" s="164"/>
      <c r="L29" s="165"/>
      <c r="O29" s="152"/>
      <c r="P29" s="153"/>
      <c r="Q29" s="153"/>
      <c r="R29" s="153"/>
      <c r="S29" s="153"/>
      <c r="T29" s="153"/>
      <c r="U29" s="153"/>
      <c r="V29" s="153"/>
      <c r="W29" s="164"/>
      <c r="X29" s="164"/>
      <c r="Y29" s="165"/>
      <c r="Z29" s="13"/>
    </row>
    <row r="30" spans="1:32" ht="12.75" customHeight="1" x14ac:dyDescent="0.3">
      <c r="A30" s="10"/>
      <c r="B30" s="34"/>
      <c r="C30" s="35"/>
      <c r="D30" s="36"/>
      <c r="I30" s="37"/>
      <c r="J30" s="37"/>
      <c r="P30" s="35"/>
      <c r="Q30" s="35"/>
      <c r="R30" s="35"/>
      <c r="S30" s="35"/>
      <c r="T30" s="35"/>
      <c r="U30" s="35"/>
      <c r="V30" s="35"/>
      <c r="W30" s="36"/>
      <c r="Z30" s="13"/>
      <c r="AA30" s="72"/>
      <c r="AB30" s="72"/>
      <c r="AC30" s="72"/>
      <c r="AD30" s="72"/>
      <c r="AE30" s="72"/>
      <c r="AF30" s="72"/>
    </row>
    <row r="31" spans="1:32" ht="12.75" customHeight="1" thickBot="1" x14ac:dyDescent="0.3">
      <c r="A31" s="10"/>
      <c r="B31" s="34"/>
      <c r="C31" s="35"/>
      <c r="D31" s="36"/>
      <c r="E31" s="37"/>
      <c r="F31" s="38"/>
      <c r="G31" s="35"/>
      <c r="H31" s="36"/>
      <c r="I31" s="37"/>
      <c r="J31" s="37"/>
      <c r="Z31" s="13"/>
    </row>
    <row r="32" spans="1:32" ht="19.5" customHeight="1" x14ac:dyDescent="0.25">
      <c r="A32" s="10"/>
      <c r="B32" s="170" t="s">
        <v>36</v>
      </c>
      <c r="C32" s="135"/>
      <c r="D32" s="135"/>
      <c r="E32" s="135" t="s">
        <v>37</v>
      </c>
      <c r="F32" s="135"/>
      <c r="G32" s="135"/>
      <c r="H32" s="135" t="s">
        <v>38</v>
      </c>
      <c r="I32" s="135"/>
      <c r="J32" s="135"/>
      <c r="K32" s="135" t="s">
        <v>39</v>
      </c>
      <c r="L32" s="135"/>
      <c r="M32" s="135"/>
      <c r="N32" s="135" t="s">
        <v>40</v>
      </c>
      <c r="O32" s="135"/>
      <c r="P32" s="135"/>
      <c r="Q32" s="135" t="s">
        <v>41</v>
      </c>
      <c r="R32" s="135"/>
      <c r="S32" s="135"/>
      <c r="T32" s="132" t="s">
        <v>42</v>
      </c>
      <c r="U32" s="132"/>
      <c r="V32" s="132"/>
      <c r="W32" s="135" t="s">
        <v>43</v>
      </c>
      <c r="X32" s="135"/>
      <c r="Y32" s="136"/>
      <c r="Z32" s="13"/>
      <c r="AB32" s="88" t="s">
        <v>44</v>
      </c>
      <c r="AC32" s="89" t="s">
        <v>45</v>
      </c>
      <c r="AD32" s="90" t="s">
        <v>46</v>
      </c>
    </row>
    <row r="33" spans="1:30" ht="19.5" customHeight="1" x14ac:dyDescent="0.25">
      <c r="A33" s="10"/>
      <c r="B33" s="171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3"/>
      <c r="U33" s="133"/>
      <c r="V33" s="133"/>
      <c r="W33" s="137"/>
      <c r="X33" s="137"/>
      <c r="Y33" s="138"/>
      <c r="Z33" s="13"/>
      <c r="AB33" s="91"/>
      <c r="AC33" s="92"/>
      <c r="AD33" s="93"/>
    </row>
    <row r="34" spans="1:30" ht="19.5" customHeight="1" thickBot="1" x14ac:dyDescent="0.3">
      <c r="A34" s="10"/>
      <c r="B34" s="172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4"/>
      <c r="U34" s="134"/>
      <c r="V34" s="134"/>
      <c r="W34" s="139"/>
      <c r="X34" s="139"/>
      <c r="Y34" s="140"/>
      <c r="Z34" s="13"/>
      <c r="AB34" s="94"/>
      <c r="AC34" s="95"/>
      <c r="AD34" s="96"/>
    </row>
    <row r="35" spans="1:30" ht="25.5" customHeight="1" x14ac:dyDescent="0.25">
      <c r="A35" s="10"/>
      <c r="B35" s="191" t="s">
        <v>47</v>
      </c>
      <c r="C35" s="186"/>
      <c r="D35" s="186"/>
      <c r="E35" s="186">
        <v>2132.8000000000002</v>
      </c>
      <c r="F35" s="186"/>
      <c r="G35" s="186"/>
      <c r="H35" s="186">
        <v>2145.8000000000002</v>
      </c>
      <c r="I35" s="186"/>
      <c r="J35" s="186"/>
      <c r="K35" s="186">
        <v>1248</v>
      </c>
      <c r="L35" s="186"/>
      <c r="M35" s="186"/>
      <c r="N35" s="144">
        <f>IF(E35&lt;&gt;"",E35/(((H35-K35)/$F$27)-((H35-E35)/$S$24)),"")</f>
        <v>2410.2023906858913</v>
      </c>
      <c r="O35" s="144"/>
      <c r="P35" s="144"/>
      <c r="Q35" s="144">
        <f>IF(N35&lt;&gt;"",(N35/$S$27)*100,"")</f>
        <v>96.951021346978735</v>
      </c>
      <c r="R35" s="144"/>
      <c r="S35" s="144"/>
      <c r="T35" s="144">
        <f>IF(Q35&lt;&gt;"",100-Q35,"")</f>
        <v>3.0489786530212655</v>
      </c>
      <c r="U35" s="144"/>
      <c r="V35" s="144"/>
      <c r="W35" s="186">
        <v>8</v>
      </c>
      <c r="X35" s="186"/>
      <c r="Y35" s="187"/>
      <c r="Z35" s="13"/>
      <c r="AB35" s="10">
        <v>10</v>
      </c>
      <c r="AC35" s="54">
        <v>1.0026999999999999</v>
      </c>
      <c r="AD35" s="39" t="str">
        <f>IF($F$24=AB35,AC35,"")</f>
        <v/>
      </c>
    </row>
    <row r="36" spans="1:30" ht="25.5" customHeight="1" x14ac:dyDescent="0.25">
      <c r="A36" s="10"/>
      <c r="B36" s="173" t="s">
        <v>49</v>
      </c>
      <c r="C36" s="142"/>
      <c r="D36" s="142"/>
      <c r="E36" s="148">
        <v>2845.6</v>
      </c>
      <c r="F36" s="148"/>
      <c r="G36" s="148"/>
      <c r="H36" s="148">
        <v>2861.8</v>
      </c>
      <c r="I36" s="148"/>
      <c r="J36" s="148"/>
      <c r="K36" s="148">
        <v>1665.7</v>
      </c>
      <c r="L36" s="148"/>
      <c r="M36" s="148"/>
      <c r="N36" s="141">
        <f>IF(E36&lt;&gt;"",E36/(((H36-K36)/$F$27)-((H36-E36)/$S$24)),"")</f>
        <v>2411.1613978838805</v>
      </c>
      <c r="O36" s="141"/>
      <c r="P36" s="141"/>
      <c r="Q36" s="141">
        <f>IF(N36&lt;&gt;"",(N36/$S$27)*100,"")</f>
        <v>96.98959766226389</v>
      </c>
      <c r="R36" s="141"/>
      <c r="S36" s="141"/>
      <c r="T36" s="141">
        <f>IF(Q36&lt;&gt;"",100-Q36,"")</f>
        <v>3.0104023377361102</v>
      </c>
      <c r="U36" s="141"/>
      <c r="V36" s="141"/>
      <c r="W36" s="142">
        <v>10</v>
      </c>
      <c r="X36" s="142"/>
      <c r="Y36" s="143"/>
      <c r="Z36" s="13"/>
      <c r="AB36" s="10">
        <v>11</v>
      </c>
      <c r="AC36" s="54">
        <v>1.0025999999999999</v>
      </c>
      <c r="AD36" s="39" t="str">
        <f>IF($F$24=AB36,AC36,"")</f>
        <v/>
      </c>
    </row>
    <row r="37" spans="1:30" ht="25.5" customHeight="1" x14ac:dyDescent="0.25">
      <c r="A37" s="10"/>
      <c r="B37" s="173" t="s">
        <v>62</v>
      </c>
      <c r="C37" s="142"/>
      <c r="D37" s="142"/>
      <c r="E37" s="148">
        <v>2845.4</v>
      </c>
      <c r="F37" s="148"/>
      <c r="G37" s="148"/>
      <c r="H37" s="148">
        <v>2860.5</v>
      </c>
      <c r="I37" s="148"/>
      <c r="J37" s="148"/>
      <c r="K37" s="148">
        <v>1665.8</v>
      </c>
      <c r="L37" s="148"/>
      <c r="M37" s="148"/>
      <c r="N37" s="141">
        <f>IF(E37&lt;&gt;"",E37/(((H37-K37)/$F$27)-((H37-E37)/$S$24)),"")</f>
        <v>2411.3325611073337</v>
      </c>
      <c r="O37" s="141"/>
      <c r="P37" s="141"/>
      <c r="Q37" s="141">
        <f>IF(N37&lt;&gt;"",(N37/$S$27)*100,"")</f>
        <v>96.996482747680361</v>
      </c>
      <c r="R37" s="141"/>
      <c r="S37" s="141"/>
      <c r="T37" s="141">
        <f>IF(Q37&lt;&gt;"",100-Q37,"")</f>
        <v>3.0035172523196394</v>
      </c>
      <c r="U37" s="141"/>
      <c r="V37" s="141"/>
      <c r="W37" s="142">
        <v>10</v>
      </c>
      <c r="X37" s="142"/>
      <c r="Y37" s="143"/>
      <c r="Z37" s="13"/>
      <c r="AB37" s="10">
        <v>12</v>
      </c>
      <c r="AC37" s="54">
        <v>1.0024999999999999</v>
      </c>
      <c r="AD37" s="39" t="str">
        <f>IF($F$24=AB37,AC37,"")</f>
        <v/>
      </c>
    </row>
    <row r="38" spans="1:30" ht="25.5" customHeight="1" x14ac:dyDescent="0.25">
      <c r="A38" s="10"/>
      <c r="B38" s="189"/>
      <c r="C38" s="190"/>
      <c r="D38" s="190"/>
      <c r="E38" s="148"/>
      <c r="F38" s="148"/>
      <c r="G38" s="148"/>
      <c r="H38" s="148"/>
      <c r="I38" s="148"/>
      <c r="J38" s="148"/>
      <c r="K38" s="148"/>
      <c r="L38" s="148"/>
      <c r="M38" s="148"/>
      <c r="N38" s="141" t="str">
        <f>IF(E38&lt;&gt;"",E38/(((H38-K38)/$F$27)-((H38-E38)/$S$24)),"")</f>
        <v/>
      </c>
      <c r="O38" s="141"/>
      <c r="P38" s="141"/>
      <c r="Q38" s="141" t="str">
        <f>IF(N38&lt;&gt;"",(N38/$S$27)*100,"")</f>
        <v/>
      </c>
      <c r="R38" s="141"/>
      <c r="S38" s="141"/>
      <c r="T38" s="141" t="str">
        <f>IF(Q38&lt;&gt;"",100-Q38,"")</f>
        <v/>
      </c>
      <c r="U38" s="141"/>
      <c r="V38" s="141"/>
      <c r="W38" s="190"/>
      <c r="X38" s="190"/>
      <c r="Y38" s="192"/>
      <c r="Z38" s="13"/>
      <c r="AB38" s="10">
        <v>13</v>
      </c>
      <c r="AC38" s="54">
        <v>1.0023</v>
      </c>
      <c r="AD38" s="39" t="str">
        <f>IF($F$24=AB38,AC38,"")</f>
        <v/>
      </c>
    </row>
    <row r="39" spans="1:30" ht="25.5" customHeight="1" thickBot="1" x14ac:dyDescent="0.3">
      <c r="A39" s="10"/>
      <c r="B39" s="188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7"/>
      <c r="Z39" s="13"/>
      <c r="AB39" s="10">
        <v>14</v>
      </c>
      <c r="AC39" s="54">
        <v>1.0022</v>
      </c>
      <c r="AD39" s="39" t="str">
        <f>IF($F$24=AB39,AC39,"")</f>
        <v/>
      </c>
    </row>
    <row r="40" spans="1:30" ht="12.75" customHeight="1" x14ac:dyDescent="0.25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  <c r="O40" s="56"/>
      <c r="P40" s="56"/>
      <c r="Q40" s="57"/>
      <c r="R40" s="57"/>
      <c r="S40" s="57"/>
      <c r="T40" s="57"/>
      <c r="U40" s="57"/>
      <c r="V40" s="57"/>
      <c r="W40" s="55"/>
      <c r="X40" s="55"/>
      <c r="Y40" s="55"/>
      <c r="Z40" s="13"/>
      <c r="AB40" s="10">
        <v>15</v>
      </c>
      <c r="AC40" s="54">
        <v>1.0021</v>
      </c>
      <c r="AD40" s="39" t="str">
        <f>IF($F$24=AB40,AC40,"")</f>
        <v/>
      </c>
    </row>
    <row r="41" spans="1:30" ht="15.9" customHeight="1" x14ac:dyDescent="0.25">
      <c r="A41" s="44"/>
      <c r="B41" s="4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18"/>
      <c r="AB41" s="10">
        <v>16</v>
      </c>
      <c r="AC41" s="54">
        <v>1.0019</v>
      </c>
      <c r="AD41" s="39" t="str">
        <f>IF($F$24=AB41,AC41,"")</f>
        <v/>
      </c>
    </row>
    <row r="42" spans="1:30" ht="12.75" customHeight="1" x14ac:dyDescent="0.25">
      <c r="A42" s="46"/>
      <c r="B42" s="47"/>
      <c r="AB42" s="10">
        <v>17</v>
      </c>
      <c r="AC42" s="54">
        <v>1.0017</v>
      </c>
      <c r="AD42" s="39" t="str">
        <f>IF($F$24=AB42,AC42,"")</f>
        <v/>
      </c>
    </row>
    <row r="43" spans="1:30" s="25" customFormat="1" ht="30.75" customHeight="1" x14ac:dyDescent="0.3">
      <c r="A43" s="48" t="s">
        <v>50</v>
      </c>
      <c r="B43" s="49" t="s">
        <v>51</v>
      </c>
      <c r="C43" s="50"/>
      <c r="D43" s="50"/>
      <c r="E43" s="50"/>
      <c r="F43" s="51"/>
      <c r="G43" s="51"/>
      <c r="H43" s="51"/>
      <c r="I43" s="7"/>
      <c r="J43" s="7"/>
      <c r="K43" s="7"/>
      <c r="L43" s="7"/>
      <c r="M43" s="7"/>
      <c r="N43" s="7"/>
      <c r="O43" s="7"/>
      <c r="P43" s="7"/>
      <c r="Q43" s="51"/>
      <c r="R43" s="7"/>
      <c r="S43" s="7"/>
      <c r="T43" s="7"/>
      <c r="U43" s="125"/>
      <c r="V43" s="125"/>
      <c r="W43" s="125"/>
      <c r="X43" s="126"/>
      <c r="Y43" s="126"/>
      <c r="Z43" s="127"/>
      <c r="AA43" s="72"/>
      <c r="AB43" s="10">
        <v>18</v>
      </c>
      <c r="AC43" s="54">
        <v>1.0016</v>
      </c>
      <c r="AD43" s="39" t="str">
        <f>IF($F$24=AB43,AC43,"")</f>
        <v/>
      </c>
    </row>
    <row r="44" spans="1:30" s="25" customFormat="1" ht="28.5" customHeight="1" x14ac:dyDescent="0.3">
      <c r="A44" s="199" t="s">
        <v>52</v>
      </c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1"/>
      <c r="R44" s="122" t="s">
        <v>53</v>
      </c>
      <c r="S44" s="123"/>
      <c r="T44" s="124"/>
      <c r="U44" s="128" t="s">
        <v>70</v>
      </c>
      <c r="V44" s="129"/>
      <c r="W44" s="129"/>
      <c r="X44" s="130"/>
      <c r="Y44" s="130"/>
      <c r="Z44" s="131"/>
      <c r="AA44" s="72"/>
      <c r="AB44" s="10">
        <v>19</v>
      </c>
      <c r="AC44" s="54">
        <v>1.0014000000000001</v>
      </c>
      <c r="AD44" s="39" t="str">
        <f>IF($F$24=AB44,AC44,"")</f>
        <v/>
      </c>
    </row>
    <row r="45" spans="1:30" s="25" customFormat="1" ht="14.25" customHeight="1" x14ac:dyDescent="0.3">
      <c r="A45" s="193" t="s">
        <v>69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5"/>
      <c r="R45" s="122" t="s">
        <v>56</v>
      </c>
      <c r="S45" s="123"/>
      <c r="T45" s="124"/>
      <c r="U45" s="174" t="s">
        <v>71</v>
      </c>
      <c r="V45" s="175"/>
      <c r="W45" s="175"/>
      <c r="X45" s="176"/>
      <c r="Y45" s="176"/>
      <c r="Z45" s="177"/>
      <c r="AA45" s="72"/>
      <c r="AB45" s="10">
        <v>20</v>
      </c>
      <c r="AC45" s="54">
        <v>1.0012000000000001</v>
      </c>
      <c r="AD45" s="39" t="str">
        <f>IF($F$24=AB45,AC45,"")</f>
        <v/>
      </c>
    </row>
    <row r="46" spans="1:30" s="25" customFormat="1" ht="9" customHeight="1" x14ac:dyDescent="0.3">
      <c r="A46" s="193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5"/>
      <c r="R46" s="122"/>
      <c r="S46" s="123"/>
      <c r="T46" s="124"/>
      <c r="U46" s="178"/>
      <c r="V46" s="179"/>
      <c r="W46" s="179"/>
      <c r="X46" s="180"/>
      <c r="Y46" s="180"/>
      <c r="Z46" s="181"/>
      <c r="AA46" s="72"/>
      <c r="AB46" s="10">
        <v>21</v>
      </c>
      <c r="AC46" s="40">
        <v>1.0009999999999999</v>
      </c>
      <c r="AD46" s="39">
        <f>IF($F$24=AB46,AC46,"")</f>
        <v>1.0009999999999999</v>
      </c>
    </row>
    <row r="47" spans="1:30" s="25" customFormat="1" ht="12.75" customHeight="1" x14ac:dyDescent="0.3">
      <c r="A47" s="196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8"/>
      <c r="R47" s="122"/>
      <c r="S47" s="123"/>
      <c r="T47" s="124"/>
      <c r="U47" s="178"/>
      <c r="V47" s="179"/>
      <c r="W47" s="179"/>
      <c r="X47" s="180"/>
      <c r="Y47" s="180"/>
      <c r="Z47" s="181"/>
      <c r="AA47" s="72"/>
      <c r="AB47" s="10">
        <v>22</v>
      </c>
      <c r="AC47" s="54">
        <v>1.0006999999999999</v>
      </c>
      <c r="AD47" s="39" t="str">
        <f>IF($F$24=AB47,AC47,"")</f>
        <v/>
      </c>
    </row>
    <row r="48" spans="1:30" s="25" customFormat="1" ht="14.25" customHeight="1" x14ac:dyDescent="0.25">
      <c r="A48" s="41" t="s">
        <v>58</v>
      </c>
      <c r="B48" s="52" t="s">
        <v>59</v>
      </c>
      <c r="C48" s="11"/>
      <c r="D48" s="11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42"/>
      <c r="R48" s="122"/>
      <c r="S48" s="123"/>
      <c r="T48" s="124"/>
      <c r="U48" s="182"/>
      <c r="V48" s="183"/>
      <c r="W48" s="183"/>
      <c r="X48" s="184"/>
      <c r="Y48" s="184"/>
      <c r="Z48" s="185"/>
      <c r="AB48" s="10">
        <v>23</v>
      </c>
      <c r="AC48" s="54">
        <v>1.0004999999999999</v>
      </c>
      <c r="AD48" s="39" t="str">
        <f>IF($F$24=AB48,AC48,"")</f>
        <v/>
      </c>
    </row>
    <row r="49" spans="1:30" s="25" customFormat="1" ht="12.75" customHeight="1" x14ac:dyDescent="0.25">
      <c r="A49" s="202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4"/>
      <c r="R49" s="122" t="s">
        <v>60</v>
      </c>
      <c r="S49" s="123"/>
      <c r="T49" s="124"/>
      <c r="U49" s="58"/>
      <c r="V49" s="60"/>
      <c r="W49" s="60"/>
      <c r="X49" s="60"/>
      <c r="Y49" s="60"/>
      <c r="Z49" s="61"/>
      <c r="AB49" s="10">
        <v>24</v>
      </c>
      <c r="AC49" s="54">
        <v>1.0003</v>
      </c>
      <c r="AD49" s="39" t="str">
        <f>IF($F$24=AB49,AC49,"")</f>
        <v/>
      </c>
    </row>
    <row r="50" spans="1:30" s="25" customFormat="1" ht="16.5" customHeight="1" x14ac:dyDescent="0.25">
      <c r="A50" s="202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4"/>
      <c r="R50" s="122"/>
      <c r="S50" s="123"/>
      <c r="T50" s="124"/>
      <c r="U50" s="62"/>
      <c r="V50" s="180"/>
      <c r="W50" s="180"/>
      <c r="X50" s="180"/>
      <c r="Y50" s="180"/>
      <c r="Z50" s="63"/>
      <c r="AB50" s="10">
        <v>25</v>
      </c>
      <c r="AC50" s="40">
        <v>1</v>
      </c>
      <c r="AD50" s="39" t="str">
        <f>IF($F$24=AB50,AC50,"")</f>
        <v/>
      </c>
    </row>
    <row r="51" spans="1:30" s="25" customFormat="1" ht="15.6" customHeight="1" x14ac:dyDescent="0.25">
      <c r="A51" s="202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4"/>
      <c r="R51" s="122"/>
      <c r="S51" s="123"/>
      <c r="T51" s="124"/>
      <c r="U51" s="62"/>
      <c r="V51" s="180"/>
      <c r="W51" s="180"/>
      <c r="X51" s="180"/>
      <c r="Y51" s="180"/>
      <c r="Z51" s="63"/>
      <c r="AB51" s="10">
        <v>26</v>
      </c>
      <c r="AC51" s="54">
        <v>0.99970000000000003</v>
      </c>
      <c r="AD51" s="39" t="str">
        <f>IF($F$24=AB51,AC51,"")</f>
        <v/>
      </c>
    </row>
    <row r="52" spans="1:30" s="25" customFormat="1" ht="15" customHeight="1" x14ac:dyDescent="0.25">
      <c r="A52" s="205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7"/>
      <c r="R52" s="208"/>
      <c r="S52" s="209"/>
      <c r="T52" s="210"/>
      <c r="U52" s="64"/>
      <c r="V52" s="66"/>
      <c r="W52" s="66"/>
      <c r="X52" s="66"/>
      <c r="Y52" s="66"/>
      <c r="Z52" s="67"/>
      <c r="AB52" s="10">
        <v>27</v>
      </c>
      <c r="AC52" s="54">
        <v>0.99950000000000006</v>
      </c>
      <c r="AD52" s="39" t="str">
        <f>IF($F$24=AB52,AC52,"")</f>
        <v/>
      </c>
    </row>
    <row r="53" spans="1:30" ht="12.75" customHeight="1" x14ac:dyDescent="0.25">
      <c r="AB53" s="10">
        <v>28</v>
      </c>
      <c r="AC53" s="54">
        <v>0.99919999999999998</v>
      </c>
      <c r="AD53" s="39" t="str">
        <f>IF($F$24=AB53,AC53,"")</f>
        <v/>
      </c>
    </row>
    <row r="54" spans="1:30" ht="12.75" customHeight="1" x14ac:dyDescent="0.25">
      <c r="AB54" s="10">
        <v>29</v>
      </c>
      <c r="AC54" s="54">
        <v>0.99890000000000001</v>
      </c>
      <c r="AD54" s="39" t="str">
        <f>IF($F$24=AB54,AC54,"")</f>
        <v/>
      </c>
    </row>
    <row r="55" spans="1:30" ht="12.75" customHeight="1" x14ac:dyDescent="0.25">
      <c r="AB55" s="15">
        <v>30</v>
      </c>
      <c r="AC55" s="16">
        <v>0.99860000000000004</v>
      </c>
      <c r="AD55" s="43" t="str">
        <f>IF($F$24=AB55,AC55,"")</f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02">
    <mergeCell ref="Q39:S39"/>
    <mergeCell ref="Q38:S38"/>
    <mergeCell ref="T38:V38"/>
    <mergeCell ref="W38:Y38"/>
    <mergeCell ref="A45:Q47"/>
    <mergeCell ref="A44:Q44"/>
    <mergeCell ref="V50:Y51"/>
    <mergeCell ref="A49:Q52"/>
    <mergeCell ref="R49:T52"/>
    <mergeCell ref="H39:J39"/>
    <mergeCell ref="K39:M39"/>
    <mergeCell ref="N39:P39"/>
    <mergeCell ref="K32:M34"/>
    <mergeCell ref="N32:P34"/>
    <mergeCell ref="Q32:S34"/>
    <mergeCell ref="H35:J35"/>
    <mergeCell ref="K35:M35"/>
    <mergeCell ref="N35:P35"/>
    <mergeCell ref="AB32:AB34"/>
    <mergeCell ref="AC32:AC34"/>
    <mergeCell ref="B36:D36"/>
    <mergeCell ref="E36:G36"/>
    <mergeCell ref="H36:J36"/>
    <mergeCell ref="K36:M36"/>
    <mergeCell ref="N36:P36"/>
    <mergeCell ref="Q36:S36"/>
    <mergeCell ref="T36:V36"/>
    <mergeCell ref="W36:Y36"/>
    <mergeCell ref="K37:M37"/>
    <mergeCell ref="N37:P37"/>
    <mergeCell ref="B38:D38"/>
    <mergeCell ref="E38:G38"/>
    <mergeCell ref="N38:P38"/>
    <mergeCell ref="B35:D35"/>
    <mergeCell ref="E35:G35"/>
    <mergeCell ref="H32:J34"/>
    <mergeCell ref="B37:D37"/>
    <mergeCell ref="E37:G37"/>
    <mergeCell ref="H37:J37"/>
    <mergeCell ref="U45:Z48"/>
    <mergeCell ref="T35:V35"/>
    <mergeCell ref="W35:Y35"/>
    <mergeCell ref="B39:D39"/>
    <mergeCell ref="E39:G39"/>
    <mergeCell ref="R45:T48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N12:R12"/>
    <mergeCell ref="H10:M10"/>
    <mergeCell ref="H11:M11"/>
    <mergeCell ref="H12:M12"/>
    <mergeCell ref="B18:H18"/>
    <mergeCell ref="B12:G12"/>
    <mergeCell ref="B11:G11"/>
    <mergeCell ref="B17:H17"/>
    <mergeCell ref="I18:Y18"/>
    <mergeCell ref="I17:Y17"/>
    <mergeCell ref="T39:V39"/>
    <mergeCell ref="W39:Y39"/>
    <mergeCell ref="H38:J38"/>
    <mergeCell ref="K38:M38"/>
    <mergeCell ref="B24:E26"/>
    <mergeCell ref="B27:E29"/>
    <mergeCell ref="W27:Y29"/>
    <mergeCell ref="B32:D34"/>
    <mergeCell ref="E32:G34"/>
    <mergeCell ref="R44:T44"/>
    <mergeCell ref="U43:Z43"/>
    <mergeCell ref="U44:Z44"/>
    <mergeCell ref="S12:Y12"/>
    <mergeCell ref="T32:V34"/>
    <mergeCell ref="W32:Y34"/>
    <mergeCell ref="Q37:S37"/>
    <mergeCell ref="T37:V37"/>
    <mergeCell ref="W37:Y37"/>
    <mergeCell ref="Q35:S35"/>
    <mergeCell ref="J5:K5"/>
    <mergeCell ref="L5:O5"/>
    <mergeCell ref="P5:T5"/>
    <mergeCell ref="J6:K6"/>
    <mergeCell ref="L6:O6"/>
    <mergeCell ref="S11:Y11"/>
    <mergeCell ref="N10:R10"/>
    <mergeCell ref="N11:R11"/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9"/>
  <sheetViews>
    <sheetView topLeftCell="A34" workbookViewId="0">
      <selection activeCell="X59" sqref="X59"/>
    </sheetView>
  </sheetViews>
  <sheetFormatPr baseColWidth="10" defaultColWidth="11.44140625" defaultRowHeight="12.75" customHeight="1" x14ac:dyDescent="0.25"/>
  <cols>
    <col min="1" max="1" width="5.109375" style="54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88"/>
      <c r="B1" s="89"/>
      <c r="C1" s="89"/>
      <c r="D1" s="89"/>
      <c r="E1" s="89"/>
      <c r="F1" s="90"/>
      <c r="G1" s="97" t="s">
        <v>0</v>
      </c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  <c r="U1" s="100" t="s">
        <v>61</v>
      </c>
      <c r="V1" s="101"/>
      <c r="W1" s="101"/>
      <c r="X1" s="101"/>
      <c r="Y1" s="101"/>
      <c r="Z1" s="102"/>
    </row>
    <row r="2" spans="1:32" ht="12.75" customHeight="1" x14ac:dyDescent="0.3">
      <c r="A2" s="91"/>
      <c r="B2" s="92"/>
      <c r="C2" s="92"/>
      <c r="D2" s="92"/>
      <c r="E2" s="92"/>
      <c r="F2" s="93"/>
      <c r="G2" s="109" t="s">
        <v>1</v>
      </c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1"/>
      <c r="U2" s="103"/>
      <c r="V2" s="104"/>
      <c r="W2" s="104"/>
      <c r="X2" s="104"/>
      <c r="Y2" s="104"/>
      <c r="Z2" s="105"/>
      <c r="AA2" s="68"/>
      <c r="AB2" s="68"/>
    </row>
    <row r="3" spans="1:32" ht="12.75" customHeight="1" x14ac:dyDescent="0.3">
      <c r="A3" s="91"/>
      <c r="B3" s="92"/>
      <c r="C3" s="92"/>
      <c r="D3" s="92"/>
      <c r="E3" s="92"/>
      <c r="F3" s="9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1"/>
      <c r="U3" s="103"/>
      <c r="V3" s="104"/>
      <c r="W3" s="104"/>
      <c r="X3" s="104"/>
      <c r="Y3" s="104"/>
      <c r="Z3" s="105"/>
      <c r="AA3" s="68"/>
      <c r="AB3" s="68"/>
    </row>
    <row r="4" spans="1:32" ht="12.75" customHeight="1" x14ac:dyDescent="0.3">
      <c r="A4" s="91"/>
      <c r="B4" s="92"/>
      <c r="C4" s="92"/>
      <c r="D4" s="92"/>
      <c r="E4" s="92"/>
      <c r="F4" s="93"/>
      <c r="G4" s="109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1"/>
      <c r="U4" s="103"/>
      <c r="V4" s="104"/>
      <c r="W4" s="104"/>
      <c r="X4" s="104"/>
      <c r="Y4" s="104"/>
      <c r="Z4" s="105"/>
      <c r="AA4" s="68"/>
      <c r="AB4" s="68"/>
    </row>
    <row r="5" spans="1:32" ht="12.75" customHeight="1" x14ac:dyDescent="0.3">
      <c r="A5" s="91"/>
      <c r="B5" s="92"/>
      <c r="C5" s="92"/>
      <c r="D5" s="92"/>
      <c r="E5" s="92"/>
      <c r="F5" s="93"/>
      <c r="G5" s="112"/>
      <c r="H5" s="113"/>
      <c r="I5" s="2" t="s">
        <v>2</v>
      </c>
      <c r="J5" s="114">
        <v>1</v>
      </c>
      <c r="K5" s="115"/>
      <c r="L5" s="116" t="s">
        <v>3</v>
      </c>
      <c r="M5" s="117"/>
      <c r="N5" s="117"/>
      <c r="O5" s="118"/>
      <c r="P5" s="119" t="s">
        <v>4</v>
      </c>
      <c r="Q5" s="120"/>
      <c r="R5" s="120"/>
      <c r="S5" s="120"/>
      <c r="T5" s="121"/>
      <c r="U5" s="103"/>
      <c r="V5" s="104"/>
      <c r="W5" s="104"/>
      <c r="X5" s="104"/>
      <c r="Y5" s="104"/>
      <c r="Z5" s="105"/>
      <c r="AA5" s="68"/>
      <c r="AB5" s="68"/>
    </row>
    <row r="6" spans="1:32" ht="12.75" customHeight="1" x14ac:dyDescent="0.25">
      <c r="A6" s="94"/>
      <c r="B6" s="95"/>
      <c r="C6" s="95"/>
      <c r="D6" s="95"/>
      <c r="E6" s="95"/>
      <c r="F6" s="96"/>
      <c r="G6" s="3"/>
      <c r="H6" s="4"/>
      <c r="I6" s="4"/>
      <c r="J6" s="82" t="s">
        <v>5</v>
      </c>
      <c r="K6" s="82"/>
      <c r="L6" s="82" t="s">
        <v>6</v>
      </c>
      <c r="M6" s="82"/>
      <c r="N6" s="82"/>
      <c r="O6" s="82"/>
      <c r="P6" s="82" t="s">
        <v>7</v>
      </c>
      <c r="Q6" s="82"/>
      <c r="R6" s="82"/>
      <c r="S6" s="82"/>
      <c r="T6" s="83"/>
      <c r="U6" s="106"/>
      <c r="V6" s="107"/>
      <c r="W6" s="107"/>
      <c r="X6" s="107"/>
      <c r="Y6" s="107"/>
      <c r="Z6" s="108"/>
    </row>
    <row r="7" spans="1:32" ht="37.5" customHeight="1" x14ac:dyDescent="0.25">
      <c r="A7" s="84" t="s">
        <v>8</v>
      </c>
      <c r="B7" s="84"/>
      <c r="C7" s="84"/>
      <c r="D7" s="84"/>
      <c r="E7" s="84"/>
      <c r="F7" s="84"/>
      <c r="G7" s="85" t="s">
        <v>9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32" ht="15.9" customHeight="1" x14ac:dyDescent="0.3">
      <c r="A8" s="73" t="s">
        <v>10</v>
      </c>
      <c r="B8" s="74" t="s">
        <v>11</v>
      </c>
      <c r="C8" s="75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72"/>
      <c r="AF8" s="69" t="s">
        <v>12</v>
      </c>
    </row>
    <row r="9" spans="1:32" ht="8.25" customHeight="1" x14ac:dyDescent="0.3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  <c r="AB9" s="72"/>
      <c r="AF9" s="69" t="s">
        <v>13</v>
      </c>
    </row>
    <row r="10" spans="1:32" ht="15.9" customHeight="1" x14ac:dyDescent="0.3">
      <c r="A10" s="10"/>
      <c r="B10" s="86" t="s">
        <v>14</v>
      </c>
      <c r="C10" s="86"/>
      <c r="D10" s="86"/>
      <c r="E10" s="86"/>
      <c r="F10" s="86"/>
      <c r="G10" s="86"/>
      <c r="H10" s="158" t="s">
        <v>12</v>
      </c>
      <c r="I10" s="158"/>
      <c r="J10" s="158"/>
      <c r="K10" s="158"/>
      <c r="L10" s="158"/>
      <c r="M10" s="158"/>
      <c r="N10" s="86" t="s">
        <v>15</v>
      </c>
      <c r="O10" s="86"/>
      <c r="P10" s="86"/>
      <c r="Q10" s="86"/>
      <c r="R10" s="86"/>
      <c r="S10" s="87" t="s">
        <v>16</v>
      </c>
      <c r="T10" s="87"/>
      <c r="U10" s="87"/>
      <c r="V10" s="87"/>
      <c r="W10" s="87"/>
      <c r="X10" s="87"/>
      <c r="Y10" s="87"/>
      <c r="Z10" s="14"/>
      <c r="AB10" s="72"/>
      <c r="AF10" s="69" t="s">
        <v>4</v>
      </c>
    </row>
    <row r="11" spans="1:32" ht="15.9" customHeight="1" x14ac:dyDescent="0.3">
      <c r="A11" s="10"/>
      <c r="B11" s="86" t="s">
        <v>17</v>
      </c>
      <c r="C11" s="86"/>
      <c r="D11" s="86"/>
      <c r="E11" s="86"/>
      <c r="F11" s="86"/>
      <c r="G11" s="86"/>
      <c r="H11" s="158" t="s">
        <v>13</v>
      </c>
      <c r="I11" s="158"/>
      <c r="J11" s="158"/>
      <c r="K11" s="158"/>
      <c r="L11" s="158"/>
      <c r="M11" s="158"/>
      <c r="N11" s="86" t="s">
        <v>18</v>
      </c>
      <c r="O11" s="86"/>
      <c r="P11" s="86"/>
      <c r="Q11" s="86"/>
      <c r="R11" s="86"/>
      <c r="S11" s="87" t="s">
        <v>19</v>
      </c>
      <c r="T11" s="87"/>
      <c r="U11" s="87"/>
      <c r="V11" s="87"/>
      <c r="W11" s="87"/>
      <c r="X11" s="87"/>
      <c r="Y11" s="87"/>
      <c r="Z11" s="14"/>
      <c r="AB11" s="72"/>
      <c r="AF11" s="69" t="s">
        <v>16</v>
      </c>
    </row>
    <row r="12" spans="1:32" ht="15.9" customHeight="1" x14ac:dyDescent="0.3">
      <c r="A12" s="10"/>
      <c r="B12" s="86" t="s">
        <v>20</v>
      </c>
      <c r="C12" s="86"/>
      <c r="D12" s="86"/>
      <c r="E12" s="86"/>
      <c r="F12" s="86"/>
      <c r="G12" s="86"/>
      <c r="H12" s="158" t="s">
        <v>4</v>
      </c>
      <c r="I12" s="158"/>
      <c r="J12" s="158"/>
      <c r="K12" s="158"/>
      <c r="L12" s="158"/>
      <c r="M12" s="158"/>
      <c r="N12" s="86" t="s">
        <v>21</v>
      </c>
      <c r="O12" s="86"/>
      <c r="P12" s="86"/>
      <c r="Q12" s="86"/>
      <c r="R12" s="86"/>
      <c r="S12" s="87" t="s">
        <v>22</v>
      </c>
      <c r="T12" s="87"/>
      <c r="U12" s="87"/>
      <c r="V12" s="87"/>
      <c r="W12" s="87"/>
      <c r="X12" s="87"/>
      <c r="Y12" s="87"/>
      <c r="Z12" s="14"/>
      <c r="AB12" s="72"/>
      <c r="AF12" s="69" t="s">
        <v>19</v>
      </c>
    </row>
    <row r="13" spans="1:32" ht="8.25" customHeight="1" x14ac:dyDescent="0.3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  <c r="AB13" s="72"/>
      <c r="AF13" s="69" t="s">
        <v>22</v>
      </c>
    </row>
    <row r="14" spans="1:32" s="19" customFormat="1" ht="15" customHeight="1" x14ac:dyDescent="0.25">
      <c r="B14" s="20"/>
      <c r="C14" s="20"/>
      <c r="K14" s="21"/>
      <c r="L14" s="20"/>
      <c r="M14" s="22"/>
    </row>
    <row r="15" spans="1:32" s="19" customFormat="1" ht="13.8" customHeight="1" x14ac:dyDescent="0.25">
      <c r="A15" s="73" t="s">
        <v>23</v>
      </c>
      <c r="B15" s="76" t="s">
        <v>24</v>
      </c>
      <c r="C15" s="77"/>
      <c r="D15" s="77"/>
      <c r="E15" s="77"/>
      <c r="F15" s="77"/>
      <c r="G15" s="77"/>
      <c r="H15" s="7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1:32" s="19" customFormat="1" ht="13.8" customHeight="1" x14ac:dyDescent="0.25">
      <c r="A16" s="78"/>
      <c r="B16" s="79"/>
      <c r="C16" s="80"/>
      <c r="D16" s="80"/>
      <c r="E16" s="80"/>
      <c r="F16" s="80"/>
      <c r="G16" s="80"/>
      <c r="H16" s="80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 spans="1:32" s="19" customFormat="1" ht="15" customHeight="1" x14ac:dyDescent="0.25">
      <c r="A17" s="78"/>
      <c r="B17" s="159" t="s">
        <v>25</v>
      </c>
      <c r="C17" s="159"/>
      <c r="D17" s="159"/>
      <c r="E17" s="159"/>
      <c r="F17" s="159"/>
      <c r="G17" s="159"/>
      <c r="H17" s="159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27"/>
    </row>
    <row r="18" spans="1:32" s="19" customFormat="1" ht="15" customHeight="1" x14ac:dyDescent="0.25">
      <c r="A18" s="78"/>
      <c r="B18" s="159" t="s">
        <v>26</v>
      </c>
      <c r="C18" s="159"/>
      <c r="D18" s="159"/>
      <c r="E18" s="159"/>
      <c r="F18" s="159"/>
      <c r="G18" s="159"/>
      <c r="H18" s="159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27"/>
    </row>
    <row r="19" spans="1:32" s="19" customFormat="1" ht="13.2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1:32" ht="12.75" customHeight="1" x14ac:dyDescent="0.25">
      <c r="A20" s="12"/>
      <c r="B20" s="11"/>
      <c r="C20" s="11"/>
      <c r="D20" s="12"/>
      <c r="E20" s="12"/>
      <c r="F20" s="12"/>
      <c r="G20" s="12"/>
      <c r="H20" s="11"/>
      <c r="I20" s="11"/>
      <c r="J20" s="11"/>
      <c r="K20" s="11"/>
      <c r="L20" s="11"/>
      <c r="M20" s="11"/>
      <c r="N20" s="3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32" ht="15.9" customHeight="1" x14ac:dyDescent="0.25">
      <c r="A21" s="5" t="s">
        <v>27</v>
      </c>
      <c r="B21" s="6" t="s">
        <v>28</v>
      </c>
      <c r="C21" s="32"/>
      <c r="D21" s="33"/>
      <c r="E21" s="33"/>
      <c r="F21" s="33"/>
      <c r="G21" s="33"/>
      <c r="H21" s="32"/>
      <c r="I21" s="32"/>
      <c r="J21" s="32"/>
      <c r="K21" s="32"/>
      <c r="L21" s="3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3"/>
    </row>
    <row r="23" spans="1:32" ht="12.75" customHeight="1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3"/>
    </row>
    <row r="24" spans="1:32" ht="12.75" customHeight="1" x14ac:dyDescent="0.25">
      <c r="A24" s="10"/>
      <c r="B24" s="149" t="s">
        <v>29</v>
      </c>
      <c r="C24" s="150"/>
      <c r="D24" s="150"/>
      <c r="E24" s="150"/>
      <c r="F24" s="150">
        <v>23</v>
      </c>
      <c r="G24" s="150"/>
      <c r="H24" s="150"/>
      <c r="I24" s="150"/>
      <c r="J24" s="160" t="s">
        <v>30</v>
      </c>
      <c r="K24" s="160"/>
      <c r="L24" s="161"/>
      <c r="M24" s="11"/>
      <c r="N24" s="11"/>
      <c r="O24" s="149" t="s">
        <v>31</v>
      </c>
      <c r="P24" s="154"/>
      <c r="Q24" s="154"/>
      <c r="R24" s="154"/>
      <c r="S24" s="150">
        <v>890</v>
      </c>
      <c r="T24" s="150"/>
      <c r="U24" s="150"/>
      <c r="V24" s="150"/>
      <c r="W24" s="160" t="s">
        <v>32</v>
      </c>
      <c r="X24" s="160"/>
      <c r="Y24" s="161"/>
      <c r="Z24" s="13"/>
      <c r="AA24" s="81"/>
    </row>
    <row r="25" spans="1:32" ht="12.75" customHeight="1" x14ac:dyDescent="0.25">
      <c r="A25" s="10"/>
      <c r="B25" s="151"/>
      <c r="C25" s="133"/>
      <c r="D25" s="133"/>
      <c r="E25" s="133"/>
      <c r="F25" s="133"/>
      <c r="G25" s="133"/>
      <c r="H25" s="133"/>
      <c r="I25" s="133"/>
      <c r="J25" s="162"/>
      <c r="K25" s="162"/>
      <c r="L25" s="163"/>
      <c r="M25" s="11"/>
      <c r="N25" s="11"/>
      <c r="O25" s="155"/>
      <c r="P25" s="137"/>
      <c r="Q25" s="137"/>
      <c r="R25" s="137"/>
      <c r="S25" s="133"/>
      <c r="T25" s="133"/>
      <c r="U25" s="133"/>
      <c r="V25" s="133"/>
      <c r="W25" s="162"/>
      <c r="X25" s="162"/>
      <c r="Y25" s="163"/>
      <c r="Z25" s="13"/>
      <c r="AA25" s="81"/>
    </row>
    <row r="26" spans="1:32" ht="12.75" customHeight="1" x14ac:dyDescent="0.25">
      <c r="A26" s="10"/>
      <c r="B26" s="152"/>
      <c r="C26" s="153"/>
      <c r="D26" s="153"/>
      <c r="E26" s="153"/>
      <c r="F26" s="153"/>
      <c r="G26" s="153"/>
      <c r="H26" s="153"/>
      <c r="I26" s="153"/>
      <c r="J26" s="164"/>
      <c r="K26" s="164"/>
      <c r="L26" s="165"/>
      <c r="M26" s="11"/>
      <c r="N26" s="11"/>
      <c r="O26" s="156"/>
      <c r="P26" s="157"/>
      <c r="Q26" s="157"/>
      <c r="R26" s="157"/>
      <c r="S26" s="153"/>
      <c r="T26" s="153"/>
      <c r="U26" s="153"/>
      <c r="V26" s="153"/>
      <c r="W26" s="164"/>
      <c r="X26" s="164"/>
      <c r="Y26" s="165"/>
      <c r="Z26" s="13"/>
      <c r="AA26" s="81"/>
    </row>
    <row r="27" spans="1:32" ht="12.75" customHeight="1" x14ac:dyDescent="0.25">
      <c r="A27" s="10"/>
      <c r="B27" s="149" t="s">
        <v>33</v>
      </c>
      <c r="C27" s="154"/>
      <c r="D27" s="154"/>
      <c r="E27" s="154"/>
      <c r="F27" s="166">
        <f>IF(F24&lt;&gt;"",(997.1*(SUM(AD35:AD55))),"")</f>
        <v>997.59854999999993</v>
      </c>
      <c r="G27" s="166"/>
      <c r="H27" s="166"/>
      <c r="I27" s="166"/>
      <c r="J27" s="160" t="s">
        <v>34</v>
      </c>
      <c r="K27" s="160"/>
      <c r="L27" s="161"/>
      <c r="M27" s="11"/>
      <c r="N27" s="11"/>
      <c r="O27" s="169" t="s">
        <v>35</v>
      </c>
      <c r="P27" s="150"/>
      <c r="Q27" s="150"/>
      <c r="R27" s="150"/>
      <c r="S27" s="150">
        <v>2486</v>
      </c>
      <c r="T27" s="150"/>
      <c r="U27" s="150"/>
      <c r="V27" s="150"/>
      <c r="W27" s="160" t="s">
        <v>34</v>
      </c>
      <c r="X27" s="160"/>
      <c r="Y27" s="161"/>
      <c r="Z27" s="13"/>
      <c r="AA27" s="81"/>
    </row>
    <row r="28" spans="1:32" ht="12.75" customHeight="1" x14ac:dyDescent="0.25">
      <c r="A28" s="10"/>
      <c r="B28" s="155"/>
      <c r="C28" s="137"/>
      <c r="D28" s="137"/>
      <c r="E28" s="137"/>
      <c r="F28" s="167"/>
      <c r="G28" s="167"/>
      <c r="H28" s="167"/>
      <c r="I28" s="167"/>
      <c r="J28" s="162"/>
      <c r="K28" s="162"/>
      <c r="L28" s="163"/>
      <c r="M28" s="11"/>
      <c r="N28" s="11"/>
      <c r="O28" s="151"/>
      <c r="P28" s="133"/>
      <c r="Q28" s="133"/>
      <c r="R28" s="133"/>
      <c r="S28" s="133"/>
      <c r="T28" s="133"/>
      <c r="U28" s="133"/>
      <c r="V28" s="133"/>
      <c r="W28" s="162"/>
      <c r="X28" s="162"/>
      <c r="Y28" s="163"/>
      <c r="Z28" s="13"/>
      <c r="AA28" s="81"/>
    </row>
    <row r="29" spans="1:32" ht="12.75" customHeight="1" x14ac:dyDescent="0.25">
      <c r="A29" s="10"/>
      <c r="B29" s="156"/>
      <c r="C29" s="157"/>
      <c r="D29" s="157"/>
      <c r="E29" s="157"/>
      <c r="F29" s="168"/>
      <c r="G29" s="168"/>
      <c r="H29" s="168"/>
      <c r="I29" s="168"/>
      <c r="J29" s="164"/>
      <c r="K29" s="164"/>
      <c r="L29" s="165"/>
      <c r="M29" s="11"/>
      <c r="N29" s="11"/>
      <c r="O29" s="152"/>
      <c r="P29" s="153"/>
      <c r="Q29" s="153"/>
      <c r="R29" s="153"/>
      <c r="S29" s="153"/>
      <c r="T29" s="153"/>
      <c r="U29" s="153"/>
      <c r="V29" s="153"/>
      <c r="W29" s="164"/>
      <c r="X29" s="164"/>
      <c r="Y29" s="165"/>
      <c r="Z29" s="13"/>
    </row>
    <row r="30" spans="1:32" ht="12.75" customHeight="1" x14ac:dyDescent="0.3">
      <c r="A30" s="10"/>
      <c r="B30" s="34"/>
      <c r="C30" s="35"/>
      <c r="D30" s="36"/>
      <c r="I30" s="37"/>
      <c r="J30" s="37"/>
      <c r="K30" s="11"/>
      <c r="L30" s="11"/>
      <c r="M30" s="11"/>
      <c r="N30" s="11"/>
      <c r="O30" s="11"/>
      <c r="P30" s="35"/>
      <c r="Q30" s="35"/>
      <c r="R30" s="35"/>
      <c r="S30" s="35"/>
      <c r="T30" s="35"/>
      <c r="U30" s="35"/>
      <c r="V30" s="35"/>
      <c r="W30" s="36"/>
      <c r="X30" s="11"/>
      <c r="Y30" s="11"/>
      <c r="Z30" s="13"/>
      <c r="AA30" s="70"/>
      <c r="AB30" s="70"/>
      <c r="AC30" s="70"/>
      <c r="AD30" s="70"/>
      <c r="AE30" s="70"/>
      <c r="AF30" s="70"/>
    </row>
    <row r="31" spans="1:32" ht="12.75" customHeight="1" x14ac:dyDescent="0.25">
      <c r="A31" s="10"/>
      <c r="B31" s="34"/>
      <c r="C31" s="35"/>
      <c r="D31" s="36"/>
      <c r="E31" s="37"/>
      <c r="F31" s="38"/>
      <c r="G31" s="35"/>
      <c r="H31" s="36"/>
      <c r="I31" s="37"/>
      <c r="J31" s="3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3"/>
    </row>
    <row r="32" spans="1:32" ht="19.5" customHeight="1" x14ac:dyDescent="0.25">
      <c r="A32" s="10"/>
      <c r="B32" s="170" t="s">
        <v>36</v>
      </c>
      <c r="C32" s="135"/>
      <c r="D32" s="135"/>
      <c r="E32" s="135" t="s">
        <v>37</v>
      </c>
      <c r="F32" s="135"/>
      <c r="G32" s="135"/>
      <c r="H32" s="135" t="s">
        <v>38</v>
      </c>
      <c r="I32" s="135"/>
      <c r="J32" s="135"/>
      <c r="K32" s="135" t="s">
        <v>39</v>
      </c>
      <c r="L32" s="135"/>
      <c r="M32" s="135"/>
      <c r="N32" s="135" t="s">
        <v>40</v>
      </c>
      <c r="O32" s="135"/>
      <c r="P32" s="135"/>
      <c r="Q32" s="135" t="s">
        <v>41</v>
      </c>
      <c r="R32" s="135"/>
      <c r="S32" s="135"/>
      <c r="T32" s="132" t="s">
        <v>42</v>
      </c>
      <c r="U32" s="132"/>
      <c r="V32" s="132"/>
      <c r="W32" s="135" t="s">
        <v>43</v>
      </c>
      <c r="X32" s="135"/>
      <c r="Y32" s="136"/>
      <c r="Z32" s="13"/>
      <c r="AB32" s="88" t="s">
        <v>44</v>
      </c>
      <c r="AC32" s="89" t="s">
        <v>45</v>
      </c>
      <c r="AD32" s="90" t="s">
        <v>46</v>
      </c>
    </row>
    <row r="33" spans="1:30" ht="19.5" customHeight="1" x14ac:dyDescent="0.25">
      <c r="A33" s="10"/>
      <c r="B33" s="171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3"/>
      <c r="U33" s="133"/>
      <c r="V33" s="133"/>
      <c r="W33" s="137"/>
      <c r="X33" s="137"/>
      <c r="Y33" s="138"/>
      <c r="Z33" s="13"/>
      <c r="AB33" s="91"/>
      <c r="AC33" s="92"/>
      <c r="AD33" s="93"/>
    </row>
    <row r="34" spans="1:30" ht="19.5" customHeight="1" x14ac:dyDescent="0.25">
      <c r="A34" s="10"/>
      <c r="B34" s="172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4"/>
      <c r="U34" s="134"/>
      <c r="V34" s="134"/>
      <c r="W34" s="139"/>
      <c r="X34" s="139"/>
      <c r="Y34" s="140"/>
      <c r="Z34" s="13"/>
      <c r="AB34" s="94"/>
      <c r="AC34" s="95"/>
      <c r="AD34" s="96"/>
    </row>
    <row r="35" spans="1:30" ht="25.5" customHeight="1" x14ac:dyDescent="0.25">
      <c r="A35" s="10"/>
      <c r="B35" s="191" t="s">
        <v>47</v>
      </c>
      <c r="C35" s="186"/>
      <c r="D35" s="186"/>
      <c r="E35" s="186">
        <v>2648.1</v>
      </c>
      <c r="F35" s="186"/>
      <c r="G35" s="186"/>
      <c r="H35" s="186">
        <v>2660.2</v>
      </c>
      <c r="I35" s="186"/>
      <c r="J35" s="186"/>
      <c r="K35" s="186">
        <v>1537.7</v>
      </c>
      <c r="L35" s="186"/>
      <c r="M35" s="186"/>
      <c r="N35" s="144">
        <f>IF(E35&lt;&gt;"",E35/(((H35-K35)/$F$27)-((H35-E35)/$S$24)),"")</f>
        <v>2382.2276458088832</v>
      </c>
      <c r="O35" s="144"/>
      <c r="P35" s="144"/>
      <c r="Q35" s="144">
        <f>IF(N35&lt;&gt;"",(N35/$S$27)*100,"")</f>
        <v>95.825729919906806</v>
      </c>
      <c r="R35" s="144"/>
      <c r="S35" s="144"/>
      <c r="T35" s="144">
        <f>IF(Q35&lt;&gt;"",100-Q35,"")</f>
        <v>4.1742700800931942</v>
      </c>
      <c r="U35" s="144"/>
      <c r="V35" s="144"/>
      <c r="W35" s="186">
        <v>9.5</v>
      </c>
      <c r="X35" s="186"/>
      <c r="Y35" s="187"/>
      <c r="Z35" s="13"/>
      <c r="AB35" s="10">
        <v>10</v>
      </c>
      <c r="AC35" s="12">
        <v>1.0026999999999999</v>
      </c>
      <c r="AD35" s="39" t="str">
        <f t="shared" ref="AD35:AD55" si="0">IF($F$24=AB35,AC35,"")</f>
        <v/>
      </c>
    </row>
    <row r="36" spans="1:30" ht="25.5" customHeight="1" x14ac:dyDescent="0.25">
      <c r="A36" s="10"/>
      <c r="B36" s="173" t="s">
        <v>48</v>
      </c>
      <c r="C36" s="142"/>
      <c r="D36" s="142"/>
      <c r="E36" s="148">
        <v>2263.4</v>
      </c>
      <c r="F36" s="148"/>
      <c r="G36" s="148"/>
      <c r="H36" s="148">
        <v>2273.8000000000002</v>
      </c>
      <c r="I36" s="148"/>
      <c r="J36" s="148"/>
      <c r="K36" s="148">
        <v>1322.1</v>
      </c>
      <c r="L36" s="148"/>
      <c r="M36" s="148"/>
      <c r="N36" s="141">
        <f>IF(E36&lt;&gt;"",E36/(((H36-K36)/$F$27)-((H36-E36)/$S$24)),"")</f>
        <v>2401.980924294216</v>
      </c>
      <c r="O36" s="141"/>
      <c r="P36" s="141"/>
      <c r="Q36" s="141">
        <f>IF(N36&lt;&gt;"",(N36/$S$27)*100,"")</f>
        <v>96.62031071175447</v>
      </c>
      <c r="R36" s="141"/>
      <c r="S36" s="141"/>
      <c r="T36" s="141">
        <f>IF(Q36&lt;&gt;"",100-Q36,"")</f>
        <v>3.3796892882455296</v>
      </c>
      <c r="U36" s="141"/>
      <c r="V36" s="141"/>
      <c r="W36" s="142">
        <v>8</v>
      </c>
      <c r="X36" s="142"/>
      <c r="Y36" s="143"/>
      <c r="Z36" s="13"/>
      <c r="AB36" s="10">
        <v>11</v>
      </c>
      <c r="AC36" s="12">
        <v>1.0025999999999999</v>
      </c>
      <c r="AD36" s="39" t="str">
        <f t="shared" si="0"/>
        <v/>
      </c>
    </row>
    <row r="37" spans="1:30" ht="25.5" customHeight="1" x14ac:dyDescent="0.25">
      <c r="A37" s="10"/>
      <c r="B37" s="173" t="s">
        <v>49</v>
      </c>
      <c r="C37" s="142"/>
      <c r="D37" s="142"/>
      <c r="E37" s="148">
        <v>2467.5</v>
      </c>
      <c r="F37" s="148"/>
      <c r="G37" s="148"/>
      <c r="H37" s="148">
        <v>2479.1</v>
      </c>
      <c r="I37" s="148"/>
      <c r="J37" s="148"/>
      <c r="K37" s="148">
        <v>1422.1</v>
      </c>
      <c r="L37" s="148"/>
      <c r="M37" s="148"/>
      <c r="N37" s="141">
        <f>IF(E37&lt;&gt;"",E37/(((H37-K37)/$F$27)-((H37-E37)/$S$24)),"")</f>
        <v>2357.8353447810964</v>
      </c>
      <c r="O37" s="141"/>
      <c r="P37" s="141"/>
      <c r="Q37" s="141">
        <f>IF(N37&lt;&gt;"",(N37/$S$27)*100,"")</f>
        <v>94.84454323335062</v>
      </c>
      <c r="R37" s="141"/>
      <c r="S37" s="141"/>
      <c r="T37" s="141">
        <f>IF(Q37&lt;&gt;"",100-Q37,"")</f>
        <v>5.1554567666493796</v>
      </c>
      <c r="U37" s="141"/>
      <c r="V37" s="141"/>
      <c r="W37" s="142">
        <v>8.5</v>
      </c>
      <c r="X37" s="142"/>
      <c r="Y37" s="143"/>
      <c r="Z37" s="13"/>
      <c r="AB37" s="10">
        <v>12</v>
      </c>
      <c r="AC37" s="12">
        <v>1.0024999999999999</v>
      </c>
      <c r="AD37" s="39" t="str">
        <f t="shared" si="0"/>
        <v/>
      </c>
    </row>
    <row r="38" spans="1:30" ht="25.5" customHeight="1" x14ac:dyDescent="0.25">
      <c r="A38" s="10"/>
      <c r="B38" s="189"/>
      <c r="C38" s="190"/>
      <c r="D38" s="190"/>
      <c r="E38" s="148"/>
      <c r="F38" s="148"/>
      <c r="G38" s="148"/>
      <c r="H38" s="148"/>
      <c r="I38" s="148"/>
      <c r="J38" s="148"/>
      <c r="K38" s="148"/>
      <c r="L38" s="148"/>
      <c r="M38" s="148"/>
      <c r="N38" s="141" t="str">
        <f>IF(E38&lt;&gt;"",E38/(((H38-K38)/$F$27)-((H38-E38)/$S$24)),"")</f>
        <v/>
      </c>
      <c r="O38" s="141"/>
      <c r="P38" s="141"/>
      <c r="Q38" s="141" t="str">
        <f>IF(N38&lt;&gt;"",(N38/$S$27)*100,"")</f>
        <v/>
      </c>
      <c r="R38" s="141"/>
      <c r="S38" s="141"/>
      <c r="T38" s="141" t="str">
        <f>IF(Q38&lt;&gt;"",100-Q38,"")</f>
        <v/>
      </c>
      <c r="U38" s="141"/>
      <c r="V38" s="141"/>
      <c r="W38" s="190"/>
      <c r="X38" s="190"/>
      <c r="Y38" s="192"/>
      <c r="Z38" s="13"/>
      <c r="AB38" s="10">
        <v>13</v>
      </c>
      <c r="AC38" s="12">
        <v>1.0023</v>
      </c>
      <c r="AD38" s="39" t="str">
        <f t="shared" si="0"/>
        <v/>
      </c>
    </row>
    <row r="39" spans="1:30" ht="25.5" customHeight="1" x14ac:dyDescent="0.25">
      <c r="A39" s="10"/>
      <c r="B39" s="188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7"/>
      <c r="Z39" s="13"/>
      <c r="AB39" s="10">
        <v>14</v>
      </c>
      <c r="AC39" s="12">
        <v>1.0022</v>
      </c>
      <c r="AD39" s="39" t="str">
        <f t="shared" si="0"/>
        <v/>
      </c>
    </row>
    <row r="40" spans="1:30" ht="12.75" customHeight="1" x14ac:dyDescent="0.25">
      <c r="A40" s="12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  <c r="O40" s="56"/>
      <c r="P40" s="56"/>
      <c r="Q40" s="57"/>
      <c r="R40" s="57"/>
      <c r="S40" s="57"/>
      <c r="T40" s="57"/>
      <c r="U40" s="57"/>
      <c r="V40" s="57"/>
      <c r="W40" s="55"/>
      <c r="X40" s="55"/>
      <c r="Y40" s="55"/>
      <c r="Z40" s="13"/>
      <c r="AB40" s="10">
        <v>15</v>
      </c>
      <c r="AC40" s="12">
        <v>1.0021</v>
      </c>
      <c r="AD40" s="39" t="str">
        <f t="shared" si="0"/>
        <v/>
      </c>
    </row>
    <row r="41" spans="1:30" ht="15.9" customHeight="1" x14ac:dyDescent="0.25">
      <c r="A41" s="44"/>
      <c r="B41" s="4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18"/>
      <c r="AB41" s="10">
        <v>16</v>
      </c>
      <c r="AC41" s="12">
        <v>1.0019</v>
      </c>
      <c r="AD41" s="39" t="str">
        <f t="shared" si="0"/>
        <v/>
      </c>
    </row>
    <row r="42" spans="1:30" ht="12.75" customHeight="1" x14ac:dyDescent="0.25">
      <c r="A42" s="46"/>
      <c r="B42" s="4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AB42" s="10">
        <v>17</v>
      </c>
      <c r="AC42" s="12">
        <v>1.0017</v>
      </c>
      <c r="AD42" s="39" t="str">
        <f t="shared" si="0"/>
        <v/>
      </c>
    </row>
    <row r="43" spans="1:30" s="19" customFormat="1" ht="30.75" customHeight="1" x14ac:dyDescent="0.3">
      <c r="A43" s="48" t="s">
        <v>50</v>
      </c>
      <c r="B43" s="49" t="s">
        <v>51</v>
      </c>
      <c r="C43" s="50"/>
      <c r="D43" s="50"/>
      <c r="E43" s="50"/>
      <c r="F43" s="51"/>
      <c r="G43" s="51"/>
      <c r="H43" s="51"/>
      <c r="I43" s="7"/>
      <c r="J43" s="7"/>
      <c r="K43" s="7"/>
      <c r="L43" s="7"/>
      <c r="M43" s="7"/>
      <c r="N43" s="7"/>
      <c r="O43" s="7"/>
      <c r="P43" s="7"/>
      <c r="Q43" s="51"/>
      <c r="R43" s="7"/>
      <c r="S43" s="7"/>
      <c r="T43" s="7"/>
      <c r="U43" s="125"/>
      <c r="V43" s="125"/>
      <c r="W43" s="125"/>
      <c r="X43" s="126"/>
      <c r="Y43" s="126"/>
      <c r="Z43" s="127"/>
      <c r="AA43" s="71"/>
      <c r="AB43" s="10">
        <v>18</v>
      </c>
      <c r="AC43" s="12">
        <v>1.0016</v>
      </c>
      <c r="AD43" s="39" t="str">
        <f t="shared" si="0"/>
        <v/>
      </c>
    </row>
    <row r="44" spans="1:30" s="19" customFormat="1" ht="28.5" customHeight="1" x14ac:dyDescent="0.3">
      <c r="A44" s="199" t="s">
        <v>52</v>
      </c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1"/>
      <c r="R44" s="122" t="s">
        <v>53</v>
      </c>
      <c r="S44" s="123"/>
      <c r="T44" s="124"/>
      <c r="U44" s="128" t="s">
        <v>54</v>
      </c>
      <c r="V44" s="129"/>
      <c r="W44" s="129"/>
      <c r="X44" s="130"/>
      <c r="Y44" s="130"/>
      <c r="Z44" s="131"/>
      <c r="AA44" s="71"/>
      <c r="AB44" s="10">
        <v>19</v>
      </c>
      <c r="AC44" s="12">
        <v>1.0014000000000001</v>
      </c>
      <c r="AD44" s="39" t="str">
        <f t="shared" si="0"/>
        <v/>
      </c>
    </row>
    <row r="45" spans="1:30" s="19" customFormat="1" ht="14.25" customHeight="1" x14ac:dyDescent="0.3">
      <c r="A45" s="193" t="s">
        <v>55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5"/>
      <c r="R45" s="122" t="s">
        <v>56</v>
      </c>
      <c r="S45" s="123"/>
      <c r="T45" s="124"/>
      <c r="U45" s="174" t="s">
        <v>57</v>
      </c>
      <c r="V45" s="175"/>
      <c r="W45" s="175"/>
      <c r="X45" s="176"/>
      <c r="Y45" s="176"/>
      <c r="Z45" s="177"/>
      <c r="AA45" s="71"/>
      <c r="AB45" s="10">
        <v>20</v>
      </c>
      <c r="AC45" s="12">
        <v>1.0012000000000001</v>
      </c>
      <c r="AD45" s="39" t="str">
        <f t="shared" si="0"/>
        <v/>
      </c>
    </row>
    <row r="46" spans="1:30" s="19" customFormat="1" ht="9" customHeight="1" x14ac:dyDescent="0.3">
      <c r="A46" s="193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5"/>
      <c r="R46" s="122"/>
      <c r="S46" s="123"/>
      <c r="T46" s="124"/>
      <c r="U46" s="178"/>
      <c r="V46" s="179"/>
      <c r="W46" s="179"/>
      <c r="X46" s="180"/>
      <c r="Y46" s="180"/>
      <c r="Z46" s="181"/>
      <c r="AA46" s="71"/>
      <c r="AB46" s="10">
        <v>21</v>
      </c>
      <c r="AC46" s="40">
        <v>1.0009999999999999</v>
      </c>
      <c r="AD46" s="39" t="str">
        <f t="shared" si="0"/>
        <v/>
      </c>
    </row>
    <row r="47" spans="1:30" s="19" customFormat="1" ht="12.75" customHeight="1" x14ac:dyDescent="0.3">
      <c r="A47" s="196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8"/>
      <c r="R47" s="122"/>
      <c r="S47" s="123"/>
      <c r="T47" s="124"/>
      <c r="U47" s="178"/>
      <c r="V47" s="179"/>
      <c r="W47" s="179"/>
      <c r="X47" s="180"/>
      <c r="Y47" s="180"/>
      <c r="Z47" s="181"/>
      <c r="AA47" s="71"/>
      <c r="AB47" s="10">
        <v>22</v>
      </c>
      <c r="AC47" s="12">
        <v>1.0006999999999999</v>
      </c>
      <c r="AD47" s="39" t="str">
        <f t="shared" si="0"/>
        <v/>
      </c>
    </row>
    <row r="48" spans="1:30" s="19" customFormat="1" ht="14.25" customHeight="1" x14ac:dyDescent="0.25">
      <c r="A48" s="41" t="s">
        <v>58</v>
      </c>
      <c r="B48" s="52" t="s">
        <v>59</v>
      </c>
      <c r="C48" s="11"/>
      <c r="D48" s="11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42"/>
      <c r="R48" s="122"/>
      <c r="S48" s="123"/>
      <c r="T48" s="124"/>
      <c r="U48" s="182"/>
      <c r="V48" s="183"/>
      <c r="W48" s="183"/>
      <c r="X48" s="184"/>
      <c r="Y48" s="184"/>
      <c r="Z48" s="185"/>
      <c r="AB48" s="10">
        <v>23</v>
      </c>
      <c r="AC48" s="12">
        <v>1.0004999999999999</v>
      </c>
      <c r="AD48" s="39">
        <f t="shared" si="0"/>
        <v>1.0004999999999999</v>
      </c>
    </row>
    <row r="49" spans="1:30" s="19" customFormat="1" ht="12.75" customHeight="1" x14ac:dyDescent="0.25">
      <c r="A49" s="202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4"/>
      <c r="R49" s="122" t="s">
        <v>60</v>
      </c>
      <c r="S49" s="123"/>
      <c r="T49" s="124"/>
      <c r="U49" s="58"/>
      <c r="V49" s="59"/>
      <c r="W49" s="59"/>
      <c r="X49" s="60"/>
      <c r="Y49" s="60"/>
      <c r="Z49" s="61"/>
      <c r="AB49" s="10">
        <v>24</v>
      </c>
      <c r="AC49" s="12">
        <v>1.0003</v>
      </c>
      <c r="AD49" s="39" t="str">
        <f t="shared" si="0"/>
        <v/>
      </c>
    </row>
    <row r="50" spans="1:30" s="19" customFormat="1" ht="16.5" customHeight="1" x14ac:dyDescent="0.25">
      <c r="A50" s="202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4"/>
      <c r="R50" s="122"/>
      <c r="S50" s="123"/>
      <c r="T50" s="124"/>
      <c r="U50" s="62"/>
      <c r="V50" s="180"/>
      <c r="W50" s="180"/>
      <c r="X50" s="180"/>
      <c r="Y50" s="180"/>
      <c r="Z50" s="63"/>
      <c r="AB50" s="10">
        <v>25</v>
      </c>
      <c r="AC50" s="40">
        <v>1</v>
      </c>
      <c r="AD50" s="39" t="str">
        <f t="shared" si="0"/>
        <v/>
      </c>
    </row>
    <row r="51" spans="1:30" s="19" customFormat="1" ht="15.6" customHeight="1" x14ac:dyDescent="0.25">
      <c r="A51" s="202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4"/>
      <c r="R51" s="122"/>
      <c r="S51" s="123"/>
      <c r="T51" s="124"/>
      <c r="U51" s="62"/>
      <c r="V51" s="180"/>
      <c r="W51" s="180"/>
      <c r="X51" s="180"/>
      <c r="Y51" s="180"/>
      <c r="Z51" s="63"/>
      <c r="AB51" s="10">
        <v>26</v>
      </c>
      <c r="AC51" s="12">
        <v>0.99970000000000003</v>
      </c>
      <c r="AD51" s="39" t="str">
        <f t="shared" si="0"/>
        <v/>
      </c>
    </row>
    <row r="52" spans="1:30" s="19" customFormat="1" ht="15" customHeight="1" x14ac:dyDescent="0.25">
      <c r="A52" s="205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7"/>
      <c r="R52" s="208"/>
      <c r="S52" s="209"/>
      <c r="T52" s="210"/>
      <c r="U52" s="64"/>
      <c r="V52" s="65"/>
      <c r="W52" s="65"/>
      <c r="X52" s="66"/>
      <c r="Y52" s="66"/>
      <c r="Z52" s="67"/>
      <c r="AB52" s="10">
        <v>27</v>
      </c>
      <c r="AC52" s="12">
        <v>0.99950000000000006</v>
      </c>
      <c r="AD52" s="39" t="str">
        <f t="shared" si="0"/>
        <v/>
      </c>
    </row>
    <row r="53" spans="1:30" ht="12.75" customHeight="1" x14ac:dyDescent="0.25">
      <c r="AB53" s="10">
        <v>28</v>
      </c>
      <c r="AC53" s="12">
        <v>0.99919999999999998</v>
      </c>
      <c r="AD53" s="39" t="str">
        <f t="shared" si="0"/>
        <v/>
      </c>
    </row>
    <row r="54" spans="1:30" ht="12.75" customHeight="1" x14ac:dyDescent="0.25">
      <c r="P54" s="11"/>
      <c r="Q54" s="11"/>
      <c r="R54" s="11"/>
      <c r="S54" s="11"/>
      <c r="T54" s="11"/>
      <c r="U54" s="11"/>
      <c r="V54" s="11"/>
      <c r="W54" s="11"/>
      <c r="AB54" s="10">
        <v>29</v>
      </c>
      <c r="AC54" s="12">
        <v>0.99890000000000001</v>
      </c>
      <c r="AD54" s="39" t="str">
        <f t="shared" si="0"/>
        <v/>
      </c>
    </row>
    <row r="55" spans="1:30" ht="12.75" customHeight="1" x14ac:dyDescent="0.25">
      <c r="P55" s="11"/>
      <c r="Q55" s="11"/>
      <c r="R55" s="11"/>
      <c r="S55" s="11"/>
      <c r="T55" s="11"/>
      <c r="U55" s="11"/>
      <c r="V55" s="11"/>
      <c r="W55" s="11"/>
      <c r="AB55" s="15">
        <v>30</v>
      </c>
      <c r="AC55" s="16">
        <v>0.99860000000000004</v>
      </c>
      <c r="AD55" s="43" t="str">
        <f t="shared" si="0"/>
        <v/>
      </c>
    </row>
    <row r="56" spans="1:30" ht="12.75" customHeight="1" x14ac:dyDescent="0.25">
      <c r="P56" s="11"/>
      <c r="Q56" s="11"/>
      <c r="R56" s="11"/>
      <c r="S56" s="11"/>
      <c r="T56" s="11"/>
      <c r="U56" s="11"/>
      <c r="V56" s="11"/>
      <c r="W56" s="11"/>
    </row>
    <row r="57" spans="1:30" ht="12.75" customHeight="1" x14ac:dyDescent="0.25">
      <c r="P57" s="11"/>
      <c r="Q57" s="11"/>
      <c r="R57" s="11"/>
      <c r="S57" s="11"/>
      <c r="T57" s="11"/>
      <c r="U57" s="11"/>
      <c r="V57" s="11"/>
      <c r="W57" s="11"/>
    </row>
    <row r="58" spans="1:30" ht="12.75" customHeight="1" x14ac:dyDescent="0.25">
      <c r="P58" s="11"/>
      <c r="Q58" s="11"/>
      <c r="R58" s="11"/>
      <c r="S58" s="11"/>
      <c r="T58" s="11"/>
      <c r="U58" s="11"/>
      <c r="V58" s="11"/>
      <c r="W58" s="11"/>
    </row>
    <row r="59" spans="1:30" ht="12.75" customHeight="1" x14ac:dyDescent="0.25">
      <c r="P59" s="11"/>
      <c r="Q59" s="11"/>
      <c r="R59" s="11"/>
      <c r="S59" s="11"/>
      <c r="T59" s="11"/>
      <c r="U59" s="11"/>
      <c r="V59" s="11"/>
      <c r="W59" s="11"/>
    </row>
  </sheetData>
  <sheetProtection formatCells="0" formatColumns="0" formatRows="0" insertColumns="0" insertRows="0" insertHyperlinks="0" deleteColumns="0" deleteRows="0" selectLockedCells="1" sort="0" autoFilter="0" pivotTables="0"/>
  <mergeCells count="102">
    <mergeCell ref="Q38:S38"/>
    <mergeCell ref="A45:Q47"/>
    <mergeCell ref="A44:Q44"/>
    <mergeCell ref="V50:Y51"/>
    <mergeCell ref="A49:Q52"/>
    <mergeCell ref="R49:T52"/>
    <mergeCell ref="H39:J39"/>
    <mergeCell ref="K39:M39"/>
    <mergeCell ref="N39:P39"/>
    <mergeCell ref="Q39:S39"/>
    <mergeCell ref="B32:D34"/>
    <mergeCell ref="E32:G34"/>
    <mergeCell ref="H32:J34"/>
    <mergeCell ref="B37:D37"/>
    <mergeCell ref="E37:G37"/>
    <mergeCell ref="H37:J37"/>
    <mergeCell ref="U45:Z48"/>
    <mergeCell ref="T35:V35"/>
    <mergeCell ref="W35:Y35"/>
    <mergeCell ref="B39:D39"/>
    <mergeCell ref="E39:G39"/>
    <mergeCell ref="R45:T48"/>
    <mergeCell ref="K37:M37"/>
    <mergeCell ref="N37:P37"/>
    <mergeCell ref="B38:D38"/>
    <mergeCell ref="E38:G38"/>
    <mergeCell ref="N38:P38"/>
    <mergeCell ref="B35:D35"/>
    <mergeCell ref="E35:G35"/>
    <mergeCell ref="B36:D36"/>
    <mergeCell ref="E36:G36"/>
    <mergeCell ref="H36:J36"/>
    <mergeCell ref="K36:M36"/>
    <mergeCell ref="N36:P36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AB32:AB34"/>
    <mergeCell ref="AC32:AC34"/>
    <mergeCell ref="K32:M34"/>
    <mergeCell ref="N32:P34"/>
    <mergeCell ref="Q32:S34"/>
    <mergeCell ref="B24:E26"/>
    <mergeCell ref="B27:E29"/>
    <mergeCell ref="N10:R10"/>
    <mergeCell ref="N11:R11"/>
    <mergeCell ref="N12:R12"/>
    <mergeCell ref="H10:M10"/>
    <mergeCell ref="H11:M11"/>
    <mergeCell ref="H12:M12"/>
    <mergeCell ref="B18:H18"/>
    <mergeCell ref="B12:G12"/>
    <mergeCell ref="B11:G11"/>
    <mergeCell ref="B17:H17"/>
    <mergeCell ref="I18:Y18"/>
    <mergeCell ref="S11:Y11"/>
    <mergeCell ref="R44:T44"/>
    <mergeCell ref="U43:Z43"/>
    <mergeCell ref="U44:Z44"/>
    <mergeCell ref="S12:Y12"/>
    <mergeCell ref="T32:V34"/>
    <mergeCell ref="W32:Y34"/>
    <mergeCell ref="Q37:S37"/>
    <mergeCell ref="T37:V37"/>
    <mergeCell ref="W37:Y37"/>
    <mergeCell ref="Q35:S35"/>
    <mergeCell ref="I17:Y17"/>
    <mergeCell ref="T39:V39"/>
    <mergeCell ref="W39:Y39"/>
    <mergeCell ref="H38:J38"/>
    <mergeCell ref="K38:M38"/>
    <mergeCell ref="Q36:S36"/>
    <mergeCell ref="T36:V36"/>
    <mergeCell ref="W36:Y36"/>
    <mergeCell ref="H35:J35"/>
    <mergeCell ref="K35:M35"/>
    <mergeCell ref="N35:P35"/>
    <mergeCell ref="T38:V38"/>
    <mergeCell ref="W38:Y38"/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130722 (3)</vt:lpstr>
      <vt:lpstr>130722 (2)</vt:lpstr>
      <vt:lpstr>130722</vt:lpstr>
      <vt:lpstr>120722</vt:lpstr>
      <vt:lpstr>'120722'!Zone_d_impression</vt:lpstr>
      <vt:lpstr>'130722'!Zone_d_impression</vt:lpstr>
      <vt:lpstr>'130722 (2)'!Zone_d_impression</vt:lpstr>
      <vt:lpstr>'130722 (3)'!Zone_d_impression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Frederic</cp:lastModifiedBy>
  <cp:lastPrinted>2022-07-18T09:43:25Z</cp:lastPrinted>
  <dcterms:created xsi:type="dcterms:W3CDTF">2004-11-13T18:13:05Z</dcterms:created>
  <dcterms:modified xsi:type="dcterms:W3CDTF">2022-07-18T09:48:35Z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