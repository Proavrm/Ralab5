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nge1.sharepoint.com/sites/ARS/Documents Service QSE/Tableaux suivi indicateurs/QSE 2025/"/>
    </mc:Choice>
  </mc:AlternateContent>
  <xr:revisionPtr revIDLastSave="10924" documentId="8_{D3FDC3A6-2223-4D59-8D64-AAFAC4C0A7AD}" xr6:coauthVersionLast="47" xr6:coauthVersionMax="47" xr10:uidLastSave="{F2F383D1-FC15-4178-9F65-4A18094462F0}"/>
  <bookViews>
    <workbookView xWindow="28680" yWindow="-120" windowWidth="29040" windowHeight="15720" tabRatio="622" activeTab="2" xr2:uid="{00000000-000D-0000-FFFF-FFFF00000000}"/>
  </bookViews>
  <sheets>
    <sheet name="Registre des AT" sheetId="2" r:id="rId1"/>
    <sheet name=" Suivi Obj PASD 1-4 d'h FNC FAE" sheetId="16" r:id="rId2"/>
    <sheet name=" PASD Détails" sheetId="1" r:id="rId3"/>
    <sheet name="Plan d'action " sheetId="3" r:id="rId4"/>
    <sheet name="Test Alcool + stup" sheetId="9" r:id="rId5"/>
    <sheet name="non-respect Règles vitales  " sheetId="17" r:id="rId6"/>
    <sheet name="Non respect EPI" sheetId="19" r:id="rId7"/>
    <sheet name="ARRET CHANTIER" sheetId="21" r:id="rId8"/>
    <sheet name="Liste déroulante " sheetId="22" r:id="rId9"/>
    <sheet name="Fournisseurs" sheetId="18" r:id="rId10"/>
  </sheets>
  <definedNames>
    <definedName name="_xlnm._FilterDatabase" localSheetId="1" hidden="1">' Suivi Obj PASD 1-4 d''h FNC FAE'!$A$4:$CM$196</definedName>
    <definedName name="_xlnm.Print_Titles" localSheetId="2">' PASD Détails'!#REF!</definedName>
    <definedName name="_xlnm.Print_Titles" localSheetId="3">'Plan d''action '!$3:$3</definedName>
    <definedName name="Titre1" localSheetId="2">#REF!</definedName>
    <definedName name="Titre1" localSheetId="3">ListeInventaire3811[[#Headers],[Périmètre (Agence, secteur...)]]</definedName>
    <definedName name="Titre1">#REF!</definedName>
    <definedName name="_xlnm.Print_Area" localSheetId="3">'Plan d''action '!$A$3:$H$19</definedName>
    <definedName name="_xlnm.Print_Area" localSheetId="0">'Registre des AT'!$A$1:$AC$13</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 xmlns:mx="http://schemas.microsoft.com/office/mac/excel/2008/main" uri="{7523E5D3-25F3-A5E0-1632-64F254C22452}">
      <mx:ArchID Flags="2"/>
    </ext>
  </extLst>
</workbook>
</file>

<file path=xl/calcChain.xml><?xml version="1.0" encoding="utf-8"?>
<calcChain xmlns="http://schemas.openxmlformats.org/spreadsheetml/2006/main">
  <c r="I225" i="3" l="1"/>
  <c r="I224" i="3"/>
  <c r="I58" i="3"/>
  <c r="CC196" i="16"/>
  <c r="CD196" i="16"/>
  <c r="CE196" i="16"/>
  <c r="CF196" i="16"/>
  <c r="CG196" i="16"/>
  <c r="CH196" i="16"/>
  <c r="CC81" i="16"/>
  <c r="CD81" i="16"/>
  <c r="CE81" i="16"/>
  <c r="CF81" i="16"/>
  <c r="CG81" i="16"/>
  <c r="CH81" i="16"/>
  <c r="CC23" i="16"/>
  <c r="CD23" i="16"/>
  <c r="CE23" i="16"/>
  <c r="CF23" i="16"/>
  <c r="CG23" i="16"/>
  <c r="CH23" i="16"/>
  <c r="CE154" i="16"/>
  <c r="AE162" i="1"/>
  <c r="N42" i="2"/>
  <c r="CF19" i="16"/>
  <c r="AB33" i="2"/>
  <c r="AB32" i="2"/>
  <c r="CC117" i="16"/>
  <c r="CD117" i="16"/>
  <c r="CE117" i="16"/>
  <c r="CF117" i="16"/>
  <c r="CG117" i="16"/>
  <c r="CH117" i="16"/>
  <c r="CC118" i="16"/>
  <c r="CD118" i="16"/>
  <c r="CE118" i="16"/>
  <c r="CF118" i="16"/>
  <c r="CG118" i="16"/>
  <c r="CH118" i="16"/>
  <c r="CC119" i="16"/>
  <c r="CD119" i="16"/>
  <c r="CE119" i="16"/>
  <c r="CF119" i="16"/>
  <c r="CG119" i="16"/>
  <c r="CH119" i="16"/>
  <c r="CC112" i="16"/>
  <c r="CD112" i="16"/>
  <c r="CE112" i="16"/>
  <c r="CF112" i="16"/>
  <c r="CG112" i="16"/>
  <c r="CH112" i="16"/>
  <c r="CC109" i="16"/>
  <c r="CD109" i="16"/>
  <c r="CE109" i="16"/>
  <c r="CF109" i="16"/>
  <c r="CG109" i="16"/>
  <c r="CH109" i="16"/>
  <c r="CC110" i="16"/>
  <c r="CD110" i="16"/>
  <c r="CE110" i="16"/>
  <c r="CF110" i="16"/>
  <c r="CG110" i="16"/>
  <c r="CH110" i="16"/>
  <c r="AB42" i="2"/>
  <c r="AB37" i="2"/>
  <c r="CH8" i="16"/>
  <c r="CG8" i="16"/>
  <c r="CF8" i="16"/>
  <c r="CE8" i="16"/>
  <c r="CD8" i="16"/>
  <c r="CC8" i="16"/>
  <c r="CH31" i="16"/>
  <c r="CG31" i="16"/>
  <c r="CF31" i="16"/>
  <c r="CE31" i="16"/>
  <c r="CD31" i="16"/>
  <c r="CC31" i="16"/>
  <c r="CC192" i="16"/>
  <c r="CD192" i="16"/>
  <c r="CE192" i="16"/>
  <c r="CF192" i="16"/>
  <c r="CG192" i="16"/>
  <c r="CH192" i="16"/>
  <c r="AB28" i="2"/>
  <c r="CF44" i="16"/>
  <c r="O17" i="2" l="1"/>
  <c r="M17" i="2" s="1"/>
  <c r="AB3" i="2"/>
  <c r="CC173" i="16"/>
  <c r="CD173" i="16"/>
  <c r="CE173" i="16"/>
  <c r="CF173" i="16"/>
  <c r="CG173" i="16"/>
  <c r="CH173" i="16"/>
  <c r="CC174" i="16"/>
  <c r="CD174" i="16"/>
  <c r="CE174" i="16"/>
  <c r="CF174" i="16"/>
  <c r="CG174" i="16"/>
  <c r="CH174" i="16"/>
  <c r="CC175" i="16"/>
  <c r="CD175" i="16"/>
  <c r="CE175" i="16"/>
  <c r="CF175" i="16"/>
  <c r="CG175" i="16"/>
  <c r="CH175" i="16"/>
  <c r="CC176" i="16"/>
  <c r="CD176" i="16"/>
  <c r="CE176" i="16"/>
  <c r="CF176" i="16"/>
  <c r="CG176" i="16"/>
  <c r="CH176" i="16"/>
  <c r="CC177" i="16"/>
  <c r="CD177" i="16"/>
  <c r="CE177" i="16"/>
  <c r="CF177" i="16"/>
  <c r="CG177" i="16"/>
  <c r="CH177" i="16"/>
  <c r="CC178" i="16"/>
  <c r="CD178" i="16"/>
  <c r="CE178" i="16"/>
  <c r="CF178" i="16"/>
  <c r="CG178" i="16"/>
  <c r="CH178" i="16"/>
  <c r="CC179" i="16"/>
  <c r="CD179" i="16"/>
  <c r="CE179" i="16"/>
  <c r="CF179" i="16"/>
  <c r="CG179" i="16"/>
  <c r="CH179" i="16"/>
  <c r="CC180" i="16"/>
  <c r="CD180" i="16"/>
  <c r="CE180" i="16"/>
  <c r="CF180" i="16"/>
  <c r="CG180" i="16"/>
  <c r="CH180" i="16"/>
  <c r="CC181" i="16"/>
  <c r="CD181" i="16"/>
  <c r="CE181" i="16"/>
  <c r="CF181" i="16"/>
  <c r="CG181" i="16"/>
  <c r="CH181" i="16"/>
  <c r="CC182" i="16"/>
  <c r="CD182" i="16"/>
  <c r="CE182" i="16"/>
  <c r="CF182" i="16"/>
  <c r="CG182" i="16"/>
  <c r="CH182" i="16"/>
  <c r="CC183" i="16"/>
  <c r="CD183" i="16"/>
  <c r="CE183" i="16"/>
  <c r="CF183" i="16"/>
  <c r="CG183" i="16"/>
  <c r="CH183" i="16"/>
  <c r="CC184" i="16"/>
  <c r="CD184" i="16"/>
  <c r="CE184" i="16"/>
  <c r="CF184" i="16"/>
  <c r="CG184" i="16"/>
  <c r="CH184" i="16"/>
  <c r="CC185" i="16"/>
  <c r="CD185" i="16"/>
  <c r="CE185" i="16"/>
  <c r="CF185" i="16"/>
  <c r="CG185" i="16"/>
  <c r="CH185" i="16"/>
  <c r="CC186" i="16"/>
  <c r="CD186" i="16"/>
  <c r="CE186" i="16"/>
  <c r="CF186" i="16"/>
  <c r="CG186" i="16"/>
  <c r="CH186" i="16"/>
  <c r="CC187" i="16"/>
  <c r="CD187" i="16"/>
  <c r="CE187" i="16"/>
  <c r="CF187" i="16"/>
  <c r="CG187" i="16"/>
  <c r="CH187" i="16"/>
  <c r="CC188" i="16"/>
  <c r="CD188" i="16"/>
  <c r="CE188" i="16"/>
  <c r="CF188" i="16"/>
  <c r="CG188" i="16"/>
  <c r="CH188" i="16"/>
  <c r="CC189" i="16"/>
  <c r="CD189" i="16"/>
  <c r="CE189" i="16"/>
  <c r="CF189" i="16"/>
  <c r="CG189" i="16"/>
  <c r="CH189" i="16"/>
  <c r="CC190" i="16"/>
  <c r="CD190" i="16"/>
  <c r="CE190" i="16"/>
  <c r="CF190" i="16"/>
  <c r="CG190" i="16"/>
  <c r="CH190" i="16"/>
  <c r="CC191" i="16"/>
  <c r="CD191" i="16"/>
  <c r="CE191" i="16"/>
  <c r="CF191" i="16"/>
  <c r="CG191" i="16"/>
  <c r="CH191" i="16"/>
  <c r="CC193" i="16"/>
  <c r="CD193" i="16"/>
  <c r="CE193" i="16"/>
  <c r="CF193" i="16"/>
  <c r="CG193" i="16"/>
  <c r="CH193" i="16"/>
  <c r="CC194" i="16"/>
  <c r="CD194" i="16"/>
  <c r="CE194" i="16"/>
  <c r="CF194" i="16"/>
  <c r="CG194" i="16"/>
  <c r="CH194" i="16"/>
  <c r="CC138" i="16"/>
  <c r="CD138" i="16"/>
  <c r="CE138" i="16"/>
  <c r="CF138" i="16"/>
  <c r="CG138" i="16"/>
  <c r="CH138" i="16"/>
  <c r="CC139" i="16"/>
  <c r="CD139" i="16"/>
  <c r="CE139" i="16"/>
  <c r="CF139" i="16"/>
  <c r="CG139" i="16"/>
  <c r="CH139" i="16"/>
  <c r="CC140" i="16"/>
  <c r="CD140" i="16"/>
  <c r="CE140" i="16"/>
  <c r="CF140" i="16"/>
  <c r="CG140" i="16"/>
  <c r="CH140" i="16"/>
  <c r="CC141" i="16"/>
  <c r="CD141" i="16"/>
  <c r="CE141" i="16"/>
  <c r="CF141" i="16"/>
  <c r="CG141" i="16"/>
  <c r="CH141" i="16"/>
  <c r="CC142" i="16"/>
  <c r="CD142" i="16"/>
  <c r="CE142" i="16"/>
  <c r="CF142" i="16"/>
  <c r="CG142" i="16"/>
  <c r="CH142" i="16"/>
  <c r="CC143" i="16"/>
  <c r="CD143" i="16"/>
  <c r="CE143" i="16"/>
  <c r="CF143" i="16"/>
  <c r="CG143" i="16"/>
  <c r="CH143" i="16"/>
  <c r="CC144" i="16"/>
  <c r="CD144" i="16"/>
  <c r="CE144" i="16"/>
  <c r="CF144" i="16"/>
  <c r="CG144" i="16"/>
  <c r="CH144" i="16"/>
  <c r="CC145" i="16"/>
  <c r="CD145" i="16"/>
  <c r="CE145" i="16"/>
  <c r="CF145" i="16"/>
  <c r="CG145" i="16"/>
  <c r="CH145" i="16"/>
  <c r="CC146" i="16"/>
  <c r="CD146" i="16"/>
  <c r="CE146" i="16"/>
  <c r="CF146" i="16"/>
  <c r="CG146" i="16"/>
  <c r="CH146" i="16"/>
  <c r="CC147" i="16"/>
  <c r="CD147" i="16"/>
  <c r="CE147" i="16"/>
  <c r="CF147" i="16"/>
  <c r="CG147" i="16"/>
  <c r="CH147" i="16"/>
  <c r="CC148" i="16"/>
  <c r="CD148" i="16"/>
  <c r="CE148" i="16"/>
  <c r="CF148" i="16"/>
  <c r="CG148" i="16"/>
  <c r="CH148" i="16"/>
  <c r="CC149" i="16"/>
  <c r="CD149" i="16"/>
  <c r="CE149" i="16"/>
  <c r="CF149" i="16"/>
  <c r="CG149" i="16"/>
  <c r="CH149" i="16"/>
  <c r="CC150" i="16"/>
  <c r="CD150" i="16"/>
  <c r="CE150" i="16"/>
  <c r="CF150" i="16"/>
  <c r="CG150" i="16"/>
  <c r="CH150" i="16"/>
  <c r="CC151" i="16"/>
  <c r="CD151" i="16"/>
  <c r="CE151" i="16"/>
  <c r="CF151" i="16"/>
  <c r="CG151" i="16"/>
  <c r="CH151" i="16"/>
  <c r="CC152" i="16"/>
  <c r="CD152" i="16"/>
  <c r="CE152" i="16"/>
  <c r="CF152" i="16"/>
  <c r="CG152" i="16"/>
  <c r="CH152" i="16"/>
  <c r="CC153" i="16"/>
  <c r="CD153" i="16"/>
  <c r="CE153" i="16"/>
  <c r="CF153" i="16"/>
  <c r="CG153" i="16"/>
  <c r="CH153" i="16"/>
  <c r="CC154" i="16"/>
  <c r="CD154" i="16"/>
  <c r="CF154" i="16"/>
  <c r="CG154" i="16"/>
  <c r="CH154" i="16"/>
  <c r="CC155" i="16"/>
  <c r="CD155" i="16"/>
  <c r="CE155" i="16"/>
  <c r="CF155" i="16"/>
  <c r="CG155" i="16"/>
  <c r="CH155" i="16"/>
  <c r="CC156" i="16"/>
  <c r="CD156" i="16"/>
  <c r="CE156" i="16"/>
  <c r="CF156" i="16"/>
  <c r="CG156" i="16"/>
  <c r="CH156" i="16"/>
  <c r="CC157" i="16"/>
  <c r="CD157" i="16"/>
  <c r="CE157" i="16"/>
  <c r="CF157" i="16"/>
  <c r="CG157" i="16"/>
  <c r="CH157" i="16"/>
  <c r="CC158" i="16"/>
  <c r="CD158" i="16"/>
  <c r="CE158" i="16"/>
  <c r="CF158" i="16"/>
  <c r="CG158" i="16"/>
  <c r="CH158" i="16"/>
  <c r="CC159" i="16"/>
  <c r="CD159" i="16"/>
  <c r="CE159" i="16"/>
  <c r="CF159" i="16"/>
  <c r="CG159" i="16"/>
  <c r="CH159" i="16"/>
  <c r="CC160" i="16"/>
  <c r="CD160" i="16"/>
  <c r="CE160" i="16"/>
  <c r="CF160" i="16"/>
  <c r="CG160" i="16"/>
  <c r="CH160" i="16"/>
  <c r="CC80" i="16"/>
  <c r="CD80" i="16"/>
  <c r="CE80" i="16"/>
  <c r="CF80" i="16"/>
  <c r="CG80" i="16"/>
  <c r="CH80" i="16"/>
  <c r="CC82" i="16"/>
  <c r="CD82" i="16"/>
  <c r="CE82" i="16"/>
  <c r="CF82" i="16"/>
  <c r="CG82" i="16"/>
  <c r="CH82" i="16"/>
  <c r="CC83" i="16"/>
  <c r="CD83" i="16"/>
  <c r="CE83" i="16"/>
  <c r="CF83" i="16"/>
  <c r="CG83" i="16"/>
  <c r="CH83" i="16"/>
  <c r="CC84" i="16"/>
  <c r="CD84" i="16"/>
  <c r="CE84" i="16"/>
  <c r="CF84" i="16"/>
  <c r="CG84" i="16"/>
  <c r="CH84" i="16"/>
  <c r="CC85" i="16"/>
  <c r="CD85" i="16"/>
  <c r="CE85" i="16"/>
  <c r="CF85" i="16"/>
  <c r="CG85" i="16"/>
  <c r="CH85" i="16"/>
  <c r="CC86" i="16"/>
  <c r="CD86" i="16"/>
  <c r="CE86" i="16"/>
  <c r="CF86" i="16"/>
  <c r="CG86" i="16"/>
  <c r="CH86" i="16"/>
  <c r="CC87" i="16"/>
  <c r="CD87" i="16"/>
  <c r="CE87" i="16"/>
  <c r="CF87" i="16"/>
  <c r="CG87" i="16"/>
  <c r="CH87" i="16"/>
  <c r="CC88" i="16"/>
  <c r="CD88" i="16"/>
  <c r="CE88" i="16"/>
  <c r="CF88" i="16"/>
  <c r="CG88" i="16"/>
  <c r="CH88" i="16"/>
  <c r="CC89" i="16"/>
  <c r="CD89" i="16"/>
  <c r="CE89" i="16"/>
  <c r="CF89" i="16"/>
  <c r="CG89" i="16"/>
  <c r="CH89" i="16"/>
  <c r="CC90" i="16"/>
  <c r="CD90" i="16"/>
  <c r="CE90" i="16"/>
  <c r="CF90" i="16"/>
  <c r="CG90" i="16"/>
  <c r="CH90" i="16"/>
  <c r="CC91" i="16"/>
  <c r="CD91" i="16"/>
  <c r="CE91" i="16"/>
  <c r="CF91" i="16"/>
  <c r="CG91" i="16"/>
  <c r="CH91" i="16"/>
  <c r="CC92" i="16"/>
  <c r="CD92" i="16"/>
  <c r="CE92" i="16"/>
  <c r="CF92" i="16"/>
  <c r="CG92" i="16"/>
  <c r="CH92" i="16"/>
  <c r="CC93" i="16"/>
  <c r="CD93" i="16"/>
  <c r="CE93" i="16"/>
  <c r="CF93" i="16"/>
  <c r="CG93" i="16"/>
  <c r="CH93" i="16"/>
  <c r="CC94" i="16"/>
  <c r="CD94" i="16"/>
  <c r="CE94" i="16"/>
  <c r="CF94" i="16"/>
  <c r="CG94" i="16"/>
  <c r="CH94" i="16"/>
  <c r="CC95" i="16"/>
  <c r="CD95" i="16"/>
  <c r="CE95" i="16"/>
  <c r="CF95" i="16"/>
  <c r="CG95" i="16"/>
  <c r="CH95" i="16"/>
  <c r="CC96" i="16"/>
  <c r="CD96" i="16"/>
  <c r="CE96" i="16"/>
  <c r="CF96" i="16"/>
  <c r="CG96" i="16"/>
  <c r="CH96" i="16"/>
  <c r="CC97" i="16"/>
  <c r="CD97" i="16"/>
  <c r="CE97" i="16"/>
  <c r="CF97" i="16"/>
  <c r="CG97" i="16"/>
  <c r="CH97" i="16"/>
  <c r="CC98" i="16"/>
  <c r="CD98" i="16"/>
  <c r="CE98" i="16"/>
  <c r="CF98" i="16"/>
  <c r="CG98" i="16"/>
  <c r="CH98" i="16"/>
  <c r="CC99" i="16"/>
  <c r="CD99" i="16"/>
  <c r="CE99" i="16"/>
  <c r="CF99" i="16"/>
  <c r="CG99" i="16"/>
  <c r="CH99" i="16"/>
  <c r="CC55" i="16"/>
  <c r="CD55" i="16"/>
  <c r="CE55" i="16"/>
  <c r="CF55" i="16"/>
  <c r="CG55" i="16"/>
  <c r="CH55" i="16"/>
  <c r="CC56" i="16"/>
  <c r="CD56" i="16"/>
  <c r="CE56" i="16"/>
  <c r="CF56" i="16"/>
  <c r="CG56" i="16"/>
  <c r="CH56" i="16"/>
  <c r="CC57" i="16"/>
  <c r="CD57" i="16"/>
  <c r="CE57" i="16"/>
  <c r="CF57" i="16"/>
  <c r="CG57" i="16"/>
  <c r="CH57" i="16"/>
  <c r="CC58" i="16"/>
  <c r="CD58" i="16"/>
  <c r="CE58" i="16"/>
  <c r="CF58" i="16"/>
  <c r="CG58" i="16"/>
  <c r="CH58" i="16"/>
  <c r="CC59" i="16"/>
  <c r="CD59" i="16"/>
  <c r="CE59" i="16"/>
  <c r="CF59" i="16"/>
  <c r="CG59" i="16"/>
  <c r="CH59" i="16"/>
  <c r="CC60" i="16"/>
  <c r="CD60" i="16"/>
  <c r="CE60" i="16"/>
  <c r="CF60" i="16"/>
  <c r="CG60" i="16"/>
  <c r="CH60" i="16"/>
  <c r="CC61" i="16"/>
  <c r="CD61" i="16"/>
  <c r="CE61" i="16"/>
  <c r="CF61" i="16"/>
  <c r="CG61" i="16"/>
  <c r="CH61" i="16"/>
  <c r="CC62" i="16"/>
  <c r="CD62" i="16"/>
  <c r="CE62" i="16"/>
  <c r="CF62" i="16"/>
  <c r="CG62" i="16"/>
  <c r="CH62" i="16"/>
  <c r="CC63" i="16"/>
  <c r="CD63" i="16"/>
  <c r="CE63" i="16"/>
  <c r="CF63" i="16"/>
  <c r="CG63" i="16"/>
  <c r="CH63" i="16"/>
  <c r="CC64" i="16"/>
  <c r="CD64" i="16"/>
  <c r="CE64" i="16"/>
  <c r="CF64" i="16"/>
  <c r="CG64" i="16"/>
  <c r="CH64" i="16"/>
  <c r="CC65" i="16"/>
  <c r="CD65" i="16"/>
  <c r="CE65" i="16"/>
  <c r="CF65" i="16"/>
  <c r="CG65" i="16"/>
  <c r="CH65" i="16"/>
  <c r="CC66" i="16"/>
  <c r="CD66" i="16"/>
  <c r="CE66" i="16"/>
  <c r="CF66" i="16"/>
  <c r="CG66" i="16"/>
  <c r="CH66" i="16"/>
  <c r="CC67" i="16"/>
  <c r="CD67" i="16"/>
  <c r="CE67" i="16"/>
  <c r="CF67" i="16"/>
  <c r="CG67" i="16"/>
  <c r="CH67" i="16"/>
  <c r="CC68" i="16"/>
  <c r="CD68" i="16"/>
  <c r="CE68" i="16"/>
  <c r="CF68" i="16"/>
  <c r="CG68" i="16"/>
  <c r="CH68" i="16"/>
  <c r="CC69" i="16"/>
  <c r="CD69" i="16"/>
  <c r="CE69" i="16"/>
  <c r="CF69" i="16"/>
  <c r="CG69" i="16"/>
  <c r="CH69" i="16"/>
  <c r="CC70" i="16"/>
  <c r="CD70" i="16"/>
  <c r="CE70" i="16"/>
  <c r="CF70" i="16"/>
  <c r="CG70" i="16"/>
  <c r="CH70" i="16"/>
  <c r="CC71" i="16"/>
  <c r="CD71" i="16"/>
  <c r="CE71" i="16"/>
  <c r="CF71" i="16"/>
  <c r="CG71" i="16"/>
  <c r="CH71" i="16"/>
  <c r="CC72" i="16"/>
  <c r="CD72" i="16"/>
  <c r="CE72" i="16"/>
  <c r="CF72" i="16"/>
  <c r="CG72" i="16"/>
  <c r="CH72" i="16"/>
  <c r="CC73" i="16"/>
  <c r="CD73" i="16"/>
  <c r="CE73" i="16"/>
  <c r="CF73" i="16"/>
  <c r="CG73" i="16"/>
  <c r="CH73" i="16"/>
  <c r="CC74" i="16"/>
  <c r="CD74" i="16"/>
  <c r="CE74" i="16"/>
  <c r="CF74" i="16"/>
  <c r="CG74" i="16"/>
  <c r="CH74" i="16"/>
  <c r="CC75" i="16"/>
  <c r="CD75" i="16"/>
  <c r="CE75" i="16"/>
  <c r="CF75" i="16"/>
  <c r="CG75" i="16"/>
  <c r="CH75" i="16"/>
  <c r="CC76" i="16"/>
  <c r="CD76" i="16"/>
  <c r="CE76" i="16"/>
  <c r="CF76" i="16"/>
  <c r="CG76" i="16"/>
  <c r="CH76" i="16"/>
  <c r="CC35" i="16"/>
  <c r="CD35" i="16"/>
  <c r="CE35" i="16"/>
  <c r="CF35" i="16"/>
  <c r="CG35" i="16"/>
  <c r="CH35" i="16"/>
  <c r="CC36" i="16"/>
  <c r="CD36" i="16"/>
  <c r="CE36" i="16"/>
  <c r="CF36" i="16"/>
  <c r="CG36" i="16"/>
  <c r="CH36" i="16"/>
  <c r="CC37" i="16"/>
  <c r="CD37" i="16"/>
  <c r="CE37" i="16"/>
  <c r="CF37" i="16"/>
  <c r="CG37" i="16"/>
  <c r="CH37" i="16"/>
  <c r="CC38" i="16"/>
  <c r="CD38" i="16"/>
  <c r="CE38" i="16"/>
  <c r="CF38" i="16"/>
  <c r="CG38" i="16"/>
  <c r="CH38" i="16"/>
  <c r="CC13" i="16"/>
  <c r="CD13" i="16"/>
  <c r="CE13" i="16"/>
  <c r="CF13" i="16"/>
  <c r="CG13" i="16"/>
  <c r="CH13" i="16"/>
  <c r="CC14" i="16"/>
  <c r="CD14" i="16"/>
  <c r="CE14" i="16"/>
  <c r="CF14" i="16"/>
  <c r="CG14" i="16"/>
  <c r="CH14" i="16"/>
  <c r="CC15" i="16"/>
  <c r="CD15" i="16"/>
  <c r="CE15" i="16"/>
  <c r="CF15" i="16"/>
  <c r="CG15" i="16"/>
  <c r="CH15" i="16"/>
  <c r="CC16" i="16"/>
  <c r="CD16" i="16"/>
  <c r="CE16" i="16"/>
  <c r="CF16" i="16"/>
  <c r="CG16" i="16"/>
  <c r="CH16" i="16"/>
  <c r="CC17" i="16"/>
  <c r="CD17" i="16"/>
  <c r="CE17" i="16"/>
  <c r="CF17" i="16"/>
  <c r="CG17" i="16"/>
  <c r="CH17" i="16"/>
  <c r="CC18" i="16"/>
  <c r="CD18" i="16"/>
  <c r="CE18" i="16"/>
  <c r="CF18" i="16"/>
  <c r="CG18" i="16"/>
  <c r="CH18" i="16"/>
  <c r="CC19" i="16"/>
  <c r="CD19" i="16"/>
  <c r="CE19" i="16"/>
  <c r="CG19" i="16"/>
  <c r="CH19" i="16"/>
  <c r="CC20" i="16"/>
  <c r="CD20" i="16"/>
  <c r="CE20" i="16"/>
  <c r="CF20" i="16"/>
  <c r="CG20" i="16"/>
  <c r="CH20" i="16"/>
  <c r="CC21" i="16"/>
  <c r="CD21" i="16"/>
  <c r="CE21" i="16"/>
  <c r="CF21" i="16"/>
  <c r="CG21" i="16"/>
  <c r="CH21" i="16"/>
  <c r="CC22" i="16"/>
  <c r="CD22" i="16"/>
  <c r="CE22" i="16"/>
  <c r="CF22" i="16"/>
  <c r="CG22" i="16"/>
  <c r="CH22" i="16"/>
  <c r="CC24" i="16"/>
  <c r="CD24" i="16"/>
  <c r="CE24" i="16"/>
  <c r="CF24" i="16"/>
  <c r="CG24" i="16"/>
  <c r="CH24" i="16"/>
  <c r="CC25" i="16"/>
  <c r="CD25" i="16"/>
  <c r="CE25" i="16"/>
  <c r="CF25" i="16"/>
  <c r="CG25" i="16"/>
  <c r="CH25" i="16"/>
  <c r="CC26" i="16"/>
  <c r="CD26" i="16"/>
  <c r="CE26" i="16"/>
  <c r="CF26" i="16"/>
  <c r="CG26" i="16"/>
  <c r="CH26" i="16"/>
  <c r="CC27" i="16"/>
  <c r="CD27" i="16"/>
  <c r="CE27" i="16"/>
  <c r="CF27" i="16"/>
  <c r="CG27" i="16"/>
  <c r="CH27" i="16"/>
  <c r="CC28" i="16"/>
  <c r="CD28" i="16"/>
  <c r="CE28" i="16"/>
  <c r="CF28" i="16"/>
  <c r="CG28" i="16"/>
  <c r="CH28" i="16"/>
  <c r="CC29" i="16"/>
  <c r="CD29" i="16"/>
  <c r="CE29" i="16"/>
  <c r="CF29" i="16"/>
  <c r="CG29" i="16"/>
  <c r="CH29" i="16"/>
  <c r="CC30" i="16"/>
  <c r="CD30" i="16"/>
  <c r="CE30" i="16"/>
  <c r="CF30" i="16"/>
  <c r="CG30" i="16"/>
  <c r="CH30" i="16"/>
  <c r="CC32" i="16"/>
  <c r="CD32" i="16"/>
  <c r="CE32" i="16"/>
  <c r="CF32" i="16"/>
  <c r="CG32" i="16"/>
  <c r="CH32" i="16"/>
  <c r="CC33" i="16"/>
  <c r="CD33" i="16"/>
  <c r="CE33" i="16"/>
  <c r="CF33" i="16"/>
  <c r="CG33" i="16"/>
  <c r="CH33" i="16"/>
  <c r="CC34" i="16"/>
  <c r="CD34" i="16"/>
  <c r="CE34" i="16"/>
  <c r="CF34" i="16"/>
  <c r="CG34" i="16"/>
  <c r="CH34" i="16"/>
  <c r="CC168" i="16" l="1"/>
  <c r="CD168" i="16"/>
  <c r="CE168" i="16"/>
  <c r="CF168" i="16"/>
  <c r="CG168" i="16"/>
  <c r="CH168" i="16"/>
  <c r="CC41" i="16"/>
  <c r="CD41" i="16"/>
  <c r="CE41" i="16"/>
  <c r="CF41" i="16"/>
  <c r="CG41" i="16"/>
  <c r="CH41" i="16"/>
  <c r="CC43" i="16"/>
  <c r="CD43" i="16"/>
  <c r="CE43" i="16"/>
  <c r="CF43" i="16"/>
  <c r="CG43" i="16"/>
  <c r="CH43" i="16"/>
  <c r="CM25" i="16"/>
  <c r="CC167" i="16"/>
  <c r="CD167" i="16"/>
  <c r="CE167" i="16"/>
  <c r="CF167" i="16"/>
  <c r="CG167" i="16"/>
  <c r="CH167" i="16"/>
  <c r="CC161" i="16"/>
  <c r="CD161" i="16"/>
  <c r="CE161" i="16"/>
  <c r="CF161" i="16"/>
  <c r="CG161" i="16"/>
  <c r="CH161" i="16"/>
  <c r="AB17" i="2"/>
  <c r="AB18" i="2"/>
  <c r="AB14" i="2"/>
  <c r="I132" i="3"/>
  <c r="I133" i="3"/>
  <c r="I128" i="3"/>
  <c r="I129" i="3"/>
  <c r="I130" i="3"/>
  <c r="I131" i="3"/>
  <c r="I127" i="3"/>
  <c r="I125" i="3"/>
  <c r="I126" i="3"/>
  <c r="I121" i="3"/>
  <c r="I122" i="3"/>
  <c r="I123" i="3"/>
  <c r="I124" i="3"/>
  <c r="AE27" i="1"/>
  <c r="I134" i="3"/>
  <c r="I6" i="3"/>
  <c r="I30" i="3"/>
  <c r="I31" i="3"/>
  <c r="I32" i="3"/>
  <c r="I33" i="3"/>
  <c r="I34" i="3"/>
  <c r="I35" i="3"/>
  <c r="I36" i="3"/>
  <c r="I37" i="3"/>
  <c r="I38" i="3"/>
  <c r="I39" i="3"/>
  <c r="I40" i="3"/>
  <c r="I41" i="3"/>
  <c r="I42" i="3"/>
  <c r="I43" i="3"/>
  <c r="I44" i="3"/>
  <c r="I45" i="3"/>
  <c r="I46" i="3"/>
  <c r="I47" i="3"/>
  <c r="I48" i="3"/>
  <c r="I49" i="3"/>
  <c r="I50" i="3"/>
  <c r="I60" i="3"/>
  <c r="I61" i="3"/>
  <c r="I62" i="3"/>
  <c r="I63" i="3"/>
  <c r="I64" i="3"/>
  <c r="I65" i="3"/>
  <c r="I66" i="3"/>
  <c r="I67" i="3"/>
  <c r="I68" i="3"/>
  <c r="I69" i="3"/>
  <c r="I70" i="3"/>
  <c r="I71" i="3"/>
  <c r="I59" i="3"/>
  <c r="I7" i="3"/>
  <c r="I8" i="3"/>
  <c r="I9" i="3"/>
  <c r="I10" i="3"/>
  <c r="I11" i="3"/>
  <c r="I12" i="3"/>
  <c r="I13" i="3"/>
  <c r="I14" i="3"/>
  <c r="I15" i="3"/>
  <c r="I16" i="3"/>
  <c r="I17" i="3"/>
  <c r="I18" i="3"/>
  <c r="I19" i="3"/>
  <c r="I20" i="3"/>
  <c r="I21" i="3"/>
  <c r="I22" i="3"/>
  <c r="I23" i="3"/>
  <c r="I24" i="3"/>
  <c r="I25" i="3"/>
  <c r="I26" i="3"/>
  <c r="I27" i="3"/>
  <c r="I28" i="3"/>
  <c r="I29" i="3"/>
  <c r="I72" i="3"/>
  <c r="I111" i="3"/>
  <c r="I112" i="3"/>
  <c r="I113" i="3"/>
  <c r="I114" i="3"/>
  <c r="I115" i="3"/>
  <c r="I116" i="3"/>
  <c r="I117" i="3"/>
  <c r="I135" i="3"/>
  <c r="I118" i="3"/>
  <c r="I139" i="3"/>
  <c r="I140" i="3"/>
  <c r="I141" i="3"/>
  <c r="I142" i="3"/>
  <c r="I143" i="3"/>
  <c r="I144" i="3"/>
  <c r="I145" i="3"/>
  <c r="I146" i="3"/>
  <c r="I147" i="3"/>
  <c r="I148" i="3"/>
  <c r="I149" i="3"/>
  <c r="I150" i="3"/>
  <c r="I172" i="3"/>
  <c r="I171" i="3"/>
  <c r="I173" i="3"/>
  <c r="I159" i="3"/>
  <c r="I160" i="3"/>
  <c r="I161" i="3"/>
  <c r="I162" i="3"/>
  <c r="I163" i="3"/>
  <c r="I164" i="3"/>
  <c r="I165" i="3"/>
  <c r="I51" i="3"/>
  <c r="I152" i="3"/>
  <c r="I166" i="3"/>
  <c r="I167" i="3"/>
  <c r="I169" i="3"/>
  <c r="I158" i="3"/>
  <c r="I155" i="3"/>
  <c r="I156" i="3"/>
  <c r="I157" i="3"/>
  <c r="I136" i="3"/>
  <c r="I137" i="3"/>
  <c r="I138" i="3"/>
  <c r="I204" i="3"/>
  <c r="I206" i="3"/>
  <c r="I205" i="3"/>
  <c r="I154" i="3"/>
  <c r="I197" i="3"/>
  <c r="I198" i="3"/>
  <c r="I199" i="3"/>
  <c r="I202" i="3"/>
  <c r="I203" i="3"/>
  <c r="I151" i="3"/>
  <c r="I52" i="3"/>
  <c r="I53" i="3"/>
  <c r="I54" i="3"/>
  <c r="I55" i="3"/>
  <c r="I56" i="3"/>
  <c r="I57" i="3"/>
  <c r="I174" i="3"/>
  <c r="I175" i="3"/>
  <c r="I176" i="3"/>
  <c r="I177" i="3"/>
  <c r="I178" i="3"/>
  <c r="I179" i="3"/>
  <c r="I180" i="3"/>
  <c r="I181" i="3"/>
  <c r="I182" i="3"/>
  <c r="I183" i="3"/>
  <c r="I184" i="3"/>
  <c r="I185" i="3"/>
  <c r="I186" i="3"/>
  <c r="I187" i="3"/>
  <c r="I188" i="3"/>
  <c r="I189" i="3"/>
  <c r="I190" i="3"/>
  <c r="I191" i="3"/>
  <c r="I192" i="3"/>
  <c r="I193" i="3"/>
  <c r="I194" i="3"/>
  <c r="I195" i="3"/>
  <c r="I196" i="3"/>
  <c r="I201" i="3"/>
  <c r="I200" i="3"/>
  <c r="I210" i="3"/>
  <c r="I211" i="3"/>
  <c r="I212" i="3"/>
  <c r="I213" i="3"/>
  <c r="I214" i="3"/>
  <c r="I215" i="3"/>
  <c r="I119" i="3"/>
  <c r="I216" i="3"/>
  <c r="I217" i="3"/>
  <c r="I218" i="3"/>
  <c r="I219" i="3"/>
  <c r="I220" i="3"/>
  <c r="I221" i="3"/>
  <c r="I222" i="3"/>
  <c r="I223" i="3"/>
  <c r="I207" i="3"/>
  <c r="I208" i="3"/>
  <c r="I209" i="3"/>
  <c r="I170"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20" i="3"/>
  <c r="I500" i="3"/>
  <c r="I501" i="3"/>
  <c r="I502" i="3"/>
  <c r="I503" i="3"/>
  <c r="I504" i="3"/>
  <c r="I505" i="3"/>
  <c r="I506" i="3"/>
  <c r="I507" i="3"/>
  <c r="I508" i="3"/>
  <c r="I509" i="3"/>
  <c r="I510" i="3"/>
  <c r="I511" i="3"/>
  <c r="I5" i="3"/>
  <c r="I4" i="3"/>
  <c r="AE8" i="1" l="1"/>
  <c r="AE10" i="1"/>
  <c r="AE9" i="1"/>
  <c r="AE11" i="1"/>
  <c r="AE12" i="1"/>
  <c r="AE13" i="1"/>
  <c r="AE15" i="1"/>
  <c r="AE16" i="1"/>
  <c r="AE3" i="1"/>
  <c r="AE21" i="1"/>
  <c r="AE19" i="1"/>
  <c r="AE20" i="1"/>
  <c r="AE22" i="1"/>
  <c r="AE23" i="1"/>
  <c r="AE24" i="1"/>
  <c r="AE18" i="1"/>
  <c r="AE17" i="1"/>
  <c r="AE25" i="1"/>
  <c r="AE14" i="1"/>
  <c r="AE26" i="1"/>
  <c r="AE30" i="1"/>
  <c r="AE29" i="1"/>
  <c r="AE33" i="1"/>
  <c r="AE31" i="1"/>
  <c r="AE32" i="1"/>
  <c r="AE34" i="1"/>
  <c r="AE35" i="1"/>
  <c r="AE36" i="1"/>
  <c r="AE39" i="1"/>
  <c r="AE40" i="1"/>
  <c r="AE38" i="1"/>
  <c r="AE37" i="1"/>
  <c r="AE28" i="1"/>
  <c r="AE41" i="1"/>
  <c r="AE42" i="1"/>
  <c r="AE43" i="1"/>
  <c r="AE44" i="1"/>
  <c r="AE45" i="1"/>
  <c r="AE46" i="1"/>
  <c r="AE51" i="1"/>
  <c r="AE49" i="1"/>
  <c r="AE48" i="1"/>
  <c r="AE47" i="1"/>
  <c r="AE50" i="1"/>
  <c r="AE54" i="1"/>
  <c r="AE52" i="1"/>
  <c r="AE53" i="1"/>
  <c r="AE58" i="1"/>
  <c r="AE59" i="1"/>
  <c r="AE55" i="1"/>
  <c r="AE56" i="1"/>
  <c r="AE62" i="1"/>
  <c r="AE64" i="1"/>
  <c r="AE63" i="1"/>
  <c r="AE66" i="1"/>
  <c r="AE61" i="1"/>
  <c r="AE60" i="1"/>
  <c r="AE69" i="1"/>
  <c r="AE67" i="1"/>
  <c r="AE68" i="1"/>
  <c r="AE65" i="1"/>
  <c r="AE71" i="1"/>
  <c r="AE72" i="1"/>
  <c r="AE73" i="1"/>
  <c r="AE74" i="1"/>
  <c r="AE76" i="1"/>
  <c r="AE70" i="1"/>
  <c r="AE75" i="1"/>
  <c r="AE79" i="1"/>
  <c r="AE77" i="1"/>
  <c r="AE83" i="1"/>
  <c r="AE84" i="1"/>
  <c r="AE85" i="1"/>
  <c r="AE86" i="1"/>
  <c r="AE80" i="1"/>
  <c r="AE87" i="1"/>
  <c r="AE81" i="1"/>
  <c r="AE90" i="1"/>
  <c r="AE91" i="1"/>
  <c r="AE78" i="1"/>
  <c r="AE88" i="1"/>
  <c r="AE92" i="1"/>
  <c r="AE94" i="1"/>
  <c r="AE93" i="1"/>
  <c r="AE95" i="1"/>
  <c r="AE96" i="1"/>
  <c r="AE99" i="1"/>
  <c r="AE102" i="1"/>
  <c r="AE103" i="1"/>
  <c r="AE104" i="1"/>
  <c r="AE97" i="1"/>
  <c r="AE89" i="1"/>
  <c r="AE105" i="1"/>
  <c r="AE82" i="1"/>
  <c r="AE98" i="1"/>
  <c r="AE100" i="1"/>
  <c r="AE107" i="1"/>
  <c r="AE101" i="1"/>
  <c r="AE106" i="1"/>
  <c r="AE108" i="1"/>
  <c r="AE118" i="1"/>
  <c r="AE119" i="1"/>
  <c r="AE120" i="1"/>
  <c r="AE121" i="1"/>
  <c r="AE122" i="1"/>
  <c r="AE57" i="1"/>
  <c r="AE109" i="1"/>
  <c r="AE110" i="1"/>
  <c r="AE111" i="1"/>
  <c r="AE112" i="1"/>
  <c r="AE113" i="1"/>
  <c r="AE114" i="1"/>
  <c r="AE115" i="1"/>
  <c r="AE116" i="1"/>
  <c r="AE125" i="1"/>
  <c r="AE123" i="1"/>
  <c r="AE124" i="1"/>
  <c r="AE128" i="1"/>
  <c r="AE131" i="1"/>
  <c r="AE126" i="1"/>
  <c r="AE127" i="1"/>
  <c r="AE132" i="1"/>
  <c r="AE133" i="1"/>
  <c r="AE129" i="1"/>
  <c r="AE130" i="1"/>
  <c r="AE135" i="1"/>
  <c r="AE138" i="1"/>
  <c r="AE117" i="1"/>
  <c r="AE134" i="1"/>
  <c r="AE136" i="1"/>
  <c r="AE137"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7" i="1"/>
  <c r="AE5" i="1"/>
  <c r="AE4" i="1"/>
  <c r="AB24" i="2" l="1"/>
  <c r="AB22" i="2"/>
  <c r="AB23" i="2"/>
  <c r="AB25" i="2"/>
  <c r="AB26" i="2"/>
  <c r="AB27" i="2"/>
  <c r="AB29" i="2"/>
  <c r="AB30" i="2"/>
  <c r="AB31" i="2"/>
  <c r="AB34" i="2"/>
  <c r="AB35" i="2"/>
  <c r="AB4" i="2"/>
  <c r="AB5" i="2"/>
  <c r="AB6" i="2"/>
  <c r="AB7" i="2"/>
  <c r="AB8" i="2"/>
  <c r="AB10" i="2"/>
  <c r="AB9" i="2"/>
  <c r="AB11" i="2"/>
  <c r="AB12" i="2"/>
  <c r="AB13" i="2"/>
  <c r="AB15" i="2"/>
  <c r="AB16" i="2"/>
  <c r="AB19" i="2"/>
  <c r="AB20" i="2"/>
  <c r="AB21" i="2"/>
  <c r="D5" i="22" l="1"/>
  <c r="D4" i="22"/>
  <c r="D3" i="22"/>
  <c r="CC5" i="16"/>
  <c r="CD5" i="16"/>
  <c r="CE5" i="16"/>
  <c r="CF5" i="16"/>
  <c r="CG5" i="16"/>
  <c r="CH5" i="16"/>
  <c r="CC120" i="16"/>
  <c r="CD120" i="16"/>
  <c r="CE120" i="16"/>
  <c r="CF120" i="16"/>
  <c r="CG120" i="16"/>
  <c r="CH120" i="16"/>
  <c r="CC163" i="16"/>
  <c r="CD163" i="16"/>
  <c r="CE163" i="16"/>
  <c r="CF163" i="16"/>
  <c r="CG163" i="16"/>
  <c r="CH163" i="16"/>
  <c r="CC39" i="16"/>
  <c r="CD39" i="16"/>
  <c r="CE39" i="16"/>
  <c r="CF39" i="16"/>
  <c r="CG39" i="16"/>
  <c r="CH39" i="16"/>
  <c r="CC40" i="16"/>
  <c r="CD40" i="16"/>
  <c r="CE40" i="16"/>
  <c r="CF40" i="16"/>
  <c r="CG40" i="16"/>
  <c r="CH40" i="16"/>
  <c r="CC42" i="16"/>
  <c r="CD42" i="16"/>
  <c r="CE42" i="16"/>
  <c r="CF42" i="16"/>
  <c r="CG42" i="16"/>
  <c r="CH42" i="16"/>
  <c r="CC44" i="16"/>
  <c r="CD44" i="16"/>
  <c r="CE44" i="16"/>
  <c r="CG44" i="16"/>
  <c r="CH44" i="16"/>
  <c r="CC45" i="16"/>
  <c r="CD45" i="16"/>
  <c r="CE45" i="16"/>
  <c r="CF45" i="16"/>
  <c r="CG45" i="16"/>
  <c r="CH45" i="16"/>
  <c r="CC46" i="16"/>
  <c r="CD46" i="16"/>
  <c r="CE46" i="16"/>
  <c r="CF46" i="16"/>
  <c r="CG46" i="16"/>
  <c r="CH46" i="16"/>
  <c r="CC47" i="16"/>
  <c r="CD47" i="16"/>
  <c r="CE47" i="16"/>
  <c r="CF47" i="16"/>
  <c r="CG47" i="16"/>
  <c r="CH47" i="16"/>
  <c r="CC48" i="16"/>
  <c r="CD48" i="16"/>
  <c r="CE48" i="16"/>
  <c r="CF48" i="16"/>
  <c r="CG48" i="16"/>
  <c r="CH48" i="16"/>
  <c r="CC49" i="16"/>
  <c r="CD49" i="16"/>
  <c r="CE49" i="16"/>
  <c r="CF49" i="16"/>
  <c r="CG49" i="16"/>
  <c r="CH49" i="16"/>
  <c r="CC50" i="16"/>
  <c r="CD50" i="16"/>
  <c r="CE50" i="16"/>
  <c r="CF50" i="16"/>
  <c r="CG50" i="16"/>
  <c r="CH50" i="16"/>
  <c r="CC51" i="16"/>
  <c r="CD51" i="16"/>
  <c r="CE51" i="16"/>
  <c r="CF51" i="16"/>
  <c r="CG51" i="16"/>
  <c r="CH51" i="16"/>
  <c r="CC52" i="16"/>
  <c r="CD52" i="16"/>
  <c r="CE52" i="16"/>
  <c r="CF52" i="16"/>
  <c r="CG52" i="16"/>
  <c r="CH52" i="16"/>
  <c r="CC53" i="16"/>
  <c r="CD53" i="16"/>
  <c r="CE53" i="16"/>
  <c r="CF53" i="16"/>
  <c r="CG53" i="16"/>
  <c r="CH53" i="16"/>
  <c r="CC54" i="16"/>
  <c r="CD54" i="16"/>
  <c r="CE54" i="16"/>
  <c r="CF54" i="16"/>
  <c r="CG54" i="16"/>
  <c r="CH54" i="16"/>
  <c r="CC77" i="16"/>
  <c r="CD77" i="16"/>
  <c r="CE77" i="16"/>
  <c r="CF77" i="16"/>
  <c r="CG77" i="16"/>
  <c r="CH77" i="16"/>
  <c r="CC78" i="16"/>
  <c r="CD78" i="16"/>
  <c r="CE78" i="16"/>
  <c r="CF78" i="16"/>
  <c r="CG78" i="16"/>
  <c r="CH78" i="16"/>
  <c r="CC79" i="16"/>
  <c r="CD79" i="16"/>
  <c r="CE79" i="16"/>
  <c r="CF79" i="16"/>
  <c r="CG79" i="16"/>
  <c r="CH79" i="16"/>
  <c r="CC100" i="16"/>
  <c r="CD100" i="16"/>
  <c r="CE100" i="16"/>
  <c r="CF100" i="16"/>
  <c r="CG100" i="16"/>
  <c r="CH100" i="16"/>
  <c r="CC101" i="16"/>
  <c r="CD101" i="16"/>
  <c r="CE101" i="16"/>
  <c r="CF101" i="16"/>
  <c r="CG101" i="16"/>
  <c r="CH101" i="16"/>
  <c r="CC102" i="16"/>
  <c r="CD102" i="16"/>
  <c r="CE102" i="16"/>
  <c r="CF102" i="16"/>
  <c r="CG102" i="16"/>
  <c r="CH102" i="16"/>
  <c r="CC103" i="16"/>
  <c r="CD103" i="16"/>
  <c r="CE103" i="16"/>
  <c r="CF103" i="16"/>
  <c r="CG103" i="16"/>
  <c r="CH103" i="16"/>
  <c r="CC104" i="16"/>
  <c r="CD104" i="16"/>
  <c r="CE104" i="16"/>
  <c r="CF104" i="16"/>
  <c r="CG104" i="16"/>
  <c r="CH104" i="16"/>
  <c r="CC105" i="16"/>
  <c r="CD105" i="16"/>
  <c r="CE105" i="16"/>
  <c r="CF105" i="16"/>
  <c r="CG105" i="16"/>
  <c r="CH105" i="16"/>
  <c r="CC106" i="16"/>
  <c r="CD106" i="16"/>
  <c r="CE106" i="16"/>
  <c r="CF106" i="16"/>
  <c r="CG106" i="16"/>
  <c r="CH106" i="16"/>
  <c r="CC107" i="16"/>
  <c r="CD107" i="16"/>
  <c r="CE107" i="16"/>
  <c r="CF107" i="16"/>
  <c r="CG107" i="16"/>
  <c r="CH107" i="16"/>
  <c r="CC108" i="16"/>
  <c r="CD108" i="16"/>
  <c r="CE108" i="16"/>
  <c r="CF108" i="16"/>
  <c r="CG108" i="16"/>
  <c r="CH108" i="16"/>
  <c r="CC111" i="16"/>
  <c r="CD111" i="16"/>
  <c r="CE111" i="16"/>
  <c r="CF111" i="16"/>
  <c r="CG111" i="16"/>
  <c r="CH111" i="16"/>
  <c r="CC113" i="16"/>
  <c r="CD113" i="16"/>
  <c r="CE113" i="16"/>
  <c r="CF113" i="16"/>
  <c r="CG113" i="16"/>
  <c r="CH113" i="16"/>
  <c r="CC114" i="16"/>
  <c r="CD114" i="16"/>
  <c r="CE114" i="16"/>
  <c r="CF114" i="16"/>
  <c r="CG114" i="16"/>
  <c r="CH114" i="16"/>
  <c r="CC115" i="16"/>
  <c r="CD115" i="16"/>
  <c r="CE115" i="16"/>
  <c r="CF115" i="16"/>
  <c r="CG115" i="16"/>
  <c r="CH115" i="16"/>
  <c r="CC116" i="16"/>
  <c r="CD116" i="16"/>
  <c r="CE116" i="16"/>
  <c r="CF116" i="16"/>
  <c r="CG116" i="16"/>
  <c r="CH116" i="16"/>
  <c r="CC121" i="16"/>
  <c r="CD121" i="16"/>
  <c r="CE121" i="16"/>
  <c r="CF121" i="16"/>
  <c r="CG121" i="16"/>
  <c r="CH121" i="16"/>
  <c r="CC122" i="16"/>
  <c r="CD122" i="16"/>
  <c r="CE122" i="16"/>
  <c r="CF122" i="16"/>
  <c r="CG122" i="16"/>
  <c r="CH122" i="16"/>
  <c r="CC123" i="16"/>
  <c r="CD123" i="16"/>
  <c r="CE123" i="16"/>
  <c r="CF123" i="16"/>
  <c r="CG123" i="16"/>
  <c r="CH123" i="16"/>
  <c r="CC124" i="16"/>
  <c r="CD124" i="16"/>
  <c r="CE124" i="16"/>
  <c r="CF124" i="16"/>
  <c r="CG124" i="16"/>
  <c r="CH124" i="16"/>
  <c r="CC125" i="16"/>
  <c r="CD125" i="16"/>
  <c r="CE125" i="16"/>
  <c r="CF125" i="16"/>
  <c r="CG125" i="16"/>
  <c r="CH125" i="16"/>
  <c r="CC126" i="16"/>
  <c r="CD126" i="16"/>
  <c r="CE126" i="16"/>
  <c r="CF126" i="16"/>
  <c r="CG126" i="16"/>
  <c r="CH126" i="16"/>
  <c r="CC127" i="16"/>
  <c r="CD127" i="16"/>
  <c r="CE127" i="16"/>
  <c r="CF127" i="16"/>
  <c r="CG127" i="16"/>
  <c r="CH127" i="16"/>
  <c r="CC128" i="16"/>
  <c r="CD128" i="16"/>
  <c r="CE128" i="16"/>
  <c r="CF128" i="16"/>
  <c r="CG128" i="16"/>
  <c r="CH128" i="16"/>
  <c r="CC129" i="16"/>
  <c r="CD129" i="16"/>
  <c r="CE129" i="16"/>
  <c r="CF129" i="16"/>
  <c r="CG129" i="16"/>
  <c r="CH129" i="16"/>
  <c r="CC130" i="16"/>
  <c r="CD130" i="16"/>
  <c r="CE130" i="16"/>
  <c r="CF130" i="16"/>
  <c r="CG130" i="16"/>
  <c r="CH130" i="16"/>
  <c r="CC131" i="16"/>
  <c r="CD131" i="16"/>
  <c r="CE131" i="16"/>
  <c r="CF131" i="16"/>
  <c r="CG131" i="16"/>
  <c r="CH131" i="16"/>
  <c r="CC132" i="16"/>
  <c r="CD132" i="16"/>
  <c r="CE132" i="16"/>
  <c r="CF132" i="16"/>
  <c r="CG132" i="16"/>
  <c r="CH132" i="16"/>
  <c r="CC133" i="16"/>
  <c r="CD133" i="16"/>
  <c r="CE133" i="16"/>
  <c r="CF133" i="16"/>
  <c r="CG133" i="16"/>
  <c r="CH133" i="16"/>
  <c r="CC134" i="16"/>
  <c r="CD134" i="16"/>
  <c r="CE134" i="16"/>
  <c r="CF134" i="16"/>
  <c r="CG134" i="16"/>
  <c r="CH134" i="16"/>
  <c r="CC135" i="16"/>
  <c r="CD135" i="16"/>
  <c r="CE135" i="16"/>
  <c r="CF135" i="16"/>
  <c r="CG135" i="16"/>
  <c r="CH135" i="16"/>
  <c r="CC136" i="16"/>
  <c r="CD136" i="16"/>
  <c r="CE136" i="16"/>
  <c r="CF136" i="16"/>
  <c r="CG136" i="16"/>
  <c r="CH136" i="16"/>
  <c r="CC137" i="16"/>
  <c r="CD137" i="16"/>
  <c r="CE137" i="16"/>
  <c r="CF137" i="16"/>
  <c r="CG137" i="16"/>
  <c r="CH137" i="16"/>
  <c r="CC162" i="16"/>
  <c r="CD162" i="16"/>
  <c r="CE162" i="16"/>
  <c r="CF162" i="16"/>
  <c r="CG162" i="16"/>
  <c r="CH162" i="16"/>
  <c r="CC165" i="16"/>
  <c r="CD165" i="16"/>
  <c r="CE165" i="16"/>
  <c r="CF165" i="16"/>
  <c r="CG165" i="16"/>
  <c r="CH165" i="16"/>
  <c r="CC164" i="16"/>
  <c r="CD164" i="16"/>
  <c r="CE164" i="16"/>
  <c r="CF164" i="16"/>
  <c r="CG164" i="16"/>
  <c r="CH164" i="16"/>
  <c r="CC166" i="16"/>
  <c r="CD166" i="16"/>
  <c r="CE166" i="16"/>
  <c r="CF166" i="16"/>
  <c r="CG166" i="16"/>
  <c r="CH166" i="16"/>
  <c r="CC169" i="16"/>
  <c r="CD169" i="16"/>
  <c r="CE169" i="16"/>
  <c r="CF169" i="16"/>
  <c r="CG169" i="16"/>
  <c r="CH169" i="16"/>
  <c r="CC170" i="16"/>
  <c r="CD170" i="16"/>
  <c r="CE170" i="16"/>
  <c r="CF170" i="16"/>
  <c r="CG170" i="16"/>
  <c r="CH170" i="16"/>
  <c r="CC171" i="16"/>
  <c r="CD171" i="16"/>
  <c r="CE171" i="16"/>
  <c r="CF171" i="16"/>
  <c r="CG171" i="16"/>
  <c r="CH171" i="16"/>
  <c r="CC172" i="16"/>
  <c r="CD172" i="16"/>
  <c r="CE172" i="16"/>
  <c r="CF172" i="16"/>
  <c r="CG172" i="16"/>
  <c r="CH172" i="16"/>
  <c r="AF5" i="1"/>
  <c r="AF4" i="1"/>
  <c r="AE6" i="1"/>
  <c r="AF6" i="1" s="1"/>
  <c r="AF7" i="1"/>
  <c r="R198" i="16" l="1"/>
  <c r="S198" i="16"/>
  <c r="T198" i="16"/>
  <c r="U198" i="16"/>
  <c r="V198" i="16"/>
  <c r="W198" i="16"/>
  <c r="X198" i="16"/>
  <c r="Y198" i="16"/>
  <c r="Z198" i="16"/>
  <c r="AA198" i="16"/>
  <c r="AB198" i="16"/>
  <c r="AC198" i="16"/>
  <c r="AD198" i="16"/>
  <c r="AE198" i="16"/>
  <c r="AF198" i="16"/>
  <c r="AG198" i="16"/>
  <c r="AH198" i="16"/>
  <c r="AI198" i="16"/>
  <c r="AJ198" i="16"/>
  <c r="AK198" i="16"/>
  <c r="AL198" i="16"/>
  <c r="AM198" i="16"/>
  <c r="AN198" i="16"/>
  <c r="AO198" i="16"/>
  <c r="AP198" i="16"/>
  <c r="AQ198" i="16"/>
  <c r="AR198" i="16"/>
  <c r="AS198" i="16"/>
  <c r="AT198" i="16"/>
  <c r="AU198" i="16"/>
  <c r="AV198" i="16"/>
  <c r="AW198" i="16"/>
  <c r="AX198" i="16"/>
  <c r="AY198" i="16"/>
  <c r="AZ198" i="16"/>
  <c r="BA198" i="16"/>
  <c r="BB198" i="16"/>
  <c r="BC198" i="16"/>
  <c r="BD198" i="16"/>
  <c r="BE198" i="16"/>
  <c r="BF198" i="16"/>
  <c r="BG198" i="16"/>
  <c r="BH198" i="16"/>
  <c r="BI198" i="16"/>
  <c r="BJ198" i="16"/>
  <c r="BK198" i="16"/>
  <c r="BL198" i="16"/>
  <c r="BM198" i="16"/>
  <c r="BN198" i="16"/>
  <c r="BO198" i="16"/>
  <c r="BP198" i="16"/>
  <c r="BQ198" i="16"/>
  <c r="BR198" i="16"/>
  <c r="BS198" i="16"/>
  <c r="BT198" i="16"/>
  <c r="BU198" i="16"/>
  <c r="BV198" i="16"/>
  <c r="BW198" i="16"/>
  <c r="BX198" i="16"/>
  <c r="BY198" i="16"/>
  <c r="L198" i="16"/>
  <c r="M198" i="16"/>
  <c r="N198" i="16"/>
  <c r="O198" i="16"/>
  <c r="P198" i="16"/>
  <c r="Q198" i="16"/>
  <c r="K198" i="16"/>
  <c r="J198" i="16"/>
  <c r="I198" i="16"/>
  <c r="H198" i="16"/>
  <c r="G198" i="16"/>
  <c r="F198" i="16"/>
  <c r="CA198" i="16"/>
  <c r="BZ198" i="16"/>
  <c r="CG195" i="16" l="1"/>
  <c r="CF195" i="16"/>
  <c r="CD195" i="16"/>
  <c r="CE195" i="16"/>
  <c r="CH195" i="16"/>
  <c r="CC195" i="16"/>
  <c r="AB36" i="2"/>
  <c r="AB38" i="2"/>
  <c r="AB39" i="2"/>
  <c r="AB40" i="2"/>
  <c r="AB41" i="2"/>
  <c r="AB43" i="2"/>
  <c r="AB44" i="2"/>
  <c r="AB45" i="2"/>
  <c r="AB46" i="2"/>
  <c r="AB47" i="2"/>
  <c r="AB48" i="2"/>
  <c r="AB49" i="2"/>
  <c r="AB50" i="2"/>
  <c r="CC7" i="16" l="1"/>
  <c r="CD7" i="16"/>
  <c r="CE7" i="16"/>
  <c r="CF7" i="16"/>
  <c r="CG7" i="16"/>
  <c r="CH7" i="16"/>
  <c r="CC9" i="16"/>
  <c r="CD9" i="16"/>
  <c r="CE9" i="16"/>
  <c r="CF9" i="16"/>
  <c r="CG9" i="16"/>
  <c r="CH9" i="16"/>
  <c r="CC10" i="16"/>
  <c r="CD10" i="16"/>
  <c r="CE10" i="16"/>
  <c r="CF10" i="16"/>
  <c r="CG10" i="16"/>
  <c r="CH10" i="16"/>
  <c r="CC11" i="16"/>
  <c r="CD11" i="16"/>
  <c r="CE11" i="16"/>
  <c r="CF11" i="16"/>
  <c r="CG11" i="16"/>
  <c r="CH11" i="16"/>
  <c r="CC12" i="16"/>
  <c r="CD12" i="16"/>
  <c r="CE12" i="16"/>
  <c r="CF12" i="16"/>
  <c r="CG12" i="16"/>
  <c r="CH12" i="16"/>
  <c r="CC6" i="16" l="1"/>
  <c r="CC198" i="16" s="1"/>
  <c r="CD6" i="16"/>
  <c r="CD198" i="16" s="1"/>
  <c r="CE6" i="16"/>
  <c r="CE198" i="16" s="1"/>
  <c r="CF6" i="16"/>
  <c r="CF198" i="16" s="1"/>
  <c r="CG6" i="16"/>
  <c r="CG198" i="16" s="1"/>
  <c r="CH6" i="16"/>
  <c r="CH198" i="16" s="1"/>
  <c r="K91" i="2"/>
  <c r="K90" i="2"/>
  <c r="K93" i="2"/>
  <c r="K94" i="2"/>
  <c r="K89" i="2"/>
  <c r="K95" i="2"/>
  <c r="K96" i="2"/>
  <c r="K97" i="2"/>
  <c r="K92" i="2"/>
  <c r="K88" i="2"/>
  <c r="K80" i="2"/>
  <c r="K81" i="2"/>
  <c r="K82" i="2"/>
  <c r="K83" i="2"/>
  <c r="K84" i="2"/>
  <c r="K85" i="2"/>
  <c r="K86" i="2"/>
  <c r="K7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tc={06442E3A-A3EF-4287-A138-CA2BD82F2618}</author>
  </authors>
  <commentList>
    <comment ref="S10" authorId="0" shapeId="0" xr:uid="{06442E3A-A3EF-4287-A138-CA2BD82F2618}">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(choix de ne pas faire d’analyse car salarié en formation et pas de témoin direct).  Néanmoins, fiche info à produire.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tc={5219452F-3C8A-40A9-BD01-B762D7017DDE}</author>
    <author>tc={789B8697-2DF8-4E5F-A783-7CF4A5652C8C}</author>
    <author>tc={6C284AA8-D8A1-4682-BF74-1743CBE8235B}</author>
    <author>tc={FF48CC42-F479-4D28-A855-AFF3B458106D}</author>
    <author>tc={13EACD7F-BCC7-4DD2-9585-8B5AECA5FEAF}</author>
    <author>tc={21D880F2-9C2A-4760-91AF-CCEBBAD51944}</author>
    <author>tc={6C2B90FA-B9B8-4AC1-93A8-C4EC8D94FB70}</author>
    <author>tc={0D1DFC0A-6413-427E-A687-26ACE3F55EFC}</author>
    <author>tc={A1C68F17-AD8A-4C74-9F01-29E711A72539}</author>
    <author>tc={16ED199D-6520-42B6-A548-15C1CBA41773}</author>
    <author>tc={02DE3B89-2CB6-487A-9F76-E5C171AB096C}</author>
    <author>tc={09E731BC-D1B5-46B2-A024-6A01D7833618}</author>
    <author>tc={2C68D1F1-D6B7-40A2-B726-7F1DD8EA27DB}</author>
    <author>tc={2EEFCAAB-8B1C-43AC-B0ED-E875BFEB0C03}</author>
    <author>tc={E3A190E6-A249-4697-96BD-B0251937C873}</author>
    <author>tc={71A68202-A675-467B-ADEF-CB64A21E2B3A}</author>
  </authors>
  <commentList>
    <comment ref="AW39" authorId="0" shapeId="0" xr:uid="{5219452F-3C8A-40A9-BD01-B762D7017DD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T6 - Trappes charbo</t>
      </text>
    </comment>
    <comment ref="BU40" authorId="1" shapeId="0" xr:uid="{789B8697-2DF8-4E5F-A783-7CF4A5652C8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121225 - EPI CAT 3
???</t>
      </text>
    </comment>
    <comment ref="AQ68" authorId="2" shapeId="0" xr:uid="{6C284AA8-D8A1-4682-BF74-1743CBE8235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T6 : Balisage</t>
      </text>
    </comment>
    <comment ref="AX68" authorId="3" shapeId="0" xr:uid="{FF48CC42-F479-4D28-A855-AFF3B458106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T6 - Eau</t>
      </text>
    </comment>
    <comment ref="BO71" authorId="4" shapeId="0" xr:uid="{13EACD7F-BCC7-4DD2-9585-8B5AECA5FEA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251113 - Levage 0RI</t>
      </text>
    </comment>
    <comment ref="BO107" authorId="5" shapeId="0" xr:uid="{21D880F2-9C2A-4760-91AF-CCEBBAD5194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12/11/25 : Levage - 0 RI</t>
      </text>
    </comment>
    <comment ref="BU109" authorId="6" shapeId="0" xr:uid="{6C2B90FA-B9B8-4AC1-93A8-C4EC8D94FB7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251203 - EPI classe 3 0RI</t>
      </text>
    </comment>
    <comment ref="BU119" authorId="7" shapeId="0" xr:uid="{0D1DFC0A-6413-427E-A687-26ACE3F55EF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251205 - EPI C3 0RI</t>
      </text>
    </comment>
    <comment ref="BO122" authorId="8" shapeId="0" xr:uid="{A1C68F17-AD8A-4C74-9F01-29E711A7253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12/11/25 : Levage - 0 RI</t>
      </text>
    </comment>
    <comment ref="BO133" authorId="9" shapeId="0" xr:uid="{16ED199D-6520-42B6-A548-15C1CBA4177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251118 - Levage et KIZEO - 0RI</t>
      </text>
    </comment>
    <comment ref="AW139" authorId="10" shapeId="0" xr:uid="{02DE3B89-2CB6-487A-9F76-E5C171AB096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Dont T6 - Trappes charbo / Balisage</t>
      </text>
    </comment>
    <comment ref="AK142" authorId="11" shapeId="0" xr:uid="{09E731BC-D1B5-46B2-A024-6A01D783361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Dont 2 au T6</t>
      </text>
    </comment>
    <comment ref="BO144" authorId="12" shapeId="0" xr:uid="{2C68D1F1-D6B7-40A2-B726-7F1DD8EA27D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251113 - Levage 0RI</t>
      </text>
    </comment>
    <comment ref="AQ154" authorId="13" shapeId="0" xr:uid="{2EEFCAAB-8B1C-43AC-B0ED-E875BFEB0C0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T6 : LAC sous tension</t>
      </text>
    </comment>
    <comment ref="AX171" authorId="14" shapeId="0" xr:uid="{E3A190E6-A249-4697-96BD-B0251937C87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T6 - Eau</t>
      </text>
    </comment>
    <comment ref="BO177" authorId="15" shapeId="0" xr:uid="{71A68202-A675-467B-ADEF-CB64A21E2B3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251125 - Levage 0RI</t>
      </text>
    </comment>
  </commentList>
</comments>
</file>

<file path=xl/sharedStrings.xml><?xml version="1.0" encoding="utf-8"?>
<sst xmlns="http://schemas.openxmlformats.org/spreadsheetml/2006/main" count="5438" uniqueCount="1719">
  <si>
    <t>Registre des AT 2025</t>
  </si>
  <si>
    <t>Trimestre</t>
  </si>
  <si>
    <t>Date</t>
  </si>
  <si>
    <t>Nom et Prénom</t>
  </si>
  <si>
    <t>Statut</t>
  </si>
  <si>
    <t>Société</t>
  </si>
  <si>
    <t>Chantier</t>
  </si>
  <si>
    <t>Agence</t>
  </si>
  <si>
    <t>Type d'Accident (AT ou Trajet)</t>
  </si>
  <si>
    <t>Lésion</t>
  </si>
  <si>
    <t>Circonstances de l'accident</t>
  </si>
  <si>
    <t xml:space="preserve">Arrêt </t>
  </si>
  <si>
    <t>Dates arrêt</t>
  </si>
  <si>
    <t>Nombre de jours</t>
  </si>
  <si>
    <t>Nb jours trim</t>
  </si>
  <si>
    <t>Nb jours trim suiv.</t>
  </si>
  <si>
    <t>Poste adapté</t>
  </si>
  <si>
    <t>Entretien de retour</t>
  </si>
  <si>
    <t>DA sur chantier dans les 24h</t>
  </si>
  <si>
    <t>Analyse avec encadrement sous 7J</t>
  </si>
  <si>
    <t>Réserves</t>
  </si>
  <si>
    <t>Délai de communication au QSE (en heure)</t>
  </si>
  <si>
    <t>DAT agence intérim</t>
  </si>
  <si>
    <t>CONCERNE UNE REGLE VITALE (oui ou non)</t>
  </si>
  <si>
    <t>Gravité Réelle</t>
  </si>
  <si>
    <t>Fréquence</t>
  </si>
  <si>
    <t xml:space="preserve">Répétions </t>
  </si>
  <si>
    <t>Gravité potentielle</t>
  </si>
  <si>
    <t>TOTAL</t>
  </si>
  <si>
    <t>Faire une analyse détaillée</t>
  </si>
  <si>
    <t>ANALYSE</t>
  </si>
  <si>
    <t>FEIGNIER Walter</t>
  </si>
  <si>
    <t xml:space="preserve">Salarié </t>
  </si>
  <si>
    <t>GUINTOLI</t>
  </si>
  <si>
    <t>DIVERS</t>
  </si>
  <si>
    <t>RL</t>
  </si>
  <si>
    <t>MP (attente décision)</t>
  </si>
  <si>
    <t>Epaule côté droit</t>
  </si>
  <si>
    <t xml:space="preserve">Le salarié ressent des douleurs sur les mouvements d'épaule. Difficultés à lever le bras. </t>
  </si>
  <si>
    <t>OUI</t>
  </si>
  <si>
    <t>25/01/2025 - 01/03/2026</t>
  </si>
  <si>
    <t>WF a été opéré le 02/09, arrêt jusqu’à mars 2026</t>
  </si>
  <si>
    <t>PECHEUX Yvann</t>
  </si>
  <si>
    <t>RAN63C</t>
  </si>
  <si>
    <t>Trajet</t>
  </si>
  <si>
    <t>Douleur rachis, dos et torse</t>
  </si>
  <si>
    <t>Le salarié à perdu le contrôle de son VL personnel dans un virage en rentrant à son domicile. La voiture à finit course dans un arbre.</t>
  </si>
  <si>
    <t>12/02/2025
14/02/2025</t>
  </si>
  <si>
    <t>NON</t>
  </si>
  <si>
    <t>VOISIN Nicolas</t>
  </si>
  <si>
    <t>RAN80D</t>
  </si>
  <si>
    <t>LHL</t>
  </si>
  <si>
    <t>EVD</t>
  </si>
  <si>
    <t>Fracture de la maleole droite</t>
  </si>
  <si>
    <t>La victime mettait en œuvre des enrobés à proximité d'une tranchée. En reculant a proximité de la zone de travail de la victime la pelle a pneus à heurté la jambe droite de la victime. La victime est ensuite tombée dans la tranchée (1,35m).</t>
  </si>
  <si>
    <t>14/02/2025
14/04/2025
puis du 14/04/2025 au 21/05/2025</t>
  </si>
  <si>
    <t>FOURTI Majdi</t>
  </si>
  <si>
    <t>Intérimaire</t>
  </si>
  <si>
    <t>RANDSTAD</t>
  </si>
  <si>
    <t>RAN92E</t>
  </si>
  <si>
    <t xml:space="preserve">AUV </t>
  </si>
  <si>
    <t>AT</t>
  </si>
  <si>
    <t>Douleur rachis et vertèbres cervicales</t>
  </si>
  <si>
    <t>Après avoir reçu les consignes de la journée, le salarié s'est déplacé en direction d'un portail de chantier pour l'ouvrir. Il a retiré le pied du portail qui se trouvait dans un plot plastique, dans son mouvement, il a ressenti une vive douleur dans le haut du dos.</t>
  </si>
  <si>
    <t>18/02/2025
19/02/2025</t>
  </si>
  <si>
    <t>REFUSÉ</t>
  </si>
  <si>
    <t>AUBRAS Jean-Gerard</t>
  </si>
  <si>
    <t>NGE-Routes</t>
  </si>
  <si>
    <t>RAL14C</t>
  </si>
  <si>
    <t>Douleurs œil droit</t>
  </si>
  <si>
    <t>Lors du débouchage d'un tuyau le salarié à pris une projection de lait de chaux (présent dans le tuyau) dans l'œil droit</t>
  </si>
  <si>
    <t>DA ROCHA Paulo</t>
  </si>
  <si>
    <t>RAO1IC</t>
  </si>
  <si>
    <t>Douleur main</t>
  </si>
  <si>
    <t>Notre salarié a voulu planter sa pelle dans le tas de terre. La pelle à rebondit sur ce dernier. Le manche de la pelle à choqué la main de notre salarié qui se situait au bout.</t>
  </si>
  <si>
    <t>MEKJKOUNE Laïd</t>
  </si>
  <si>
    <t>Fracture de l'os naviculaire du pied droit</t>
  </si>
  <si>
    <t xml:space="preserve">Lors de l'élingage des cadres et tampons fontes à l'aide d'une élingue chaîne deux brins pour leur mise à la côte, le cadre du tampon a basculé, libérant le tampon fonte sur le pied droit de notre intérimaire. </t>
  </si>
  <si>
    <t>21/03/2025
21/04/2025</t>
  </si>
  <si>
    <t>ANTUNES Rodrigue</t>
  </si>
  <si>
    <t xml:space="preserve">Foulure poignet droit </t>
  </si>
  <si>
    <t>En utilisant un maillet pour emboîter un manchon PVC, notre salarié a ressenti un craquement au niveau du poignet.</t>
  </si>
  <si>
    <t>GIBOIN Dominique</t>
  </si>
  <si>
    <t>Plaie à la cuisse gauche</t>
  </si>
  <si>
    <t>Lors de la découpe d'une réhausse avec une découpeuse thermique notre intérimaire s'est bléssé à la cuisse gauche avec la lame de la découpeuse</t>
  </si>
  <si>
    <t>PLANTE Nicolas</t>
  </si>
  <si>
    <t>EHTP</t>
  </si>
  <si>
    <t>MECA</t>
  </si>
  <si>
    <t>Cana Rhône</t>
  </si>
  <si>
    <t>Douleurs épaule droite</t>
  </si>
  <si>
    <t>Le salarié est tombé sur le parc en manoeuvrant sa moto.</t>
  </si>
  <si>
    <t>05/04/2025
16/05/2025</t>
  </si>
  <si>
    <t>CHAMBION Arnaud</t>
  </si>
  <si>
    <t xml:space="preserve">Dos </t>
  </si>
  <si>
    <t xml:space="preserve">Le salarié a ressenti une douleur arriver progressivement au dos lors du transfert d'une minipelle sur la route. </t>
  </si>
  <si>
    <t xml:space="preserve">Manque procédure pour les transfert d'engins. </t>
  </si>
  <si>
    <t>ENDAMBO Armand</t>
  </si>
  <si>
    <t xml:space="preserve">NGE ROUTES </t>
  </si>
  <si>
    <t>RAN29E</t>
  </si>
  <si>
    <t xml:space="preserve">Traumatisme Auriculaire main droite – Main droite </t>
  </si>
  <si>
    <t xml:space="preserve">En déplaçant un plot de barrière HERAS, celui-ci s'est coincé le doigt entre les fouches de la chargeuse et le même plot. </t>
  </si>
  <si>
    <t>VALERO Florent</t>
  </si>
  <si>
    <t>NGE ES</t>
  </si>
  <si>
    <t>RAP08F</t>
  </si>
  <si>
    <t>Douleur à la cheville</t>
  </si>
  <si>
    <t>Suite à sa mise à pied (refus test dépistage drogue) le salarié à été récupérer ses outils dans le fourgon. En descendant de ce dernier il se serait tordu la cheville sur une bordure.</t>
  </si>
  <si>
    <t>24/05/2025 au 06/06/2025</t>
  </si>
  <si>
    <t>ABAKER DALHYA Mustafa</t>
  </si>
  <si>
    <t>Mains et genou droit</t>
  </si>
  <si>
    <t>Sur le trajet travail/domicile, le salarié conduisait son scooter, lors d'un freinage brusque, le salarié est tombé du scooter.</t>
  </si>
  <si>
    <t>03/06/2025 au 04/06/2025</t>
  </si>
  <si>
    <t>LOUESLATI ALi</t>
  </si>
  <si>
    <t>NGE GC</t>
  </si>
  <si>
    <t>RAP10I</t>
  </si>
  <si>
    <t>GC</t>
  </si>
  <si>
    <t>Cheville gauche</t>
  </si>
  <si>
    <t>Sur le cheminement piéton, le salarié se serait tordu la cheville en marchant sur une racine d'arbre qui dépassait du sol</t>
  </si>
  <si>
    <t>11/06/2025 au 28/08/2025</t>
  </si>
  <si>
    <t>Accident simulé</t>
  </si>
  <si>
    <t xml:space="preserve">DIAS José </t>
  </si>
  <si>
    <t xml:space="preserve">Rupture tendon - Avant bras  gauche </t>
  </si>
  <si>
    <t>Le salarié expliquait à son conducteur de pelle de déplacer à l'aide de son engin des bordures type T3 sur une palette attenante. En simulant le mouvement le salarié a ressenti une vive douleur dans l'avant bras gauche.</t>
  </si>
  <si>
    <t>LEHNER Siegfried</t>
  </si>
  <si>
    <t>RAN88A</t>
  </si>
  <si>
    <t>AIN</t>
  </si>
  <si>
    <t>Douleur gros orteil gauche</t>
  </si>
  <si>
    <t>Notre salarié circulait entre deux morceaux de muret sciés. Une tige métallique dépassait d'un élément en béton. Cette dernière est venue perforer la botte de notre salarié et heurter son gros orteil gauche.</t>
  </si>
  <si>
    <t>APOLINARIO Mickael</t>
  </si>
  <si>
    <t>Bras droit</t>
  </si>
  <si>
    <t xml:space="preserve">Le salarié a ressenti une douleur au bras lorsque le caniveau qu'il guidait s'est positionné dans l'emplacement souhaité et que la barre à mine qu'il utilisait s'est redressée brusquement. </t>
  </si>
  <si>
    <t>28/06/2025 au 04/07/2025</t>
  </si>
  <si>
    <t>QUEIROS Stéphane</t>
  </si>
  <si>
    <t>RAO89C</t>
  </si>
  <si>
    <t>Majeur main droite</t>
  </si>
  <si>
    <t>Le salarié s'est écrasé le doigt manutentionnant un tuyau PVC entre la ridelle du fourgon et le tuyau.</t>
  </si>
  <si>
    <t>01/07/2025 au 14/07/2025</t>
  </si>
  <si>
    <t xml:space="preserve">    </t>
  </si>
  <si>
    <t>DA SILVA MARQUES Raphaël</t>
  </si>
  <si>
    <t>Brûlures avant bras droit / Douleur main droite</t>
  </si>
  <si>
    <t>Sur le trajet travail/domicile, notre salarié conduisait le véhicule lorsqu'un véhicule tiers a glissé en sortie de virage et est venu percuté le véhicule du salarié.</t>
  </si>
  <si>
    <t>08/07/2025 au 08/07/2025 et 10/07/2025 au 11/07/2025</t>
  </si>
  <si>
    <t>AHMADZAY Habib</t>
  </si>
  <si>
    <t xml:space="preserve">Douleur epaule droit et cage thoracique </t>
  </si>
  <si>
    <t>Sur le trajet Travail/Domicile, notre salarié était passager du véhicule conduit par M. DA SILVA MARQUES, lorsqu'un véhicule tiers a glissé en sortie de virage et est venu percuter le véhicule.</t>
  </si>
  <si>
    <t>08/07/2025 au 11/07/2025 et 15/07/2025 au 01/08/2025</t>
  </si>
  <si>
    <t xml:space="preserve">NON </t>
  </si>
  <si>
    <t>EZOUKAREN Zacharie</t>
  </si>
  <si>
    <t>RAK29A</t>
  </si>
  <si>
    <t>NUC</t>
  </si>
  <si>
    <t>Contusion coup de pied gauche</t>
  </si>
  <si>
    <t xml:space="preserve">Notre salarié manutentionnait une bordure avec un autre salarié à l'aide d'une pince adaptée. Le deuxième salarié à posé la bordure sans prévenir notre salarié. La pince s'est donc ouverte et la bordure a chutée sur les pieds de notre salarié. </t>
  </si>
  <si>
    <t>LOURENCO Tony</t>
  </si>
  <si>
    <t>RAP23C</t>
  </si>
  <si>
    <t>Contusion pectoral droit</t>
  </si>
  <si>
    <t>Sur le chemin du retour pour rentrer chez lui, il passe chez CDL Villefranche sur Saône pour déposer la découpeuse thermique qui avait été louée pour quelques jours. 
16h30 Il ouvre la porte latérale du fourgon, lève des panneaux de chantier avec la main gauche et avec sa main droite tire sur la découpeuse thermique pour la sortir du fourgon.
Vers 18h le salarié nous dit avoir ressenti une douleur pectoral droit ainsi qu'à l'omoplate dans son canapé.</t>
  </si>
  <si>
    <t>KEITA Facinet</t>
  </si>
  <si>
    <t>RAP29J</t>
  </si>
  <si>
    <t>Hématome dessus du pied gauche</t>
  </si>
  <si>
    <t>Afin de protéger un PVC dans la fouille, Facinet s’est positionné devant le tuyau PVC pour que la pelle ne l’abime pas. 
Il a positionné la pelle 27 sur son coup de pied sur la chaussure de sécurité au niveau des lacets.
Le chauffeur de la pelle a avancé son godet. Le godet est venu appuyer avec le dos du godet sur la pelle 27. Le salarié a crié. Le conducteur d’engin a arrêté.</t>
  </si>
  <si>
    <t>GONCALVES VIERA Marcelo</t>
  </si>
  <si>
    <t>RAO1EI</t>
  </si>
  <si>
    <t>Entorse pouce gauche</t>
  </si>
  <si>
    <t>La victime élinguait le mur en béton à manutentionner depuis la passerelle de la banche.
En circulant sur la passerelle de la banche, son pied s'est pris dans un espace vide entre la peau de coffrage et la passerelle.
Pour éviter de chuter, il s'est rattrapé aux élingues reliés au crochet du pont roulant.</t>
  </si>
  <si>
    <t>ALEXE Marian</t>
  </si>
  <si>
    <t>RAP45I</t>
  </si>
  <si>
    <t>Entaille sur la cuisse droite</t>
  </si>
  <si>
    <t>Pendant des travaux de décoffrage à l'aide d'une tronçonneuse à bois, la victime se trouvait à genoux dans une zone exigüe. Quand elle a posé le genoux sur des objets et grâvats sur le sol ce qui a provoqué un mouvement de recul qui a fait que la chaîne a heurté la cuisse</t>
  </si>
  <si>
    <t>Analyse faite, présentation et debriefing à l'équipe faite</t>
  </si>
  <si>
    <t>JACQUOT Xavier</t>
  </si>
  <si>
    <t xml:space="preserve">En déchargeant du matériel, le salarié appuie son pied à cheval sur l’enrobé et la terre de la fosse d’arbre et se tord la cheville. </t>
  </si>
  <si>
    <t>HAGEGE Isaac</t>
  </si>
  <si>
    <t>RAP20A</t>
  </si>
  <si>
    <t>Oedeme cheville gauche</t>
  </si>
  <si>
    <t>Notre salarié chargeait une bordure T2 dans un camion benne avec un autre salarié. La bordure a chuté du camion et est tombée le long de la cheville de notre salarié en heurtant son pied.</t>
  </si>
  <si>
    <t>04/09/2025 au 05/09/2025</t>
  </si>
  <si>
    <t>DE BARROS Ugo</t>
  </si>
  <si>
    <t>RAO46I</t>
  </si>
  <si>
    <t>Nez cassé</t>
  </si>
  <si>
    <t>Lors de travaux de déboisage une branche n'était pas totalement coupée quand ils ont tiré dessus, celle-ci a cédée et par un effet ressort a heurté le visage de la victime</t>
  </si>
  <si>
    <t>PEREIRA Victor</t>
  </si>
  <si>
    <t>RAALYR</t>
  </si>
  <si>
    <t>Epaule</t>
  </si>
  <si>
    <t>Douleur épaule</t>
  </si>
  <si>
    <t>GUENAOUI Mohamed</t>
  </si>
  <si>
    <t>épaule</t>
  </si>
  <si>
    <t>ABBASSI Zine Elabedine</t>
  </si>
  <si>
    <t>RAP63D</t>
  </si>
  <si>
    <t>Douleur bas du dos</t>
  </si>
  <si>
    <t>Notre salarié a ressenti une douleur en bas du dos pendant l'effort.</t>
  </si>
  <si>
    <t>25/09/2025 au 01/12/2025</t>
  </si>
  <si>
    <t>BELKHIR Yassine</t>
  </si>
  <si>
    <t>Fracture P2 pouce gauche</t>
  </si>
  <si>
    <t xml:space="preserve">Notre salarié s'est tapé sur le pouce avec une massette en posant des bordures. </t>
  </si>
  <si>
    <t xml:space="preserve">Notre salarié a ressenti une douleur au dos à la fin de la journée. </t>
  </si>
  <si>
    <t>BELLONI Lorenzo</t>
  </si>
  <si>
    <t>RAK52I</t>
  </si>
  <si>
    <t>Annulaire droit</t>
  </si>
  <si>
    <t>En tentant de mettre en place une dalle béton de 350 kg en la vevant à 4 personnes, un des opérateurs a lâché prise et le doigt a été écrasé et l'ongle arraché</t>
  </si>
  <si>
    <t>08/10/2025 au 12/10/2025</t>
  </si>
  <si>
    <t>KIDANE Abraham</t>
  </si>
  <si>
    <t>RAP70E</t>
  </si>
  <si>
    <t xml:space="preserve">Cheville droite / Entorse </t>
  </si>
  <si>
    <t>Lors de l’application d’enrobés à l’aide d’une brouette, notre salarié a dû franchir une bordure de trottoir.
Pour faciliter ce passage, une planche a été positionnée en guise de rampe. En posant le pied sur le bord de
cette planche, le salarié s’est tordu la cheville.</t>
  </si>
  <si>
    <t>PROPOSÉ</t>
  </si>
  <si>
    <t>BOSSIERE Mayrone</t>
  </si>
  <si>
    <t>RAP07F</t>
  </si>
  <si>
    <t>Plaie main droite</t>
  </si>
  <si>
    <t>En dénudant un cable avec un jokari notre salarié s'est coupé à la main droite entre le pouce et l'index</t>
  </si>
  <si>
    <t>25/10/2025 au 24/12/2025</t>
  </si>
  <si>
    <t>ALTINKURT Koray</t>
  </si>
  <si>
    <t>RAO40H</t>
  </si>
  <si>
    <t>coup genou droit</t>
  </si>
  <si>
    <t>Lors de la démolition d'un mur à l'aide d'une mini-pelle, un profilé métallique que l'équipe pensait scellé verticalement est tombé sur la pelle entre la flèche et le chassis, cassant la vitre basse du pare-brise et touchant la victime au genoux droit</t>
  </si>
  <si>
    <t>DURU Salih</t>
  </si>
  <si>
    <t>RAP88H</t>
  </si>
  <si>
    <t>En déplaçant une balise type K5c, la victime a ressentie une douleur au dos.</t>
  </si>
  <si>
    <t>GREDZIAK Hugo</t>
  </si>
  <si>
    <t>RAP50J</t>
  </si>
  <si>
    <t>Multicontusions à la main droite, choc psy</t>
  </si>
  <si>
    <t>En faisant la circulation une voiture a foncé sur notre salarié, le percutant à la main. Le conducteur du VL a ensuite agréssé physiquement notre salarié en le projetant à terre</t>
  </si>
  <si>
    <t>DUPUIS Jean-Baptiste</t>
  </si>
  <si>
    <t>RAM1JA</t>
  </si>
  <si>
    <t>Malaise cardiovasculaire</t>
  </si>
  <si>
    <t>Au cours de la matinée, notre salarié a commencé à ressentir des douleurs thoraciques ainsi que des douleurs et un engourdissement dans le bras gauche. À la fin de son poste, il en a informé son chef de chantier, qui a immédiatement alerté les secours.</t>
  </si>
  <si>
    <t>13/11/2025 au 14/12/2025</t>
  </si>
  <si>
    <t>BOUMKASSAR Fouad</t>
  </si>
  <si>
    <t>RAP54F</t>
  </si>
  <si>
    <t xml:space="preserve">Amputation traumatique </t>
  </si>
  <si>
    <t>Notre salarié a vérifié l'alignement de la benne preneuse en mettant l'index dans l'orifice de l'axe de fixation de la benne preneuse. A ce moment là, l'extrémité de l'index a été sectionné.</t>
  </si>
  <si>
    <t>21/11/2025 au 04/01/2026</t>
  </si>
  <si>
    <t>DE SOUSA PINTO Marco</t>
  </si>
  <si>
    <t xml:space="preserve">Le salarié a glissé à vélo et s'est fait mal au dos. </t>
  </si>
  <si>
    <t>25/11/2025 au 30/11/2025</t>
  </si>
  <si>
    <t>LEPOLARD Hugo</t>
  </si>
  <si>
    <t>ECOLE</t>
  </si>
  <si>
    <t>Cou et cuisse droite</t>
  </si>
  <si>
    <t>Lors de son trajet domicile/école, notre salarié a perdu le contrôle de son véhicule, qui a glissé avant de percuter un mur situé à une vingtaine de mètres de son domicile.</t>
  </si>
  <si>
    <t>27/11/2025 au 29/11/2025</t>
  </si>
  <si>
    <t>BICER Véli</t>
  </si>
  <si>
    <t>Hernie discale</t>
  </si>
  <si>
    <t xml:space="preserve">mains </t>
  </si>
  <si>
    <t xml:space="preserve">Bras </t>
  </si>
  <si>
    <t>Bassin</t>
  </si>
  <si>
    <t>Yeux</t>
  </si>
  <si>
    <t>Dos</t>
  </si>
  <si>
    <t>Tete</t>
  </si>
  <si>
    <t>Pieds</t>
  </si>
  <si>
    <t xml:space="preserve">Genoux/Jambes </t>
  </si>
  <si>
    <t>Chute de plein pied, circulation piétonne</t>
  </si>
  <si>
    <t>Utilisation d'outils (marteau piqueur, pilonneuse…)</t>
  </si>
  <si>
    <t>Choc/heurt</t>
  </si>
  <si>
    <t>Manutention manuelle (TMS)</t>
  </si>
  <si>
    <t>Descente d'engin</t>
  </si>
  <si>
    <t>Accident de la circulation</t>
  </si>
  <si>
    <t>Manutention mécanique</t>
  </si>
  <si>
    <t>Projection œil</t>
  </si>
  <si>
    <t>Coupure</t>
  </si>
  <si>
    <t>Récapitulatif des remontés PASD/FAE/FNC</t>
  </si>
  <si>
    <t>CDtx</t>
  </si>
  <si>
    <t>Janvier</t>
  </si>
  <si>
    <t>Février</t>
  </si>
  <si>
    <t>Mars</t>
  </si>
  <si>
    <t>Avril</t>
  </si>
  <si>
    <t>Mai</t>
  </si>
  <si>
    <t>Juin</t>
  </si>
  <si>
    <t>Juillet</t>
  </si>
  <si>
    <t>Août</t>
  </si>
  <si>
    <t>Septembre</t>
  </si>
  <si>
    <t>Octobre</t>
  </si>
  <si>
    <t>Novembre</t>
  </si>
  <si>
    <t>Décembre</t>
  </si>
  <si>
    <t>Eveil musculaire</t>
  </si>
  <si>
    <t>Statistiques</t>
  </si>
  <si>
    <t>Entreprise</t>
  </si>
  <si>
    <t>Nom</t>
  </si>
  <si>
    <t>Prénom</t>
  </si>
  <si>
    <t xml:space="preserve">Fonction </t>
  </si>
  <si>
    <t>PASD</t>
  </si>
  <si>
    <t>1/4 Sécu</t>
  </si>
  <si>
    <t>1/4h Env</t>
  </si>
  <si>
    <t>NC</t>
  </si>
  <si>
    <t>BP</t>
  </si>
  <si>
    <t>FAE</t>
  </si>
  <si>
    <t>1/4 QSS</t>
  </si>
  <si>
    <t>S1</t>
  </si>
  <si>
    <t>S2</t>
  </si>
  <si>
    <t>Accompagné</t>
  </si>
  <si>
    <t>AIMARD</t>
  </si>
  <si>
    <t>Léo</t>
  </si>
  <si>
    <t>AIDE CDTX</t>
  </si>
  <si>
    <t>EHTP RAL</t>
  </si>
  <si>
    <t>E.H.TP</t>
  </si>
  <si>
    <t>ANDRIETTI</t>
  </si>
  <si>
    <t>Silvio</t>
  </si>
  <si>
    <t>CHEF D'EQUIPE</t>
  </si>
  <si>
    <t>ANTONIALI</t>
  </si>
  <si>
    <t>Clara</t>
  </si>
  <si>
    <t>CDTX</t>
  </si>
  <si>
    <t>ASRIRI</t>
  </si>
  <si>
    <t>Aissam</t>
  </si>
  <si>
    <t>AUCLAIR</t>
  </si>
  <si>
    <t>Alexandre</t>
  </si>
  <si>
    <t>CHEF DE CHANTIER</t>
  </si>
  <si>
    <t xml:space="preserve">AIN </t>
  </si>
  <si>
    <t>AUGER</t>
  </si>
  <si>
    <t>Alexis</t>
  </si>
  <si>
    <t xml:space="preserve">NGE GC </t>
  </si>
  <si>
    <t>Anthony</t>
  </si>
  <si>
    <t>AUGUSTO</t>
  </si>
  <si>
    <t>Francisco</t>
  </si>
  <si>
    <t>BACOT</t>
  </si>
  <si>
    <t>Vincent</t>
  </si>
  <si>
    <t>BARBIER</t>
  </si>
  <si>
    <t>Alain</t>
  </si>
  <si>
    <t>CHEF DE CENTRE</t>
  </si>
  <si>
    <t>BARRE</t>
  </si>
  <si>
    <t>Pierric</t>
  </si>
  <si>
    <t>DRA</t>
  </si>
  <si>
    <t>BELLONI</t>
  </si>
  <si>
    <t>Lorenzo</t>
  </si>
  <si>
    <t>BERAUD</t>
  </si>
  <si>
    <t>Maxence</t>
  </si>
  <si>
    <t>BERCHARD</t>
  </si>
  <si>
    <t>Yannick</t>
  </si>
  <si>
    <t>BERTHE</t>
  </si>
  <si>
    <t>Gregorie</t>
  </si>
  <si>
    <t>Arrêt</t>
  </si>
  <si>
    <t>BERTHELON</t>
  </si>
  <si>
    <t xml:space="preserve">Jordan </t>
  </si>
  <si>
    <t>AUVERGNE</t>
  </si>
  <si>
    <t>BESSAIT</t>
  </si>
  <si>
    <t xml:space="preserve">Jules </t>
  </si>
  <si>
    <t>BIR</t>
  </si>
  <si>
    <t>Haci</t>
  </si>
  <si>
    <t>BEIGNON</t>
  </si>
  <si>
    <t>Romain</t>
  </si>
  <si>
    <t>BLANC</t>
  </si>
  <si>
    <t>Cédric</t>
  </si>
  <si>
    <t>BLANCHET</t>
  </si>
  <si>
    <t>Florent</t>
  </si>
  <si>
    <t>BONNET</t>
  </si>
  <si>
    <t>Frédéric</t>
  </si>
  <si>
    <t>DA</t>
  </si>
  <si>
    <t>BOUCHE</t>
  </si>
  <si>
    <t>Damien</t>
  </si>
  <si>
    <t xml:space="preserve">AUVERGNE </t>
  </si>
  <si>
    <t xml:space="preserve">BOUILLET </t>
  </si>
  <si>
    <t xml:space="preserve">Kévin </t>
  </si>
  <si>
    <t>TP LYAUDET</t>
  </si>
  <si>
    <t xml:space="preserve">BOURGEOIS </t>
  </si>
  <si>
    <t xml:space="preserve">Philippe </t>
  </si>
  <si>
    <t xml:space="preserve">BREGNARD </t>
  </si>
  <si>
    <t>Kévin</t>
  </si>
  <si>
    <t>CAILLE</t>
  </si>
  <si>
    <t>Thierry</t>
  </si>
  <si>
    <t>CALDEMAISON</t>
  </si>
  <si>
    <t>Eric</t>
  </si>
  <si>
    <t>CARDOSO DE ANDRADE</t>
  </si>
  <si>
    <t>André Manuel</t>
  </si>
  <si>
    <t xml:space="preserve">CELLE </t>
  </si>
  <si>
    <t xml:space="preserve">Louis </t>
  </si>
  <si>
    <t xml:space="preserve">ETUDES ET PROJET </t>
  </si>
  <si>
    <t xml:space="preserve">CELLIER </t>
  </si>
  <si>
    <t xml:space="preserve">Fabien </t>
  </si>
  <si>
    <t>CHABRIER</t>
  </si>
  <si>
    <t>Stéphane</t>
  </si>
  <si>
    <t xml:space="preserve">CHADEYRAS </t>
  </si>
  <si>
    <t>Gilles</t>
  </si>
  <si>
    <t>LABO</t>
  </si>
  <si>
    <t>Christelle</t>
  </si>
  <si>
    <t>Laboratoire</t>
  </si>
  <si>
    <t>CHALVIN</t>
  </si>
  <si>
    <t>Barthélémy</t>
  </si>
  <si>
    <t>CHAPON</t>
  </si>
  <si>
    <t xml:space="preserve">Julien </t>
  </si>
  <si>
    <t>GUiNTOLI</t>
  </si>
  <si>
    <t>CHARAVIT</t>
  </si>
  <si>
    <t>Pascal</t>
  </si>
  <si>
    <t>CHUPIN</t>
  </si>
  <si>
    <t>CLAPISSON</t>
  </si>
  <si>
    <t>Baptiste</t>
  </si>
  <si>
    <t>CLARET</t>
  </si>
  <si>
    <t xml:space="preserve">Sébastien </t>
  </si>
  <si>
    <t>CHEF DE SECTEUR</t>
  </si>
  <si>
    <t>COLMARD</t>
  </si>
  <si>
    <t>Jean-Christophe</t>
  </si>
  <si>
    <t>Comparet</t>
  </si>
  <si>
    <t>Pierre</t>
  </si>
  <si>
    <t>CORNIER</t>
  </si>
  <si>
    <t>Fabrice</t>
  </si>
  <si>
    <t>COURNIL</t>
  </si>
  <si>
    <t>Valentin</t>
  </si>
  <si>
    <t>COUTURIER</t>
  </si>
  <si>
    <t>Flavien</t>
  </si>
  <si>
    <t xml:space="preserve">CRINQUETTE </t>
  </si>
  <si>
    <t>Philippe</t>
  </si>
  <si>
    <t>CUILLERAT</t>
  </si>
  <si>
    <t>BFC</t>
  </si>
  <si>
    <t>CUILLERON</t>
  </si>
  <si>
    <t>CUSSET</t>
  </si>
  <si>
    <t xml:space="preserve">Clément </t>
  </si>
  <si>
    <t>DA COSTA LEAO</t>
  </si>
  <si>
    <t>Jorge Daniel</t>
  </si>
  <si>
    <t>DA COSTA TURICAS</t>
  </si>
  <si>
    <t>Luis Nelson</t>
  </si>
  <si>
    <t>CHAFFRAIX</t>
  </si>
  <si>
    <t>Loïc</t>
  </si>
  <si>
    <t>ASS. CHEF DE CHANTIER</t>
  </si>
  <si>
    <t xml:space="preserve">DA CUNHA </t>
  </si>
  <si>
    <t>Yoann</t>
  </si>
  <si>
    <t>DA ROCHA</t>
  </si>
  <si>
    <t>Paulo</t>
  </si>
  <si>
    <t xml:space="preserve">DA SILVA </t>
  </si>
  <si>
    <t>Tony</t>
  </si>
  <si>
    <t>DE LA ROCHE</t>
  </si>
  <si>
    <t xml:space="preserve">Bertrand </t>
  </si>
  <si>
    <t xml:space="preserve">DAUTHEVILLE </t>
  </si>
  <si>
    <t xml:space="preserve">Grégoire </t>
  </si>
  <si>
    <t xml:space="preserve">CHEF DE SECTEUR </t>
  </si>
  <si>
    <t>DE ARAUJO</t>
  </si>
  <si>
    <t>DE BARROS</t>
  </si>
  <si>
    <t>Ugo</t>
  </si>
  <si>
    <t>DE JESUS DIAS</t>
  </si>
  <si>
    <t>Alfredo</t>
  </si>
  <si>
    <t>Joao Carlos</t>
  </si>
  <si>
    <t>DESCHAMPS</t>
  </si>
  <si>
    <t>Xavier</t>
  </si>
  <si>
    <t xml:space="preserve">DE MACEDO </t>
  </si>
  <si>
    <t>Maxime</t>
  </si>
  <si>
    <t>DE OLIVEIRA G.</t>
  </si>
  <si>
    <t>Jorge</t>
  </si>
  <si>
    <t>DE SAINT-JEAN</t>
  </si>
  <si>
    <t>Arnaud</t>
  </si>
  <si>
    <t>DE SOUSA</t>
  </si>
  <si>
    <t>Mickaël</t>
  </si>
  <si>
    <t>DEFRANCE</t>
  </si>
  <si>
    <t>DENEPOUX</t>
  </si>
  <si>
    <t>DENIEL</t>
  </si>
  <si>
    <t xml:space="preserve">DIAS </t>
  </si>
  <si>
    <t>José</t>
  </si>
  <si>
    <t>DINET</t>
  </si>
  <si>
    <t>Nicolas</t>
  </si>
  <si>
    <t>DORLEANS</t>
  </si>
  <si>
    <t>Jérôme</t>
  </si>
  <si>
    <t>DOS PRAZERES</t>
  </si>
  <si>
    <t>DOS SANTOS</t>
  </si>
  <si>
    <t>Manuel</t>
  </si>
  <si>
    <t>DUCROIX</t>
  </si>
  <si>
    <t>Angèle</t>
  </si>
  <si>
    <t>DUCROUX</t>
  </si>
  <si>
    <t>Fabien</t>
  </si>
  <si>
    <t>EL KETTANY</t>
  </si>
  <si>
    <t>Ismail</t>
  </si>
  <si>
    <t>DUFOUR</t>
  </si>
  <si>
    <t>Thomas</t>
  </si>
  <si>
    <t>DURIF</t>
  </si>
  <si>
    <t xml:space="preserve"> Alexis </t>
  </si>
  <si>
    <t xml:space="preserve">ELKEBAILI </t>
  </si>
  <si>
    <t>Mohamed</t>
  </si>
  <si>
    <t>FALCOU</t>
  </si>
  <si>
    <t>FAVIER</t>
  </si>
  <si>
    <t>FAYARD</t>
  </si>
  <si>
    <t>Guillaume</t>
  </si>
  <si>
    <t>FEILDEL</t>
  </si>
  <si>
    <t>FERNANDEZ</t>
  </si>
  <si>
    <t>Marc</t>
  </si>
  <si>
    <t>Luc</t>
  </si>
  <si>
    <t>FREY</t>
  </si>
  <si>
    <t>Valentine</t>
  </si>
  <si>
    <t>NGE ROUTES</t>
  </si>
  <si>
    <t>FESSAGUET</t>
  </si>
  <si>
    <t>Adrien</t>
  </si>
  <si>
    <t>FAURE</t>
  </si>
  <si>
    <t>FOURCADE</t>
  </si>
  <si>
    <t>Nathan</t>
  </si>
  <si>
    <t>GANIERE</t>
  </si>
  <si>
    <t>GARCIA</t>
  </si>
  <si>
    <t>Sabrina</t>
  </si>
  <si>
    <t>GARNIER</t>
  </si>
  <si>
    <t>GASTON</t>
  </si>
  <si>
    <t>Jean-Baptiste</t>
  </si>
  <si>
    <t>GAYET</t>
  </si>
  <si>
    <t>GAZE</t>
  </si>
  <si>
    <t xml:space="preserve">David </t>
  </si>
  <si>
    <t>GINDRE</t>
  </si>
  <si>
    <t>Albéric</t>
  </si>
  <si>
    <t>GIRAUD</t>
  </si>
  <si>
    <t>Antoine</t>
  </si>
  <si>
    <t>Grand</t>
  </si>
  <si>
    <t>Lucas</t>
  </si>
  <si>
    <t xml:space="preserve">GRANGEVERSANNE </t>
  </si>
  <si>
    <t xml:space="preserve">Brice </t>
  </si>
  <si>
    <t>GREDZIAK</t>
  </si>
  <si>
    <t>GRIMAND</t>
  </si>
  <si>
    <t>GUERIN</t>
  </si>
  <si>
    <t>Ludovic</t>
  </si>
  <si>
    <t>GRANDEMANGE</t>
  </si>
  <si>
    <t>Lionel</t>
  </si>
  <si>
    <t>GUILLON</t>
  </si>
  <si>
    <t>Théo</t>
  </si>
  <si>
    <t xml:space="preserve">TOPO </t>
  </si>
  <si>
    <t xml:space="preserve">GUINTOLI </t>
  </si>
  <si>
    <t xml:space="preserve">HAMON </t>
  </si>
  <si>
    <t xml:space="preserve">Christophe </t>
  </si>
  <si>
    <t xml:space="preserve">Service TOPO </t>
  </si>
  <si>
    <t xml:space="preserve">HEYRAUD </t>
  </si>
  <si>
    <t xml:space="preserve">HUET </t>
  </si>
  <si>
    <t>Sébastien</t>
  </si>
  <si>
    <t>JACINTO</t>
  </si>
  <si>
    <t>JAKUPOVIC</t>
  </si>
  <si>
    <t>Elvis</t>
  </si>
  <si>
    <t>JANISSET</t>
  </si>
  <si>
    <t xml:space="preserve">Benjamin </t>
  </si>
  <si>
    <t>HOUMEUR</t>
  </si>
  <si>
    <t>Rayan</t>
  </si>
  <si>
    <t xml:space="preserve">JACQUOT </t>
  </si>
  <si>
    <t>JARRET</t>
  </si>
  <si>
    <t>JAUBERT</t>
  </si>
  <si>
    <t>JEAN</t>
  </si>
  <si>
    <t>Roxane</t>
  </si>
  <si>
    <t>JEAN-VICTOR</t>
  </si>
  <si>
    <t>Emma</t>
  </si>
  <si>
    <t>KARAKAYA</t>
  </si>
  <si>
    <t>Eray</t>
  </si>
  <si>
    <t>LHOPITAL MONTET</t>
  </si>
  <si>
    <t>LABORATOIRE</t>
  </si>
  <si>
    <t>LAFARGE</t>
  </si>
  <si>
    <t>Olivier</t>
  </si>
  <si>
    <t>LAFRINDI</t>
  </si>
  <si>
    <t>Ghizlane</t>
  </si>
  <si>
    <t>LAGENESTE</t>
  </si>
  <si>
    <t xml:space="preserve">LOUBEYRE </t>
  </si>
  <si>
    <t>Anne Sarah</t>
  </si>
  <si>
    <t xml:space="preserve">Pas d'opération </t>
  </si>
  <si>
    <t>LEFRANC</t>
  </si>
  <si>
    <t>Paul</t>
  </si>
  <si>
    <t>LHOMME</t>
  </si>
  <si>
    <t>Jonathan</t>
  </si>
  <si>
    <t>SVV</t>
  </si>
  <si>
    <t>LOKMANE</t>
  </si>
  <si>
    <t>LOPES</t>
  </si>
  <si>
    <t>LOURENCO</t>
  </si>
  <si>
    <t>LUCAS NEVES</t>
  </si>
  <si>
    <t>Manuel Edgar</t>
  </si>
  <si>
    <t>MACIAS</t>
  </si>
  <si>
    <t>Julien</t>
  </si>
  <si>
    <t xml:space="preserve">MAGNIN </t>
  </si>
  <si>
    <t xml:space="preserve">MALEYRAT </t>
  </si>
  <si>
    <t>MADEBENE</t>
  </si>
  <si>
    <t>Hugo</t>
  </si>
  <si>
    <t>MARQUES</t>
  </si>
  <si>
    <t>Daniel</t>
  </si>
  <si>
    <t xml:space="preserve">MARQUIER </t>
  </si>
  <si>
    <t xml:space="preserve">Francis </t>
  </si>
  <si>
    <t>MAUCHET</t>
  </si>
  <si>
    <t>Richard</t>
  </si>
  <si>
    <t>MAUPOU</t>
  </si>
  <si>
    <t>Ambre</t>
  </si>
  <si>
    <t>MAURIN</t>
  </si>
  <si>
    <t>MENDES</t>
  </si>
  <si>
    <t>Eduardo</t>
  </si>
  <si>
    <t>MERLINO</t>
  </si>
  <si>
    <t>MONIN</t>
  </si>
  <si>
    <t>MOREL</t>
  </si>
  <si>
    <t xml:space="preserve">Lilian </t>
  </si>
  <si>
    <t>MORIZON</t>
  </si>
  <si>
    <t>RICHARD</t>
  </si>
  <si>
    <t>MORA</t>
  </si>
  <si>
    <t>Stan</t>
  </si>
  <si>
    <t>MUNOS</t>
  </si>
  <si>
    <t>NEVES</t>
  </si>
  <si>
    <t>Joaquim</t>
  </si>
  <si>
    <t>NOUVET</t>
  </si>
  <si>
    <t>OLIVEIRA  DA CUNHA</t>
  </si>
  <si>
    <t>Sergio</t>
  </si>
  <si>
    <t xml:space="preserve">PEREIRA </t>
  </si>
  <si>
    <t>PERRY</t>
  </si>
  <si>
    <t>Yvan</t>
  </si>
  <si>
    <t>PEYRICAL</t>
  </si>
  <si>
    <t>PITA VIERA</t>
  </si>
  <si>
    <t>PONCET</t>
  </si>
  <si>
    <t>PRAT</t>
  </si>
  <si>
    <t>Claire</t>
  </si>
  <si>
    <t>QSE</t>
  </si>
  <si>
    <t>Multimétiers</t>
  </si>
  <si>
    <t>Equipe</t>
  </si>
  <si>
    <t xml:space="preserve">RENARD </t>
  </si>
  <si>
    <t xml:space="preserve">Alexandre </t>
  </si>
  <si>
    <t>REPELLIN</t>
  </si>
  <si>
    <t>RATHIER</t>
  </si>
  <si>
    <t>Benoît</t>
  </si>
  <si>
    <t xml:space="preserve">RIBEIRO </t>
  </si>
  <si>
    <t>RIBIERE</t>
  </si>
  <si>
    <t xml:space="preserve">RICROS </t>
  </si>
  <si>
    <t xml:space="preserve">Ludovic </t>
  </si>
  <si>
    <t>ROLLET</t>
  </si>
  <si>
    <t>RONZE</t>
  </si>
  <si>
    <t xml:space="preserve">ROUGERON </t>
  </si>
  <si>
    <t xml:space="preserve">Rodolphe </t>
  </si>
  <si>
    <t>REVIRON DE NARDI</t>
  </si>
  <si>
    <t>Julie</t>
  </si>
  <si>
    <t>SALINGUE</t>
  </si>
  <si>
    <t>SALVADORI</t>
  </si>
  <si>
    <t>SANTOS CRUZ</t>
  </si>
  <si>
    <t>Carlos</t>
  </si>
  <si>
    <t>ROUTUROU</t>
  </si>
  <si>
    <t>SATRE</t>
  </si>
  <si>
    <t>SAUTERON</t>
  </si>
  <si>
    <t>Jean-Luc</t>
  </si>
  <si>
    <t xml:space="preserve">SEPCHAT </t>
  </si>
  <si>
    <t>SMILGINS</t>
  </si>
  <si>
    <t>Vitalijs</t>
  </si>
  <si>
    <t>SOARES PEREIRA</t>
  </si>
  <si>
    <t>José Orlando</t>
  </si>
  <si>
    <t>THOMAS</t>
  </si>
  <si>
    <t>TOURNIER</t>
  </si>
  <si>
    <t>Thibault</t>
  </si>
  <si>
    <t>VALOT</t>
  </si>
  <si>
    <t>VIOLAS</t>
  </si>
  <si>
    <t>VIRAT</t>
  </si>
  <si>
    <t>Mickael</t>
  </si>
  <si>
    <t>VOULPE</t>
  </si>
  <si>
    <t xml:space="preserve">Daniil </t>
  </si>
  <si>
    <t>WEHRLIN</t>
  </si>
  <si>
    <t>Simon</t>
  </si>
  <si>
    <t>WUILLEME</t>
  </si>
  <si>
    <t>VIAL</t>
  </si>
  <si>
    <t>ZAIR</t>
  </si>
  <si>
    <t>Nordine</t>
  </si>
  <si>
    <t>ZARZA</t>
  </si>
  <si>
    <t>BERTHET</t>
  </si>
  <si>
    <t>Total</t>
  </si>
  <si>
    <t>Presqu'accidents / situations dangereuses</t>
  </si>
  <si>
    <t>Types de risque</t>
  </si>
  <si>
    <t>voir ECHELLE à droite du TB</t>
  </si>
  <si>
    <t xml:space="preserve">Presqu'accident/ Situation dangereuse </t>
  </si>
  <si>
    <t>Récit de l'événement</t>
  </si>
  <si>
    <t>Chantier ou site concerné</t>
  </si>
  <si>
    <t>Enregistrement</t>
  </si>
  <si>
    <t>Rédacteur</t>
  </si>
  <si>
    <t>Chute de plain-pied</t>
  </si>
  <si>
    <t>Risque de manutention</t>
  </si>
  <si>
    <t>Risque d'ensevelissement, projection d'objets</t>
  </si>
  <si>
    <t>Risque de chute de hauteur</t>
  </si>
  <si>
    <t>Risque chimique</t>
  </si>
  <si>
    <t>EPI</t>
  </si>
  <si>
    <t>Utilisation de matériels, engins et véhicules</t>
  </si>
  <si>
    <t>Eau et sols</t>
  </si>
  <si>
    <t>Circulation et déplacement</t>
  </si>
  <si>
    <t>Installation de chantier</t>
  </si>
  <si>
    <t>Organisation des secours</t>
  </si>
  <si>
    <t>Ambiance thermique &amp; Environnement</t>
  </si>
  <si>
    <t>Organisation générale du chantier</t>
  </si>
  <si>
    <t>Formation et information du personnel</t>
  </si>
  <si>
    <t>Documents sur chantier</t>
  </si>
  <si>
    <t>Riverains</t>
  </si>
  <si>
    <t xml:space="preserve">Réseaux, élec, gaz… </t>
  </si>
  <si>
    <t>Faire une analyse</t>
  </si>
  <si>
    <t>Presqu'accident</t>
  </si>
  <si>
    <t>En descendant dans une chambre PTT le salarié s'est tordu la cherville sans douleur mais il aurait pu se fouler la cheville</t>
  </si>
  <si>
    <t>RAO28C</t>
  </si>
  <si>
    <t>250110_RL_RAO28C_CHUPIN - N°1 Politique</t>
  </si>
  <si>
    <t>CHUPIN Yannick</t>
  </si>
  <si>
    <t>X</t>
  </si>
  <si>
    <t>Non</t>
  </si>
  <si>
    <t>Un compagnoin marchait sur des bordures, il a glissé</t>
  </si>
  <si>
    <t>250107_RL_RAN63C_ MARQUES REPELLIN SMILGINS LAFRINDI - N°1 Politique</t>
  </si>
  <si>
    <t>MARQUES Daniel</t>
  </si>
  <si>
    <t>AUV</t>
  </si>
  <si>
    <t>Lors du traitement à la chaux, une fois au sol, le vent a fait lever la chaux dans l’air et se dirige sur les personnes présentes sur le chantier comme EHTP en co activité ou le personnel Guintoli. la chaux en suspension dans l’air se retrouve sur la peau et peut être une cause de brûlure sur le visage</t>
  </si>
  <si>
    <t>RAO91E</t>
  </si>
  <si>
    <t>2025.01.09_PA_RAO91E_DESCHAMPS_Vent chaux</t>
  </si>
  <si>
    <t xml:space="preserve">DESCHAMP Xavier </t>
  </si>
  <si>
    <t>Situation dangereuse</t>
  </si>
  <si>
    <t>En décembre suite à de fortes rafales de vent plusieurs objets (tuiles, barrieres, arbres) sont tombés à proximité des salariés</t>
  </si>
  <si>
    <t>250109_RL_RAO78C_JARRET GUERIN - N°1 Politique</t>
  </si>
  <si>
    <t>GUERIN Ludovic</t>
  </si>
  <si>
    <t>Les rétentions d'eaux présentent sur le chantier ont gelé dans la nuit à cause des températures basses provoquant un risque de chutes et de glissades. Balisage des zones dangereuses</t>
  </si>
  <si>
    <t>250114_RL_RAO89C_HEYRAUD PEYRICAL CUILLERAT PRAT DA ROCHA BACOT - N°1 Politique</t>
  </si>
  <si>
    <t>HEYRAUD Baptiste</t>
  </si>
  <si>
    <t>Terrassement pour raccordement câble HTA.
Trous de 4ml de long par 2ml.
Présence de BT et HTA en service.
Et de conduite de gaz dn110 normalement plus en service.
Présence de réseau en gray pour EU. Et bien sûr pas d'aspiratrice.</t>
  </si>
  <si>
    <t>RAO61F</t>
  </si>
  <si>
    <t xml:space="preserve">250120_AIN_RAO61F_SALINGUE SD - Terrassement </t>
  </si>
  <si>
    <t>Julien SALINGUE</t>
  </si>
  <si>
    <t>Nous realisions du réglage de 31,5 avant mise en place des dalles au niveau des halles des sources. 
La MECALAC approvisionnait ce cailloux et a roulé sur une galerie non répertorié, non connu par le service des thermes. 
Par ailleurs nous travaillons régulièrement sur ou à proximité de ces galeries qui s'effondrent très facilement. 
Légende plan : 
- bande violette galerie.</t>
  </si>
  <si>
    <t xml:space="preserve">RAN29E </t>
  </si>
  <si>
    <t>2025.01.21_PA_RAN29E_DA CUNHA_EFFONDREMENT Galerie</t>
  </si>
  <si>
    <t>DA CUNHA Yoann
BOUILLET Kévin</t>
  </si>
  <si>
    <t>alors que nous avions aspiré le trou pour effectuer le branchement sur une HTA qui se trouvait dans un caniveau béton rempli de sable avec couvercle béton, le conducteur de travaux (Alexis Bevand) nous demande d'enlever le caniveau pour libérer le câble pour effectuer les boîtes de branchement. Nous avons donc enlevé le couvercle et fait pivoter pour évacuer le sable, à l'aide d'une barre à mine et d'une macette. Le QSE ENEDIS est venu effectuer un contrôle, celui-ci ci nous dit que c'est un câble avec isolant papier, Risque mortel. il nous informe que chaque contact peut entraîner des circonstances très grave voir mortel</t>
  </si>
  <si>
    <t>250120_AIN_RAO61F_FERNANDEZ SD - NGE ES</t>
  </si>
  <si>
    <t xml:space="preserve">Marc FERNANDEZ </t>
  </si>
  <si>
    <t>La MOA est passée sur l'opération hier en demandant lors de la reunion de renforcer le balisage du rond point de Lapardieu qui n'était pas suffisant protégé. 
De ce fait, sous l'ordre du conducteur de travaux, les équipes ont modifié le balisage en urgence en déposant environ 220 baliroads au milieu de la circulation.</t>
  </si>
  <si>
    <t xml:space="preserve">2025.01.24_PA_RAN92E_DIAS_Modification balisage </t>
  </si>
  <si>
    <t>DIAS José</t>
  </si>
  <si>
    <t>Lors du traitement de chaux le chargement de l'épandeur s'est fait à proximité direct d'un trou avec des réseaux en attente. Avec le vent et l'humidité et la chaux tomber au sol les réseaux en attente sont recouvert d'une épaisse couche de chaux. A la reprise des réseaux, les opérateurs se retrouve à travailler et manipuler des matériaux plein de chaux.
les opérateurs se mettent de la chaux sur les gants et les vêtements</t>
  </si>
  <si>
    <t>RAO91K</t>
  </si>
  <si>
    <t>2025.01.27_PA_RAO91K_CHAFFRAIX_Traitement chaux</t>
  </si>
  <si>
    <t xml:space="preserve">CHAFFRAIX Loic </t>
  </si>
  <si>
    <t>Bordures cassées au niveau du passage piétons et de la circulation</t>
  </si>
  <si>
    <t>2025.01.29_RAN92E_DA SILVA_Bordure cassée</t>
  </si>
  <si>
    <t xml:space="preserve">DA SILVA Tony </t>
  </si>
  <si>
    <t>Remblaiment d'une tranchée avec un mecalac
le compagnon se trouve dans la fouille pour maintenir les différents Fourreaux posés et assurer un bon remblai mais du mauvais côté, côté bras</t>
  </si>
  <si>
    <t>RAN51E</t>
  </si>
  <si>
    <t>2025.01.29_RAN51E_DUFOUR_angles morts</t>
  </si>
  <si>
    <t>DUFOUR Thomas</t>
  </si>
  <si>
    <t>Chantier en circulation alternée, on dépose et repose la signal 2 fois par jours les feux sont lourds et difficile à charger dans le fourgon.</t>
  </si>
  <si>
    <t>RAM19E</t>
  </si>
  <si>
    <t>2025.01.30_RAM19E_BOUCHE_Poids feu de signalisation</t>
  </si>
  <si>
    <t xml:space="preserve">BOUCHE Damien </t>
  </si>
  <si>
    <t>Mr Semonsat intervient sur le chantier pour évacuer les excédents de matériaux. Ne communiquant pas avec nous qui sommes à proximité direct de sa zone de travail, celui-ci nous demande de remblayer une attente réseaux pour que ses camions puissent circuler correctement. Ce qui paraît judicieux et que nous faisons immédiatement. Pendant que les compagnons effectue le travail (environ 10minutes) il se permet de tourner avec le godet plein d'un 35t au dessus des ouvriers en les ignorants complètement à plusieurs reprises.
De plus les différents intervenants aux réunions de chantier se promènent sur le chantier sans casque et régulièrement sans gilet orange.</t>
  </si>
  <si>
    <t xml:space="preserve">2025.02.04_PA_RAO91K_CHAFFRAIX_Survol godet </t>
  </si>
  <si>
    <t xml:space="preserve">EHTP </t>
  </si>
  <si>
    <t>Lorsque le MECALAC à pivoté avec la pince à bordure, le stagiaire n'a pas fait attention et aurait pu etre percuté par la pince à bordures</t>
  </si>
  <si>
    <t>250207_RL_RAO28C_CHUPIN - N°1 Médicaments</t>
  </si>
  <si>
    <t>Oui</t>
  </si>
  <si>
    <t>En tirant la raclette le manche a cassé car il était trop souple. Nous avons demandé au fournisseur de changer de modèle de manche</t>
  </si>
  <si>
    <t>250214_RL_RAL14C_FESSAGUET LOURENCO - N°1 Médicaments</t>
  </si>
  <si>
    <t>FESSAGUET Adrien
LOURENCO Tony</t>
  </si>
  <si>
    <t>Trappe ouverte a proximité d'une borne irve</t>
  </si>
  <si>
    <t>RAO74F</t>
  </si>
  <si>
    <t>250210_NGEES_RAO74F_NOWAK - Trappe ouverte</t>
  </si>
  <si>
    <t>NOWAK Romain</t>
  </si>
  <si>
    <t xml:space="preserve">lors des chantiers de marché à commandes ,il y a beaucoup de mise en place de signal ( feux , panneaux ...) que l on déplace plusieurs fois par jours . Une remorque avec rac et rampes serait bien pratique.
cela éviterai le port des feux répétitif (problème de dos ) ainsi que la dégradation rapide des panneaux de signal  et de l habitacle des fourgons qui ne sont pas aménagés pour cet effet. </t>
  </si>
  <si>
    <t>2025-02-10_RAM19E_BOUCHE_Damien_Outils de coupe_recyclage EP</t>
  </si>
  <si>
    <t>Suite à un fort vent une canette est tombée du rebord d'une fenetre à nos pieds</t>
  </si>
  <si>
    <t>250211_RL_RAO28C_GUERIN - N°1 Médicaments</t>
  </si>
  <si>
    <t>Terrassement de fouille EU a proximite d'une conduite aep dn 100 existante bord de fouille. décision de faire une surlargeur pour remblayer au fur et mesure de l'ouverture</t>
  </si>
  <si>
    <t>RAO94K</t>
  </si>
  <si>
    <t>2025-02-11_RAO94K_ELKEBAILI_Outils de coupe_recyclage EPI</t>
  </si>
  <si>
    <t>ELKEBAILI Mohamed</t>
  </si>
  <si>
    <t>L’accès aux installations de chantier et de stockage de matériel se réalise uniquement par un seul accès. Celui ci se trouve entre le terrassement que nous avons réalisé et la limite du chantier. les engins circules en bord de fouille avec une hauteur de 5,50m de hauteur. Il a donc était essentiel de déplacer les installations ainsi que de créer un pallier et un talus pour réduire la hauteur.</t>
  </si>
  <si>
    <t>RAO75E</t>
  </si>
  <si>
    <t>2025.02.20_RAO75E_DESCHAMPS_Hauteur talus</t>
  </si>
  <si>
    <t>Lors de l’ouverture d’une chambre L3T, les tampons en formes de triangle ont glissé et aurait pu coincer le doigt du salarié.</t>
  </si>
  <si>
    <t>2025.02.25_RAN29E_BOUILLET_Ecrasement doigt</t>
  </si>
  <si>
    <t xml:space="preserve">BOUILLET Kévin </t>
  </si>
  <si>
    <t>Jeudi 13 au matin vers 8h30 sur le chantier de la Coulé verte au niveau de la rue de Dallet et du croisement de l'impasse de Thiers nous avions stationné le camion benne 3t5 de Cdl.
Au alentour de 8h45 nous remarquons que le camion n'est plus là.
Le chef de chantier a immédiatement appelé Cdl pour savoir si le véhicule était équipé de géo-localisation, la réponse étant favorable l'équipe avec l'aide de la gendarmerie sont partie à la recherche du véhicule qui a avait fini ça fuite 15km plus loin. Nous avons retrouvé le camion stationné au niveau de KingPneu à Vertaizon et avons fait le constat avec la police</t>
  </si>
  <si>
    <t>RAO1FE</t>
  </si>
  <si>
    <t>2025.02.27_RAO1FE_RIBEIRO_Vol camion</t>
  </si>
  <si>
    <t xml:space="preserve">RIBEIRO Alexandre </t>
  </si>
  <si>
    <t>Le 8*4 grue est équipé d’une glacière électrique dans la cabine ,
la prise alume cigare a chauffé et le conducteur à vu de la fumée remonter du tableau de bord , heureusement il était dans la cabine pour débrancher toute suite la prise sinon cela aurait plus provoquer un incendie...</t>
  </si>
  <si>
    <t>2025.02.27_PA_RAN29E_BOUILLET_Fumée allume cigard</t>
  </si>
  <si>
    <t>L'ouvrier se situait derrière un camion qui faisait une manœuvre, le camion avait bien le signal avertisseur sonore. L'ouvrier avait des écouteurs et n'a pas entendu le bruit. Il a faillit se faire heurter mais l'homme trafic à pu faire arreter la manoeuvre et éviter l'accident</t>
  </si>
  <si>
    <t>250310_RL_RAN63C_LAFRINDI RONZE MACIAS ZAIR DE OLIVEIRA - Mars</t>
  </si>
  <si>
    <t>Ghizlane LAFRINDI</t>
  </si>
  <si>
    <t>Lors de la dépose de lisses métalliques, un collaborateur a faillit être touché par l'une d'elle lorsque la pelle à
pneus les arrachait.</t>
  </si>
  <si>
    <t>RAP02D</t>
  </si>
  <si>
    <t>250310_LHL_RAP02D_COUTURIER DE SAINT JEAN - N°2 Décarbonation</t>
  </si>
  <si>
    <t>COUTURIER Flavien
DE SAINT JEAN Arnaud</t>
  </si>
  <si>
    <t>Le chef d'équipe Paulo DA ROCHA s'est tapé sur le pouce lors de la pose des bordures du vendredi 7 mars.
Ongle d'en train de devenir bleu à la suite du coup.</t>
  </si>
  <si>
    <t>250311_RL_RAO1IC_HEYRAUD DA ROCHA - N°2 DAE</t>
  </si>
  <si>
    <t>Le maçon (Amine) à passé la jambe à travers un regard 60x60 et c'est cogné le genou en manipulant le
couvercle en fonte. ( sans gravité)</t>
  </si>
  <si>
    <t>250312_RL_RAO28C_CHUPIN - N°2 DAE</t>
  </si>
  <si>
    <t>L'entreprise chargée pour notre compte de faire la vérification périodique des installations électriques du 
chantier à fait une mise à la terre d'un coffret dans une zone où il y a beaucoup de réseau et à faible 
profondeur.
Pour ce faire ils ont enfoncé un piquet de terre d'environ 1m dans le sol sans rien demander à personne. De 
plus cette zone est en service( AEP EID HTA BT</t>
  </si>
  <si>
    <t>RAK52E</t>
  </si>
  <si>
    <t>2025.03.14_SD_RAK52E_CHAFFRAIX_Mise aux normes coffret de électrique</t>
  </si>
  <si>
    <t>Loïc CHAFFRAIX</t>
  </si>
  <si>
    <t>un collaborateur a pris un fourgon pour aller chercher à manger pour midi ,lorsqu il est revenu ,il s est garé
Peu de temps après, le fourgon a avancé tout seul et est venue percuter se caler dans une cunette béton.le fourgon à avancé de 8 m .</t>
  </si>
  <si>
    <t>RAM02E</t>
  </si>
  <si>
    <t>2025.03.19_PA_BOUCHE_Risque d'AVP</t>
  </si>
  <si>
    <t>Damien BOUCHE</t>
  </si>
  <si>
    <t>La porte de la roulotte était accroché en position ouverte, un collaborateur pénétré dans la roulotte quand 
soudain, une rafale de vent violente referma la porte dangereusement.
aucun collaborateur n'a été blessé</t>
  </si>
  <si>
    <t>RAM1AA</t>
  </si>
  <si>
    <t>250320_AIN_RAM1AA_SALVADORI - Roulotte</t>
  </si>
  <si>
    <t>Loic SALVADORI</t>
  </si>
  <si>
    <t xml:space="preserve">La sécurité de la disqueuse permettant de la faire fonctionner, s'est cassé, empêchant alors son utilisation normale. </t>
  </si>
  <si>
    <t>2025.03.20_SD_DIAS_Casse sécurité disqueuse</t>
  </si>
  <si>
    <t>Nous commençons une mise à la côte d'un regard 600 ronds. Nous avons accroché les chaînes de levage à la fonte. En levant la fonte, tout se passait bien. Pendant la rotationde la pelle, la fonte s'est retournée sur elle_x0002_même et le collaborateur était juste à côté. La plaque lui est tombée juste sur les pieds.</t>
  </si>
  <si>
    <t>2025.03.20_PA_RAN92E_ROUTUROU_Chute d'un tampon fonte</t>
  </si>
  <si>
    <t>ROUTUROU Baptiste</t>
  </si>
  <si>
    <t>Avant le démarrage de la déconstruction d'un bâtiment métallique, nous avions en charge une intervention 
de dépose soignée des bardages métalliques (tôle BACACIER) en vue de leur réemploi sur site.
La dépose se réaliser en deux étapes :
- Sectionnement par meulage des têtes de vis par l'extérieur,
- Retrait par manutention manuelle des tôles pour mise en stock sur un rack à barrières,
Lors de la manutention de celles ci, un salarié s'est écorché le mollet avec l'angle d'une tôle.
Les premiers soins lui ont été prodigué par le secouriste, (désinfection bandage) avec la trousse de secours sur 
place. A la fin de journée le compagnon s'est rendu en pharmacie afin de faire visualiser la plaie et de 
procéder à une nouvelle désinfection et pansements. De ce fait, il a été constaté que son vaccin anti tétanos 
n'été plus à jour, il a été réalisé dans la foulée.</t>
  </si>
  <si>
    <t>RAN87E</t>
  </si>
  <si>
    <t>2025.03.24_PA_RAN87E_MAGNIN_Dépose manuelle des éléments métalliques</t>
  </si>
  <si>
    <t>MAGNIN Cédric</t>
  </si>
  <si>
    <t>Sur ce chantier en forte pente, un ouvrier qui descendait ce dernier glisse sur des cailloux et tombe en arrière,
sans conséquence</t>
  </si>
  <si>
    <t>RAM16D</t>
  </si>
  <si>
    <t>250331_LHL_RAM16D_VALOT - N°2 DAE</t>
  </si>
  <si>
    <t>VALOT Baptiste</t>
  </si>
  <si>
    <t>Chute d'une plaque tôle portée par une mécalac avec fourches.</t>
  </si>
  <si>
    <t>250407_LHL_RAP31D_COUTURIER - N°3 Chargement camions</t>
  </si>
  <si>
    <t>COUTURIER Flavien</t>
  </si>
  <si>
    <t>L'entreprise qui câble le réseau Télécom a laissé les tampons de chambre ouvert avec le fil qui sert à aiguiller en boule au pied de la chambre. José Nabais qui passait à proximité s'est pris les pieds dans le fil et a passé la jambe au travers la chambre en s'éraflant le tibiat</t>
  </si>
  <si>
    <t>PA_09-04-2025_RAN92E_DIAS_BERLIAT</t>
  </si>
  <si>
    <t>José DIAS
Milan BERLIAT</t>
  </si>
  <si>
    <t>( disqueuse thermique) après un mauvais serrage du disque 350 m, celui ci s'est mis à vibrer dans tous les sens,
heureusement le salarié s'en est vite aperçu et à stopper la machine.</t>
  </si>
  <si>
    <t>RAO13C</t>
  </si>
  <si>
    <t>250409_RL_RAO13C_CHUPIN -N°3 Angles morts</t>
  </si>
  <si>
    <t>Yannick CHUPIN</t>
  </si>
  <si>
    <t>lors de la recherche de bouche à clef dans l'allée piétonne un riverains nous a interpellé sur le fait qu'un câble HTA à été posé au milieu du chemin il y a environ 2ans.
après une nouvelle vérification des DICT ce câble n'apparaît pas.
plusieurs sources nous confirme la présence de ce câbleet du fait qu'il soit sous tension. En contactant le service DICT ENEDIS la personne me dit que notre plan est faux à la suite d'un problème informatique et qu'elle nous renvoie le bon plan en prenant la situation à la légère.</t>
  </si>
  <si>
    <t>RAP26K</t>
  </si>
  <si>
    <t>2025.04.15_PA_RAP26K_CHAFFRAIX_Problème DICT</t>
  </si>
  <si>
    <t xml:space="preserve">En découpant de la ferraille avec une disqueuse, nous avons remarqué avec les étincelles que les nouveaux pantalons étaient un peu fin
et brûlés facilement créant des trous dûs aux projections. </t>
  </si>
  <si>
    <t>2025.04.17_RAN87E_ROLLET_Résistance étincelle pantalon HV</t>
  </si>
  <si>
    <t>ROLLET Léo</t>
  </si>
  <si>
    <t xml:space="preserve">Un câble électrique coup sous tension était présent derrière un coffret ENEDIS sans protection alors que nous travaillons à proximité. </t>
  </si>
  <si>
    <t>2025.04.17_RAN92E_DIAS_Découverte câble HTA coupé Sous tension</t>
  </si>
  <si>
    <t>Ce vendredi 18 avril, nous avons réalisé des enrobés provisoires à proximité immédiate de la circulation. Bien que l’opération n’ait duré que 15 minutes aux abords de la route, elle présentait un risque accru d’accidents, tels que des blessures corporelles en cas de choc avec un véhicule ou de collision entre automobilistes provoquée par un freinage d'urgence.
Pour prévenir ces risques, un homme trafic a été positionné en amont afin de ralentir la circulation et d’avertir ses collègues de l’arrivée d’un camion ou d’un véhicule.</t>
  </si>
  <si>
    <t>2025.04.18_RAN92E_ROUTUROU_Proximité circulation</t>
  </si>
  <si>
    <t>Dans le cadre des marchés à bon de commande, nous sommes intervenus sur la D2144 suite à l'éboulement
d'une paroi rocheuse.
Le chantier consistait à dégager les matériaux situés en pied de paroi afin de placer des préfabriqués en L.
Pour réaliser le retrait des matériaux, notre conducteur à tout d'abord réalisé une rampe d'accès pour
atteindre la partie supérieure et permettre de sécuriser notre intervention en partie basse.
Pour limiter un second éboulement sur la route, le conducteur d'engin réalisait une fosse à cailloux afin de
faire ébouler les matériaux instables dans cette fosse et permettre de les récupérer pour conforter sa piste
d'accès.
Cependant, des parties instables étaient présentes sur la crête des parois, car celles-ci étaient simplement
maintenues par le système racinaire des arbres.
Le conducteur a essayé de travailler au maximum cabine côté vide car de nombreux matériaux frappés le
cockpit de la cabine.
Alors qu'il améliorait sa plate-forme de travail, le conducteur a écouté un bruit sourd. Se doutant qu'un bloc
rocheux s'est détaché, le conducteur a tout de suite voulu déplacer la pelle dans la rampe, mais il s'est
prendre dans l'éboulement en cours.
un gros bloc rocheux est venu s'éclater contre le système hydraulique et le réservoir de carburant, déplaçant
la pelle côté vide d'environ 80cm.
le conducteur d'engin à ressenti une forte secousse et un surélevement de la pelle, pouvant basculer dans le
vide.</t>
  </si>
  <si>
    <t>Marché département lot 9 et 10</t>
  </si>
  <si>
    <t>2025.04.28_PA_MARCHE DEPARTEMENT_CHASSAGNOL_Effondrement de matériaux sur une pelle</t>
  </si>
  <si>
    <t>CHASSAGNOL Florian</t>
  </si>
  <si>
    <t>Le crochet tournant est resté fixé via la manille sur la bielette de la pelle lors de la phase de remblai celui-ci c'est coincé lors de l'ouverture/fermeture du godet.</t>
  </si>
  <si>
    <t>2025.05.06_RAP26K_CHAFFRAIX_HUET_Torsion accessoire de levage</t>
  </si>
  <si>
    <t>CHAFFRAIX Loic 
HUET Sébastien</t>
  </si>
  <si>
    <t>en plantant une fiche d'implantation le câble HT à été touché.
risque d'électrocution évité en utilisant une fiche protégée.</t>
  </si>
  <si>
    <t>250512_RL_RAO28C_GUERIN - Fiche dans HTA.pdf</t>
  </si>
  <si>
    <t>en terrassant avec une pelle de 5t un ancien regard d'éclairage en béton, un câble haute tension à été touché. le pelleteur essayait de dégager le regard pour le sortir, afin de poser les bordures. le câble touchait le regard et était non fourreauté.</t>
  </si>
  <si>
    <t>250514_RL_RAO28C_GUERIN - Accrochage HTA minipelle.pdf</t>
  </si>
  <si>
    <t>Accrochage réseaux lors de l'implantation des bordures la veille. Le salarié a planté un piquet dans la HTA.</t>
  </si>
  <si>
    <t>250515_RL_RAO1IC_HEYRAUD DA ROCHA - N°4 HT.pdf</t>
  </si>
  <si>
    <t>HEYRAUD Baptiste
DA ROCHA Paulo</t>
  </si>
  <si>
    <t>Accrochage réseaux ENEDIS lors de l'implantation des bordures.
Le personnel du chantier n'a pas été en contact avec l'électricité. (idem remontée 1/4 d'h - 250515_RL_RAO1IC_HEYRAUD DA ROCHA - N°4 HT.pdf)</t>
  </si>
  <si>
    <t>250515_RL_RAO1IC_HEYRAUD - Implantation fiche sur HTA.pdf</t>
  </si>
  <si>
    <t xml:space="preserve">Les pinces à bordure sont trop lourdes pour les sortir du camion. Trouver une pince à bordures plus légère (vu chez PROBST) </t>
  </si>
  <si>
    <t>250519_RL_RAO1IC_HEYRAUD DA ROCHA DUCOTTET - N°SPE Réseaux et potences</t>
  </si>
  <si>
    <t>HEYRAUD Baptiste
DA ROCHA Paulo
DUCOTTET Chloé</t>
  </si>
  <si>
    <t xml:space="preserve">Réalisation d'un terrassement pour un piquage de grille avaloir. La fouille est trop profonde et les parois n'ont pas été assez évasées pour permettre un travail en sécurité. </t>
  </si>
  <si>
    <t>2025.05.19_RAN92E_DA SILVA_Fouille sans blindage</t>
  </si>
  <si>
    <t xml:space="preserve">Mise en place d'un géotextile pour protéger le béton désactivé (revêtement définitif). Une grille manquante sur l'extrémité du caniveau n'a pas été mise et a été recouverte par le géotextile. Un ouvrier a posé le pied là où il n'y avait de grille. </t>
  </si>
  <si>
    <t>250521_RL_RAN63C_RONZE - Géotextile sur caniveau sans grille</t>
  </si>
  <si>
    <t>RONZE Alexandre</t>
  </si>
  <si>
    <t>les réseaux de la totalité du chantier on était tracé par une entreprise avant notre arrivée.
après contrôle avant de commencer les travaux plusieurs erreurs sont constatées. ( regards non ouvert,
traçage ne correspondant pas aux DICT, incohérences avec les affleurants)
dans le carrefour beauséjour/perraud les réseaux tracés sont trouvés à plusieurs mètres du traçage.
à quoi servent les investigations complémentaires si les réseaux restent en classe b ou c?</t>
  </si>
  <si>
    <t>2025.05.22_RAP26K_CHAFFRAIX_Problème de traçage réseau</t>
  </si>
  <si>
    <t>CHAFFRAIX Loic</t>
  </si>
  <si>
    <t>Les cyclistes ne respectent pas le balisage</t>
  </si>
  <si>
    <t>250527_RL_RAP23C_FALCOU LOURENCO - N°5 EVEE</t>
  </si>
  <si>
    <t>LOURENCO
FALCOU</t>
  </si>
  <si>
    <t>Petit nid de guêpes à l'intérieur d'une bouche d'incendie.</t>
  </si>
  <si>
    <t>250527_RL_RAP23C_FALCOU LOURENCO - N°4 HT</t>
  </si>
  <si>
    <t>Pas de godet à lame sur la 15T Mécalac de chez locamuc, ils ne veuelent pas nous en fournir un car je cite "ça coute trop cher"</t>
  </si>
  <si>
    <t>RAP83A</t>
  </si>
  <si>
    <t>250930_AIN_RAP83A_SALVADORI - N°8 Réseaux</t>
  </si>
  <si>
    <t>SALVADORI Fabien</t>
  </si>
  <si>
    <t>Lors de la découpe de boulons anciens sur une conduite lors d'un raccordement avec une petite meuleuse 
électrique les lacets de chaussure ont fondu. ce n'est pas la première fois que ça arrive et même déjà les bas 
de pantalon</t>
  </si>
  <si>
    <t>2025.06.02_PA_RAP26K_CHAFFRAIX_Brûlures lacets</t>
  </si>
  <si>
    <t>Une équipe remet en œuvre des grilles avaloirs sur la chaussée actuellement en service pour éviter que celles-ci ne remontent dans les pares chocs. Cependant ils se trouvent dans la circulation sans balisage pour protéger leur intervention.</t>
  </si>
  <si>
    <t>2025,06,03_RAN92E_ROUTUROU_Travaux sur chaussée sans balisage</t>
  </si>
  <si>
    <t xml:space="preserve">ROUTUROU Baptiste </t>
  </si>
  <si>
    <t>2025.06.03_PA_ROUTUROU_Grilles avaloirs</t>
  </si>
  <si>
    <t>Un salarié a soulevé manuellement un tampon en fonte afin d’accéder au regard pour y réaliser une 
ouverture en partie basse, dans le but d’y insérer un conduit PVC de diamètre 200 mm. Lors de cette manipulation, il a fait glisser sa main droite le long du tampon pour améliorer sa prise. Cependant, une bavure métallique présente sur le tampon a traversé le gant de protection et provoqué une légère coupure au niveau de l’articulation de la première phalange du majeur de la main droite.</t>
  </si>
  <si>
    <t>2025.06.04_PA_RAN92E_DA CUNHA_DESCHAMPS_Coupure main droite</t>
  </si>
  <si>
    <t>un salarié voulant redresser le mat d'un panneau de signalisation, ce dernier était sans doute mal fixé au mat, il s'est décroché et tombé sur le pied du salarié. Sans blessures</t>
  </si>
  <si>
    <t>RAM17D</t>
  </si>
  <si>
    <t>250611_LHL_RAM17D_VALOT-N°5 journée SSE</t>
  </si>
  <si>
    <t xml:space="preserve">VALOT Baptiste </t>
  </si>
  <si>
    <t xml:space="preserve">Moto qui rentre sur le balisage </t>
  </si>
  <si>
    <t>250620_RL_RAO1IC_FESSAGUET MAUPOU N°5 journée SSE</t>
  </si>
  <si>
    <t>MAUPOU Ambre</t>
  </si>
  <si>
    <t xml:space="preserve">LHL </t>
  </si>
  <si>
    <t>les cuves ou sont associés l'ad-blue et le fioul ne sont pas adaptés,malgré le bon entretien l'ad blue endommage 
toute la cuve en cristallisant.
il faut des cuves spécifiques pour ad blue</t>
  </si>
  <si>
    <t>RAP17D</t>
  </si>
  <si>
    <t>250616_LHL_RAP14D_BERAUD COUTURIER N°6 écoconduite</t>
  </si>
  <si>
    <t xml:space="preserve">BERAUD  Maxence </t>
  </si>
  <si>
    <t>Plan de recollement pas à jour, réseaux pas au bon endroit</t>
  </si>
  <si>
    <t>250617_AIN_RAP20A_SALVADORI F. - N°6 Fortes chaleurs</t>
  </si>
  <si>
    <t>En tapant sur un Piquet, je me suis cogné la main avec la massette</t>
  </si>
  <si>
    <t>RAJ10C</t>
  </si>
  <si>
    <t>250623_RL_RAJ10C_GUERIN N° EPI obligatoire</t>
  </si>
  <si>
    <t>GUERIN Ludociv</t>
  </si>
  <si>
    <t>Lorsque les camions vident en 0/80, cela crée un important nuage de poussière. Je pense qu’il faudrait prévoir un arrosage ou autre lors du chargement.</t>
  </si>
  <si>
    <t>2025.06.30_RAN92E_PEREIRA_Poussières suite canicule</t>
  </si>
  <si>
    <t>PEREIRA Antoine</t>
  </si>
  <si>
    <t xml:space="preserve">Sur le chantier une seule personne a la clé de la base vie le problème c'est que cette personne arrive à 9h le lundi matin ce qui génère des problèmes lorsqude nous embauchons à 6h00. </t>
  </si>
  <si>
    <t>RAK52K</t>
  </si>
  <si>
    <t>2025.06.30_RAK52K_CHAFFRAIX_accès installation</t>
  </si>
  <si>
    <t>Suite aux fortes chaleurs de ces dernières semaines et au peu de précipitations, le chantier est devenu très sec, ce qui provoque beaucoup de poussière lors du passage des véhicules ou lors des travaux de réglage, de terrassement ou de chargement avec les machines.
Comme mentionné précédemment, cela génère une importante quantité de poussière, tant pour les collaborateurs travaillant au sol que pour les usagers circulant à proximité du chantier, que ce soit en voiture ou à pied. De plus, un terrain sec ne favorise pas un bon compactage.</t>
  </si>
  <si>
    <t>2025.07.01_RAN92E_ROUTUROU_Poussière suite à sécheresse</t>
  </si>
  <si>
    <t>Personnel à pied près de la tranchée</t>
  </si>
  <si>
    <t>RAO92C</t>
  </si>
  <si>
    <t>250704_RL_MONIN SANTOS CRUZ - N°7 Balisage</t>
  </si>
  <si>
    <t>MONIN Adrien
SANTOS CRUZ Carlos</t>
  </si>
  <si>
    <t>Beaucoup de piétons autour des engins</t>
  </si>
  <si>
    <t>RAP14D</t>
  </si>
  <si>
    <t>250707_LHL_RAP14D_COUTURIER - N°7 Balisage.pdf</t>
  </si>
  <si>
    <t>Brulure légère avec échappement de carotteuse</t>
  </si>
  <si>
    <t>RAO30D</t>
  </si>
  <si>
    <t>250711_LHL_RAPO30D_BERAUD - N°7 Balisage.pdf</t>
  </si>
  <si>
    <t>Piétons qui, malgrés les barrières, sautent par-dessus et se mettent dans le champ d'action de la pelle.</t>
  </si>
  <si>
    <t>250711_LHL_RAO30D_BERAUD - N°7 Recyclage.pdf</t>
  </si>
  <si>
    <t>lors de la re pose de balisage suite a un accident le week-end, au abord d’un rond point, un intérim a voulu changer le sens de la barrière parisienne alors que des véhicules arrivaient de chaque côté.
l’incident a été eviter de justesse, la barriere est passée a quelques centimètres du véhicule</t>
  </si>
  <si>
    <t>RAP55C</t>
  </si>
  <si>
    <t>250715_RL_RAP55C_PRAT - N°7 Balisage</t>
  </si>
  <si>
    <t>PRAT Claire</t>
  </si>
  <si>
    <t>La vis qui serre le marteau utilisé pour taper les bordures s'est cassée et les pièces sont parties de tous les côtés. Une pièce a touché un peu Pedro au niveau du bras, rien de grave.</t>
  </si>
  <si>
    <t>250716_RL_RAN63C_OLIVEIRA DA CUNHA - Maillet cassé</t>
  </si>
  <si>
    <t>OLIVEIRA DA CUNHA Sergio</t>
  </si>
  <si>
    <t xml:space="preserve">Pendant la nuit les trotinettes passent entre la raboteuse et le camion malgré le balisage mis en place. </t>
  </si>
  <si>
    <t>RAN67C</t>
  </si>
  <si>
    <t>250722_RL_RAN67C_FESSAGUET MAUPOU - N°PROX LAC</t>
  </si>
  <si>
    <t>une personne étrangère au chantier s'est introduit de manière inopinée sur une zone de travaux.Cette personne a circulé a pied entre les engins en activité et a même marché sur les enrobés chaud.Son comportement laissait fortement penser qu'elle n étais pas dans un état normal.Par mesure de sécurité le chantier a dû être interrompu pendant plusieurs minutes</t>
  </si>
  <si>
    <t>RAP52E</t>
  </si>
  <si>
    <t>2025,07,23_RAP52E_GUINOT_Intrusion piéton sur chantier</t>
  </si>
  <si>
    <t>GUINOT Nicolas</t>
  </si>
  <si>
    <t xml:space="preserve">Une personne étrangère au chantier s'est introduit de manière inopinée sur une zone de travaux. Cette personne a circulé a pied entre les engins en activité et a même marché sur les enrobés chaud. Son comportement laissait fortement penser qu'elle n était pas dans un état normal. Par mesure de sécurité le chantier a dû être interrompu pendant plusieurs minutes. </t>
  </si>
  <si>
    <t>2025.07.23_PA_RAP52E_Intrusion personnes alcoolisées</t>
  </si>
  <si>
    <t xml:space="preserve">Quartier à risques : Intrusions constantes sur le chantier et non-respect du balisage par les riverains. Un banc brulé sur le chantier. </t>
  </si>
  <si>
    <t>RAP56C</t>
  </si>
  <si>
    <t>250728_RL_RAP56C_DENEPOUX GRIMAND JEAN VICTOR - N°7 Balisage</t>
  </si>
  <si>
    <t>GRIMAND Adrien</t>
  </si>
  <si>
    <t xml:space="preserve">Tronçonneuse thermique écrasée par une machine car posée sur une zone de circulation (en limite) après utilisation. 2 Réparations reçues = 300€. </t>
  </si>
  <si>
    <t>RAM10C</t>
  </si>
  <si>
    <t>250801_RL_RAM1DC_HEYRAUD DA ROCHA - N°7 Balisage.pdf</t>
  </si>
  <si>
    <t xml:space="preserve">En enlevant un godet de déblai à la benne preneuse, une bordure est tombée en hauteur ce qui a endommagé les bordures posées. </t>
  </si>
  <si>
    <t>250730_RL_RAO13C_GUERIN - N°7 Balisage</t>
  </si>
  <si>
    <t>Dans le cadre de travaux de raccordement d’eaux pluviales, un aide-maçon et un conducteur d’engin intervenaient pour relier un regard préalablement installé (il y a 5 mois) à un bac SODECO. À la sortie de ce regard se trouvait un tuyau en PVC de diamètre 315 mm, obturé par un bouchon mâle en PVC. Ce bouchon était maintenu étanche par un joint FORSHEDA intégré dans l’élément en béton. Lors de la préparation du raccordement, l’aide-maçon a tenté de retirer le bouchon obturateur pour permettre la pose du tuyau. Malgré plusieurs tentatives (à la main, de l’intérieur, puis à l’aide d’un pied-de-biche), il n’a pas réussi à le dégager. Il a alors positionné le pied-de-biche sur l’arête du bouchon et a demandé au conducteur d’engin d’approcher le godet de la pelle mécanique afin d’exercer un effet de levier. Cependant, lors de la manœuvre, le conducteur s’est trompé dans la manipulation : au lieu d’avancer le godet, il a effectué une rotation de la tourelle.
Le godet a alors heurté l’épaule droite de l’aide-maçon.</t>
  </si>
  <si>
    <t>2025.07.31_PA_RAN92E_Coup de godet</t>
  </si>
  <si>
    <t>CANA EST</t>
  </si>
  <si>
    <t xml:space="preserve">Le chauffeur d'aspiratrice roule très régulièrement en surcharge car il doit vider l'aspiratrice à la carrière alors qu'il ne peut pas rouler charger sur la route. </t>
  </si>
  <si>
    <t>250801_EHTP_DIVERS_CHAUFFEURS - N°SPE Surcharge</t>
  </si>
  <si>
    <t xml:space="preserve">Lors des opérations de rabotage, les raboteuses remplissent trop la benne du camion. </t>
  </si>
  <si>
    <t>250801_RL_DIVERS_CHAUFFEURS - N°SPE Surcharge</t>
  </si>
  <si>
    <t>BICER Veli</t>
  </si>
  <si>
    <t>Le chauffeur ravitailleur n'a pas de dérogation pour rouler dans certaines zones interdites aux matérières dangereuses</t>
  </si>
  <si>
    <t>GAROU Amar</t>
  </si>
  <si>
    <t xml:space="preserve">Un chantier de l'Ain a demandé une intervention au chauffeur d'aspiratrice sur une route passante sans mettre en place de balisage. Le chauffeur a refuser d'intervenir. </t>
  </si>
  <si>
    <t>250801_EHTP_DIVERS_CHAUFFEURS - N°9 Camions bennes</t>
  </si>
  <si>
    <t>Un camion a roulé sur l'angle d'une bordure. Celle-ci s'est cassée et du béton sec a été projeté. Heureusement, personne n'était à côté au moment de l'évènement.</t>
  </si>
  <si>
    <t>250804_RL_RAN63C_BERTHELON PERILLAT - N°6 Eco conduite</t>
  </si>
  <si>
    <t>BERTHELON Jordan</t>
  </si>
  <si>
    <t>Depuis le début du chantier les DICT sont obsolètes voir inexistantes pour certains réseaux.
De plus il n'y a ni sable ni grillage ce qui complique fortement leurs découvertes.</t>
  </si>
  <si>
    <t>2025.08.05_SD_RAP26K_DICT Obsolètes</t>
  </si>
  <si>
    <t>Lors de notre arrivée sur notre poste de travail, nous avons remarqué qu'un camion avait perdu du caillou sur la route. Nous avons du balayer la route pendant 20min.
Nous avons nettoyé à mi chaussée avec une personne qui faisait la circulation.</t>
  </si>
  <si>
    <t>250806_RL_RAN63C_CAILLE - Balayge route</t>
  </si>
  <si>
    <t>CAILLE Thierry</t>
  </si>
  <si>
    <t>Les poids lourds passent dans une rue interdite aux 3.5T car elle est trop étroite alors que les panneaux sont posés. Les barrières se font enfoncer et écraser.</t>
  </si>
  <si>
    <t>250807_RL_RAN63C_MENDES AUGUSTO DEFRANCE DUCOTTET - N°8 Réseaux.pdf</t>
  </si>
  <si>
    <t>MENDES Eduardo
AUGUSTO Francisco
DEFRANCE Damien</t>
  </si>
  <si>
    <t xml:space="preserve">Frein à main endommagé DUMPER.
Il reculait malgré le levier enclenché du coup il a été toute suite était pris en charge par le loueur. </t>
  </si>
  <si>
    <t>2025-08-08_RAN29E_BOUILLET_Kévin</t>
  </si>
  <si>
    <t>je pense que les conducteurs de travaux devait avoir plus de disponibilités pour renforcer la prévention de sécurité avec nous, pas simplement déposer les fiches d'information. une bonne communication (des deux parties)15m de sécurité ça peut faire toute la différence</t>
  </si>
  <si>
    <t>RAP16C</t>
  </si>
  <si>
    <t>250808_RL_RAP16C_DE JESUS DIAS A. - N°8 Eaux</t>
  </si>
  <si>
    <t>DE JESUS DIAS Alfredo</t>
  </si>
  <si>
    <t xml:space="preserve">Manque de balisage autour des regards/ouvrages réalisés sur le chantier. </t>
  </si>
  <si>
    <t>RAN45C</t>
  </si>
  <si>
    <t>250812_RL_RAN45C_HEYERAUD HOUMEUR - N°8 Eau</t>
  </si>
  <si>
    <t>HEYRAUD Baptiste
HOUMEUR Rayan</t>
  </si>
  <si>
    <t>Un automobilistes s’est trompé de voie au niveau du carrefour du kerrys en s’engageant sur celle menant à l’A75 en direction de Paris. Arrivé à la bretelle, il a immobilisé son véhicule entre les balises K5C. Il a ensuite déplacé les baliroads ainsi que les barrières Héras afin d’accéder à la voie parallèle. Cependant, en pénétrant dans la zone de balisage avec sa voiture, il n’a pas remarqué la fouille de 40 cm de profondeur et est tombé dedans.</t>
  </si>
  <si>
    <t>2025.08.16_PA_RAN92E_Intrusion sur chantier</t>
  </si>
  <si>
    <t xml:space="preserve">EHTP travaille dans une rue étroite bordée de végétation. Lors de la phase de terrassement, le pelle 8t se retrouve très proche de la végétation qui a fortement chauffée au contact du pot d'échappement. Heureusement qu'il pleut depuis plusieurs jours, limitant le risque de départ d'incendie. </t>
  </si>
  <si>
    <t>2025.08.21_SD_RAP26K_CHAFFRAIX_Risque d'incendie de végétation</t>
  </si>
  <si>
    <t>CHAFFRAIX Loïc</t>
  </si>
  <si>
    <t>Malgré l'animation de plusieurs quart heure sur la silice ou sur les découpeuses thermiques, lors d'une mesure avec bureau veritas sur la découpe de bordure, les deux tronçonneuses sont défectueuses. L'une qui a un gicleur défaillant et l'autre qui a deux gicleurs bouchés, un problème sur le raccord d'eau et également un carter où il manque des écrous.</t>
  </si>
  <si>
    <t>2025.08.21_SD_RAN92E_CHASSAGNOL_Découpeuse non conforme</t>
  </si>
  <si>
    <t>lors de travaux de nuit sur une voie de tram des véhicules passent sur la voie à forte vitesse alors que nous travaillons dessus et qu'il n'ont pas le droit de passer.
balisage présent mais forcé par certains conducteurs</t>
  </si>
  <si>
    <t>RAP65D</t>
  </si>
  <si>
    <t>250821_RL_RAP65D_BERAUD - N°8 Réseaux</t>
  </si>
  <si>
    <t>BERAUD Maxence</t>
  </si>
  <si>
    <t>Pour le terrassement de la Méridienne La Roche Blanche débutant le 01/09/2025, il a été décidé (par qui ?) de livrer le pelle GUINTOLI D292 le vendredi matin, alors qu’aucun personnel interne est présent. Seule l’entreprise DELAVET est sur place. Le transfert est confié à l’entreprise CHAMBON. 
Vers 10 heures, le porte-char se présente sur la Méridienne et amorce son virage. Avec la présence d’un cordon de terre lui compliquant le passage, il tente malgré tout de prendre le plus large possible avec le tracteur, mais la semi équipée de roues suiveuses tourne plus court et vient se bloquer dans le fossé. Avec le poids de l’ensemble et le terrain non meuble (fortes pluies les jours précédents), la semi glisse dans le fossé et se stoppe à une quarantaine de centimètres de la canalisation en pression. 
CHAMBON vient avec une pelle à pneu, 1 chef de chantier et 2 conducteurs d’engins GUINTOLI viennent pour dépanner le porte-char. Le dépannage est réalisé à l’aide de la pelle CHAMBON tirant et de notre pelle, fortement arrimée sur la semi, poussant sur le talus opposé. Aucun dégât n’est à constater.</t>
  </si>
  <si>
    <t>RAO41E</t>
  </si>
  <si>
    <t>2025.08.28_PA_RAO41E_Basculement porte-char Chambon</t>
  </si>
  <si>
    <t xml:space="preserve">LOUBEYRE Anne Sarah
BERLIAT Milan </t>
  </si>
  <si>
    <t>Levage d'une tole pas à l'aplomb de l'attache, la tôle s'est mise à balancer</t>
  </si>
  <si>
    <t>RAL15J</t>
  </si>
  <si>
    <t>250904_EHTP_RAL15J_GREDZIAK GASTON - N°8 Eau</t>
  </si>
  <si>
    <t>GREDZIAK Marc
GASTON J-B.</t>
  </si>
  <si>
    <t>Vendredi 5 septembre, à 15h45, notre chauffeur de 8x4, Julien COURTOIS, procède au déchargement de matériaux de type béton non ferraillé sur la plateforme
REVAMA. Il entame alors une manœuvre en marche arrière.
Sur le même tas, notre chauffeur David TERRADE, est en train de pousser au chargeur les matériaux afin de redresser les stocks en effectuant des va-et-vient.
Lors de sa marche arrière, le chauffeur du 8x4 recule sur la gauche de la chargeuse, dans son angle mort. Apercevant la chargeuse s’approcher de son véhicule, il s’arrête immédiatement et klaxonne pour signaler sa présence. En vain, la chargeuse ne s’arrête pas et vient heurter l’arrière gauche du 8x4.
Dommages : pneu et le garde boue, benne hors d’usage, circuit d’air des
suspensions arraché …
Aucun témoin visuel direct de l’accident.</t>
  </si>
  <si>
    <t xml:space="preserve">PLATEFORME REVAMA </t>
  </si>
  <si>
    <t>2025.09.05_PA_REVAMA_Accident 8x4-Chargeuse</t>
  </si>
  <si>
    <t>BERLIAT Milan
MARQUIER Francis</t>
  </si>
  <si>
    <t>Lors de la réalisation d'un micro-rabotage sur le tronçon 08A (planche 801), le long des caniveaux CS2 en vue de la réalisation des tapis BBME, la circulation a dû être déviée pendant 30 minutes.
Nous avons pris l'initiative de placer un homme trafic dans le carrefour de l'Hermitage, afin de renvoyer les VL sur le parking de la zone commerciale "Grand Frais / Marie Blachère", plutôt que de les dévier par la rue de l'Hermitage puis l'avenue Léonard de Vinci afin de regagner le giratoire de la Pardieu. Les PL étaient bien renvoyées sur cet itinéraire, mais pas les VL pour leur éviter un détour.
Nous n'avions pas d'autorisation pour faire dévier les VL par un parking privé.</t>
  </si>
  <si>
    <t xml:space="preserve">RAN92E </t>
  </si>
  <si>
    <t>2025.09.10_SD_RAN92E_MEDEBENE_Déviation non autorisé</t>
  </si>
  <si>
    <t xml:space="preserve">MADEBENE Hugo </t>
  </si>
  <si>
    <t xml:space="preserve">Une voiture a forcé le passage pour passer par le chantier. Le chauffeur de Mecalac ne l'a pas vu car elle était dans son angle mort et a reculé. Un salarié lui a fait signe de s'arrêter, l'accident a été évité. </t>
  </si>
  <si>
    <t>250918_LHL_RAP14D_COUTURIER - N°6 ECO CONDUITE</t>
  </si>
  <si>
    <t xml:space="preserve">Intrusion piéton récurentes dans le balisage car non respect des cheminement prévus. </t>
  </si>
  <si>
    <t>250918_RL_RAO1IC_HEYRAUD DA ROCHA - N°10 STOP AND GO</t>
  </si>
  <si>
    <t xml:space="preserve">Rappel au chauffeur de mécalac en location de s'assurer qu'il n'y a pas de véhicule/personnel dans son angle morts lors de la rotation pour le chargement d'un camion. </t>
  </si>
  <si>
    <t>Accrochage d'un réseau ENEDIS pendant le terrassement d'une tranchée.
Pas de dégâts sur le personnel présent sur place.
Éraflures d'un câble torsadé.
DICT tracées.
Le présence du réseau avait été signalée par le chef d'équipe aux travailleurs de la zone.
Le câble supérieur a été dégagé à la main dans un premier temps.
En retirant le matériau foisonné avec la mini pelle, afin de continuer le terrassement manuel, le chauffeur a touché la seconde torsade.
Le concessionnaire a été prévenu, une équipe est sur place afin d'effectuer la remise en état du câble.</t>
  </si>
  <si>
    <t>RAL1EC</t>
  </si>
  <si>
    <t>250919_RL_VL7_HEYRAUD - Accrochage réseau</t>
  </si>
  <si>
    <t>Yoann Dejoux était sur une pelle 325 cat avec un équipement (BRH). 
En voulant casser des enrochements avec le BRH, une projection de roche et venue casser le petit carreau du bas et, est venue taper le genou du chauffeur.</t>
  </si>
  <si>
    <t xml:space="preserve">RAP71E </t>
  </si>
  <si>
    <t>2025.09.19_PA_RAP84E_ROLLET_Projection cailloux pare brise</t>
  </si>
  <si>
    <t>Lors d'une manœuvre en poids lourd au milieu d'un carrefour, le chauffeur ne voyait l'homme trafic qui le guidait pour la manœuvre dû au soleil dans les rétroviseurs et caméra de recul..
=&gt; rétroviseurs sales, mauvais paramétrage caméra de recul..</t>
  </si>
  <si>
    <t>RAP80E</t>
  </si>
  <si>
    <t>2025-09-17_RAP80E_DUFOUR_Thomas</t>
  </si>
  <si>
    <t xml:space="preserve">Forte circulation à proximité du chantier. Non respect du balisage par les piétons et les cyclistes. </t>
  </si>
  <si>
    <t>250922_RL_RAO89C_HEYRAUD CUILLERAT - N°10 STOP AND GO</t>
  </si>
  <si>
    <t>HEYRAUD Baptiste
CUILLERAT Jordan</t>
  </si>
  <si>
    <t xml:space="preserve">Certains chauffeurs ne peuvent pas fermer les portes arrières du camion mécaniquement car le verrou de fixation ne s'enclenche pas. Ils doivent descendre et fermer manuellement la porte. Risques TMS et écrasement doigts. </t>
  </si>
  <si>
    <t>250930_RL_RAALYR_DUCOTTET BOURRUST - N°11 Risques routiers</t>
  </si>
  <si>
    <t>DUCOTTET Chloé
BOURRUST Titouan</t>
  </si>
  <si>
    <t xml:space="preserve">Les trappes charbonnières des camions de N. SOUALMIA  et PELLET ne sont pas soudées : OK car portes pleines </t>
  </si>
  <si>
    <t xml:space="preserve">Risques/suspissions de consommation drogues / alcool sur le T6 côté Genas / hopitaux : tests faits, ok. </t>
  </si>
  <si>
    <t xml:space="preserve">Certains chauffeurs ne sont pas au courant que les LACS du T6 sont en service : remoté aux encadrants du tram, rappels faits. </t>
  </si>
  <si>
    <t xml:space="preserve">Les intérimaires sur le T6 ne portent pas tous les EPI. </t>
  </si>
  <si>
    <t xml:space="preserve">Les distances avec les camions,, et surtout la benne preneuse ne sont pas respectées malgré les nombreux rappels. </t>
  </si>
  <si>
    <t xml:space="preserve">Personne pour guider les camions, ou personne non expérimentée qui ne guide pas correctement. </t>
  </si>
  <si>
    <t xml:space="preserve">Certains chauffeurs n'ont pas de pompe à graisse pour entretenir leur grue. </t>
  </si>
  <si>
    <t>Lors de l'enfouissement des réseaux secs sur une traversée nous avons trouver une buse au début de la traversé qui était abandonnée et vide. Plus loin dans la traversée cette dernière à été accroché par la pelle mais à cette endroit précis un câble de BT non répertorié sur les DICT passer dans la buse. Des flammes sont alors survenus car le câble était sous tension. Aucun dommage corporel ou matériel non été constaté.</t>
  </si>
  <si>
    <t>2025.10.08_PA_RAP52E_Accrochage câbles BT</t>
  </si>
  <si>
    <t xml:space="preserve">Roulotte G566 : l'électricité ne fonctionne pas donc pas de frigo, de micro onde. La gazinière ne fonctionne pas non plus. </t>
  </si>
  <si>
    <t>RAP53C</t>
  </si>
  <si>
    <t>251013_RL_RAP53C_MONIN KARAKAYA - N°12 Silice</t>
  </si>
  <si>
    <t>MONIN Adrien
KARAKAYA Eray</t>
  </si>
  <si>
    <t xml:space="preserve">Avec pelle 2 TS, en arrachant des haies, une branche a cassée la vitre de la pelle. La pelle a roulé dessus, la branche s'est relevée et tapée la fenêtre. 
</t>
  </si>
  <si>
    <t>251013_RL_RAP53C_MONIN KARAKAYA - N°13 KIZEO</t>
  </si>
  <si>
    <t xml:space="preserve">Un camion a roulé sur une K5C et a renversé des barrières. Le plot a volé à plusieurs mètres plus loin. </t>
  </si>
  <si>
    <t>251014_RL_RAN63C_BERTHELON - N°12 Silice</t>
  </si>
  <si>
    <t xml:space="preserve">Gestion du portail d'accès chronophage car il doit être cesse fermé. Gestion camion qui n'attend pas forcément l'homme trafic avant de commencer sa manœuvre </t>
  </si>
  <si>
    <t>RAO93C</t>
  </si>
  <si>
    <t xml:space="preserve">251014_RL_RAO93C_MONIN DE JESUS DIAS A. - N°12 Silice </t>
  </si>
  <si>
    <t>MONIN Adrien
DE JESUS DIAS Alfredo</t>
  </si>
  <si>
    <t>Difficultés à maintenir le marquage piquetage sur le chantier car le support s'efface rapidement</t>
  </si>
  <si>
    <t>251016_LHL_RAP65D_BERAUD - N°11 Risques routiers</t>
  </si>
  <si>
    <t>Lors du terrassement pour l’élargissement d’une voie, l’équipe a découvert une cuve avec du fuel (environ 100L) abandonné. 
Par ailleurs, en dégageant celle-ci, ils ont également découvert des tuyaux avec une suspicion d’amiante. 
ils ont informé une le conducteur de travaux et arrêté la progression sur cette zone en attendant les consignes.</t>
  </si>
  <si>
    <t>RAM07E</t>
  </si>
  <si>
    <t>2025.10.17_SD_DIAS_Découverte cuve abandonnée et tuyaux amiantés</t>
  </si>
  <si>
    <t>Nous avons démarré nos travaux sur la dernière zone du chantier.
Lors de la démolition du terre plein central, des véhicules sont entrés dans le chantier balisé via des K5C et se servent d'une voie de circulation neutralisée pour doubler</t>
  </si>
  <si>
    <t>21017_RL_RAO89C_HEYRAUD - Intrusion dans le balisage</t>
  </si>
  <si>
    <t xml:space="preserve">Lors d’une manoeuvre sur la route avec la chargeuse, du matériaux 0/31,5 est tombé au milieu de la chaussée ce qui aurait plus créer un accident de la circulation.
La faute est que l’lnterimaire a trop rempli le godet sans le secouer avant de prendre la circulation. </t>
  </si>
  <si>
    <t>2025-10-17_RAN29E_BOUILLET_Kévin</t>
  </si>
  <si>
    <t>Présence d'une conduite de gaz MPB PE 125 à 15 cm sous l'enrobé sur le chantier RAP14D AVEIZIEUX
Terrassement de bordures à - 35 cm
Réseau présent sur la DICT et repéré sur le terrain mais profondeur inexacte</t>
  </si>
  <si>
    <t>251021_LHL_RAM16D_COUTURIER - N°12 Silice</t>
  </si>
  <si>
    <t>Un cycliste s'est fait dévier sa trajectoire par les rails du tram et qui a fini sa course dans un petit engin (sambron) de chantier en circulation</t>
  </si>
  <si>
    <t xml:space="preserve">251024_RL_RAN63C_RONZE DE OLIVEIRA GONCALVES ZAIR - N°12 Silice </t>
  </si>
  <si>
    <t>RONZE Alexandre
DE OLIVEIRA GONCALVES Jorge
ZAIR Nordine</t>
  </si>
  <si>
    <t xml:space="preserve">L'équipe de chantier devait réaliser un regard 40x40 sur un regard SL existant. Le marquage piquetage a été réalisé par un prestataire extérieur avec des investigations complémentaires. Ayant de nombreux réseaux, une aspiratrice est utilisée. En réalisant un trou, l'équipe est tombé sur une canalisation de gaz non tracée. Le grillage avertisseur était présent mais 30 cm à côté. </t>
  </si>
  <si>
    <t>RAP84E</t>
  </si>
  <si>
    <t>2025.10.27_SD_RAP84E_DA CUNHA_Conduite de gaz non tracée</t>
  </si>
  <si>
    <t xml:space="preserve">DA CUNHA Yoann </t>
  </si>
  <si>
    <t>Non présence d'eau en découpant à la scie à sol par un intérimaire.
Arret immédiat de l'atelier pour lui expliquer le fonctionnement.</t>
  </si>
  <si>
    <t>RAN90J</t>
  </si>
  <si>
    <t>251031_EHTP_RAN90J_LHOMME - N°12 Silice</t>
  </si>
  <si>
    <t>LHOMME Jonathan</t>
  </si>
  <si>
    <t>Un collaborateur était en train de faire des finitions dans un regard lorsque la pelle de l'entreprise Maia Sonnier à heurté le regard.
Pas d'accident.
L'info à été remontée et discutée avec le chef de chantier de chez Maia.</t>
  </si>
  <si>
    <t>RAP25C</t>
  </si>
  <si>
    <t>251028_RL_RAP25C_JEAN VICTOR - Heurt réhausses coactivité</t>
  </si>
  <si>
    <t>JEAN-VICTOR Emma</t>
  </si>
  <si>
    <t>Manque de séparation des zones en coactivité
Absence de surveillance par un salarié NGE
Manque de préparation des tâches de la journée</t>
  </si>
  <si>
    <t xml:space="preserve">Les vélos empruntent la voie balisée prévue pour les piétons. </t>
  </si>
  <si>
    <t>251022_RL_RAL1EC_JARRET - N°13 KIZEO</t>
  </si>
  <si>
    <t xml:space="preserve">JARRET Mickael </t>
  </si>
  <si>
    <t xml:space="preserve">Un véhicule a emprunté la route barrée en contournant le balisage par une entrée d'immeuble. Le heurt avec la mécalac en marche arrière a été évité de justesse grâce à la vigilence du personnel à pieds. </t>
  </si>
  <si>
    <t>251029_LHL_RAM16D_COUTURIER - N°11 Risques routiers</t>
  </si>
  <si>
    <t xml:space="preserve">Duarant la tempête Benjamin du mercredi 22/10, un poteau télécom est tombé sur la chaussée pendant la nuit. Ce dernier était en très mauvais état (bois pourri). Il a été signalé au concessionnaire au débus des travaux mais ce dernier a assuré à l'équipe de chantier qu'il pourrait tenir la durée des travaux et qu'il le changerait après. Lors de la tempête le poteau est tombé la nuit mais aurait très bien pu tomber en pleine journée sur un collaborateur ou un riverain. </t>
  </si>
  <si>
    <t>2025-10-30_RAP52E_RIBEIRO_Alexandre</t>
  </si>
  <si>
    <t>Les identifications de vérifications sont situéées au mauvais endroit et ne tiennent pas avec le frottemeent des métaux (pince à bordure, chaîne, manille…)</t>
  </si>
  <si>
    <t>251113_RL_RAL1EC_JARRET - N°13 Levage</t>
  </si>
  <si>
    <t>démolition d'une ossature métallique et d'un mur en agglos.
lors de la démolition, nous enlevons les agglos manuellement jusqu'à une hauteur de 2,00ml et le reste à la mini pelle.  les derniers 80 cm de hauteur quand on on a voulu enlever,  le poteau fer est tombé.
il est passé entre le bras de la pelle et la cabine. la vitre du bas a cassé et le fer a appuyé sur les manettes de direction ce qui a fait reculé la minipelle.  Le conducteur s'est trouvé coincé et a eu le réflexe d'orienter l'engin vers la gauche pour éviter le poteau.</t>
  </si>
  <si>
    <t>RAP27H</t>
  </si>
  <si>
    <t>BERTHET Vincent</t>
  </si>
  <si>
    <t>Modification du phasage pour tenir compte des dispositions constructives qui n'étaient pas visible avant l'événement
Analyse comme un accident
Présentation au personnel du nouveau mode opératoire</t>
  </si>
  <si>
    <t xml:space="preserve">L'entreprise qui travaille à côté en coactivité ouvre les barrières et ne les referme pas. </t>
  </si>
  <si>
    <t>RAL2HC</t>
  </si>
  <si>
    <t xml:space="preserve">251113_RL_RAL2HC_DE ARAUJO - N°13 Levage </t>
  </si>
  <si>
    <t>DE ARAUJO Paulo</t>
  </si>
  <si>
    <t xml:space="preserve">Un salarié s'est fait percuter par un cycliste sur la piste cyclable en travaux balisée. Ce dernier n'avait rien à faire là. Heureusement pas de blessé, mais il est difficile de faire respecter le balisage aux cyclistes. </t>
  </si>
  <si>
    <t>251114_RL_RAO28C_CHUPIN - N°13 Levage</t>
  </si>
  <si>
    <t>Un salarié a faillit chuter en sortant de la base vie car la marche était trop haute et le sol mal nivelé</t>
  </si>
  <si>
    <t>RAP99A</t>
  </si>
  <si>
    <t>251118_AIN_RAP99A_SATRE - N°13 Elingage</t>
  </si>
  <si>
    <t>SATRE Stéphane</t>
  </si>
  <si>
    <t>Nivellement  et réhaussement du sol avec materiaux stable</t>
  </si>
  <si>
    <t>Ll'éclairage public s'est éteint a minuit mettant le chantier dans le noir et obligeant la mise en place d'eclairage
complémentaire</t>
  </si>
  <si>
    <t>2025.11.04_SD_RAP84E_POUPEAU_Eclairage public eteint</t>
  </si>
  <si>
    <t>POUPEAU Joël</t>
  </si>
  <si>
    <t>Lors d’une livraison de béton en 8*4 pour faire des mises a niveau,
le camion est arrivé avec la benne non verrouillé,
ce qui aurait plus engendrer la perte de matériaux sur la voie public si le matériau aurait été du sable</t>
  </si>
  <si>
    <t>2025.11.27_PA_RAN29E_BOUILLET_Benne non verrouillée</t>
  </si>
  <si>
    <t xml:space="preserve">NGE ROUTE </t>
  </si>
  <si>
    <t>un ouvrier qui descendait dans un blindage a glisser en posant le pied sur un verain souillé de graisse , il a
heureusement pu se retenir au second verain sans aucune consequence.
Une echelle a ete mis en place a l'interieur du blindage et il a pu remonter en toute securite. (Torsion cheville ronquette 2J chez lui)</t>
  </si>
  <si>
    <t>251124_EHTP_RAP50J_DOS PRAZERES MACIAS CUILLERAT - N°13 Elingage</t>
  </si>
  <si>
    <t>DOS PRAZERES José</t>
  </si>
  <si>
    <t xml:space="preserve">Refus de la métropôle d'un alternat rue Gabriel Péri. Le circulation se fait a double sens sur la rue principale donc risque d'accident. Peu de place pour travailler pour la stock et la circulation de la pelle. </t>
  </si>
  <si>
    <t>RAP67C</t>
  </si>
  <si>
    <t>251107_RL_RAP67C_GRANDEMANGE PRAT DA ROCHA DUCOTTET - N°13 Elingage</t>
  </si>
  <si>
    <t>GRANDEMANGE Lionel
PRAT Claire
DA ROCHA Paulo
DUCOTTET Chloé</t>
  </si>
  <si>
    <t xml:space="preserve">Pour déplacer une plaque vibrante type PQ4, nous utilisons une chaîne dont nous avons raccourcit un brin avec le crochet raccourcisseur. Lors du levage, la plaque a décollé d'une vinggtaine de cm avant de tomber brusquement. Le maillon qui était dans le crochet raccourcisseur était presque sorti du crochet et a fini par sortir lors du levage. </t>
  </si>
  <si>
    <t>RAP61D</t>
  </si>
  <si>
    <t>251113_LHL_RAP61D_VALOT - N°10 STOP AND GO</t>
  </si>
  <si>
    <t>Disque mal serré sur la meuleuse qui se desserre lors de l'allumage</t>
  </si>
  <si>
    <t>251117_LHL_RAP65D_BERAUD - N°12 Silice</t>
  </si>
  <si>
    <t xml:space="preserve">Non respect du balisage par les riverains. Malgré le fait que les barrières soient fixées au sol et ligaturées, les riverains déplacent les barrières ou passent par-dessus. </t>
  </si>
  <si>
    <t>251118_RL_RAP56C_JEAN VICTOR GRIMAND - N°13 KIZEO</t>
  </si>
  <si>
    <t>GRIMAND Adrien
JEAN VICTOR Emma</t>
  </si>
  <si>
    <t>Sur le chantier de Dargoire, un mur en pierre maçonné de trois mètres de haut présentait une fissure importante et menaçait de s'effondrer. L'objectif du chantier était de remblayer une tranchée déjà ouverte à proximité de ce mur, à moins de 1m.
Il a été décidé entre le chef de chantier et le conducteur de travaux : personne à pied dans un périmètre de 4 mètres. Pour cela, travail uniquement à la pelle 8T et compactage à l'aide d'engins radio commandés.</t>
  </si>
  <si>
    <t>251118_LHL_RAM16D_CUSSET DE SAINT JEAN - N°10 STOP AND GO</t>
  </si>
  <si>
    <t>CUSSET Clément
DE SAINT JEAN Arnaud</t>
  </si>
  <si>
    <t>il ne faut pas que le feu tricolore piétonnier soit supérieur à 2 m du marquage piétonnier surtout sur un chantier
mobile suite à du marquage provisoire</t>
  </si>
  <si>
    <t>251119_RL_RAP67C_GRANDEMANGE PRAT DA ROCHA - N°14 Cardio</t>
  </si>
  <si>
    <t>GRANDEMANGE Lionel
PRAT Claire
DA ROCHA Paulo</t>
  </si>
  <si>
    <t>On devait couler une grille avaloir. Les côtes sur le terrain étaient déportées afin de réaliser la grille. L'alignement de la
grille pour le coffrage tombait au niveau d'un passage (cheminement pietons). L'alignement avec la ficelle pour
le positionnement du coffrage était en place. Un insertion manœuvre était chargé de vérifier la présence des
piétons le temps de positionner le coffrage et de détendre la ficelle lors d'approched'un piéton. Au bout d'un moment. un pieton s'entrave dans la ficelle. Le manœuvre insertion n'a pas vu le pieton. Heureusement elle n'est pas tombée. elle a rien eu et ne s'est pas fait mal. Les consignes de sécurité ont été redonner à l insertion par la suite.</t>
  </si>
  <si>
    <t>251124_RL_RAN63C_BERTHELON - N°13 Levage</t>
  </si>
  <si>
    <t xml:space="preserve">Accrochage PE avec godet à dents
</t>
  </si>
  <si>
    <t>251126_RL_RAO93C_DE JESUS DIAS A. - N°13 Levage</t>
  </si>
  <si>
    <t>Remplir le cylindre sous -4 dégrés : sol gelé, glissade ) côté du cylindre</t>
  </si>
  <si>
    <t xml:space="preserve">251120_RL_ENROB_MAUPOU - N°13 Levage </t>
  </si>
  <si>
    <t xml:space="preserve">Malgré le balisage présent, le premier danger vient des automobilistes impatients à cause des travaux qui roulent à vitesse excessive à proximité de la zone de chantier. </t>
  </si>
  <si>
    <t>251204_RL_RAO28C_CHUPIN - N°14 EPI C3</t>
  </si>
  <si>
    <t xml:space="preserve">Chantier de nuit en route barrée. Plusieurs véhicules ont forcés le balisage et se sont retrouvés à contre-sens des véhiocules qui sortaient du chantier. Pas de dégat, demande de demi-tour et renforcement du balisage. </t>
  </si>
  <si>
    <t>251204_RL_RAO89C_HEYRAUD BACOT JACQUOT - N°14 EPI C3</t>
  </si>
  <si>
    <t>HEYRAUD Baptiste 
BACOT Vincent
JACQUOT Xavier</t>
  </si>
  <si>
    <t xml:space="preserve">Ce matin, à notre arrivée sur chantier, nous avons constaté que le balisage avait été replié sur le côté. La zone n'était plus balisée. </t>
  </si>
  <si>
    <t>251205_RL_RAO28C_DE JESUS DIAS A. - N°14 EPI C3</t>
  </si>
  <si>
    <t>Beaucoup de cyclistes et piétons ne respectent pas le balisage / signalisation. Manque de personnel pour faire la circulation</t>
  </si>
  <si>
    <t>251127_RL_RAO92C_DUCOTTET DENEPOUX - N°SPE AUDIT</t>
  </si>
  <si>
    <t>DUCOTTET Chloé
DENEPOUX Romain</t>
  </si>
  <si>
    <t xml:space="preserve">Chantier en coactivité avec l'entreprise Cholton : aucune balisage n'a été mis en place autour de leur trou laissé en attente depuis au moins 2 semaines. </t>
  </si>
  <si>
    <t>251125_LHL_RAP02D_CHAPON - Balisage en coactivité</t>
  </si>
  <si>
    <t>CHAPON Julien</t>
  </si>
  <si>
    <t xml:space="preserve">chauffeur mecalac aigri , râle à chaque fois qu'il reçois une tâche à accomplir, aucun chef d'équipe ne veux travailler avec cette personne. Il est dangereux. </t>
  </si>
  <si>
    <t>251209_RL_RAN63C_RONZE - Chauffeur dangereux</t>
  </si>
  <si>
    <t>PLAN D'ACTION QSE 2025</t>
  </si>
  <si>
    <t xml:space="preserve">Types de risques afin de statuer sur l'efficacité des actions lors du bilan </t>
  </si>
  <si>
    <t xml:space="preserve">Origine </t>
  </si>
  <si>
    <t>Périmètre (Agence, secteur...)</t>
  </si>
  <si>
    <t>Thème Q/S/Sa/E/ Système / Financier</t>
  </si>
  <si>
    <t>Récit de l'action</t>
  </si>
  <si>
    <t>Responsable de l'action</t>
  </si>
  <si>
    <t>échéance de réalisation</t>
  </si>
  <si>
    <t>Alerte</t>
  </si>
  <si>
    <t>Statut de la réalisation de l'action</t>
  </si>
  <si>
    <t>Colonne1</t>
  </si>
  <si>
    <t>Budget 2024</t>
  </si>
  <si>
    <t>RA</t>
  </si>
  <si>
    <t>SSE</t>
  </si>
  <si>
    <t>Obtention Certification MASE 2024</t>
  </si>
  <si>
    <t>DRA QSE</t>
  </si>
  <si>
    <t>Effectué</t>
  </si>
  <si>
    <t>A</t>
  </si>
  <si>
    <t>1/4 d'heure</t>
  </si>
  <si>
    <t>RAN96D</t>
  </si>
  <si>
    <t>Sa</t>
  </si>
  <si>
    <t>Possibilité d'avoir une fontaine à eau pour avoir de l'eau fraîche car les bidons de 5L encombre les frigos.</t>
  </si>
  <si>
    <t>DUCOTTET</t>
  </si>
  <si>
    <t>COPIL MASE</t>
  </si>
  <si>
    <t>S</t>
  </si>
  <si>
    <t>Mettre des objectifs de sécurité lors des entretiens ( Ouvriers ,CE,CC) PA…</t>
  </si>
  <si>
    <t>DRA DR CS</t>
  </si>
  <si>
    <t xml:space="preserve">Bilan SSE </t>
  </si>
  <si>
    <t>Mettre en place un suivi du % d’intérim sur personnel de chantier (CC/CE/CNRO)</t>
  </si>
  <si>
    <t>Maxime/Justine</t>
  </si>
  <si>
    <t>Avoir un taux de fréquence &lt; 9,5 tout personnel confondu</t>
  </si>
  <si>
    <t>Tous</t>
  </si>
  <si>
    <t xml:space="preserve">Augmentation du nombre de 1/4 d'heure animé par le CDTX : 1/ trimestre </t>
  </si>
  <si>
    <t>Etablir une liste de 1/4 pour 2025</t>
  </si>
  <si>
    <t>DRA/QSE</t>
  </si>
  <si>
    <t xml:space="preserve"> Formation des CDTX &amp; technicienne QSE à l’utilisation des FNC</t>
  </si>
  <si>
    <t>JRE</t>
  </si>
  <si>
    <t>Mise en place de l’objectif : pas de chantier sans FNC</t>
  </si>
  <si>
    <t>B</t>
  </si>
  <si>
    <t>Intégration service méthodes dans réunion de passation</t>
  </si>
  <si>
    <t>Embauche de conducteur travaux expérimenté</t>
  </si>
  <si>
    <t>DRA DR</t>
  </si>
  <si>
    <t>Check List de préparation de chantier pour Conducteur de Travaux &amp; Chef de Secteur</t>
  </si>
  <si>
    <t xml:space="preserve">Mise en place de visite croisée 1 par mois </t>
  </si>
  <si>
    <t xml:space="preserve">REX : Partage de l’information avec mise à disposition sur Share point
accessible aux CDTX </t>
  </si>
  <si>
    <t>Service méthode</t>
  </si>
  <si>
    <t>REX :  Modification de la trame pour intégration d’un chapitre sécurité &amp; 
environnement</t>
  </si>
  <si>
    <t>STOP and GO entre 10H &amp; 11H pour casser la routine et procéder au rangement</t>
  </si>
  <si>
    <t>CDTX/chef de chantier</t>
  </si>
  <si>
    <t>Poursuive sur 2025 utilisation de CHATBOT</t>
  </si>
  <si>
    <t>C</t>
  </si>
  <si>
    <t xml:space="preserve">Prévoir 1/4 d'heure sur biodiversité et protection de la nature </t>
  </si>
  <si>
    <t>Olivier D</t>
  </si>
  <si>
    <t>Identifier produits concernés par les disosyanates</t>
  </si>
  <si>
    <t>QSE/DRA</t>
  </si>
  <si>
    <t>Définir des objectifs pour les embauches 2025</t>
  </si>
  <si>
    <t>Avoir du personnel avec le passeport PASI</t>
  </si>
  <si>
    <t>Justine Maxime</t>
  </si>
  <si>
    <t>Mise en place de tuteur / parrain</t>
  </si>
  <si>
    <t>Chef de chantier</t>
  </si>
  <si>
    <t>Réalisé plan d'investissement du materiel 2025</t>
  </si>
  <si>
    <t>DRA/DA</t>
  </si>
  <si>
    <t>Poursuivre la réalisation de tableau FDS</t>
  </si>
  <si>
    <t>Plan de formation 2025</t>
  </si>
  <si>
    <t xml:space="preserve">Justine </t>
  </si>
  <si>
    <t>D</t>
  </si>
  <si>
    <t xml:space="preserve">Consulter la liste des entreprises MASE lors de la recherche sous traitans </t>
  </si>
  <si>
    <t>Quentin</t>
  </si>
  <si>
    <t>PSST 
2025 / 2028</t>
  </si>
  <si>
    <t>Concevoir un nouveau support d’accueil QSE</t>
  </si>
  <si>
    <t>F. CHASSAGNOL</t>
  </si>
  <si>
    <t>QS</t>
  </si>
  <si>
    <t xml:space="preserve"> Fournir des casques bleus pour les salariés ayant peu d’ancienneté</t>
  </si>
  <si>
    <t>D. BICHON</t>
  </si>
  <si>
    <t>Communiquer sur le rôle du parrainage</t>
  </si>
  <si>
    <t xml:space="preserve">Système </t>
  </si>
  <si>
    <t>Réaliser un point de passage Prévention avec le service RH à 3 mois</t>
  </si>
  <si>
    <t>À faire</t>
  </si>
  <si>
    <t xml:space="preserve">QS </t>
  </si>
  <si>
    <t>Créer un espace de partage des REX</t>
  </si>
  <si>
    <t xml:space="preserve">Partager les thèmes des REX rédigés dans la newsletter </t>
  </si>
  <si>
    <t xml:space="preserve">Exploiter les évaluations du client par rapport à la prévention </t>
  </si>
  <si>
    <t>Animation d’atelier sécurité lors de la journée QSSE sur les 5 PM</t>
  </si>
  <si>
    <t>Formation des animateurs de ¼ d'H</t>
  </si>
  <si>
    <t>Sensibilisation des managers aux attentes d’une visite + visites croisées + exemplarité (EPI)</t>
  </si>
  <si>
    <t>Formation coachs éveil musculaire</t>
  </si>
  <si>
    <t>Organisation de 1 réunion DOP</t>
  </si>
  <si>
    <t>Organisation des réunions mensuelles service QSE RA</t>
  </si>
  <si>
    <t>Visites croisées des QSE avec les régions voisines (SVV, LP, PACA, BFC) 1/an/QSE</t>
  </si>
  <si>
    <t>En cours</t>
  </si>
  <si>
    <t>Achat de découpeuses avec système antirebond</t>
  </si>
  <si>
    <t>B. LEBON</t>
  </si>
  <si>
    <t xml:space="preserve">Formation des utilisateurs de la découpeuse </t>
  </si>
  <si>
    <t>Communication EPI</t>
  </si>
  <si>
    <t>Sanction non-port EPI</t>
  </si>
  <si>
    <t>Le DA doit se rendre sur chantier à la suite d’un AT</t>
  </si>
  <si>
    <r>
      <t xml:space="preserve">Pas d'échéance mais </t>
    </r>
    <r>
      <rPr>
        <b/>
        <sz val="14"/>
        <rFont val="Calibri"/>
        <family val="2"/>
        <scheme val="minor"/>
      </rPr>
      <t>présent</t>
    </r>
    <r>
      <rPr>
        <sz val="14"/>
        <rFont val="Calibri"/>
        <family val="2"/>
        <scheme val="minor"/>
      </rPr>
      <t xml:space="preserve"> </t>
    </r>
    <r>
      <rPr>
        <b/>
        <sz val="14"/>
        <rFont val="Calibri"/>
        <family val="2"/>
        <scheme val="minor"/>
      </rPr>
      <t>dans les 24H</t>
    </r>
  </si>
  <si>
    <t>Analyse avec encadrement jusqu’à DA + QSE + Invitation DR</t>
  </si>
  <si>
    <r>
      <t xml:space="preserve">Pas d'échéance mais </t>
    </r>
    <r>
      <rPr>
        <b/>
        <sz val="14"/>
        <rFont val="Calibri"/>
        <family val="2"/>
        <scheme val="minor"/>
      </rPr>
      <t>analyse sous 7 J</t>
    </r>
  </si>
  <si>
    <t>Présentation en réunion mensuelle par DA</t>
  </si>
  <si>
    <t>S. BETTON</t>
  </si>
  <si>
    <r>
      <t xml:space="preserve">Pas d'échéance mais </t>
    </r>
    <r>
      <rPr>
        <b/>
        <sz val="14"/>
        <rFont val="Calibri"/>
        <family val="2"/>
        <scheme val="minor"/>
      </rPr>
      <t>réunion en 1 mois</t>
    </r>
  </si>
  <si>
    <t>Exercice accident</t>
  </si>
  <si>
    <t>Transmettre la FDS de l'huile hydraulique aux équipes</t>
  </si>
  <si>
    <t>Audit</t>
  </si>
  <si>
    <t>RAL</t>
  </si>
  <si>
    <t>Absence d’accueil de chantier formel pour l’intervenant de l’entreprise Flexiloc (mécanicien chargé de la réparation du flexible de la pelle).</t>
  </si>
  <si>
    <t xml:space="preserve">Le locatier partait. Rappel fait en réunion début d'année. </t>
  </si>
  <si>
    <t xml:space="preserve">Le suivi des accessoires de levage présente des non-conformités (la manille de levage 4T ne présente pas de référence d’identification) / contrôle des accessoires de levage : câble de levage type RD ne possède pas de PV de vérification. </t>
  </si>
  <si>
    <t>BOURRUST</t>
  </si>
  <si>
    <t>Nouvelle orga vérification en 2025. Le câble de levage type RD a été mis au rebut.</t>
  </si>
  <si>
    <t xml:space="preserve">les données d’entrée du bilan SSE incomplètes : absence d’information sur les modifications réglementaires applicables à l’entreprise constatées au cours de l’année. 
l’absence d’historique des indicateurs (tendance, évolution).  </t>
  </si>
  <si>
    <t>Difficulté veille règlementaire</t>
  </si>
  <si>
    <t>Q</t>
  </si>
  <si>
    <t xml:space="preserve">Les dysfonctionnements identifiés lors de l’audit interne de novembre 2022 ne sont pas tous intégrés dans le plan d’action pour assurer leur traitement. </t>
  </si>
  <si>
    <t xml:space="preserve">Absence de contrôle des installations électriques à l’agence d’Oyonnax depuis avril 2022. Ce contrôle n’est pas identifié dans l’inventaire des contrôles de l’agence.  </t>
  </si>
  <si>
    <t xml:space="preserve">Absence de plan de prévention rédigé pour les interventions dites « dangereuses » au titre de l’arrêté du 19 mars 1993 et/ou supérieures à 400h.  </t>
  </si>
  <si>
    <t>Feuille de route 2025</t>
  </si>
  <si>
    <t>E</t>
  </si>
  <si>
    <t>Diffuser affiche environnement A 3</t>
  </si>
  <si>
    <t>O. DEQUICK</t>
  </si>
  <si>
    <t xml:space="preserve">Audit MASE Interne </t>
  </si>
  <si>
    <t xml:space="preserve">Collège des Allingues </t>
  </si>
  <si>
    <t xml:space="preserve">MAJ Tableau des VM avec remplissage des manquants et prise RDV pour celles bientôt expiré </t>
  </si>
  <si>
    <t>M.OSSEDAT</t>
  </si>
  <si>
    <t xml:space="preserve">Réunion exploitation </t>
  </si>
  <si>
    <t xml:space="preserve">Déployer MRS Exploitant avec une présentation pour l'ensemble des CDTX. </t>
  </si>
  <si>
    <t xml:space="preserve">B. JANISSET </t>
  </si>
  <si>
    <t xml:space="preserve">Améliorer les passations études/travaux en </t>
  </si>
  <si>
    <t xml:space="preserve">Définir lors des passations études / travaux les qualifications visées et commencer à compléter les attestations travaux </t>
  </si>
  <si>
    <t>B. JANISSET 
B. GRIVILLERS</t>
  </si>
  <si>
    <t xml:space="preserve">Faire une sensibilisation sur la qualité de remplissage d'une attestation travaux. </t>
  </si>
  <si>
    <t>A. PETIT
F.CHASSAGNOL</t>
  </si>
  <si>
    <t>Auv</t>
  </si>
  <si>
    <t>Commande de lève plaques magnétiques = Routurou B, Dufour T, Grangeversanne B, Rollet L, Deschamps X, Bouillet K, Renard A.</t>
  </si>
  <si>
    <t>QSE Auv</t>
  </si>
  <si>
    <t>30/02/2025</t>
  </si>
  <si>
    <t>Stock d'élingues textiles au magasin de la Plateforme de Cournon</t>
  </si>
  <si>
    <t>Moules à regards 600-1000 ronds et carrés</t>
  </si>
  <si>
    <t>Outils de coupe sécurisés</t>
  </si>
  <si>
    <t>Bouchons moulés = Renard A, Rollet L</t>
  </si>
  <si>
    <t>Amélioration des accueils chantier avec Digicar</t>
  </si>
  <si>
    <t>Mise en place d'audit sur les sites fixes</t>
  </si>
  <si>
    <t>Contrôle et audit des sites fixes (plateforme de Cournon, agence PDC…)</t>
  </si>
  <si>
    <t>SA</t>
  </si>
  <si>
    <t>Réaliser un 1/4 d'heure sur les gestes et posture aux postes administratifs</t>
  </si>
  <si>
    <t>Atteindre 100 % de réalisation des entretiens individuels</t>
  </si>
  <si>
    <t>Mettre des objectifs QSSE dans chaque entretien</t>
  </si>
  <si>
    <t>Remplir le tableau de objectifs QSSE</t>
  </si>
  <si>
    <t xml:space="preserve">Grégoire/Vincent </t>
  </si>
  <si>
    <t>Rechercher Alternant pour rentré 2025 en conduite de travaux/chef de chantier</t>
  </si>
  <si>
    <t>Embauche de 10 personnes sur l'année 2025</t>
  </si>
  <si>
    <t>Rencontre agence d'interim Juillet 2025</t>
  </si>
  <si>
    <t>Fabien/Maxime</t>
  </si>
  <si>
    <t>Embauche d'un directeur de travaux Auvergne</t>
  </si>
  <si>
    <t>PBA</t>
  </si>
  <si>
    <t>Embauche d'un directeur de travaux GC hydraulique et grand projets</t>
  </si>
  <si>
    <t>Embauche de 10 maçons/Coffreurs</t>
  </si>
  <si>
    <t xml:space="preserve">Embauche d'un ou deux chefs de chantier </t>
  </si>
  <si>
    <t>Organiser les VGP sur février 2025</t>
  </si>
  <si>
    <t>Organiser un point de passage pour container (Trier apparaux)</t>
  </si>
  <si>
    <t>CDTX/CC</t>
  </si>
  <si>
    <t>Programmer vérification matériel dépôt</t>
  </si>
  <si>
    <t xml:space="preserve">Faire une liste de tous le matériel présent sur le nouveau dépôt </t>
  </si>
  <si>
    <t>Henrique</t>
  </si>
  <si>
    <t>Compléter le DU pour nouvelle zone Veyre</t>
  </si>
  <si>
    <t>Fabien/Benoit/
Henrique</t>
  </si>
  <si>
    <t>F</t>
  </si>
  <si>
    <t xml:space="preserve">Mise en service de la nouvelle plate-forme </t>
  </si>
  <si>
    <t>Utilisé KIZEO pour relever le PASD</t>
  </si>
  <si>
    <t>Faire remonter les PASD lors de la reunion du Vendredi matin</t>
  </si>
  <si>
    <t>Programmer intervention HILTI sur tous les chantiers</t>
  </si>
  <si>
    <t>Fabien/Micka</t>
  </si>
  <si>
    <t xml:space="preserve">Maintenir le TF/TG à 0 </t>
  </si>
  <si>
    <t>Envoyer un 1/4 d'heure /mois</t>
  </si>
  <si>
    <t xml:space="preserve">Mettre en place le challenge 5 premiére minutes/ remonté de presque accidents </t>
  </si>
  <si>
    <t>Benoit</t>
  </si>
  <si>
    <t xml:space="preserve">Faire un point sur la capacité à animer un éveil musculaire et voir si besoin de formation pour les chefs de chantiers </t>
  </si>
  <si>
    <t>G</t>
  </si>
  <si>
    <t xml:space="preserve">Réalisé test situation d'urgence 2 au bureau et 2 sur chantiers </t>
  </si>
  <si>
    <t>Réalisé test situation environnementale 2 sur chantiers</t>
  </si>
  <si>
    <t xml:space="preserve">Testés 25% des salariés (drogue et alcool) </t>
  </si>
  <si>
    <t>Programmer journée QSE 2025</t>
  </si>
  <si>
    <t>Fabien/Florian</t>
  </si>
  <si>
    <t>Intégrer un atelier 5 premiére minutes à la journée QSE</t>
  </si>
  <si>
    <t xml:space="preserve">Mise à jour du PASE </t>
  </si>
  <si>
    <t>DRA/Fabien</t>
  </si>
  <si>
    <t>Mettre en place tableau suivi objectif éveil musculaire</t>
  </si>
  <si>
    <t>31/02/2025</t>
  </si>
  <si>
    <t>Réaliser 1/4H pour expliquer l’intérêt au personnel des FNC</t>
  </si>
  <si>
    <t>H</t>
  </si>
  <si>
    <t>Formation des CDTX à l’intérêt et utilisation des FNC</t>
  </si>
  <si>
    <t>Avoir 50 FNC en 2025, soit entre 4 à 5 par mois</t>
  </si>
  <si>
    <t>Organiser un groupe de Travail  des FNC en Octobre/Novembre</t>
  </si>
  <si>
    <t>Fabien / GDA / MVI</t>
  </si>
  <si>
    <t>Réalisé les REX cités au COPIL</t>
  </si>
  <si>
    <t>Réaliser FDS simplifié</t>
  </si>
  <si>
    <t>Suppression des bouteilles plastiques sur chantier</t>
  </si>
  <si>
    <t>Mise en place de fontaine à eau sur chantier de plus de 3 mois</t>
  </si>
  <si>
    <t>Planning</t>
  </si>
  <si>
    <t>Suite à l'essai concluant des lisses de signalisation entre cones. Recherches de prix interessant et achat de 50 lisses</t>
  </si>
  <si>
    <t xml:space="preserve">Réaliser un 1/4 heure sécurité sur la sûreté des chantiers suite à des vols (véhicule, matériels, matériaux…) et des attitudes à risques (laisser les outils, portefeuilles, ordinateurs dans les véhicules à la vue de tous). Faire remonter les coûts liés à ces vols. </t>
  </si>
  <si>
    <t>BERLIAT
CHASSAGNOL</t>
  </si>
  <si>
    <t>BHNS</t>
  </si>
  <si>
    <t>Prévoir un rangement propre des panneau de signalisation à la base vie principale du BHNS avec des racks de stockage (achat-location-fait sur mesure).</t>
  </si>
  <si>
    <t>CHASSAGNOL</t>
  </si>
  <si>
    <t>Utilisation d'une remorque ou de rampes pour le dépacement de la signalisation lors des chantiers mobiles de NGE ROUTES.</t>
  </si>
  <si>
    <t>CHASSAGNOL
DURIF</t>
  </si>
  <si>
    <t xml:space="preserve">Création de fiche de prise de site lors de coactivité sur des travaux de réseaux pour limiter les dégats liés à l'écrasement des fourreaux. </t>
  </si>
  <si>
    <t>CHASSAGNOL
CDTX</t>
  </si>
  <si>
    <t>Analyse AT</t>
  </si>
  <si>
    <t>Réaliser un support de sensibilisation sur la gestion de la coactivité et les STOP/GO</t>
  </si>
  <si>
    <t>Commander un casque avec visiere afin de mieux se protéger lors du nettoyage du serviroute</t>
  </si>
  <si>
    <t>Rédaction d'un 1/4h sur l'élingage</t>
  </si>
  <si>
    <t xml:space="preserve">BERLIAT </t>
  </si>
  <si>
    <t>Préfa des dômes:
Mise en place du Document Unique</t>
  </si>
  <si>
    <t>Fabien/DA</t>
  </si>
  <si>
    <t>I</t>
  </si>
  <si>
    <t>Préfa des dômes:
PIC à jour - Affichage - Plan de circulation / Stockage</t>
  </si>
  <si>
    <t>Benoit / Fabien</t>
  </si>
  <si>
    <t>Préfa des dômes:
Plan de prévention pour intervenants extérieurs</t>
  </si>
  <si>
    <t>Préfa des dômes:
Contact SDIS pour localisation activité</t>
  </si>
  <si>
    <t>Préfa des dômes:
Mise en place d'un défibrilateur</t>
  </si>
  <si>
    <t>Préfa des dômes:
Mise en place d'étiquettes avec poids sur préfa</t>
  </si>
  <si>
    <t>Prestataires :
Rappel règles à respecter sur chantiers NGE GC / courrier de la direction QSSE</t>
  </si>
  <si>
    <t>Fabien / DA</t>
  </si>
  <si>
    <t>1/4 heure pour gants &amp; lunettes</t>
  </si>
  <si>
    <t>Prévoir mesure de compensation pour les ST non MASE</t>
  </si>
  <si>
    <t>DA / BRA</t>
  </si>
  <si>
    <t>J</t>
  </si>
  <si>
    <t>Echafaudage:
Etat du personnel formé NGE GC et Intérim</t>
  </si>
  <si>
    <t>Fabien / Maxime / Justine</t>
  </si>
  <si>
    <t>Echafaudage:
Process à mettre en place pour échafaudage fixe et roulant</t>
  </si>
  <si>
    <t>REX - Bilan de fin de chantier (manque exploitation informations recueillies lors des réunions hebdomadaires pour renseigner les aspects SSE)</t>
  </si>
  <si>
    <t>Fabien / CS</t>
  </si>
  <si>
    <t>Formaliser une check list à la fin de la période de préparation</t>
  </si>
  <si>
    <t xml:space="preserve">DHOL (protocole de livraison) similaire pour l'ensemble des chantiers </t>
  </si>
  <si>
    <t>Presqu'Accident</t>
  </si>
  <si>
    <t>Marché départemental lot 9 &amp; 10</t>
  </si>
  <si>
    <t>TP Lyaudet</t>
  </si>
  <si>
    <t xml:space="preserve">Prévoir une procédure d'exécution pour des travaux sur parois </t>
  </si>
  <si>
    <t>Service qse Auvergne</t>
  </si>
  <si>
    <t xml:space="preserve">Mettre à jour le DU </t>
  </si>
  <si>
    <t>Mettre à jour le PPSPS du chantier T6N</t>
  </si>
  <si>
    <t>PERILLAT</t>
  </si>
  <si>
    <t>Mettre à jour les fiches de tâche</t>
  </si>
  <si>
    <t>RAFGRE</t>
  </si>
  <si>
    <t>Voir avec le service RH pour accélerer la délivrance des courrier de rappel aux règles/sanctionns</t>
  </si>
  <si>
    <t>BOURRUST 
DUCOTTET</t>
  </si>
  <si>
    <t>Communiquer les RV et obligation de CACES aux agences de locatiers. Les inclures dans les contrats</t>
  </si>
  <si>
    <t>BOURRUST 
DUCOTTET
LEBON</t>
  </si>
  <si>
    <t>Programmer des formations sur chantier EHTP avec TOMYAN</t>
  </si>
  <si>
    <t>QSSE</t>
  </si>
  <si>
    <t>Programmer un point avec le COPIL pour relecture du livret de remontées d'informations</t>
  </si>
  <si>
    <t>DINDAULT</t>
  </si>
  <si>
    <t>Proposer dates lors du copil</t>
  </si>
  <si>
    <t>Diffuser une trame de checklist avec inclusion du Go/NoGo à l'exploitation</t>
  </si>
  <si>
    <t>BOURRUST
DUCOTTET</t>
  </si>
  <si>
    <t>Programmer des sessions de formation découpeuse sur le chantier T6</t>
  </si>
  <si>
    <t>Rédiger un 1/4 d'h rappelant les différentes remontées d'informations et leur interet</t>
  </si>
  <si>
    <t>Rédiger un 1/4 d'h traitant du sujet EPI cat. 3</t>
  </si>
  <si>
    <t>Formaliser un rappel des objectifs à la cellule nucléaire</t>
  </si>
  <si>
    <t>Définir des critères QSSE pour la sélection des sous traitants</t>
  </si>
  <si>
    <t>Création d'une évaluation fournisseurs simplifiée pour les CC-CE</t>
  </si>
  <si>
    <t>LEBON</t>
  </si>
  <si>
    <t>Quart d'heure</t>
  </si>
  <si>
    <t>La Chapelette</t>
  </si>
  <si>
    <t xml:space="preserve">Augmenter le forfait internet de Julien CHAPON car les 2GO ne suffisent pas a utiliser les outils et applications nécessaires au quotidien. Notamment KIZEO. </t>
  </si>
  <si>
    <t>RAALHL</t>
  </si>
  <si>
    <t>Mettre trame PPSPS sur MRS exploitant</t>
  </si>
  <si>
    <t xml:space="preserve">Fourir de la crème solaire aux équipes de RONZE </t>
  </si>
  <si>
    <t>Annulé</t>
  </si>
  <si>
    <t>Faire la liste des intérimaires à ré accueillir sur RL</t>
  </si>
  <si>
    <t>Utilisation d’une pelle rail route. Ne pas se servir d’une mini pelle à chenille en équilibre sur les rails</t>
  </si>
  <si>
    <t>Communication du flash info AT. Ouvrir l’emplacement plus large pour changer le caniveau et appliquer le Stop &amp; Go quand lorsque ça ne fonctionne pas</t>
  </si>
  <si>
    <t>Communiquer sur l’utilité d’une barre à mine. Guidage à l’aide de corde ou de pince à talon</t>
  </si>
  <si>
    <t>Communiquer la fiche de bonne pratique sur la
manutention réalisée à la suite de l’AT nucléaire Z.
EZOUKAREN</t>
  </si>
  <si>
    <t>Exercice incendie</t>
  </si>
  <si>
    <t xml:space="preserve">Transmettre la procédure en cas d’incendie et le retour de l’exercice aux salariés (avec consignes de sortie). </t>
  </si>
  <si>
    <t xml:space="preserve">Former des guide-files / serre-files. </t>
  </si>
  <si>
    <t xml:space="preserve">Récupérer toutes les clés des déclencheurs manuels. </t>
  </si>
  <si>
    <t>BOUKHOUBZA</t>
  </si>
  <si>
    <t xml:space="preserve">Rajouter BAES (lumières issues de secours) au-dessus de la porte 6 (côté GUINTOLI). </t>
  </si>
  <si>
    <t xml:space="preserve">Déplacer le déclencheur manuel non visible côté sortie GUINTOLI. </t>
  </si>
  <si>
    <t xml:space="preserve">Se renseigner pour faire retentir l’alarme dès l’appui sur le déclencheur. Si impossible, communiquer sur ce laps de temps aux salariés. </t>
  </si>
  <si>
    <t xml:space="preserve">Mettre un registre de sécurité à l’accueil NGE FONDATIONS et le mettre à jour avec l’exercice de ce jour. </t>
  </si>
  <si>
    <t xml:space="preserve">Rangement des fourgons de l’équipe -déposer au dépôt ce qui n’est pas utile pour la journée 
- Jeter ce qui est HS (disques périmés, bouteilles vides, emballages…) 
- identifier ce qui est utile au quotidien et les lieux de stockage définis avec des étiquettes 
- mettre les panneaux, cônes de signalisation sur la remorque prévue à cet effet </t>
  </si>
  <si>
    <t xml:space="preserve">Contrôler le rangement de fourgons lors des visites QSE du mois d’août </t>
  </si>
  <si>
    <t>MUNOS
DUCOTTET</t>
  </si>
  <si>
    <t xml:space="preserve">Etiquettes à ajouter sur les casiers de rangement pour indiquer les outils à ranger. </t>
  </si>
  <si>
    <t>Passer sur la bascule pour vérifier le poids du fourgon.</t>
  </si>
  <si>
    <t>Rediger un theme de 1/4 d'heure sur : L'importance d'un homme-trafic dans l'équipe et la gestuelle</t>
  </si>
  <si>
    <t>Rediger un theme de 1/4 d'heure sur : Comment mieux gérer l'eau potable pour la réalisation de travaux</t>
  </si>
  <si>
    <t>DEQUICK</t>
  </si>
  <si>
    <t>Envoyer un 1/4 d'heure sur l'utilisation du téléphone sur chantier</t>
  </si>
  <si>
    <t>Bilan SSE</t>
  </si>
  <si>
    <t>Inviter la référente intérimaires au prochain COPIL</t>
  </si>
  <si>
    <t xml:space="preserve">Mettre en place une alerte à communiquer au cdtx en cas de demande d’un intérimaire mal noté. </t>
  </si>
  <si>
    <t>Justine GAURAT</t>
  </si>
  <si>
    <t>Mettre les liens des REX réalisés sur la newsletter de la région</t>
  </si>
  <si>
    <t>Mettre en place plus d’actions prévention en novembre</t>
  </si>
  <si>
    <t>Rédiger les ¼ d’heure avec moins de texte et plus de photo, surtout dans les ¼ d’h environnement</t>
  </si>
  <si>
    <t>QS-E</t>
  </si>
  <si>
    <t xml:space="preserve">Prévoir une sensibilisation sur l’appel des secours </t>
  </si>
  <si>
    <t>Prévoir des tests de situation d’urgence sur les écrasements (manutention manuelle)</t>
  </si>
  <si>
    <t>Prévoir plus de tests de situation d’urgence environnement ciblées</t>
  </si>
  <si>
    <t>Chargé environnement</t>
  </si>
  <si>
    <t>Avoir un suivi et des relances pour les accueils intérimaires par Justine</t>
  </si>
  <si>
    <t>Cibler des campagnes d’objectifs de visites et actions QSE sur les mois avec une récurrence de baisse de visites</t>
  </si>
  <si>
    <t>Direction et QSE</t>
  </si>
  <si>
    <t>Faire un retour aux locatiers sur le besoin de VGP ? Sur la qualité des engins loués ?</t>
  </si>
  <si>
    <t>Achat</t>
  </si>
  <si>
    <t xml:space="preserve">Sensibilisation / formation levage ? </t>
  </si>
  <si>
    <t>Service RH</t>
  </si>
  <si>
    <t>PF + 1/4 d'h</t>
  </si>
  <si>
    <t>Ajouter les affichages en cas d’AT dans la checklist démarrage chantier</t>
  </si>
  <si>
    <t>Exploitation</t>
  </si>
  <si>
    <t>Faire un suivi des trousses par personnes et par date</t>
  </si>
  <si>
    <t>A définir</t>
  </si>
  <si>
    <t>Vérifier les ¼ d’heure lors des visites de chantier</t>
  </si>
  <si>
    <t>Encadrants</t>
  </si>
  <si>
    <t>Acheter des grattoirs à bottes ?</t>
  </si>
  <si>
    <t>Chefs de chantier</t>
  </si>
  <si>
    <t>Utiliser le HUB QSE pour mettre à jour les affichages obligatoires</t>
  </si>
  <si>
    <t>Réaliser un ¼ d’h sur le levage et les états des élingues</t>
  </si>
  <si>
    <t>Réaliser un support avec la liste des EPI cat.3 et équipements d’interventions spécifiques dont nous disposons + les personnes formées sur des activités spécifiques</t>
  </si>
  <si>
    <t>Mise à disposition d’un tableau par Justine pour récupérer  l’historique des intérims et leurs notes</t>
  </si>
  <si>
    <t>Etudier la faisabilité d’emploi d’un logiciel tiers pour la gestion du matériel (keepcontrol ?)</t>
  </si>
  <si>
    <t>Trop coûteux, non nécessaire</t>
  </si>
  <si>
    <t>Faire des consultations pour trouver des FRS et ST différents pour les notes « très insatisfaisantes » ou &lt;2 en QSE</t>
  </si>
  <si>
    <t>Faire des sujets règlementaires des points de vigilance prioritaires lors des visites.</t>
  </si>
  <si>
    <t>Faire un plan de classement des dossiers sur le HUB</t>
  </si>
  <si>
    <t xml:space="preserve">Réaliser un 1/4 d'heure sur les risques routiers </t>
  </si>
  <si>
    <t>Réaliser un 1/4 d'heure sur les constats de livraison du matériel</t>
  </si>
  <si>
    <t>En cas de non-respect des consignes, réaliser un aléa fournisseur ou formaliser sous forme de courrier</t>
  </si>
  <si>
    <t xml:space="preserve">Transmettre la fiche de tâche : pose de bordures. </t>
  </si>
  <si>
    <t xml:space="preserve">Demande d'attacher les envois de formulaires KIZEO au conducteur de travaux affecté au code chantier (au lieu de rattacher les CC aux CDTX). </t>
  </si>
  <si>
    <t>CORNILLE</t>
  </si>
  <si>
    <t xml:space="preserve">A tester sur l'Ondaine pour Check list et PITCH. Début des travaux courant janvier. </t>
  </si>
  <si>
    <t>Simplifier les accueils chantier en créant une base de données pour vérifier les habilitations internes NGE. Retour terrain (J. CHAPON)</t>
  </si>
  <si>
    <t>MERIEN</t>
  </si>
  <si>
    <t xml:space="preserve">Réaliser un REX sur l'utilisation du disque de découpe d'enrobés en embout de pelle. </t>
  </si>
  <si>
    <t>Réaliser un quart d'heure sur le levage et l'élingage</t>
  </si>
  <si>
    <t>Réaliser un support de sensibilisation sur le risque cardiovasculaire suite à un AT en lien</t>
  </si>
  <si>
    <t>RAP61F</t>
  </si>
  <si>
    <t>Sensibilisation de l’ensemble des chauffeurs PL sur l'AT</t>
  </si>
  <si>
    <t>Diffusion d’un flash AT (RMM, groupe ?)</t>
  </si>
  <si>
    <t>Intégrer l’interdiction de mettre le doigt dans consigne particulière grue</t>
  </si>
  <si>
    <t>Rechercher s’il existe d’autre système d’attache pour les bennes preneuses</t>
  </si>
  <si>
    <t>L. GARCIA</t>
  </si>
  <si>
    <t>Positionner un autocollant sur la benne, risque de coincement/pincement</t>
  </si>
  <si>
    <t>Test d'alcool/Stupéfiants</t>
  </si>
  <si>
    <t>chantier</t>
  </si>
  <si>
    <t>Nom du préventeur</t>
  </si>
  <si>
    <t>Type de test (Alc ou Stup)</t>
  </si>
  <si>
    <t>Nbre de personnes testés</t>
  </si>
  <si>
    <t>Nbre négatifs</t>
  </si>
  <si>
    <t>Nbre positifs</t>
  </si>
  <si>
    <t>Positif : Alcool / THC / Cocaine / Autre</t>
  </si>
  <si>
    <t>Commentaire</t>
  </si>
  <si>
    <t>BOURRUST T.</t>
  </si>
  <si>
    <t xml:space="preserve">Alcool </t>
  </si>
  <si>
    <t>Suspicion sur un intérimaire, 0,14mg/l à 16h</t>
  </si>
  <si>
    <t>Alcool</t>
  </si>
  <si>
    <t>0,39mg/l pour un chef d'équipe Razel Bec</t>
  </si>
  <si>
    <t>BOURRUST T.
DUCOTTET C.</t>
  </si>
  <si>
    <t xml:space="preserve">Alcool et Stup </t>
  </si>
  <si>
    <t>Alcool et refus stup</t>
  </si>
  <si>
    <t>Chef d'équipe à 0,40mg/l
Un compagnon a refusé de se soumettre au test stup</t>
  </si>
  <si>
    <t>BICHON D.</t>
  </si>
  <si>
    <t>Test salivaire ne marche pas sur M. FERNANDEZ</t>
  </si>
  <si>
    <t>RAM88A</t>
  </si>
  <si>
    <t>Refus d'un salarié pour la drogue</t>
  </si>
  <si>
    <t>Refus d'un salarié pour le test drogue, 0,22mg/l pour la même personne</t>
  </si>
  <si>
    <t>RAFQSE</t>
  </si>
  <si>
    <t>M DINDAULT Test positif double de la limite min</t>
  </si>
  <si>
    <t>CHASSAGNOL F.</t>
  </si>
  <si>
    <t xml:space="preserve">GRANGIER Fabien </t>
  </si>
  <si>
    <t xml:space="preserve">Un compagnon est parti du chantier. On suppose qu'il a eu l'information des tests que l'on réalisait car nous faisions en scindant l'équipe. </t>
  </si>
  <si>
    <t xml:space="preserve">Test isolé de la personne s'étant "échappé" le 04/07/2025 </t>
  </si>
  <si>
    <t>Stup</t>
  </si>
  <si>
    <t>Cocaine</t>
  </si>
  <si>
    <t>Test reprise L. SALVADORI --&gt; Positif COC</t>
  </si>
  <si>
    <t>EHTP RHONE</t>
  </si>
  <si>
    <t>Test reprise N. PLANTE</t>
  </si>
  <si>
    <t>CHASSAGNOL F.
BERLIAT M.</t>
  </si>
  <si>
    <t>Equipe GUINTOLI</t>
  </si>
  <si>
    <t>Equipe NGE ROUTES + Encadrement</t>
  </si>
  <si>
    <t>RAP09A</t>
  </si>
  <si>
    <t>RL/EHTP</t>
  </si>
  <si>
    <t>DUCOTTET C.
BOURRUST T.</t>
  </si>
  <si>
    <t>KOUISSI A. : 1er test positif tHC ; 2eme nul ; 3eme négatif</t>
  </si>
  <si>
    <t>DUCOTTET C.
PERILLAT S.</t>
  </si>
  <si>
    <t>RAP72H</t>
  </si>
  <si>
    <t>DUCOTTET C.</t>
  </si>
  <si>
    <t xml:space="preserve">non-respect Règles vitales  </t>
  </si>
  <si>
    <t>Règle vitale concernée</t>
  </si>
  <si>
    <t>Type personnel</t>
  </si>
  <si>
    <t>Remarques</t>
  </si>
  <si>
    <t>Action</t>
  </si>
  <si>
    <t>Pilote</t>
  </si>
  <si>
    <t>Réalisé : Oui / Non</t>
  </si>
  <si>
    <t>Le…</t>
  </si>
  <si>
    <t xml:space="preserve">Je me tiens hors de la zone d'évolution de la charge </t>
  </si>
  <si>
    <t>Employé EHTP</t>
  </si>
  <si>
    <t>RAN92K</t>
  </si>
  <si>
    <t>Lors d'une opération de levage d'une barre en PEHD diametre 300 de 12m sur un petit atelier de pose, Romain 
FAURE et Jonathan MAILLARD sont passés sous ce tuyau à plusieurs reprises.
Par ailleurs, le linguet anti-retour était absent sur la pelle de prêt (ROZIÈRE).</t>
  </si>
  <si>
    <t xml:space="preserve">Formaliser un rappel des règles vitales et consignes de securite pour les opérations de levage lors des 5PM de demain matin et lors du 1/4h sécurité de lundi.
Rappel oral des consignes aux deux salariés par la direction. </t>
  </si>
  <si>
    <t>Romain FAURE
Francis MARQUIER</t>
  </si>
  <si>
    <t xml:space="preserve">Je porte la ceinture de sécurité dans tous les véhicules et engins équipés </t>
  </si>
  <si>
    <t>Membres du groupement</t>
  </si>
  <si>
    <t>Des rappels ont été fait sur le port des ceintures car certains chauffeurs ne les mettent pas.</t>
  </si>
  <si>
    <t>Rappels oraux effectués par les QSE et le directeur du chantier</t>
  </si>
  <si>
    <t>J. PEYRICAL, S. PERILLAT, T. BOURRUST</t>
  </si>
  <si>
    <t xml:space="preserve">Je travaille dans des fouilles et tranchées blindées ou tallutées </t>
  </si>
  <si>
    <t>Des compagnons travaillaient dans une tranchée qui descendaient progressivement de &lt;1,30m à quasiment 2m. Ils n'étaient pas encore entrain de travailler à plus de 1,3m. Les taches ont immédiatement été arrétées en attendant de mettre en conformité la situation.</t>
  </si>
  <si>
    <t>Rappel fait au Chef d'équipe et au chef de chantier principal sur la RV. Retrait immédiat des compagnons dans la tranchée et reprise des travaux qu'une fois la situation mise en conformitée.</t>
  </si>
  <si>
    <t>Locatier</t>
  </si>
  <si>
    <t>RAM63C</t>
  </si>
  <si>
    <t>Le locatier ne portait pas sa ceinture dans l'engin</t>
  </si>
  <si>
    <t>Rappel oral des RV
Encardement au courant pour fin de mission en cas de récidive</t>
  </si>
  <si>
    <t>T. BOURRUST</t>
  </si>
  <si>
    <t>Embauché</t>
  </si>
  <si>
    <t>Le chauffeur de pelle (S. DARID) ne portait pas sa ceinture. Ce n'est pas la prmière fois qu'il est repris.</t>
  </si>
  <si>
    <t>Formalisation d'un courier de rappel des règles</t>
  </si>
  <si>
    <t>J. PEYRICAL</t>
  </si>
  <si>
    <t xml:space="preserve">Embauché </t>
  </si>
  <si>
    <t xml:space="preserve">Le salarié ne portait pas la ceinture de sécurité sur un compacteur. </t>
  </si>
  <si>
    <t xml:space="preserve">Lettre de recadrage transmis en main propre. </t>
  </si>
  <si>
    <t>Un salarié se trouvait dans une fouille d'environ 1m60 sans redan et ni blindage sur un branchement alors qu'à la perpendiculaire une même fouille</t>
  </si>
  <si>
    <t xml:space="preserve">A. GIRAUD </t>
  </si>
  <si>
    <t xml:space="preserve">Je me tiens éloigné des angles morts des engins et véhivules </t>
  </si>
  <si>
    <t xml:space="preserve">Locatier </t>
  </si>
  <si>
    <t xml:space="preserve">Un conducteur de 8x4 en location est descendu pour échanger avec notre conducteur de pelle qui préparait une zone. Il  s'est déplacé droit dans l'angle mort de la pelle en attendant que le conducteur réalise une rotation. Nous avons immédiatement arrêté la situation et rappeler les consignes au locatier.  </t>
  </si>
  <si>
    <t>Rappel écrit au responsable de l'entreprise, 
Arrêt de mission pour ce conducteur.</t>
  </si>
  <si>
    <t>Un salarié travaillait dans une fouille de 1,80m non blindé</t>
  </si>
  <si>
    <t>Lettre de rappel des règles au salarié et CC</t>
  </si>
  <si>
    <t>N. DINET</t>
  </si>
  <si>
    <t>Intérimaires</t>
  </si>
  <si>
    <t>RAP49C</t>
  </si>
  <si>
    <t>Ceinture de sécurité non présente sur 1 engins conduit par un intérimaire.
Rappel de la règle faite immédiatement par Pierric Barre lors de la visite : 1er et dernier avertissement verbal.</t>
  </si>
  <si>
    <t>Avertissement verbal</t>
  </si>
  <si>
    <t>P. BARRE</t>
  </si>
  <si>
    <t>Je travaille en hauteur avec des protections collectives ou individuelles</t>
  </si>
  <si>
    <t>RAP81I</t>
  </si>
  <si>
    <t>Montage d'un échafaudage sans Harnais ni protection collective</t>
  </si>
  <si>
    <t>Rien, personnel intérimare</t>
  </si>
  <si>
    <t>M. VIRAT</t>
  </si>
  <si>
    <t>Pose des éléments préfabriqués (prémur) à l’aide d’échelles</t>
  </si>
  <si>
    <t>Rappel à l'ordre à toute l'équipe par animation conjointe CS/CDT/QSE</t>
  </si>
  <si>
    <t>J. REVIRON-DENARDI</t>
  </si>
  <si>
    <t>Non-respect port des EPI</t>
  </si>
  <si>
    <t>Personnes concernées</t>
  </si>
  <si>
    <t>Références documents</t>
  </si>
  <si>
    <t xml:space="preserve">MARTINS Alexandre </t>
  </si>
  <si>
    <t xml:space="preserve">Non port des lunettes en utilisant une scie circulaire. </t>
  </si>
  <si>
    <t>RAO1FE : Coulée Verte</t>
  </si>
  <si>
    <t>Letttre de recadrage remise en main propre</t>
  </si>
  <si>
    <t>Dossier RH du salarié</t>
  </si>
  <si>
    <t>Ensemble du personnel</t>
  </si>
  <si>
    <t xml:space="preserve">Non port des lunettes  </t>
  </si>
  <si>
    <t>Rappel oral + formalisé sur la visite avec DA en copie</t>
  </si>
  <si>
    <t xml:space="preserve">DESCHAMPS Xavier </t>
  </si>
  <si>
    <t xml:space="preserve">Non port des lunettes étanches, du masque PPP3 et non mise ne place des protections collectives (pulvérisateur). </t>
  </si>
  <si>
    <t xml:space="preserve">Lettre d'avertissement remise en main propre. </t>
  </si>
  <si>
    <t>ARRET DE CHANTIER</t>
  </si>
  <si>
    <t>Cause</t>
  </si>
  <si>
    <t>Fournisseurs QSE</t>
  </si>
  <si>
    <t>Thèmatique</t>
  </si>
  <si>
    <t>Produit acheté</t>
  </si>
  <si>
    <t>Nom du fournisseur</t>
  </si>
  <si>
    <t>Contact</t>
  </si>
  <si>
    <t>Acheteur NGE</t>
  </si>
  <si>
    <t xml:space="preserve"> équipement travail en hauteur: harnais; longe, stop chute</t>
  </si>
  <si>
    <t xml:space="preserve">L'equipeur
 </t>
  </si>
  <si>
    <t>Grégory CLAUDEY
Service Commercial – Responsable B2B
gregory.claudey@equipeur.fr
Tel : 04 72 82 87 21 - Ligne directe : 04 84 88 75 01
1 rue Henri Moissan - 69310 PIERRE-BÉNITE</t>
  </si>
  <si>
    <t>Chloé DUCOTTET</t>
  </si>
  <si>
    <t>Addictions</t>
  </si>
  <si>
    <t>Contrôle et achats éthylomètres</t>
  </si>
  <si>
    <t>Objectif prévention</t>
  </si>
  <si>
    <t>commande@objectif-prevention.fr
Véronique MATHIEU 
02 33 48 92 15</t>
  </si>
  <si>
    <t>ETHYWAY NF 16280 Certifié marque NF3760211840419 à 113,4€</t>
  </si>
  <si>
    <t>Communication</t>
  </si>
  <si>
    <t>Gobelets réutilisables</t>
  </si>
  <si>
    <t>ECOCUP - RE-UZ</t>
  </si>
  <si>
    <t>Laurine LEYDIER
06 79 85 36 02
laurine.leydier@reuz.com</t>
  </si>
  <si>
    <t>125 ECOCUP 25cl translucide givré à 0,56€ HT/verre</t>
  </si>
  <si>
    <t>Panneaux 5 premières minutes</t>
  </si>
  <si>
    <t>RIONDET SERIPUB SAS</t>
  </si>
  <si>
    <t>Karine BOZON
04 76 24 96 63
k.bozon@riondet-seripub.com</t>
  </si>
  <si>
    <t>30 panneaux 5 premières minutes à 14,84€ l'unité
Procédure de commande envoyée par Olivier TOULON</t>
  </si>
  <si>
    <t>Equipement</t>
  </si>
  <si>
    <t>Crochets et sangles de levage pour les containers</t>
  </si>
  <si>
    <t>BARCIET</t>
  </si>
  <si>
    <t>Sylvie Vacheret
Tél : 04 72 25 40 04
Mail : svacheret@barciet.fr</t>
  </si>
  <si>
    <t>Environnement</t>
  </si>
  <si>
    <t>Cendriers de poche</t>
  </si>
  <si>
    <t>IDEALE BOX</t>
  </si>
  <si>
    <t>Fabienne Manin 
Tél  06.70.69.35.11  
fabienne.manin@idealebox.com</t>
  </si>
  <si>
    <t>200 cendriers personnalisés noirs : 2,15€ l'unité + participation frais de transport 20€</t>
  </si>
  <si>
    <t>VERIFICATION</t>
  </si>
  <si>
    <t>Vérifications des extincteurs</t>
  </si>
  <si>
    <t xml:space="preserve">Safe control </t>
  </si>
  <si>
    <t>Abdelhakim BENTIKA
hakim@safe-control.fr
06 28 97 58 21</t>
  </si>
  <si>
    <t xml:space="preserve">Vérification ext 2kg poudre 10,59e
Achat 2kg poudre 33,22€
Achat 6kg poudre 78,53€ </t>
  </si>
  <si>
    <t>EQUIPEMENT / VERIFICATION</t>
  </si>
  <si>
    <t>Détecteur 4 gaz vérification et achat
Contrôle / vérification EPI Classe 3</t>
  </si>
  <si>
    <t>BE ATEX</t>
  </si>
  <si>
    <t>service@be-atex.com</t>
  </si>
  <si>
    <t>Equipement pour travail en hauteur
harnais; longe, stop chute</t>
  </si>
  <si>
    <t>SASSI</t>
  </si>
  <si>
    <t>commercial@sassi-france.fr</t>
  </si>
  <si>
    <t>Equipement pour travail en hauteur</t>
  </si>
  <si>
    <t>PLUCEO</t>
  </si>
  <si>
    <t>Couteaux coupe fourreaux</t>
  </si>
  <si>
    <t>DERANCOURT</t>
  </si>
  <si>
    <t>commercial2@derancourt.com</t>
  </si>
  <si>
    <t>30 couteaux pour 39€</t>
  </si>
  <si>
    <t>Détecteur 4 gaz vérification et achat
Contrôle / detecteur PID</t>
  </si>
  <si>
    <t>ACMADIS</t>
  </si>
  <si>
    <t>acmadistosse_acmadis_tosse@invitations.mailinblack.com</t>
  </si>
  <si>
    <t xml:space="preserve">Location détectuer PID </t>
  </si>
  <si>
    <t>Larvin Marie</t>
  </si>
  <si>
    <t>Ciseaux coupe bidime FINNY 8</t>
  </si>
  <si>
    <t>VINAY MATERIEL</t>
  </si>
  <si>
    <t>ALEXANDRE BUTIN-CATALANO
a.butin-catalano@vinay-materiel.fr
04 76 62 21 81</t>
  </si>
  <si>
    <t>20 Ciseaux à 19,34HT/U</t>
  </si>
  <si>
    <t>CUTTER SECURITE</t>
  </si>
  <si>
    <t>MARTOR</t>
  </si>
  <si>
    <t>Dimitri ARNAUD
arnaud@martor.fr
06,62,46,96,34</t>
  </si>
  <si>
    <t xml:space="preserve">Plan d'action </t>
  </si>
  <si>
    <t>Non-respect des règles vitales</t>
  </si>
  <si>
    <t xml:space="preserve">Registre des AT </t>
  </si>
  <si>
    <t>Test alcool + Stup</t>
  </si>
  <si>
    <t>Non Restpect des EPI</t>
  </si>
  <si>
    <t xml:space="preserve">Arret de chantier </t>
  </si>
  <si>
    <t xml:space="preserve">Liste déroulante Alerte </t>
  </si>
  <si>
    <t xml:space="preserve">Liste déroulante Risque  </t>
  </si>
  <si>
    <t>Liste déroulante CONCERNE UNE REGLE VITALE</t>
  </si>
  <si>
    <t>Liste déroulante thèmes</t>
  </si>
  <si>
    <t xml:space="preserve">Liste déroulante RV concerné </t>
  </si>
  <si>
    <t>Liste déroulante Réalisé</t>
  </si>
  <si>
    <t>Liste déroulante types d'accident</t>
  </si>
  <si>
    <t xml:space="preserve">Liste déroulante Arrêt </t>
  </si>
  <si>
    <t>Liste déroulante Poste adapté</t>
  </si>
  <si>
    <t>Liste déroulante Entretien de retour</t>
  </si>
  <si>
    <t xml:space="preserve">Liste déroulante DA sur chantier  </t>
  </si>
  <si>
    <t xml:space="preserve">Liste déroulante Analyse sous 7J </t>
  </si>
  <si>
    <t>Liste déroulante Faire une analyse détaillée</t>
  </si>
  <si>
    <t xml:space="preserve">Liste déroulante Presqu'accident/ Situation dangereuse </t>
  </si>
  <si>
    <t xml:space="preserve">Liste déroulante 
Type de test   </t>
  </si>
  <si>
    <t>/</t>
  </si>
  <si>
    <t>Reportée</t>
  </si>
  <si>
    <t>Je stabilise les banches et les éléments préfabriqués avant de retirer l'élingage</t>
  </si>
  <si>
    <t xml:space="preserve">Je réalise la VAT avant d'intervenir sur un ouvrage électrique </t>
  </si>
  <si>
    <t>Financier</t>
  </si>
  <si>
    <t>MP</t>
  </si>
  <si>
    <t>RAP64i</t>
  </si>
  <si>
    <t>06/11/2025 au 06/02/2026</t>
  </si>
  <si>
    <t xml:space="preserve">Lors d'une opération de chargement de blindages dans un camion 8x4 à l'aide d'une pelle mécanique réalisée sur la voie publique préalablement balisée et fermée par deux personnes ; un cycliste a forcé le passage à proximité immédiate de la pelle. Heureusement, à ce moment le godet était en position basse le temps de la mise en place des chaînes de levage.  </t>
  </si>
  <si>
    <t>251209_RL_RAO92C_SANTOS CRUZ - N°14 EPI C3</t>
  </si>
  <si>
    <t>SANTOS CRUZ Carlos
GUILLON Théo</t>
  </si>
  <si>
    <t xml:space="preserve">Dans le cadre de la pose du regard d'infiltration, les tampons définitifs n'étaient pas encore installés. La zone avait été protégée par des barrières de chantier, toutefois ce dispositif s'est avéré insuffisant pour garantir une protection efficace de l'ouvrage. </t>
  </si>
  <si>
    <t>251209_RL_RAO92C_SANTOS CRUZ - N°13 Levage</t>
  </si>
  <si>
    <t>SANTOS CRUZ Carlos
GUILLON Théo
DENEPOUX Romain</t>
  </si>
  <si>
    <t>DUPUY</t>
  </si>
  <si>
    <t xml:space="preserve">Non respect de la mise à sens unique d'une rue. Malgré le balisage renforcé (GBA Béton + GBA plastiques + panneaux routé barrée et sens interdit) les riverains ne respecenr pas la mise à sens unique de la rue. </t>
  </si>
  <si>
    <t>251210_RL_RAP56C_JEAN VICTOR DUPUY GRIMAND - N°14 EPI C3</t>
  </si>
  <si>
    <t>JEAN VICTOR Emma
DUPUY Jordan
GRIMAND Adrien</t>
  </si>
  <si>
    <t xml:space="preserve">Faire passer des formations pour être apte à descendre dans les milieux confinés. </t>
  </si>
  <si>
    <t>251211_RL_RAN63C_RONZE DE OLIVEIRA G. DEFRANCE CAILLE - N°14 EPI C3</t>
  </si>
  <si>
    <t>DE OLIVEIRA GONCALVES Jorge
RONZE Alexandre
CAILLE Thierry
DEFRANCE Damien</t>
  </si>
  <si>
    <t xml:space="preserve">L'insertion s'est entravé les pieds dans un morceau de ferraile lors du nettoyage et du rangement. Heureusement, il ne lui est rien arrivé. Faire attention lors de l'évacuation de la ferraille, notmment les barrières casabac car une fois cassée, c'est très dangereux. Porter les gants et autres EPI. </t>
  </si>
  <si>
    <t>251210_RL_RAN63C_BERTHELON - N°14 EPI C3</t>
  </si>
  <si>
    <t>251218_LHL_RAP61D_VALOT - N°13 Levage</t>
  </si>
  <si>
    <t xml:space="preserve">Un camion ampirolle avec 1m3 de béton dans la benne devait poser celle-ci au sol. Lors de la manœuvre pour descendre la benne, cette dernière est sortie du crochet quiretient et est tombée au sol. </t>
  </si>
  <si>
    <t>251218_LHL_RAP61D_VALOT - N°14 EPI C3</t>
  </si>
  <si>
    <t xml:space="preserve">En déchargeant des caniveau grille à l'aide d'une pince à bordures, un caniveau a glissé de la pince juste avant de le poser sur la palette. </t>
  </si>
  <si>
    <t>251218_RL_RAL2HC_DE ARAUJO - N°14 EPI C3</t>
  </si>
  <si>
    <t>Travail en co activité, non respect des angles morts des engins.</t>
  </si>
  <si>
    <t xml:space="preserve">Tronçonneuse louée chez KILOUTOU. Nous avons constaté qu'il manque la fixation du bloc moteur. </t>
  </si>
  <si>
    <t>RAP96C</t>
  </si>
  <si>
    <t>251210_RL_RAP96C_SANTOS CRUZ - Fixation bloc moteur tronconneuse</t>
  </si>
  <si>
    <t>SANTOS CRUZ Carlos</t>
  </si>
  <si>
    <t>RIBEIRO Pierre, 2 tests positifs sur chantier. 2 Contre-expertises envoyées. Confirmation</t>
  </si>
  <si>
    <t>Rejet CPAM</t>
  </si>
  <si>
    <t>Reunion d'exploitation</t>
  </si>
  <si>
    <t>RAEHES</t>
  </si>
  <si>
    <t>Rensibiliser l'ensemble des collaborateurs aux éveils musculaires</t>
  </si>
  <si>
    <t>DUERP</t>
  </si>
  <si>
    <t>Mettre à jour le DUERP</t>
  </si>
  <si>
    <t>Système</t>
  </si>
  <si>
    <t>Cana est</t>
  </si>
  <si>
    <t>Metter à jour le PASE</t>
  </si>
  <si>
    <t>Programmer les test SU</t>
  </si>
  <si>
    <t>Dprev</t>
  </si>
  <si>
    <t>Lancement de la campagne ambition prévention, diffusion des questionnaires à l'ensemble du personnel</t>
  </si>
  <si>
    <t>Réaliser des reunions de lancement d'année avec l'encadrement. Afin de faire : un bilan des objectifs, un rappel des objectifs et obligations…</t>
  </si>
  <si>
    <t>Réaliser une sensibilisation auprès de tous les collaborateurs sur les risques liés aux addictions</t>
  </si>
  <si>
    <t>Réaliser la sensibilisation annuelle auprès de tous les collaborateurs sur le risque routier qui est majeur pour nos activités</t>
  </si>
  <si>
    <t>Distribution des paquetages HV à tous le personnel succeptible d'aller sur terrain afin de limiter le risque heurt engin piéton qui est majeur lors de nos activités</t>
  </si>
  <si>
    <t>RAL + Cana</t>
  </si>
  <si>
    <t>Rappel sur les consignes de gestion des riveraisn et d'alternat à la prise de poste suivante</t>
  </si>
  <si>
    <t>Participer à la reunion à venir organisée par le SPS pour appronfondir l'analyse avec le commerce riverain</t>
  </si>
  <si>
    <t>Réaliser un support sur les bonnes pratiques pour mise en œuvre d'un alternat</t>
  </si>
  <si>
    <t>Communiquer un flash AT pour interdire la pratique ayant causée l'AT</t>
  </si>
  <si>
    <t>Programmer les tests addictions</t>
  </si>
  <si>
    <t>Programmer les 1/4d'h vidéos</t>
  </si>
  <si>
    <t>Politique 2026</t>
  </si>
  <si>
    <t>Programmer la cmapagne de mesure silice</t>
  </si>
  <si>
    <t>Le chauffeur en location (Luc) a maintenu son godet de benne preneuse au dessus d'un salarié alors qu'il versait un bidon dans un arrosoir.
Faire un rappel écrit.</t>
  </si>
  <si>
    <t>T. TOURNIER</t>
  </si>
  <si>
    <t>Rappel écrit effectué
Prévoir un courrier de rappel au prestataire</t>
  </si>
  <si>
    <t xml:space="preserve">Rappel fait au Chef d'équipe et au chef de chantier principal sur la RV. Retrait immédiat du compagnons dans la tranchée et reprise des travaux qu'une fois la situation mise en conformitée.
Sanction : Avertissement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</si>
</sst>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7" formatCode="#,##0.00\ &quot;€&quot;;\-#,##0.00\ &quot;€&quot;"/>
    <numFmt numFmtId="164" formatCode="#,##0_ ;\-#,##0\ "/>
    <numFmt numFmtId="165" formatCode="#,##0.00\ &quot;€&quot;"/>
    <numFmt numFmtId="166" formatCode="dd/mm/yy;@"/>
  </numFmts>
  <fonts count="58"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10"/>
      <name val="Calibri"/>
      <family val="2"/>
      <scheme val="minor"/>
    </font>
    <font>
      <sz val="14"/>
      <name val="Calibri"/>
      <family val="2"/>
      <scheme val="minor"/>
    </font>
    <font>
      <sz val="14"/>
      <color theme="3"/>
      <name val="Calibri Light"/>
      <family val="2"/>
      <scheme val="major"/>
    </font>
    <font>
      <b/>
      <sz val="18"/>
      <color theme="3"/>
      <name val="Segoe Print"/>
    </font>
    <font>
      <sz val="12"/>
      <color theme="1"/>
      <name val="Calibri"/>
      <family val="2"/>
      <scheme val="minor"/>
    </font>
    <font>
      <b/>
      <sz val="18"/>
      <color theme="1"/>
      <name val="Segoe Print"/>
    </font>
    <font>
      <sz val="11"/>
      <color rgb="FF000000"/>
      <name val="Calibri"/>
      <family val="2"/>
      <scheme val="minor"/>
    </font>
    <font>
      <b/>
      <sz val="11"/>
      <color rgb="FF000000"/>
      <name val="Calibri"/>
      <family val="2"/>
      <scheme val="minor"/>
    </font>
    <font>
      <sz val="8"/>
      <name val="Calibri"/>
      <family val="2"/>
      <scheme val="minor"/>
    </font>
    <font>
      <sz val="11"/>
      <name val="Arial"/>
      <family val="2"/>
    </font>
    <font>
      <sz val="12"/>
      <name val="Calibri"/>
      <family val="2"/>
      <scheme val="minor"/>
    </font>
    <font>
      <b/>
      <sz val="12"/>
      <color theme="0"/>
      <name val="Calibri"/>
      <family val="2"/>
      <scheme val="minor"/>
    </font>
    <font>
      <sz val="13"/>
      <name val="Arial"/>
      <family val="2"/>
    </font>
    <font>
      <sz val="13"/>
      <name val="Calibri"/>
      <family val="2"/>
      <scheme val="minor"/>
    </font>
    <font>
      <sz val="11"/>
      <color rgb="FFFF0000"/>
      <name val="Calibri"/>
      <family val="2"/>
      <scheme val="minor"/>
    </font>
    <font>
      <b/>
      <sz val="14"/>
      <color rgb="FF3F3F3F"/>
      <name val="Calibri"/>
      <family val="2"/>
      <scheme val="minor"/>
    </font>
    <font>
      <i/>
      <sz val="9"/>
      <name val="Calibri"/>
      <family val="2"/>
      <scheme val="minor"/>
    </font>
    <font>
      <b/>
      <sz val="14"/>
      <name val="Calibri"/>
      <family val="2"/>
      <scheme val="minor"/>
    </font>
    <font>
      <b/>
      <sz val="14"/>
      <color theme="0"/>
      <name val="Calibri"/>
      <family val="2"/>
      <scheme val="minor"/>
    </font>
    <font>
      <b/>
      <sz val="14"/>
      <color theme="4" tint="-0.249977111117893"/>
      <name val="Calibri"/>
      <family val="2"/>
      <scheme val="minor"/>
    </font>
    <font>
      <b/>
      <sz val="10"/>
      <name val="Calibri"/>
      <family val="2"/>
      <scheme val="minor"/>
    </font>
    <font>
      <sz val="16"/>
      <name val="Calibri"/>
      <family val="2"/>
      <scheme val="minor"/>
    </font>
    <font>
      <sz val="13"/>
      <name val="Times New Roman"/>
      <family val="1"/>
    </font>
    <font>
      <b/>
      <sz val="13"/>
      <color rgb="FF3F3F3F"/>
      <name val="Calibri"/>
      <family val="2"/>
      <scheme val="minor"/>
    </font>
    <font>
      <u/>
      <sz val="11"/>
      <color theme="10"/>
      <name val="Calibri"/>
      <family val="2"/>
      <scheme val="minor"/>
    </font>
    <font>
      <b/>
      <sz val="11"/>
      <color rgb="FF3F3F3F"/>
      <name val="Calibri"/>
      <family val="2"/>
      <scheme val="minor"/>
    </font>
    <font>
      <sz val="11"/>
      <name val="Segoe Print"/>
    </font>
    <font>
      <b/>
      <sz val="16"/>
      <color rgb="FF002060"/>
      <name val="Segoe Print"/>
    </font>
    <font>
      <b/>
      <sz val="12"/>
      <color rgb="FFFF3399"/>
      <name val="Calibri"/>
      <family val="2"/>
      <scheme val="minor"/>
    </font>
    <font>
      <b/>
      <sz val="22"/>
      <color theme="3"/>
      <name val="Segoe Print"/>
    </font>
    <font>
      <sz val="10"/>
      <color rgb="FF000000"/>
      <name val="Calibri"/>
      <family val="2"/>
      <scheme val="minor"/>
    </font>
    <font>
      <b/>
      <sz val="10"/>
      <color rgb="FF000000"/>
      <name val="Calibri"/>
      <family val="2"/>
      <scheme val="minor"/>
    </font>
    <font>
      <b/>
      <i/>
      <sz val="10"/>
      <name val="Calibri"/>
      <family val="2"/>
      <scheme val="minor"/>
    </font>
    <font>
      <sz val="10"/>
      <color theme="0"/>
      <name val="Calibri"/>
      <family val="2"/>
      <scheme val="minor"/>
    </font>
    <font>
      <sz val="10"/>
      <name val="Century Gothic"/>
      <family val="2"/>
    </font>
    <font>
      <b/>
      <sz val="10"/>
      <color rgb="FFFF0000"/>
      <name val="Calibri"/>
      <family val="2"/>
      <scheme val="minor"/>
    </font>
    <font>
      <sz val="10"/>
      <color theme="1"/>
      <name val="Calibri"/>
      <family val="2"/>
      <scheme val="minor"/>
    </font>
    <font>
      <b/>
      <sz val="10"/>
      <color theme="0"/>
      <name val="Calibri"/>
      <family val="2"/>
      <scheme val="minor"/>
    </font>
    <font>
      <sz val="9"/>
      <name val="Arial"/>
      <family val="2"/>
    </font>
    <font>
      <sz val="10.5"/>
      <color rgb="FF222222"/>
      <name val="Arial"/>
      <family val="2"/>
    </font>
    <font>
      <sz val="22"/>
      <name val="Calibri"/>
      <family val="2"/>
      <scheme val="minor"/>
    </font>
    <font>
      <sz val="22"/>
      <color rgb="FF000000"/>
      <name val="Calibri"/>
      <family val="2"/>
      <scheme val="minor"/>
    </font>
    <font>
      <sz val="22"/>
      <color rgb="FFFF0000"/>
      <name val="Calibri"/>
      <family val="2"/>
      <scheme val="minor"/>
    </font>
    <font>
      <sz val="13"/>
      <color theme="1"/>
      <name val="Calibri"/>
      <family val="2"/>
      <scheme val="minor"/>
    </font>
    <font>
      <sz val="13"/>
      <color theme="1"/>
      <name val="Arial"/>
      <family val="2"/>
    </font>
    <font>
      <sz val="14"/>
      <name val="Arial"/>
      <family val="2"/>
    </font>
    <font>
      <b/>
      <sz val="14"/>
      <color rgb="FF002060"/>
      <name val="Calibri"/>
      <family val="2"/>
      <scheme val="minor"/>
    </font>
    <font>
      <sz val="14"/>
      <color rgb="FF222222"/>
      <name val="Arial"/>
      <family val="2"/>
    </font>
    <font>
      <b/>
      <sz val="10"/>
      <color theme="1" tint="0.499984740745262"/>
      <name val="Calibri"/>
      <family val="2"/>
      <scheme val="minor"/>
    </font>
    <font>
      <sz val="10"/>
      <color rgb="FF002C77"/>
      <name val="Century Gothic"/>
      <family val="2"/>
    </font>
    <font>
      <sz val="9"/>
      <name val="Arial"/>
      <family val="2"/>
    </font>
    <font>
      <sz val="11"/>
      <name val="Calibri"/>
      <family val="2"/>
      <scheme val="minor"/>
    </font>
  </fonts>
  <fills count="60">
    <fill>
      <patternFill patternType="none"/>
    </fill>
    <fill>
      <patternFill patternType="gray125"/>
    </fill>
    <fill>
      <patternFill patternType="solid">
        <fgColor theme="4" tint="-0.499984740745262"/>
        <bgColor indexed="64"/>
      </patternFill>
    </fill>
    <fill>
      <patternFill patternType="solid">
        <fgColor theme="6" tint="-0.24997711111789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FFCCFF"/>
        <bgColor rgb="FF000000"/>
      </patternFill>
    </fill>
    <fill>
      <patternFill patternType="solid">
        <fgColor rgb="FF92D050"/>
        <bgColor rgb="FF000000"/>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bgColor indexed="64"/>
      </patternFill>
    </fill>
    <fill>
      <patternFill patternType="solid">
        <fgColor rgb="FFFFC000"/>
        <bgColor rgb="FF000000"/>
      </patternFill>
    </fill>
    <fill>
      <patternFill patternType="solid">
        <fgColor rgb="FF75DBFF"/>
        <bgColor rgb="FF000000"/>
      </patternFill>
    </fill>
    <fill>
      <patternFill patternType="solid">
        <fgColor rgb="FF01912A"/>
        <bgColor rgb="FF000000"/>
      </patternFill>
    </fill>
    <fill>
      <patternFill patternType="solid">
        <fgColor rgb="FFB7ECFF"/>
        <bgColor rgb="FF000000"/>
      </patternFill>
    </fill>
    <fill>
      <patternFill patternType="solid">
        <fgColor rgb="FFFFDF79"/>
        <bgColor rgb="FF000000"/>
      </patternFill>
    </fill>
    <fill>
      <patternFill patternType="solid">
        <fgColor rgb="FFABFFC3"/>
        <bgColor rgb="FF000000"/>
      </patternFill>
    </fill>
    <fill>
      <patternFill patternType="solid">
        <fgColor theme="8" tint="0.39997558519241921"/>
        <bgColor indexed="64"/>
      </patternFill>
    </fill>
    <fill>
      <patternFill patternType="solid">
        <fgColor theme="8" tint="0.39997558519241921"/>
        <bgColor rgb="FF000000"/>
      </patternFill>
    </fill>
    <fill>
      <patternFill patternType="solid">
        <fgColor rgb="FFFF8989"/>
        <bgColor indexed="64"/>
      </patternFill>
    </fill>
    <fill>
      <patternFill patternType="solid">
        <fgColor theme="0"/>
        <bgColor rgb="FF000000"/>
      </patternFill>
    </fill>
    <fill>
      <patternFill patternType="solid">
        <fgColor theme="0"/>
        <bgColor indexed="64"/>
      </patternFill>
    </fill>
    <fill>
      <patternFill patternType="solid">
        <fgColor rgb="FFFFC000"/>
        <bgColor indexed="64"/>
      </patternFill>
    </fill>
    <fill>
      <patternFill patternType="solid">
        <fgColor theme="5" tint="0.59999389629810485"/>
        <bgColor indexed="64"/>
      </patternFill>
    </fill>
    <fill>
      <patternFill patternType="solid">
        <fgColor rgb="FFEAC4EE"/>
        <bgColor indexed="64"/>
      </patternFill>
    </fill>
    <fill>
      <patternFill patternType="solid">
        <fgColor rgb="FFFFFFFF"/>
        <bgColor indexed="64"/>
      </patternFill>
    </fill>
    <fill>
      <patternFill patternType="solid">
        <fgColor rgb="FFFFCC99"/>
        <bgColor indexed="64"/>
      </patternFill>
    </fill>
    <fill>
      <patternFill patternType="solid">
        <fgColor theme="4" tint="-0.499984740745262"/>
        <bgColor rgb="FF000000"/>
      </patternFill>
    </fill>
    <fill>
      <patternFill patternType="solid">
        <fgColor rgb="FFFF481D"/>
        <bgColor rgb="FF000000"/>
      </patternFill>
    </fill>
    <fill>
      <patternFill patternType="solid">
        <fgColor rgb="FFCC99FF"/>
        <bgColor rgb="FF000000"/>
      </patternFill>
    </fill>
    <fill>
      <patternFill patternType="solid">
        <fgColor rgb="FFCC99FF"/>
        <bgColor indexed="64"/>
      </patternFill>
    </fill>
    <fill>
      <patternFill patternType="solid">
        <fgColor rgb="FF663300"/>
        <bgColor indexed="64"/>
      </patternFill>
    </fill>
    <fill>
      <patternFill patternType="solid">
        <fgColor indexed="65"/>
        <bgColor indexed="64"/>
      </patternFill>
    </fill>
    <fill>
      <patternFill patternType="solid">
        <fgColor indexed="65"/>
        <bgColor theme="1"/>
      </patternFill>
    </fill>
    <fill>
      <patternFill patternType="solid">
        <fgColor theme="5" tint="0.59999389629810485"/>
        <bgColor theme="1"/>
      </patternFill>
    </fill>
    <fill>
      <patternFill patternType="solid">
        <fgColor rgb="FF808080"/>
        <bgColor rgb="FF000000"/>
      </patternFill>
    </fill>
    <fill>
      <patternFill patternType="solid">
        <fgColor theme="0" tint="-0.14999847407452621"/>
        <bgColor rgb="FF000000"/>
      </patternFill>
    </fill>
    <fill>
      <patternFill patternType="solid">
        <fgColor rgb="FFFFCCFF"/>
        <bgColor indexed="64"/>
      </patternFill>
    </fill>
    <fill>
      <patternFill patternType="solid">
        <fgColor theme="9" tint="0.59999389629810485"/>
        <bgColor rgb="FF000000"/>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652E09"/>
        <bgColor indexed="64"/>
      </patternFill>
    </fill>
    <fill>
      <patternFill patternType="solid">
        <fgColor rgb="FFD9E1F2"/>
        <bgColor rgb="FFD9E1F2"/>
      </patternFill>
    </fill>
    <fill>
      <patternFill patternType="solid">
        <fgColor theme="0" tint="-0.34998626667073579"/>
        <bgColor indexed="64"/>
      </patternFill>
    </fill>
    <fill>
      <patternFill patternType="solid">
        <fgColor theme="1" tint="0.249977111117893"/>
        <bgColor rgb="FF000000"/>
      </patternFill>
    </fill>
    <fill>
      <patternFill patternType="solid">
        <fgColor theme="1" tint="0.249977111117893"/>
        <bgColor indexed="64"/>
      </patternFill>
    </fill>
    <fill>
      <patternFill patternType="solid">
        <fgColor theme="0" tint="-0.14999847407452621"/>
        <bgColor indexed="64"/>
      </patternFill>
    </fill>
    <fill>
      <patternFill patternType="solid">
        <fgColor theme="2" tint="-0.499984740745262"/>
        <bgColor rgb="FF000000"/>
      </patternFill>
    </fill>
    <fill>
      <patternFill patternType="solid">
        <fgColor theme="2" tint="-0.499984740745262"/>
        <bgColor indexed="64"/>
      </patternFill>
    </fill>
    <fill>
      <patternFill patternType="solid">
        <fgColor theme="0" tint="-0.499984740745262"/>
        <bgColor rgb="FF000000"/>
      </patternFill>
    </fill>
    <fill>
      <patternFill patternType="solid">
        <fgColor theme="0" tint="-0.499984740745262"/>
        <bgColor indexed="64"/>
      </patternFill>
    </fill>
    <fill>
      <patternFill patternType="solid">
        <fgColor theme="0" tint="-0.34998626667073579"/>
        <bgColor rgb="FF000000"/>
      </patternFill>
    </fill>
    <fill>
      <patternFill patternType="solid">
        <fgColor theme="9" tint="0.59999389629810485"/>
        <bgColor indexed="64"/>
      </patternFill>
    </fill>
    <fill>
      <patternFill patternType="solid">
        <fgColor theme="1" tint="0.499984740745262"/>
        <bgColor rgb="FF000000"/>
      </patternFill>
    </fill>
    <fill>
      <patternFill patternType="solid">
        <fgColor theme="1" tint="0.499984740745262"/>
        <bgColor indexed="64"/>
      </patternFill>
    </fill>
    <fill>
      <patternFill patternType="solid">
        <fgColor theme="2" tint="-9.9978637043366805E-2"/>
        <bgColor indexed="64"/>
      </patternFill>
    </fill>
    <fill>
      <patternFill patternType="solid">
        <fgColor theme="2" tint="-9.9978637043366805E-2"/>
        <bgColor rgb="FF000000"/>
      </patternFill>
    </fill>
    <fill>
      <patternFill patternType="solid">
        <fgColor theme="1" tint="0.34998626667073579"/>
        <bgColor rgb="FF000000"/>
      </patternFill>
    </fill>
    <fill>
      <patternFill patternType="solid">
        <fgColor theme="1" tint="0.34998626667073579"/>
        <bgColor indexed="64"/>
      </patternFill>
    </fill>
  </fills>
  <borders count="126">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theme="0"/>
      </left>
      <right style="thin">
        <color theme="0"/>
      </right>
      <top/>
      <bottom style="thick">
        <color theme="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style="medium">
        <color auto="1"/>
      </top>
      <bottom style="medium">
        <color auto="1"/>
      </bottom>
      <diagonal/>
    </border>
    <border>
      <left/>
      <right/>
      <top style="thin">
        <color auto="1"/>
      </top>
      <bottom/>
      <diagonal/>
    </border>
    <border>
      <left/>
      <right/>
      <top style="thin">
        <color auto="1"/>
      </top>
      <bottom style="thin">
        <color auto="1"/>
      </bottom>
      <diagonal/>
    </border>
    <border>
      <left/>
      <right style="medium">
        <color auto="1"/>
      </right>
      <top/>
      <bottom/>
      <diagonal/>
    </border>
    <border>
      <left style="medium">
        <color auto="1"/>
      </left>
      <right/>
      <top/>
      <bottom/>
      <diagonal/>
    </border>
    <border>
      <left/>
      <right/>
      <top/>
      <bottom style="medium">
        <color auto="1"/>
      </bottom>
      <diagonal/>
    </border>
    <border>
      <left/>
      <right style="thin">
        <color theme="0" tint="-0.34998626667073579"/>
      </right>
      <top style="medium">
        <color auto="1"/>
      </top>
      <bottom style="medium">
        <color auto="1"/>
      </bottom>
      <diagonal/>
    </border>
    <border>
      <left style="medium">
        <color auto="1"/>
      </left>
      <right/>
      <top style="medium">
        <color auto="1"/>
      </top>
      <bottom/>
      <diagonal/>
    </border>
    <border>
      <left/>
      <right style="medium">
        <color indexed="64"/>
      </right>
      <top style="medium">
        <color indexed="64"/>
      </top>
      <bottom style="medium">
        <color indexed="64"/>
      </bottom>
      <diagonal/>
    </border>
    <border>
      <left style="thin">
        <color theme="6"/>
      </left>
      <right/>
      <top style="thin">
        <color indexed="64"/>
      </top>
      <bottom/>
      <diagonal/>
    </border>
    <border>
      <left style="thin">
        <color theme="0" tint="-0.34998626667073579"/>
      </left>
      <right/>
      <top style="thin">
        <color indexed="64"/>
      </top>
      <bottom/>
      <diagonal/>
    </border>
    <border>
      <left style="thin">
        <color theme="6"/>
      </left>
      <right style="thin">
        <color indexed="64"/>
      </right>
      <top style="thin">
        <color indexed="64"/>
      </top>
      <bottom/>
      <diagonal/>
    </border>
    <border>
      <left style="thin">
        <color auto="1"/>
      </left>
      <right style="thin">
        <color auto="1"/>
      </right>
      <top style="thin">
        <color auto="1"/>
      </top>
      <bottom style="thin">
        <color theme="5"/>
      </bottom>
      <diagonal/>
    </border>
    <border>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thin">
        <color theme="0" tint="-0.34998626667073579"/>
      </left>
      <right/>
      <top style="medium">
        <color rgb="FFC00000"/>
      </top>
      <bottom/>
      <diagonal/>
    </border>
    <border>
      <left style="thin">
        <color theme="6"/>
      </left>
      <right/>
      <top style="medium">
        <color rgb="FFC00000"/>
      </top>
      <bottom/>
      <diagonal/>
    </border>
    <border>
      <left style="thin">
        <color theme="6"/>
      </left>
      <right style="medium">
        <color rgb="FFC00000"/>
      </right>
      <top style="medium">
        <color rgb="FFC00000"/>
      </top>
      <bottom/>
      <diagonal/>
    </border>
    <border>
      <left style="thin">
        <color rgb="FF000000"/>
      </left>
      <right style="medium">
        <color rgb="FFC00000"/>
      </right>
      <top style="thin">
        <color rgb="FF000000"/>
      </top>
      <bottom style="thin">
        <color rgb="FF000000"/>
      </bottom>
      <diagonal/>
    </border>
    <border>
      <left style="thin">
        <color rgb="FF003399"/>
      </left>
      <right style="thin">
        <color rgb="FF003399"/>
      </right>
      <top style="thin">
        <color rgb="FF003399"/>
      </top>
      <bottom style="thin">
        <color rgb="FF003399"/>
      </bottom>
      <diagonal/>
    </border>
    <border>
      <left style="thin">
        <color rgb="FF003399"/>
      </left>
      <right style="thin">
        <color rgb="FF003399"/>
      </right>
      <top style="thin">
        <color rgb="FF003399"/>
      </top>
      <bottom/>
      <diagonal/>
    </border>
    <border>
      <left style="thin">
        <color rgb="FF000000"/>
      </left>
      <right style="thin">
        <color rgb="FF000000"/>
      </right>
      <top style="thin">
        <color rgb="FF000000"/>
      </top>
      <bottom/>
      <diagonal/>
    </border>
    <border>
      <left style="medium">
        <color auto="1"/>
      </left>
      <right/>
      <top style="thick">
        <color theme="0"/>
      </top>
      <bottom/>
      <diagonal/>
    </border>
    <border>
      <left/>
      <right/>
      <top style="thick">
        <color theme="0"/>
      </top>
      <bottom/>
      <diagonal/>
    </border>
    <border>
      <left/>
      <right style="medium">
        <color auto="1"/>
      </right>
      <top style="thick">
        <color theme="0"/>
      </top>
      <bottom/>
      <diagonal/>
    </border>
    <border>
      <left/>
      <right style="thin">
        <color rgb="FF000000"/>
      </right>
      <top style="thin">
        <color rgb="FF000000"/>
      </top>
      <bottom/>
      <diagonal/>
    </border>
    <border>
      <left style="thin">
        <color auto="1"/>
      </left>
      <right/>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top/>
      <bottom style="thin">
        <color auto="1"/>
      </bottom>
      <diagonal/>
    </border>
    <border>
      <left style="medium">
        <color indexed="64"/>
      </left>
      <right/>
      <top style="thin">
        <color auto="1"/>
      </top>
      <bottom style="thin">
        <color auto="1"/>
      </bottom>
      <diagonal/>
    </border>
    <border>
      <left style="medium">
        <color auto="1"/>
      </left>
      <right style="thin">
        <color auto="1"/>
      </right>
      <top style="medium">
        <color auto="1"/>
      </top>
      <bottom/>
      <diagonal/>
    </border>
    <border>
      <left/>
      <right/>
      <top/>
      <bottom style="thin">
        <color indexed="64"/>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style="medium">
        <color indexed="64"/>
      </right>
      <top style="thin">
        <color auto="1"/>
      </top>
      <bottom style="thin">
        <color auto="1"/>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auto="1"/>
      </left>
      <right style="thick">
        <color rgb="FF0070C0"/>
      </right>
      <top style="thin">
        <color auto="1"/>
      </top>
      <bottom style="thin">
        <color auto="1"/>
      </bottom>
      <diagonal/>
    </border>
    <border>
      <left/>
      <right/>
      <top style="medium">
        <color rgb="FFC00000"/>
      </top>
      <bottom/>
      <diagonal/>
    </border>
    <border>
      <left/>
      <right/>
      <top style="thin">
        <color theme="1"/>
      </top>
      <bottom style="thin">
        <color theme="1"/>
      </bottom>
      <diagonal/>
    </border>
    <border>
      <left/>
      <right/>
      <top style="thin">
        <color theme="1"/>
      </top>
      <bottom/>
      <diagonal/>
    </border>
    <border>
      <left/>
      <right/>
      <top/>
      <bottom style="thin">
        <color theme="1"/>
      </bottom>
      <diagonal/>
    </border>
    <border>
      <left style="thin">
        <color theme="1"/>
      </left>
      <right style="thick">
        <color rgb="FFFF0000"/>
      </right>
      <top style="thin">
        <color theme="1"/>
      </top>
      <bottom style="thin">
        <color theme="1"/>
      </bottom>
      <diagonal/>
    </border>
    <border>
      <left style="thin">
        <color theme="1"/>
      </left>
      <right style="thick">
        <color rgb="FFFF0000"/>
      </right>
      <top style="thin">
        <color theme="1"/>
      </top>
      <bottom/>
      <diagonal/>
    </border>
    <border>
      <left style="thin">
        <color theme="1"/>
      </left>
      <right style="thick">
        <color rgb="FFFF0000"/>
      </right>
      <top/>
      <bottom style="thin">
        <color theme="1"/>
      </bottom>
      <diagonal/>
    </border>
    <border diagonalUp="1">
      <left/>
      <right/>
      <top/>
      <bottom/>
      <diagonal style="medium">
        <color rgb="FFC00000"/>
      </diagonal>
    </border>
    <border diagonalUp="1">
      <left style="thin">
        <color auto="1"/>
      </left>
      <right style="thin">
        <color auto="1"/>
      </right>
      <top style="thin">
        <color auto="1"/>
      </top>
      <bottom style="thin">
        <color auto="1"/>
      </bottom>
      <diagonal style="medium">
        <color rgb="FFC00000"/>
      </diagonal>
    </border>
    <border diagonalUp="1">
      <left style="thin">
        <color auto="1"/>
      </left>
      <right/>
      <top style="thin">
        <color auto="1"/>
      </top>
      <bottom style="thin">
        <color auto="1"/>
      </bottom>
      <diagonal style="medium">
        <color rgb="FFC00000"/>
      </diagonal>
    </border>
    <border diagonalUp="1">
      <left/>
      <right/>
      <top style="thin">
        <color theme="1"/>
      </top>
      <bottom style="thin">
        <color theme="1"/>
      </bottom>
      <diagonal style="medium">
        <color rgb="FFC00000"/>
      </diagonal>
    </border>
    <border diagonalUp="1">
      <left style="thin">
        <color theme="1"/>
      </left>
      <right style="thick">
        <color rgb="FFFF0000"/>
      </right>
      <top style="thin">
        <color theme="1"/>
      </top>
      <bottom style="thin">
        <color theme="1"/>
      </bottom>
      <diagonal style="medium">
        <color rgb="FFC00000"/>
      </diagonal>
    </border>
    <border diagonalUp="1">
      <left/>
      <right style="thin">
        <color rgb="FF000000"/>
      </right>
      <top style="thin">
        <color rgb="FF000000"/>
      </top>
      <bottom style="thin">
        <color rgb="FF000000"/>
      </bottom>
      <diagonal style="medium">
        <color rgb="FFC00000"/>
      </diagonal>
    </border>
    <border diagonalUp="1">
      <left style="thin">
        <color rgb="FF000000"/>
      </left>
      <right style="thin">
        <color rgb="FF000000"/>
      </right>
      <top style="thin">
        <color rgb="FF000000"/>
      </top>
      <bottom style="thin">
        <color rgb="FF000000"/>
      </bottom>
      <diagonal style="medium">
        <color rgb="FFC00000"/>
      </diagonal>
    </border>
    <border diagonalUp="1">
      <left style="thin">
        <color rgb="FF000000"/>
      </left>
      <right style="medium">
        <color rgb="FFC00000"/>
      </right>
      <top style="thin">
        <color rgb="FF000000"/>
      </top>
      <bottom style="thin">
        <color rgb="FF000000"/>
      </bottom>
      <diagonal style="medium">
        <color rgb="FFC00000"/>
      </diagonal>
    </border>
    <border diagonalUp="1">
      <left style="thin">
        <color auto="1"/>
      </left>
      <right style="thick">
        <color rgb="FF0070C0"/>
      </right>
      <top style="thin">
        <color auto="1"/>
      </top>
      <bottom style="thin">
        <color auto="1"/>
      </bottom>
      <diagonal style="medium">
        <color rgb="FFC00000"/>
      </diagonal>
    </border>
    <border diagonalUp="1">
      <left style="thin">
        <color rgb="FF000000"/>
      </left>
      <right style="thin">
        <color rgb="FF000000"/>
      </right>
      <top style="thin">
        <color rgb="FF000000"/>
      </top>
      <bottom/>
      <diagonal style="medium">
        <color rgb="FFC00000"/>
      </diagonal>
    </border>
    <border>
      <left style="thick">
        <color rgb="FF0070C0"/>
      </left>
      <right/>
      <top style="thick">
        <color rgb="FF0070C0"/>
      </top>
      <bottom/>
      <diagonal/>
    </border>
    <border>
      <left/>
      <right/>
      <top style="thick">
        <color rgb="FF0070C0"/>
      </top>
      <bottom/>
      <diagonal/>
    </border>
    <border>
      <left style="medium">
        <color rgb="FF003399"/>
      </left>
      <right/>
      <top style="thick">
        <color rgb="FF0070C0"/>
      </top>
      <bottom style="thin">
        <color auto="1"/>
      </bottom>
      <diagonal/>
    </border>
    <border>
      <left style="thin">
        <color auto="1"/>
      </left>
      <right style="thick">
        <color rgb="FF0070C0"/>
      </right>
      <top style="thick">
        <color rgb="FF0070C0"/>
      </top>
      <bottom style="thin">
        <color auto="1"/>
      </bottom>
      <diagonal/>
    </border>
    <border>
      <left style="thick">
        <color rgb="FF0070C0"/>
      </left>
      <right style="thin">
        <color auto="1"/>
      </right>
      <top style="thin">
        <color auto="1"/>
      </top>
      <bottom style="thin">
        <color auto="1"/>
      </bottom>
      <diagonal/>
    </border>
    <border diagonalUp="1">
      <left style="thick">
        <color rgb="FF0070C0"/>
      </left>
      <right style="thin">
        <color auto="1"/>
      </right>
      <top style="thin">
        <color auto="1"/>
      </top>
      <bottom style="thin">
        <color auto="1"/>
      </bottom>
      <diagonal style="medium">
        <color rgb="FFC00000"/>
      </diagonal>
    </border>
    <border>
      <left style="thick">
        <color rgb="FF0070C0"/>
      </left>
      <right style="thin">
        <color auto="1"/>
      </right>
      <top style="thin">
        <color auto="1"/>
      </top>
      <bottom/>
      <diagonal/>
    </border>
    <border>
      <left style="thick">
        <color rgb="FF0070C0"/>
      </left>
      <right style="thin">
        <color auto="1"/>
      </right>
      <top/>
      <bottom style="thin">
        <color auto="1"/>
      </bottom>
      <diagonal/>
    </border>
    <border>
      <left style="thick">
        <color rgb="FF0070C0"/>
      </left>
      <right style="thin">
        <color auto="1"/>
      </right>
      <top style="thin">
        <color auto="1"/>
      </top>
      <bottom style="thick">
        <color rgb="FF0070C0"/>
      </bottom>
      <diagonal/>
    </border>
    <border>
      <left style="thin">
        <color auto="1"/>
      </left>
      <right style="thin">
        <color auto="1"/>
      </right>
      <top style="thin">
        <color auto="1"/>
      </top>
      <bottom style="thick">
        <color rgb="FF0070C0"/>
      </bottom>
      <diagonal/>
    </border>
    <border>
      <left style="thin">
        <color auto="1"/>
      </left>
      <right/>
      <top style="thin">
        <color auto="1"/>
      </top>
      <bottom style="thick">
        <color rgb="FF0070C0"/>
      </bottom>
      <diagonal/>
    </border>
    <border>
      <left style="thin">
        <color auto="1"/>
      </left>
      <right style="thick">
        <color rgb="FF0070C0"/>
      </right>
      <top style="thin">
        <color auto="1"/>
      </top>
      <bottom style="thick">
        <color rgb="FF0070C0"/>
      </bottom>
      <diagonal/>
    </border>
    <border diagonalUp="1">
      <left/>
      <right/>
      <top/>
      <bottom/>
      <diagonal style="thin">
        <color rgb="FFC00000"/>
      </diagonal>
    </border>
    <border diagonalUp="1">
      <left/>
      <right style="thin">
        <color auto="1"/>
      </right>
      <top style="thin">
        <color auto="1"/>
      </top>
      <bottom style="thin">
        <color auto="1"/>
      </bottom>
      <diagonal style="thin">
        <color rgb="FFC00000"/>
      </diagonal>
    </border>
    <border diagonalUp="1">
      <left style="thin">
        <color auto="1"/>
      </left>
      <right style="thin">
        <color auto="1"/>
      </right>
      <top style="thin">
        <color auto="1"/>
      </top>
      <bottom style="thin">
        <color auto="1"/>
      </bottom>
      <diagonal style="thin">
        <color rgb="FFC00000"/>
      </diagonal>
    </border>
    <border diagonalUp="1">
      <left style="thin">
        <color auto="1"/>
      </left>
      <right style="thin">
        <color auto="1"/>
      </right>
      <top style="thin">
        <color auto="1"/>
      </top>
      <bottom/>
      <diagonal style="thin">
        <color rgb="FFC00000"/>
      </diagonal>
    </border>
    <border diagonalUp="1">
      <left style="thin">
        <color auto="1"/>
      </left>
      <right/>
      <top style="thin">
        <color auto="1"/>
      </top>
      <bottom style="thin">
        <color auto="1"/>
      </bottom>
      <diagonal style="thin">
        <color rgb="FFC00000"/>
      </diagonal>
    </border>
    <border diagonalUp="1">
      <left style="thin">
        <color auto="1"/>
      </left>
      <right style="thick">
        <color rgb="FF0070C0"/>
      </right>
      <top style="thin">
        <color auto="1"/>
      </top>
      <bottom style="thin">
        <color auto="1"/>
      </bottom>
      <diagonal style="thin">
        <color rgb="FFC00000"/>
      </diagonal>
    </border>
    <border diagonalUp="1">
      <left/>
      <right/>
      <top style="thin">
        <color theme="1"/>
      </top>
      <bottom style="thin">
        <color theme="1"/>
      </bottom>
      <diagonal style="thin">
        <color rgb="FFC00000"/>
      </diagonal>
    </border>
    <border diagonalUp="1">
      <left style="thin">
        <color theme="1"/>
      </left>
      <right style="thick">
        <color rgb="FFFF0000"/>
      </right>
      <top style="thin">
        <color theme="1"/>
      </top>
      <bottom style="thin">
        <color theme="1"/>
      </bottom>
      <diagonal style="thin">
        <color rgb="FFC00000"/>
      </diagonal>
    </border>
    <border diagonalUp="1">
      <left/>
      <right style="thin">
        <color rgb="FF000000"/>
      </right>
      <top style="thin">
        <color rgb="FF000000"/>
      </top>
      <bottom style="thin">
        <color rgb="FF000000"/>
      </bottom>
      <diagonal style="thin">
        <color rgb="FFC00000"/>
      </diagonal>
    </border>
    <border diagonalUp="1">
      <left style="thin">
        <color rgb="FF000000"/>
      </left>
      <right style="thin">
        <color rgb="FF000000"/>
      </right>
      <top style="thin">
        <color rgb="FF000000"/>
      </top>
      <bottom style="thin">
        <color rgb="FF000000"/>
      </bottom>
      <diagonal style="thin">
        <color rgb="FFC00000"/>
      </diagonal>
    </border>
    <border diagonalUp="1">
      <left style="thin">
        <color rgb="FF000000"/>
      </left>
      <right/>
      <top style="thin">
        <color rgb="FF000000"/>
      </top>
      <bottom style="thin">
        <color rgb="FF000000"/>
      </bottom>
      <diagonal style="thin">
        <color rgb="FFC00000"/>
      </diagonal>
    </border>
    <border>
      <left style="thin">
        <color theme="1"/>
      </left>
      <right style="thin">
        <color theme="1"/>
      </right>
      <top style="thin">
        <color theme="1"/>
      </top>
      <bottom style="thin">
        <color theme="1"/>
      </bottom>
      <diagonal/>
    </border>
    <border>
      <left style="medium">
        <color rgb="FFC00000"/>
      </left>
      <right style="thin">
        <color rgb="FF000000"/>
      </right>
      <top style="thin">
        <color rgb="FF000000"/>
      </top>
      <bottom style="thin">
        <color rgb="FF000000"/>
      </bottom>
      <diagonal/>
    </border>
    <border>
      <left style="thick">
        <color rgb="FF0070C0"/>
      </left>
      <right/>
      <top/>
      <bottom/>
      <diagonal/>
    </border>
    <border diagonalDown="1">
      <left style="thick">
        <color rgb="FF0070C0"/>
      </left>
      <right style="thin">
        <color auto="1"/>
      </right>
      <top style="thin">
        <color auto="1"/>
      </top>
      <bottom style="thin">
        <color auto="1"/>
      </bottom>
      <diagonal style="thick">
        <color rgb="FFC00000"/>
      </diagonal>
    </border>
    <border diagonalDown="1">
      <left style="thin">
        <color auto="1"/>
      </left>
      <right style="thin">
        <color auto="1"/>
      </right>
      <top style="thin">
        <color auto="1"/>
      </top>
      <bottom style="thin">
        <color auto="1"/>
      </bottom>
      <diagonal style="thick">
        <color rgb="FFC00000"/>
      </diagonal>
    </border>
    <border diagonalDown="1">
      <left style="thin">
        <color auto="1"/>
      </left>
      <right style="thin">
        <color auto="1"/>
      </right>
      <top style="thin">
        <color auto="1"/>
      </top>
      <bottom/>
      <diagonal style="thick">
        <color rgb="FFC00000"/>
      </diagonal>
    </border>
    <border diagonalDown="1">
      <left style="thin">
        <color auto="1"/>
      </left>
      <right/>
      <top style="thin">
        <color auto="1"/>
      </top>
      <bottom/>
      <diagonal style="thick">
        <color rgb="FFC00000"/>
      </diagonal>
    </border>
    <border diagonalDown="1">
      <left style="thin">
        <color auto="1"/>
      </left>
      <right/>
      <top style="thin">
        <color auto="1"/>
      </top>
      <bottom style="thin">
        <color auto="1"/>
      </bottom>
      <diagonal style="thick">
        <color rgb="FFC00000"/>
      </diagonal>
    </border>
    <border diagonalDown="1">
      <left style="thin">
        <color auto="1"/>
      </left>
      <right style="thick">
        <color rgb="FF0070C0"/>
      </right>
      <top style="thin">
        <color auto="1"/>
      </top>
      <bottom style="thin">
        <color auto="1"/>
      </bottom>
      <diagonal style="thick">
        <color rgb="FFC00000"/>
      </diagonal>
    </border>
    <border diagonalDown="1">
      <left/>
      <right/>
      <top style="thin">
        <color theme="1"/>
      </top>
      <bottom style="thin">
        <color theme="1"/>
      </bottom>
      <diagonal style="thick">
        <color rgb="FFC00000"/>
      </diagonal>
    </border>
    <border diagonalDown="1">
      <left style="thin">
        <color theme="1"/>
      </left>
      <right style="thick">
        <color rgb="FFFF0000"/>
      </right>
      <top style="thin">
        <color theme="1"/>
      </top>
      <bottom style="thin">
        <color theme="1"/>
      </bottom>
      <diagonal style="thick">
        <color rgb="FFC00000"/>
      </diagonal>
    </border>
    <border diagonalDown="1">
      <left/>
      <right style="thin">
        <color rgb="FF000000"/>
      </right>
      <top style="thin">
        <color rgb="FF000000"/>
      </top>
      <bottom style="thin">
        <color rgb="FF000000"/>
      </bottom>
      <diagonal style="thick">
        <color rgb="FFC00000"/>
      </diagonal>
    </border>
    <border diagonalDown="1">
      <left style="thin">
        <color rgb="FF000000"/>
      </left>
      <right style="thin">
        <color rgb="FF000000"/>
      </right>
      <top style="thin">
        <color rgb="FF000000"/>
      </top>
      <bottom style="thin">
        <color rgb="FF000000"/>
      </bottom>
      <diagonal style="thick">
        <color rgb="FFC00000"/>
      </diagonal>
    </border>
    <border>
      <left style="medium">
        <color auto="1"/>
      </left>
      <right style="thin">
        <color auto="1"/>
      </right>
      <top/>
      <bottom/>
      <diagonal/>
    </border>
    <border>
      <left style="thin">
        <color auto="1"/>
      </left>
      <right style="medium">
        <color auto="1"/>
      </right>
      <top/>
      <bottom/>
      <diagonal/>
    </border>
    <border>
      <left/>
      <right style="thin">
        <color auto="1"/>
      </right>
      <top/>
      <bottom/>
      <diagonal/>
    </border>
    <border>
      <left style="thin">
        <color theme="1"/>
      </left>
      <right/>
      <top style="thin">
        <color theme="1"/>
      </top>
      <bottom style="thin">
        <color theme="1"/>
      </bottom>
      <diagonal/>
    </border>
    <border>
      <left style="thin">
        <color rgb="FF000000"/>
      </left>
      <right/>
      <top style="thin">
        <color rgb="FF000000"/>
      </top>
      <bottom style="thin">
        <color rgb="FF000000"/>
      </bottom>
      <diagonal/>
    </border>
  </borders>
  <cellStyleXfs count="12">
    <xf numFmtId="0" fontId="0" fillId="0" borderId="0"/>
    <xf numFmtId="164" fontId="5" fillId="0" borderId="0" applyFont="0" applyFill="0" applyBorder="0" applyAlignment="0" applyProtection="0"/>
    <xf numFmtId="7" fontId="5" fillId="0" borderId="0" applyFont="0" applyFill="0" applyBorder="0" applyAlignment="0" applyProtection="0"/>
    <xf numFmtId="0" fontId="8" fillId="4" borderId="0" applyNumberFormat="0" applyBorder="0" applyProtection="0">
      <alignment horizontal="left" vertical="center" wrapText="1" indent="1"/>
    </xf>
    <xf numFmtId="0" fontId="4" fillId="2" borderId="0" applyNumberFormat="0" applyProtection="0">
      <alignment horizontal="left" vertical="center" wrapText="1" indent="1"/>
    </xf>
    <xf numFmtId="0" fontId="8" fillId="4" borderId="0" applyNumberFormat="0" applyBorder="0" applyProtection="0">
      <alignment horizontal="left" vertical="center" wrapText="1" indent="1"/>
    </xf>
    <xf numFmtId="0" fontId="5" fillId="0" borderId="0"/>
    <xf numFmtId="0" fontId="4" fillId="2" borderId="0" applyNumberFormat="0" applyProtection="0">
      <alignment horizontal="left" vertical="center" wrapText="1" indent="1"/>
    </xf>
    <xf numFmtId="164" fontId="5" fillId="0" borderId="0" applyFont="0" applyFill="0" applyBorder="0" applyAlignment="0" applyProtection="0"/>
    <xf numFmtId="7" fontId="5" fillId="0" borderId="0" applyFont="0" applyFill="0" applyBorder="0" applyAlignment="0" applyProtection="0"/>
    <xf numFmtId="9" fontId="5" fillId="0" borderId="0" applyFont="0" applyFill="0" applyBorder="0" applyAlignment="0" applyProtection="0"/>
    <xf numFmtId="0" fontId="30" fillId="0" borderId="0" applyNumberFormat="0" applyFill="0" applyBorder="0" applyAlignment="0" applyProtection="0"/>
  </cellStyleXfs>
  <cellXfs count="576">
    <xf numFmtId="0" fontId="0" fillId="0" borderId="0" xfId="0"/>
    <xf numFmtId="0" fontId="6" fillId="0" borderId="0" xfId="0" applyFont="1" applyAlignment="1">
      <alignment horizontal="left" wrapText="1" indent="1"/>
    </xf>
    <xf numFmtId="0" fontId="7" fillId="0" borderId="0" xfId="0" applyFont="1" applyAlignment="1">
      <alignment horizontal="left" wrapText="1" indent="1"/>
    </xf>
    <xf numFmtId="0" fontId="4" fillId="2" borderId="0" xfId="4"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4" fillId="2" borderId="18" xfId="4" applyBorder="1" applyAlignment="1">
      <alignment horizontal="center" vertical="center" wrapText="1"/>
    </xf>
    <xf numFmtId="164" fontId="0" fillId="0" borderId="0" xfId="1" applyFont="1" applyAlignment="1">
      <alignment horizontal="center"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164" fontId="5" fillId="0" borderId="0" xfId="1" applyFont="1" applyAlignment="1">
      <alignment horizontal="center" vertical="center" wrapText="1"/>
    </xf>
    <xf numFmtId="0" fontId="5" fillId="0" borderId="0" xfId="0" applyFont="1" applyAlignment="1">
      <alignment horizontal="left" vertical="center" wrapText="1"/>
    </xf>
    <xf numFmtId="0" fontId="10"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7" xfId="0" applyFill="1" applyBorder="1" applyAlignment="1">
      <alignment horizontal="center" vertical="center" wrapText="1"/>
    </xf>
    <xf numFmtId="0" fontId="9" fillId="4" borderId="24" xfId="3" applyFont="1" applyBorder="1" applyAlignment="1">
      <alignment horizontal="center" vertical="center" wrapText="1"/>
    </xf>
    <xf numFmtId="0" fontId="16" fillId="0" borderId="0" xfId="0" applyFont="1" applyAlignment="1">
      <alignment horizontal="left" wrapText="1" indent="1"/>
    </xf>
    <xf numFmtId="0" fontId="18" fillId="0" borderId="0" xfId="0" applyFont="1" applyAlignment="1">
      <alignment horizontal="center" vertical="center"/>
    </xf>
    <xf numFmtId="0" fontId="18" fillId="0" borderId="0" xfId="0" applyFont="1" applyAlignment="1">
      <alignment horizontal="center" vertical="center" wrapText="1"/>
    </xf>
    <xf numFmtId="164" fontId="19" fillId="0" borderId="0" xfId="1" applyFont="1" applyBorder="1" applyAlignment="1">
      <alignment horizontal="center" vertical="center"/>
    </xf>
    <xf numFmtId="0" fontId="19" fillId="0" borderId="0" xfId="0" applyFont="1" applyAlignment="1">
      <alignment horizontal="center" vertical="center" wrapText="1"/>
    </xf>
    <xf numFmtId="0" fontId="19" fillId="0" borderId="0" xfId="0" applyFont="1" applyAlignment="1">
      <alignment vertical="center" wrapText="1"/>
    </xf>
    <xf numFmtId="0" fontId="6" fillId="0" borderId="0" xfId="0" applyFont="1" applyAlignment="1">
      <alignment wrapText="1"/>
    </xf>
    <xf numFmtId="14" fontId="0" fillId="0" borderId="0" xfId="2" applyNumberFormat="1" applyFont="1" applyAlignment="1">
      <alignment horizontal="center" vertical="center" wrapText="1"/>
    </xf>
    <xf numFmtId="14" fontId="5" fillId="0" borderId="0" xfId="0" applyNumberFormat="1" applyFont="1" applyAlignment="1">
      <alignment horizontal="center" vertical="center" wrapText="1"/>
    </xf>
    <xf numFmtId="14" fontId="5" fillId="0" borderId="0" xfId="2" applyNumberFormat="1" applyFont="1" applyAlignment="1">
      <alignment horizontal="center" vertical="center" wrapText="1"/>
    </xf>
    <xf numFmtId="165" fontId="6" fillId="0" borderId="0" xfId="0" applyNumberFormat="1" applyFont="1" applyAlignment="1">
      <alignment horizontal="center" vertical="center" wrapText="1"/>
    </xf>
    <xf numFmtId="0" fontId="7" fillId="0" borderId="0" xfId="0" applyFont="1" applyAlignment="1">
      <alignment horizontal="center" vertical="center" wrapText="1"/>
    </xf>
    <xf numFmtId="14" fontId="6" fillId="0" borderId="0" xfId="0" applyNumberFormat="1" applyFont="1" applyAlignment="1">
      <alignment horizontal="center" vertical="center" wrapText="1"/>
    </xf>
    <xf numFmtId="0" fontId="15" fillId="0" borderId="0" xfId="0" applyFont="1" applyAlignment="1">
      <alignment horizontal="center" vertical="center" wrapText="1"/>
    </xf>
    <xf numFmtId="165" fontId="15" fillId="0" borderId="0" xfId="0" applyNumberFormat="1" applyFont="1" applyAlignment="1">
      <alignment horizontal="center" vertical="center" wrapText="1"/>
    </xf>
    <xf numFmtId="14" fontId="19" fillId="0" borderId="0" xfId="0" applyNumberFormat="1" applyFont="1" applyAlignment="1">
      <alignment horizontal="center" vertical="center" wrapText="1"/>
    </xf>
    <xf numFmtId="0" fontId="22" fillId="0" borderId="0" xfId="0" applyFont="1" applyAlignment="1">
      <alignment horizontal="left" wrapText="1" indent="1"/>
    </xf>
    <xf numFmtId="14" fontId="0" fillId="0" borderId="0" xfId="0" applyNumberForma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wrapText="1"/>
    </xf>
    <xf numFmtId="0" fontId="16" fillId="0" borderId="0" xfId="0" applyFont="1" applyAlignment="1">
      <alignment horizontal="center" vertical="center"/>
    </xf>
    <xf numFmtId="0" fontId="7" fillId="0" borderId="24" xfId="0" applyFont="1" applyBorder="1" applyAlignment="1">
      <alignment horizontal="center" vertical="center"/>
    </xf>
    <xf numFmtId="0" fontId="0" fillId="0" borderId="0" xfId="0" applyAlignment="1">
      <alignment horizontal="center"/>
    </xf>
    <xf numFmtId="0" fontId="11" fillId="5" borderId="0" xfId="3" applyFont="1" applyFill="1" applyBorder="1" applyAlignment="1">
      <alignment horizontal="center" vertical="center" wrapText="1"/>
    </xf>
    <xf numFmtId="0" fontId="6" fillId="0" borderId="0" xfId="0" applyFont="1" applyAlignment="1">
      <alignment vertical="center" wrapText="1"/>
    </xf>
    <xf numFmtId="0" fontId="26" fillId="0" borderId="0" xfId="0" applyFont="1" applyAlignment="1">
      <alignment horizontal="left" vertical="center" wrapText="1"/>
    </xf>
    <xf numFmtId="0" fontId="15" fillId="0" borderId="0" xfId="0" applyFont="1" applyAlignment="1">
      <alignment horizontal="center" vertical="center"/>
    </xf>
    <xf numFmtId="0" fontId="4" fillId="2" borderId="26" xfId="4" applyBorder="1" applyAlignment="1">
      <alignment vertical="center" wrapText="1"/>
    </xf>
    <xf numFmtId="0" fontId="9" fillId="4" borderId="0" xfId="3" applyFont="1" applyAlignment="1">
      <alignment horizontal="center" vertical="center" wrapText="1"/>
    </xf>
    <xf numFmtId="0" fontId="28" fillId="0" borderId="0" xfId="0" applyFont="1" applyAlignment="1">
      <alignment horizontal="center" wrapText="1"/>
    </xf>
    <xf numFmtId="0" fontId="18" fillId="0" borderId="0" xfId="0" applyFont="1" applyAlignment="1">
      <alignment wrapText="1"/>
    </xf>
    <xf numFmtId="0" fontId="24" fillId="2" borderId="0" xfId="0" applyFont="1" applyFill="1" applyAlignment="1">
      <alignment horizontal="center" vertical="center" wrapText="1"/>
    </xf>
    <xf numFmtId="0" fontId="17" fillId="3" borderId="0" xfId="0" applyFont="1" applyFill="1" applyAlignment="1">
      <alignment horizontal="center" vertical="center" wrapText="1"/>
    </xf>
    <xf numFmtId="0" fontId="21" fillId="9" borderId="31" xfId="0" applyFont="1" applyFill="1" applyBorder="1" applyAlignment="1">
      <alignment horizontal="center" vertical="center" wrapText="1"/>
    </xf>
    <xf numFmtId="0" fontId="21" fillId="9" borderId="30" xfId="0" applyFont="1" applyFill="1" applyBorder="1" applyAlignment="1">
      <alignment horizontal="center" vertical="center" wrapText="1"/>
    </xf>
    <xf numFmtId="0" fontId="29" fillId="9" borderId="32" xfId="0" applyFont="1" applyFill="1" applyBorder="1" applyAlignment="1">
      <alignment horizontal="center" vertical="center" wrapText="1"/>
    </xf>
    <xf numFmtId="0" fontId="21" fillId="5" borderId="30" xfId="0" applyFont="1" applyFill="1" applyBorder="1" applyAlignment="1">
      <alignment horizontal="center" vertical="center" textRotation="90" wrapText="1"/>
    </xf>
    <xf numFmtId="0" fontId="21" fillId="5" borderId="6" xfId="0" applyFont="1" applyFill="1" applyBorder="1" applyAlignment="1">
      <alignment horizontal="center" vertical="center" textRotation="90" wrapText="1"/>
    </xf>
    <xf numFmtId="0" fontId="21" fillId="5" borderId="22" xfId="0" applyFont="1" applyFill="1" applyBorder="1" applyAlignment="1">
      <alignment horizontal="center" vertical="center" textRotation="90" wrapText="1"/>
    </xf>
    <xf numFmtId="0" fontId="25" fillId="11" borderId="31" xfId="0" applyFont="1" applyFill="1" applyBorder="1" applyAlignment="1">
      <alignment horizontal="center" vertical="center" textRotation="90" wrapText="1"/>
    </xf>
    <xf numFmtId="0" fontId="17" fillId="2" borderId="0" xfId="4" applyNumberFormat="1" applyFont="1" applyAlignment="1">
      <alignment horizontal="center" vertical="center" textRotation="90" wrapText="1"/>
    </xf>
    <xf numFmtId="0" fontId="10" fillId="8" borderId="7" xfId="0" applyFont="1" applyFill="1" applyBorder="1" applyAlignment="1">
      <alignment horizontal="center" vertical="center" wrapText="1"/>
    </xf>
    <xf numFmtId="0" fontId="10" fillId="24" borderId="1" xfId="0" applyFont="1" applyFill="1" applyBorder="1" applyAlignment="1">
      <alignment horizontal="center" vertical="center" wrapText="1"/>
    </xf>
    <xf numFmtId="0" fontId="0" fillId="24" borderId="7" xfId="0" applyFill="1" applyBorder="1" applyAlignment="1">
      <alignment horizontal="center" vertical="center" wrapText="1"/>
    </xf>
    <xf numFmtId="0" fontId="10" fillId="4" borderId="1" xfId="0" applyFont="1" applyFill="1" applyBorder="1" applyAlignment="1">
      <alignment horizontal="center" vertical="center" wrapText="1"/>
    </xf>
    <xf numFmtId="164" fontId="0" fillId="4" borderId="5" xfId="1" applyFont="1" applyFill="1" applyBorder="1" applyAlignment="1">
      <alignment horizontal="center" vertical="center"/>
    </xf>
    <xf numFmtId="164" fontId="0" fillId="4" borderId="5" xfId="1" applyFont="1" applyFill="1" applyBorder="1" applyAlignment="1">
      <alignment horizontal="center" vertical="center" wrapText="1"/>
    </xf>
    <xf numFmtId="164" fontId="5" fillId="4" borderId="5" xfId="1" applyFont="1" applyFill="1" applyBorder="1" applyAlignment="1">
      <alignment horizontal="center" vertical="center"/>
    </xf>
    <xf numFmtId="14" fontId="0" fillId="4" borderId="5" xfId="0" applyNumberFormat="1" applyFill="1" applyBorder="1" applyAlignment="1">
      <alignment horizontal="center" vertical="center" wrapText="1"/>
    </xf>
    <xf numFmtId="0" fontId="10" fillId="25" borderId="1" xfId="0" applyFont="1" applyFill="1" applyBorder="1" applyAlignment="1">
      <alignment horizontal="center" vertical="center" wrapText="1"/>
    </xf>
    <xf numFmtId="14" fontId="0" fillId="25" borderId="5" xfId="0" applyNumberFormat="1" applyFill="1" applyBorder="1" applyAlignment="1">
      <alignment horizontal="center" vertical="center"/>
    </xf>
    <xf numFmtId="164" fontId="5" fillId="25" borderId="5" xfId="1" applyFont="1" applyFill="1" applyBorder="1" applyAlignment="1">
      <alignment horizontal="center" vertical="center"/>
    </xf>
    <xf numFmtId="164" fontId="0" fillId="25" borderId="5" xfId="1" applyFont="1" applyFill="1" applyBorder="1" applyAlignment="1">
      <alignment horizontal="center" vertical="center" wrapText="1"/>
    </xf>
    <xf numFmtId="9" fontId="27" fillId="18" borderId="0" xfId="10" applyFont="1" applyFill="1" applyAlignment="1">
      <alignment horizontal="center" vertical="center"/>
    </xf>
    <xf numFmtId="9" fontId="27" fillId="18" borderId="1" xfId="10" applyFont="1" applyFill="1" applyBorder="1" applyAlignment="1">
      <alignment horizontal="center" vertical="center"/>
    </xf>
    <xf numFmtId="0" fontId="9" fillId="4" borderId="0" xfId="3" applyFont="1" applyAlignment="1">
      <alignment horizontal="left" vertical="center" wrapText="1"/>
    </xf>
    <xf numFmtId="0" fontId="0" fillId="26" borderId="0" xfId="0" applyFill="1"/>
    <xf numFmtId="0" fontId="0" fillId="0" borderId="7" xfId="0" applyBorder="1" applyAlignment="1">
      <alignment horizontal="center" vertical="center"/>
    </xf>
    <xf numFmtId="164" fontId="5" fillId="4" borderId="5" xfId="1" applyFont="1" applyFill="1" applyBorder="1" applyAlignment="1">
      <alignment horizontal="center" vertical="center" wrapText="1"/>
    </xf>
    <xf numFmtId="164" fontId="5" fillId="25" borderId="5" xfId="1" applyFont="1" applyFill="1" applyBorder="1" applyAlignment="1">
      <alignment horizontal="center" vertical="center" wrapText="1"/>
    </xf>
    <xf numFmtId="0" fontId="5" fillId="0" borderId="0" xfId="0" applyFont="1" applyAlignment="1">
      <alignment horizontal="center" vertical="center"/>
    </xf>
    <xf numFmtId="0" fontId="32" fillId="0" borderId="0" xfId="0" applyFont="1" applyAlignment="1">
      <alignment horizontal="center" vertical="center"/>
    </xf>
    <xf numFmtId="0" fontId="0" fillId="0" borderId="1" xfId="0" applyBorder="1" applyAlignment="1">
      <alignment horizontal="center" vertical="center"/>
    </xf>
    <xf numFmtId="0" fontId="34" fillId="0" borderId="4" xfId="0" applyFont="1" applyBorder="1" applyAlignment="1">
      <alignment horizontal="center" vertical="center"/>
    </xf>
    <xf numFmtId="0" fontId="34" fillId="0" borderId="8" xfId="0" applyFont="1" applyBorder="1" applyAlignment="1">
      <alignment horizontal="center" vertical="center"/>
    </xf>
    <xf numFmtId="0" fontId="0" fillId="0" borderId="3" xfId="0" applyBorder="1" applyAlignment="1">
      <alignment horizontal="center" vertical="center"/>
    </xf>
    <xf numFmtId="0" fontId="34" fillId="0" borderId="9" xfId="0" applyFont="1"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4" fontId="0" fillId="0" borderId="1" xfId="0" applyNumberFormat="1" applyBorder="1" applyAlignment="1">
      <alignment horizontal="center" vertical="center"/>
    </xf>
    <xf numFmtId="0" fontId="0" fillId="0" borderId="25" xfId="0" applyBorder="1" applyAlignment="1">
      <alignment horizontal="center" vertical="center" wrapText="1"/>
    </xf>
    <xf numFmtId="0" fontId="30" fillId="0" borderId="0" xfId="1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15" xfId="0" applyBorder="1" applyAlignment="1">
      <alignment horizontal="center" vertical="center"/>
    </xf>
    <xf numFmtId="0" fontId="0" fillId="0" borderId="26" xfId="0" applyBorder="1" applyAlignment="1">
      <alignment horizontal="center" vertical="center"/>
    </xf>
    <xf numFmtId="0" fontId="0" fillId="0" borderId="37" xfId="0" applyBorder="1" applyAlignment="1">
      <alignment horizontal="center" vertical="center"/>
    </xf>
    <xf numFmtId="0" fontId="10" fillId="27" borderId="25" xfId="0" applyFont="1" applyFill="1" applyBorder="1" applyAlignment="1">
      <alignment horizontal="center" vertical="center"/>
    </xf>
    <xf numFmtId="0" fontId="10" fillId="27" borderId="0" xfId="0" applyFont="1" applyFill="1" applyAlignment="1">
      <alignment horizontal="center" vertical="center"/>
    </xf>
    <xf numFmtId="0" fontId="10" fillId="27" borderId="24" xfId="0" applyFont="1" applyFill="1" applyBorder="1" applyAlignment="1">
      <alignment horizontal="center" vertical="center"/>
    </xf>
    <xf numFmtId="0" fontId="10" fillId="27" borderId="0" xfId="0" applyFont="1" applyFill="1" applyAlignment="1">
      <alignment horizontal="center" vertical="center" wrapText="1"/>
    </xf>
    <xf numFmtId="0" fontId="0" fillId="0" borderId="26" xfId="0" applyBorder="1" applyAlignment="1">
      <alignment horizontal="center" vertical="center" wrapText="1"/>
    </xf>
    <xf numFmtId="0" fontId="21" fillId="9" borderId="38" xfId="0" applyFont="1" applyFill="1" applyBorder="1" applyAlignment="1">
      <alignment horizontal="center" vertical="center" wrapText="1"/>
    </xf>
    <xf numFmtId="0" fontId="21" fillId="9" borderId="39" xfId="0" applyFont="1" applyFill="1" applyBorder="1" applyAlignment="1">
      <alignment horizontal="center" vertical="center" wrapText="1"/>
    </xf>
    <xf numFmtId="0" fontId="29" fillId="9" borderId="40" xfId="0" applyFont="1" applyFill="1" applyBorder="1" applyAlignment="1">
      <alignment horizontal="center" vertical="center" wrapText="1"/>
    </xf>
    <xf numFmtId="0" fontId="5" fillId="0" borderId="34" xfId="0" applyFont="1" applyBorder="1" applyAlignment="1">
      <alignment horizontal="center" vertical="center"/>
    </xf>
    <xf numFmtId="0" fontId="5" fillId="0" borderId="19" xfId="0" applyFont="1" applyBorder="1" applyAlignment="1">
      <alignment horizontal="center" vertical="center"/>
    </xf>
    <xf numFmtId="0" fontId="5" fillId="0" borderId="41" xfId="0" applyFont="1" applyBorder="1" applyAlignment="1">
      <alignment horizontal="center" vertical="center"/>
    </xf>
    <xf numFmtId="0" fontId="0" fillId="0" borderId="1" xfId="0" applyBorder="1" applyAlignment="1">
      <alignment horizontal="center" vertical="center" wrapText="1"/>
    </xf>
    <xf numFmtId="14" fontId="15" fillId="0" borderId="0" xfId="0" applyNumberFormat="1" applyFont="1" applyAlignment="1">
      <alignment horizontal="center" vertical="center" wrapText="1"/>
    </xf>
    <xf numFmtId="14" fontId="0" fillId="0" borderId="0" xfId="0" applyNumberFormat="1" applyAlignment="1">
      <alignment horizontal="center" vertical="center" wrapText="1"/>
    </xf>
    <xf numFmtId="14" fontId="0" fillId="0" borderId="7" xfId="0" applyNumberFormat="1" applyBorder="1" applyAlignment="1">
      <alignment horizontal="center" vertical="center"/>
    </xf>
    <xf numFmtId="164" fontId="19" fillId="0" borderId="0" xfId="1" applyFont="1" applyAlignment="1">
      <alignment horizontal="center" vertical="center"/>
    </xf>
    <xf numFmtId="164" fontId="0" fillId="0" borderId="0" xfId="1" applyFont="1" applyAlignment="1">
      <alignment horizontal="center" vertical="center"/>
    </xf>
    <xf numFmtId="164" fontId="5" fillId="0" borderId="0" xfId="1" applyFont="1" applyAlignment="1">
      <alignment horizontal="center" vertical="center"/>
    </xf>
    <xf numFmtId="0" fontId="4" fillId="28" borderId="1" xfId="0" applyFont="1" applyFill="1" applyBorder="1" applyAlignment="1">
      <alignment horizontal="center" vertical="center"/>
    </xf>
    <xf numFmtId="0" fontId="12" fillId="28" borderId="46" xfId="0" applyFont="1" applyFill="1" applyBorder="1" applyAlignment="1">
      <alignment vertical="center"/>
    </xf>
    <xf numFmtId="0" fontId="12" fillId="28" borderId="47" xfId="0" applyFont="1" applyFill="1" applyBorder="1" applyAlignment="1">
      <alignment vertical="center"/>
    </xf>
    <xf numFmtId="0" fontId="30" fillId="0" borderId="0" xfId="11" applyAlignment="1">
      <alignment horizontal="center" vertical="center"/>
    </xf>
    <xf numFmtId="0" fontId="0" fillId="0" borderId="3" xfId="0" applyBorder="1" applyAlignment="1">
      <alignment horizontal="center" vertical="center" wrapText="1"/>
    </xf>
    <xf numFmtId="14" fontId="0" fillId="0" borderId="1" xfId="0" applyNumberFormat="1" applyBorder="1" applyAlignment="1">
      <alignment horizontal="center" vertical="center" wrapText="1"/>
    </xf>
    <xf numFmtId="0" fontId="0" fillId="0" borderId="7" xfId="0" applyBorder="1" applyAlignment="1">
      <alignment horizontal="center" vertical="center" wrapText="1"/>
    </xf>
    <xf numFmtId="14" fontId="0" fillId="0" borderId="7" xfId="0" applyNumberFormat="1" applyBorder="1" applyAlignment="1">
      <alignment horizontal="center" vertical="center" wrapText="1"/>
    </xf>
    <xf numFmtId="0" fontId="4" fillId="2" borderId="0" xfId="4" applyAlignment="1">
      <alignment vertical="center" wrapText="1"/>
    </xf>
    <xf numFmtId="0" fontId="26" fillId="0" borderId="13" xfId="0" applyFont="1" applyBorder="1" applyAlignment="1">
      <alignment horizontal="center" vertical="center" wrapText="1"/>
    </xf>
    <xf numFmtId="0" fontId="37" fillId="15" borderId="16" xfId="0" applyFont="1" applyFill="1" applyBorder="1" applyAlignment="1">
      <alignment horizontal="center" vertical="center"/>
    </xf>
    <xf numFmtId="0" fontId="37" fillId="16" borderId="1" xfId="0" applyFont="1" applyFill="1" applyBorder="1" applyAlignment="1">
      <alignment horizontal="center" vertical="center"/>
    </xf>
    <xf numFmtId="0" fontId="26" fillId="0" borderId="21" xfId="0" applyFont="1" applyBorder="1" applyAlignment="1">
      <alignment horizontal="center" vertical="center" wrapText="1"/>
    </xf>
    <xf numFmtId="0" fontId="26" fillId="0" borderId="0" xfId="0" applyFont="1" applyAlignment="1">
      <alignment horizontal="center" wrapText="1"/>
    </xf>
    <xf numFmtId="0" fontId="26" fillId="0" borderId="0" xfId="0" applyFont="1" applyAlignment="1">
      <alignment horizontal="center"/>
    </xf>
    <xf numFmtId="0" fontId="26" fillId="0" borderId="0" xfId="0" applyFont="1" applyAlignment="1">
      <alignment horizontal="left" wrapText="1" indent="1"/>
    </xf>
    <xf numFmtId="0" fontId="26" fillId="0" borderId="17" xfId="0" applyFont="1" applyBorder="1" applyAlignment="1">
      <alignment horizontal="center" wrapText="1"/>
    </xf>
    <xf numFmtId="0" fontId="26" fillId="0" borderId="9" xfId="0" applyFont="1" applyBorder="1" applyAlignment="1">
      <alignment horizontal="left" wrapText="1" indent="1"/>
    </xf>
    <xf numFmtId="0" fontId="26" fillId="0" borderId="16" xfId="0" applyFont="1" applyBorder="1" applyAlignment="1">
      <alignment horizontal="center" wrapText="1"/>
    </xf>
    <xf numFmtId="0" fontId="26" fillId="0" borderId="7" xfId="0" applyFont="1" applyBorder="1" applyAlignment="1">
      <alignment horizontal="left" wrapText="1" indent="1"/>
    </xf>
    <xf numFmtId="0" fontId="38" fillId="0" borderId="16" xfId="0" applyFont="1" applyBorder="1" applyAlignment="1">
      <alignment horizontal="center" wrapText="1"/>
    </xf>
    <xf numFmtId="0" fontId="38" fillId="0" borderId="7" xfId="0" applyFont="1" applyBorder="1" applyAlignment="1">
      <alignment horizontal="left" wrapText="1" indent="1"/>
    </xf>
    <xf numFmtId="0" fontId="26" fillId="0" borderId="0" xfId="0" applyFont="1"/>
    <xf numFmtId="9" fontId="27" fillId="18" borderId="4" xfId="10" applyFont="1" applyFill="1" applyBorder="1" applyAlignment="1">
      <alignment horizontal="center" vertical="center"/>
    </xf>
    <xf numFmtId="0" fontId="36" fillId="0" borderId="1" xfId="0" applyFont="1" applyBorder="1" applyAlignment="1">
      <alignment horizontal="left" vertical="center"/>
    </xf>
    <xf numFmtId="0" fontId="26" fillId="0" borderId="3" xfId="0" applyFont="1" applyBorder="1" applyAlignment="1">
      <alignment horizontal="center" wrapText="1"/>
    </xf>
    <xf numFmtId="0" fontId="36" fillId="21" borderId="1" xfId="0" applyFont="1" applyFill="1" applyBorder="1" applyAlignment="1">
      <alignment horizontal="left" vertical="center"/>
    </xf>
    <xf numFmtId="0" fontId="39" fillId="32" borderId="1" xfId="0" applyFont="1" applyFill="1" applyBorder="1" applyAlignment="1">
      <alignment horizontal="left" vertical="center"/>
    </xf>
    <xf numFmtId="164" fontId="0" fillId="25" borderId="5" xfId="1" applyFont="1" applyFill="1" applyBorder="1" applyAlignment="1">
      <alignment horizontal="center" vertical="center"/>
    </xf>
    <xf numFmtId="14" fontId="0" fillId="25" borderId="5" xfId="0" applyNumberFormat="1" applyFill="1" applyBorder="1" applyAlignment="1">
      <alignment horizontal="center" vertical="center" wrapText="1"/>
    </xf>
    <xf numFmtId="0" fontId="36" fillId="0" borderId="20" xfId="0" applyFont="1" applyBorder="1" applyAlignment="1">
      <alignment horizontal="left" vertical="center"/>
    </xf>
    <xf numFmtId="0" fontId="36" fillId="0" borderId="4" xfId="0" applyFont="1" applyBorder="1" applyAlignment="1">
      <alignment horizontal="left" vertical="center"/>
    </xf>
    <xf numFmtId="0" fontId="0" fillId="33" borderId="0" xfId="0" applyFill="1" applyAlignment="1">
      <alignment horizontal="center" vertical="center"/>
    </xf>
    <xf numFmtId="0" fontId="5" fillId="34" borderId="0" xfId="0" applyFont="1" applyFill="1" applyAlignment="1">
      <alignment horizontal="center" vertical="center"/>
    </xf>
    <xf numFmtId="164" fontId="5" fillId="35" borderId="5" xfId="1" applyFont="1" applyFill="1" applyBorder="1" applyAlignment="1">
      <alignment horizontal="center" vertical="center" wrapText="1"/>
    </xf>
    <xf numFmtId="0" fontId="5" fillId="35" borderId="5" xfId="0" applyFont="1" applyFill="1" applyBorder="1" applyAlignment="1">
      <alignment horizontal="center" vertical="center"/>
    </xf>
    <xf numFmtId="0" fontId="36" fillId="0" borderId="7" xfId="0" applyFont="1" applyBorder="1" applyAlignment="1">
      <alignment horizontal="left" vertical="center"/>
    </xf>
    <xf numFmtId="0" fontId="36" fillId="21" borderId="7" xfId="0" applyFont="1" applyFill="1" applyBorder="1" applyAlignment="1">
      <alignment horizontal="left" vertical="center"/>
    </xf>
    <xf numFmtId="0" fontId="13" fillId="13" borderId="50" xfId="0" applyFont="1" applyFill="1" applyBorder="1" applyAlignment="1">
      <alignment horizontal="center" vertical="center"/>
    </xf>
    <xf numFmtId="0" fontId="13" fillId="20" borderId="50" xfId="0" applyFont="1" applyFill="1" applyBorder="1" applyAlignment="1">
      <alignment horizontal="center" vertical="center"/>
    </xf>
    <xf numFmtId="0" fontId="13" fillId="14" borderId="51" xfId="0" applyFont="1" applyFill="1" applyBorder="1" applyAlignment="1">
      <alignment horizontal="center" vertical="center"/>
    </xf>
    <xf numFmtId="0" fontId="13" fillId="12" borderId="52" xfId="0" applyFont="1" applyFill="1" applyBorder="1" applyAlignment="1">
      <alignment horizontal="center" vertical="center"/>
    </xf>
    <xf numFmtId="0" fontId="13" fillId="30" borderId="53" xfId="0" applyFont="1" applyFill="1" applyBorder="1" applyAlignment="1">
      <alignment horizontal="center" vertical="center"/>
    </xf>
    <xf numFmtId="0" fontId="37" fillId="20" borderId="1" xfId="0" applyFont="1" applyFill="1" applyBorder="1" applyAlignment="1">
      <alignment horizontal="center" vertical="center"/>
    </xf>
    <xf numFmtId="0" fontId="37" fillId="17" borderId="1" xfId="0" applyFont="1" applyFill="1" applyBorder="1" applyAlignment="1">
      <alignment horizontal="center" vertical="center"/>
    </xf>
    <xf numFmtId="0" fontId="37" fillId="6" borderId="1" xfId="0" applyFont="1" applyFill="1" applyBorder="1" applyAlignment="1">
      <alignment horizontal="center" vertical="center"/>
    </xf>
    <xf numFmtId="0" fontId="13" fillId="36" borderId="51" xfId="0" applyFont="1" applyFill="1" applyBorder="1" applyAlignment="1">
      <alignment horizontal="center" vertical="center"/>
    </xf>
    <xf numFmtId="0" fontId="37" fillId="37" borderId="2" xfId="0" applyFont="1" applyFill="1" applyBorder="1" applyAlignment="1">
      <alignment horizontal="center" vertical="center"/>
    </xf>
    <xf numFmtId="0" fontId="26" fillId="10" borderId="11" xfId="0" applyFont="1" applyFill="1" applyBorder="1" applyAlignment="1">
      <alignment horizontal="center" vertical="center" wrapText="1"/>
    </xf>
    <xf numFmtId="0" fontId="26" fillId="0" borderId="54" xfId="0" applyFont="1" applyBorder="1" applyAlignment="1">
      <alignment horizontal="center" wrapText="1"/>
    </xf>
    <xf numFmtId="0" fontId="26" fillId="0" borderId="55" xfId="0" applyFont="1" applyBorder="1" applyAlignment="1">
      <alignment horizontal="center" wrapText="1"/>
    </xf>
    <xf numFmtId="0" fontId="13" fillId="13" borderId="56" xfId="0" applyFont="1" applyFill="1" applyBorder="1" applyAlignment="1">
      <alignment horizontal="center" vertical="center"/>
    </xf>
    <xf numFmtId="0" fontId="13" fillId="20" borderId="52" xfId="0" applyFont="1" applyFill="1" applyBorder="1" applyAlignment="1">
      <alignment horizontal="center" vertical="center"/>
    </xf>
    <xf numFmtId="0" fontId="13" fillId="14" borderId="52" xfId="0" applyFont="1" applyFill="1" applyBorder="1" applyAlignment="1">
      <alignment horizontal="center" vertical="center"/>
    </xf>
    <xf numFmtId="0" fontId="13" fillId="30" borderId="52" xfId="0" applyFont="1" applyFill="1" applyBorder="1" applyAlignment="1">
      <alignment horizontal="center" vertical="center"/>
    </xf>
    <xf numFmtId="0" fontId="40" fillId="0" borderId="16"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 xfId="0" applyFont="1" applyBorder="1" applyAlignment="1">
      <alignment horizontal="center" vertical="center" wrapText="1"/>
    </xf>
    <xf numFmtId="0" fontId="20" fillId="0" borderId="0" xfId="0" applyFont="1" applyAlignment="1">
      <alignment horizontal="center" vertical="center" wrapText="1"/>
    </xf>
    <xf numFmtId="0" fontId="36" fillId="19" borderId="1" xfId="0" applyFont="1" applyFill="1" applyBorder="1" applyAlignment="1">
      <alignment horizontal="left" vertical="center"/>
    </xf>
    <xf numFmtId="0" fontId="36" fillId="21" borderId="23" xfId="0" applyFont="1" applyFill="1" applyBorder="1" applyAlignment="1">
      <alignment horizontal="left" vertical="center"/>
    </xf>
    <xf numFmtId="0" fontId="36" fillId="29" borderId="1" xfId="0" applyFont="1" applyFill="1" applyBorder="1" applyAlignment="1">
      <alignment horizontal="left" vertical="center"/>
    </xf>
    <xf numFmtId="0" fontId="36" fillId="12" borderId="1" xfId="0" applyFont="1" applyFill="1" applyBorder="1" applyAlignment="1">
      <alignment horizontal="left" vertical="center"/>
    </xf>
    <xf numFmtId="0" fontId="36" fillId="7" borderId="1" xfId="0" applyFont="1" applyFill="1" applyBorder="1" applyAlignment="1">
      <alignment horizontal="left" vertical="center"/>
    </xf>
    <xf numFmtId="0" fontId="36" fillId="21" borderId="5" xfId="0" applyFont="1" applyFill="1" applyBorder="1" applyAlignment="1">
      <alignment horizontal="left" vertical="center"/>
    </xf>
    <xf numFmtId="0" fontId="36" fillId="21" borderId="4" xfId="0" applyFont="1" applyFill="1" applyBorder="1" applyAlignment="1">
      <alignment horizontal="left" vertical="center"/>
    </xf>
    <xf numFmtId="0" fontId="36" fillId="0" borderId="5" xfId="0" applyFont="1" applyBorder="1" applyAlignment="1">
      <alignment horizontal="left" vertical="center"/>
    </xf>
    <xf numFmtId="0" fontId="36" fillId="21" borderId="6" xfId="0" applyFont="1" applyFill="1" applyBorder="1" applyAlignment="1">
      <alignment horizontal="left" vertical="center"/>
    </xf>
    <xf numFmtId="0" fontId="36" fillId="21" borderId="20" xfId="0" applyFont="1" applyFill="1" applyBorder="1" applyAlignment="1">
      <alignment horizontal="left" vertical="center"/>
    </xf>
    <xf numFmtId="0" fontId="36" fillId="21" borderId="9" xfId="0" applyFont="1" applyFill="1" applyBorder="1" applyAlignment="1">
      <alignment horizontal="left" vertical="center"/>
    </xf>
    <xf numFmtId="0" fontId="36" fillId="22" borderId="1" xfId="0" applyFont="1" applyFill="1" applyBorder="1" applyAlignment="1">
      <alignment horizontal="left" vertical="center"/>
    </xf>
    <xf numFmtId="0" fontId="36" fillId="0" borderId="23" xfId="0" applyFont="1" applyBorder="1" applyAlignment="1">
      <alignment horizontal="left" vertical="center"/>
    </xf>
    <xf numFmtId="0" fontId="0" fillId="0" borderId="1" xfId="0" applyBorder="1" applyAlignment="1">
      <alignment horizontal="left" vertical="top"/>
    </xf>
    <xf numFmtId="0" fontId="36" fillId="29" borderId="5" xfId="0" applyFont="1" applyFill="1" applyBorder="1" applyAlignment="1">
      <alignment horizontal="left" vertical="center"/>
    </xf>
    <xf numFmtId="0" fontId="42" fillId="0" borderId="1" xfId="0" applyFont="1" applyBorder="1"/>
    <xf numFmtId="0" fontId="26" fillId="0" borderId="16" xfId="0" applyFont="1" applyBorder="1"/>
    <xf numFmtId="0" fontId="26" fillId="0" borderId="16" xfId="0" applyFont="1" applyBorder="1" applyAlignment="1">
      <alignment horizontal="center" vertical="center"/>
    </xf>
    <xf numFmtId="0" fontId="26" fillId="0" borderId="7" xfId="0" applyFont="1" applyBorder="1"/>
    <xf numFmtId="0" fontId="26" fillId="0" borderId="7" xfId="0" applyFont="1" applyBorder="1" applyAlignment="1">
      <alignment horizontal="center" vertical="center"/>
    </xf>
    <xf numFmtId="0" fontId="26" fillId="0" borderId="55" xfId="0" applyFont="1" applyBorder="1" applyAlignment="1">
      <alignment horizontal="center"/>
    </xf>
    <xf numFmtId="0" fontId="41" fillId="0" borderId="55" xfId="0" applyFont="1" applyBorder="1" applyAlignment="1">
      <alignment horizontal="center" vertical="center"/>
    </xf>
    <xf numFmtId="0" fontId="0" fillId="0" borderId="34" xfId="0" applyBorder="1" applyAlignment="1">
      <alignment horizontal="center" vertical="center"/>
    </xf>
    <xf numFmtId="0" fontId="0" fillId="0" borderId="19" xfId="0" applyBorder="1" applyAlignment="1">
      <alignment horizontal="center" vertical="center"/>
    </xf>
    <xf numFmtId="0" fontId="0" fillId="0" borderId="41" xfId="0" applyBorder="1" applyAlignment="1">
      <alignment horizontal="center" vertical="center"/>
    </xf>
    <xf numFmtId="0" fontId="0" fillId="0" borderId="0" xfId="0" applyAlignment="1">
      <alignment wrapText="1"/>
    </xf>
    <xf numFmtId="0" fontId="4" fillId="28" borderId="7" xfId="0" applyFont="1" applyFill="1" applyBorder="1" applyAlignment="1">
      <alignment horizontal="center" vertical="center"/>
    </xf>
    <xf numFmtId="14" fontId="0" fillId="0" borderId="9" xfId="0" applyNumberFormat="1" applyBorder="1" applyAlignment="1">
      <alignment horizontal="center" vertical="center"/>
    </xf>
    <xf numFmtId="0" fontId="36" fillId="21" borderId="2" xfId="0" applyFont="1" applyFill="1" applyBorder="1" applyAlignment="1">
      <alignment horizontal="left" vertical="center"/>
    </xf>
    <xf numFmtId="0" fontId="36" fillId="21" borderId="58" xfId="0" applyFont="1" applyFill="1" applyBorder="1" applyAlignment="1">
      <alignment horizontal="left" vertical="center"/>
    </xf>
    <xf numFmtId="0" fontId="26" fillId="0" borderId="2" xfId="0" applyFont="1" applyBorder="1" applyAlignment="1">
      <alignment horizontal="left" wrapText="1" indent="1"/>
    </xf>
    <xf numFmtId="0" fontId="26" fillId="0" borderId="60" xfId="0" applyFont="1" applyBorder="1" applyAlignment="1">
      <alignment horizontal="center" wrapText="1"/>
    </xf>
    <xf numFmtId="0" fontId="36" fillId="39" borderId="1" xfId="0" applyFont="1" applyFill="1" applyBorder="1" applyAlignment="1">
      <alignment horizontal="left" vertical="center"/>
    </xf>
    <xf numFmtId="14" fontId="0" fillId="0" borderId="0" xfId="0" applyNumberFormat="1" applyAlignment="1">
      <alignment horizontal="center"/>
    </xf>
    <xf numFmtId="14" fontId="16" fillId="0" borderId="0" xfId="0" applyNumberFormat="1" applyFont="1" applyAlignment="1">
      <alignment horizontal="center" vertical="center" wrapText="1"/>
    </xf>
    <xf numFmtId="0" fontId="18" fillId="0" borderId="0" xfId="0" applyFont="1" applyAlignment="1">
      <alignment horizontal="left" vertical="center" wrapText="1"/>
    </xf>
    <xf numFmtId="164" fontId="0" fillId="0" borderId="0" xfId="1" applyFont="1" applyBorder="1" applyAlignment="1">
      <alignment horizontal="center" vertical="center"/>
    </xf>
    <xf numFmtId="164" fontId="5" fillId="8" borderId="1" xfId="1" applyFont="1" applyFill="1" applyBorder="1" applyAlignment="1">
      <alignment horizontal="center" vertical="center"/>
    </xf>
    <xf numFmtId="14" fontId="5" fillId="25" borderId="5" xfId="0" applyNumberFormat="1" applyFont="1" applyFill="1" applyBorder="1" applyAlignment="1">
      <alignment horizontal="center" vertical="center" wrapText="1"/>
    </xf>
    <xf numFmtId="7" fontId="5" fillId="25" borderId="5" xfId="2" applyFont="1" applyFill="1" applyBorder="1" applyAlignment="1">
      <alignment horizontal="center" vertical="center"/>
    </xf>
    <xf numFmtId="0" fontId="5" fillId="0" borderId="48" xfId="0" applyFont="1" applyBorder="1" applyAlignment="1">
      <alignment horizontal="center" vertical="center"/>
    </xf>
    <xf numFmtId="0" fontId="5" fillId="0" borderId="44" xfId="0" applyFont="1" applyBorder="1" applyAlignment="1">
      <alignment horizontal="center" vertical="center"/>
    </xf>
    <xf numFmtId="0" fontId="0" fillId="0" borderId="1" xfId="0" applyBorder="1" applyAlignment="1">
      <alignment wrapText="1"/>
    </xf>
    <xf numFmtId="166" fontId="6" fillId="0" borderId="0" xfId="0" applyNumberFormat="1" applyFont="1" applyAlignment="1">
      <alignment horizontal="center" vertical="center" wrapText="1"/>
    </xf>
    <xf numFmtId="164" fontId="44" fillId="0" borderId="0" xfId="1" applyFont="1" applyFill="1" applyAlignment="1">
      <alignment horizontal="center" vertical="center" wrapText="1"/>
    </xf>
    <xf numFmtId="0" fontId="44" fillId="0" borderId="0" xfId="0" applyFont="1" applyAlignment="1">
      <alignment horizontal="center" vertical="center"/>
    </xf>
    <xf numFmtId="0" fontId="45" fillId="0" borderId="0" xfId="0" applyFont="1" applyAlignment="1">
      <alignment vertical="center" wrapText="1"/>
    </xf>
    <xf numFmtId="0" fontId="10" fillId="8" borderId="5" xfId="0" applyFont="1" applyFill="1" applyBorder="1" applyAlignment="1">
      <alignment horizontal="center" vertical="center" wrapText="1"/>
    </xf>
    <xf numFmtId="0" fontId="0" fillId="8" borderId="6" xfId="0"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0" fillId="8" borderId="9" xfId="0" applyFill="1" applyBorder="1" applyAlignment="1">
      <alignment horizontal="center" vertical="center" wrapText="1"/>
    </xf>
    <xf numFmtId="0" fontId="5" fillId="0" borderId="63" xfId="0" applyFont="1" applyBorder="1" applyAlignment="1">
      <alignment horizontal="center" vertical="center"/>
    </xf>
    <xf numFmtId="0" fontId="5" fillId="0" borderId="64" xfId="0" applyFont="1" applyBorder="1" applyAlignment="1">
      <alignment horizontal="center" vertical="center"/>
    </xf>
    <xf numFmtId="0" fontId="10" fillId="24" borderId="5" xfId="0" applyFont="1" applyFill="1" applyBorder="1" applyAlignment="1">
      <alignment horizontal="center" vertical="center" wrapText="1"/>
    </xf>
    <xf numFmtId="0" fontId="0" fillId="24" borderId="5" xfId="0" applyFill="1" applyBorder="1" applyAlignment="1">
      <alignment horizontal="center" vertical="center" wrapText="1"/>
    </xf>
    <xf numFmtId="0" fontId="36" fillId="19" borderId="4" xfId="0" applyFont="1" applyFill="1" applyBorder="1" applyAlignment="1">
      <alignment horizontal="left" vertical="center"/>
    </xf>
    <xf numFmtId="0" fontId="36" fillId="7" borderId="5" xfId="0" applyFont="1" applyFill="1" applyBorder="1" applyAlignment="1">
      <alignment horizontal="left" vertical="center"/>
    </xf>
    <xf numFmtId="0" fontId="36" fillId="12" borderId="7" xfId="0" applyFont="1" applyFill="1" applyBorder="1" applyAlignment="1">
      <alignment horizontal="left" vertical="center"/>
    </xf>
    <xf numFmtId="0" fontId="0" fillId="0" borderId="7" xfId="0" applyBorder="1" applyAlignment="1">
      <alignment horizontal="left" vertical="top"/>
    </xf>
    <xf numFmtId="0" fontId="36" fillId="21" borderId="59" xfId="0" applyFont="1" applyFill="1" applyBorder="1" applyAlignment="1">
      <alignment horizontal="left" vertical="center"/>
    </xf>
    <xf numFmtId="0" fontId="43" fillId="2" borderId="18" xfId="4" applyFont="1" applyBorder="1" applyAlignment="1">
      <alignment horizontal="center" vertical="center" wrapText="1"/>
    </xf>
    <xf numFmtId="0" fontId="36" fillId="28" borderId="45" xfId="0" applyFont="1" applyFill="1" applyBorder="1" applyAlignment="1">
      <alignment vertical="center"/>
    </xf>
    <xf numFmtId="0" fontId="43" fillId="28" borderId="1" xfId="0" applyFont="1" applyFill="1" applyBorder="1" applyAlignment="1">
      <alignment horizontal="center" vertical="center"/>
    </xf>
    <xf numFmtId="0" fontId="36" fillId="31" borderId="1" xfId="0" applyFont="1" applyFill="1" applyBorder="1" applyAlignment="1">
      <alignment horizontal="left" vertical="center"/>
    </xf>
    <xf numFmtId="0" fontId="36" fillId="4" borderId="1" xfId="0" applyFont="1" applyFill="1" applyBorder="1" applyAlignment="1">
      <alignment horizontal="left" vertical="center"/>
    </xf>
    <xf numFmtId="0" fontId="36" fillId="38" borderId="1" xfId="0" applyFont="1" applyFill="1" applyBorder="1" applyAlignment="1">
      <alignment horizontal="left" vertical="center"/>
    </xf>
    <xf numFmtId="0" fontId="36" fillId="4" borderId="4" xfId="0" applyFont="1" applyFill="1" applyBorder="1" applyAlignment="1">
      <alignment horizontal="left" vertical="center"/>
    </xf>
    <xf numFmtId="0" fontId="6" fillId="0" borderId="0" xfId="0" applyFont="1"/>
    <xf numFmtId="164" fontId="0" fillId="8" borderId="5" xfId="1" applyFont="1" applyFill="1" applyBorder="1" applyAlignment="1">
      <alignment horizontal="center" vertical="center"/>
    </xf>
    <xf numFmtId="164" fontId="5" fillId="35" borderId="5" xfId="1" applyFont="1" applyFill="1" applyBorder="1" applyAlignment="1">
      <alignment horizontal="center" vertical="center"/>
    </xf>
    <xf numFmtId="0" fontId="0" fillId="8" borderId="5" xfId="0" applyFill="1" applyBorder="1" applyAlignment="1">
      <alignment horizontal="center" vertical="center"/>
    </xf>
    <xf numFmtId="0" fontId="0" fillId="24" borderId="1" xfId="0" applyFill="1" applyBorder="1" applyAlignment="1">
      <alignment horizontal="center" vertical="center" wrapText="1"/>
    </xf>
    <xf numFmtId="164" fontId="44" fillId="0" borderId="0" xfId="1" applyFont="1" applyAlignment="1">
      <alignment horizontal="center" vertical="center" wrapText="1"/>
    </xf>
    <xf numFmtId="0" fontId="47" fillId="15" borderId="13" xfId="0" applyFont="1" applyFill="1" applyBorder="1" applyAlignment="1">
      <alignment horizontal="center" vertical="center"/>
    </xf>
    <xf numFmtId="0" fontId="47" fillId="20" borderId="61" xfId="0" applyFont="1" applyFill="1" applyBorder="1" applyAlignment="1">
      <alignment horizontal="center" vertical="center"/>
    </xf>
    <xf numFmtId="0" fontId="47" fillId="17" borderId="61" xfId="0" applyFont="1" applyFill="1" applyBorder="1" applyAlignment="1">
      <alignment horizontal="center" vertical="center"/>
    </xf>
    <xf numFmtId="0" fontId="47" fillId="16" borderId="61" xfId="0" applyFont="1" applyFill="1" applyBorder="1" applyAlignment="1">
      <alignment horizontal="center" vertical="center"/>
    </xf>
    <xf numFmtId="0" fontId="47" fillId="6" borderId="61" xfId="0" applyFont="1" applyFill="1" applyBorder="1" applyAlignment="1">
      <alignment horizontal="center" vertical="center"/>
    </xf>
    <xf numFmtId="0" fontId="47" fillId="37" borderId="14" xfId="0" applyFont="1" applyFill="1" applyBorder="1" applyAlignment="1">
      <alignment horizontal="center" vertical="center"/>
    </xf>
    <xf numFmtId="0" fontId="46" fillId="0" borderId="61" xfId="0" applyFont="1" applyBorder="1" applyAlignment="1">
      <alignment horizontal="center" vertical="center"/>
    </xf>
    <xf numFmtId="0" fontId="46" fillId="0" borderId="14" xfId="0" applyFont="1" applyBorder="1" applyAlignment="1">
      <alignment horizontal="center" vertical="center"/>
    </xf>
    <xf numFmtId="0" fontId="46" fillId="0" borderId="29" xfId="0" applyFont="1" applyBorder="1" applyAlignment="1">
      <alignment horizontal="center" vertical="center" wrapText="1"/>
    </xf>
    <xf numFmtId="0" fontId="48" fillId="0" borderId="62" xfId="0" applyFont="1" applyBorder="1" applyAlignment="1">
      <alignment horizontal="center" vertical="center"/>
    </xf>
    <xf numFmtId="0" fontId="46" fillId="0" borderId="0" xfId="0" applyFont="1" applyAlignment="1">
      <alignment horizontal="center" vertical="center"/>
    </xf>
    <xf numFmtId="0" fontId="36" fillId="6" borderId="1" xfId="0" applyFont="1" applyFill="1" applyBorder="1" applyAlignment="1">
      <alignment horizontal="left" vertical="center"/>
    </xf>
    <xf numFmtId="0" fontId="39" fillId="42" borderId="1" xfId="0" applyFont="1" applyFill="1" applyBorder="1" applyAlignment="1">
      <alignment horizontal="left" vertical="center"/>
    </xf>
    <xf numFmtId="0" fontId="0" fillId="0" borderId="6" xfId="0" applyBorder="1" applyAlignment="1">
      <alignment horizontal="center" vertical="center" wrapText="1"/>
    </xf>
    <xf numFmtId="164" fontId="19" fillId="0" borderId="0" xfId="1" applyFont="1" applyAlignment="1">
      <alignment horizontal="center" vertical="center" wrapText="1"/>
    </xf>
    <xf numFmtId="164" fontId="18" fillId="0" borderId="0" xfId="1" applyFont="1" applyAlignment="1">
      <alignment horizontal="center" vertical="center" wrapText="1"/>
    </xf>
    <xf numFmtId="14" fontId="15" fillId="0" borderId="0" xfId="0" applyNumberFormat="1" applyFont="1" applyAlignment="1">
      <alignment horizontal="left" vertical="center" wrapText="1"/>
    </xf>
    <xf numFmtId="164" fontId="5" fillId="0" borderId="0" xfId="1" applyFont="1" applyBorder="1" applyAlignment="1">
      <alignment horizontal="center" vertical="center" wrapText="1"/>
    </xf>
    <xf numFmtId="14" fontId="49" fillId="40" borderId="65" xfId="0" applyNumberFormat="1" applyFont="1" applyFill="1" applyBorder="1" applyAlignment="1">
      <alignment horizontal="center" vertical="center" wrapText="1"/>
    </xf>
    <xf numFmtId="0" fontId="49" fillId="40" borderId="66" xfId="0" applyFont="1" applyFill="1" applyBorder="1" applyAlignment="1">
      <alignment vertical="center" wrapText="1"/>
    </xf>
    <xf numFmtId="0" fontId="50" fillId="40" borderId="66" xfId="0" applyFont="1" applyFill="1" applyBorder="1" applyAlignment="1">
      <alignment horizontal="center" vertical="center"/>
    </xf>
    <xf numFmtId="0" fontId="15" fillId="40" borderId="66" xfId="0" applyFont="1" applyFill="1" applyBorder="1" applyAlignment="1">
      <alignment horizontal="center" vertical="center"/>
    </xf>
    <xf numFmtId="14" fontId="7" fillId="0" borderId="0" xfId="0" applyNumberFormat="1" applyFont="1" applyAlignment="1">
      <alignment horizontal="center" vertical="center" wrapText="1"/>
    </xf>
    <xf numFmtId="164" fontId="7" fillId="0" borderId="0" xfId="1" applyFont="1" applyAlignment="1">
      <alignment horizontal="center" vertical="center" wrapText="1"/>
    </xf>
    <xf numFmtId="0" fontId="7" fillId="0" borderId="0" xfId="0" applyFont="1" applyAlignment="1">
      <alignment horizontal="left" vertical="center" wrapText="1"/>
    </xf>
    <xf numFmtId="14" fontId="7" fillId="0" borderId="0" xfId="2" applyNumberFormat="1" applyFont="1" applyAlignment="1">
      <alignment horizontal="center" vertical="center" wrapText="1"/>
    </xf>
    <xf numFmtId="0" fontId="51" fillId="0" borderId="0" xfId="0" applyFont="1" applyAlignment="1">
      <alignment horizontal="left" vertical="center" wrapText="1"/>
    </xf>
    <xf numFmtId="0" fontId="51" fillId="0" borderId="0" xfId="0" applyFont="1" applyAlignment="1">
      <alignment horizontal="center" vertical="center" wrapText="1"/>
    </xf>
    <xf numFmtId="165" fontId="51" fillId="0" borderId="0" xfId="0" applyNumberFormat="1" applyFont="1" applyAlignment="1">
      <alignment horizontal="center" vertical="center" wrapText="1"/>
    </xf>
    <xf numFmtId="14" fontId="51" fillId="0" borderId="0" xfId="0" applyNumberFormat="1" applyFont="1" applyAlignment="1">
      <alignment horizontal="center" vertical="center" wrapText="1"/>
    </xf>
    <xf numFmtId="14" fontId="7" fillId="0" borderId="0" xfId="0" applyNumberFormat="1" applyFont="1" applyAlignment="1">
      <alignment horizontal="left" vertical="center" wrapText="1"/>
    </xf>
    <xf numFmtId="166" fontId="7" fillId="0" borderId="0" xfId="0" applyNumberFormat="1" applyFont="1" applyAlignment="1">
      <alignment horizontal="center" vertical="center" wrapText="1"/>
    </xf>
    <xf numFmtId="165" fontId="7" fillId="0" borderId="0" xfId="0" applyNumberFormat="1" applyFont="1" applyAlignment="1">
      <alignment horizontal="center" vertical="center" wrapText="1"/>
    </xf>
    <xf numFmtId="0" fontId="7" fillId="0" borderId="0" xfId="0" applyFont="1" applyAlignment="1">
      <alignment vertical="center" wrapText="1"/>
    </xf>
    <xf numFmtId="9" fontId="7" fillId="0" borderId="0" xfId="0" applyNumberFormat="1" applyFont="1" applyAlignment="1">
      <alignment horizontal="left" vertical="center" wrapText="1"/>
    </xf>
    <xf numFmtId="0" fontId="36" fillId="43" borderId="0" xfId="0" applyFont="1" applyFill="1" applyAlignment="1">
      <alignment horizontal="left" vertical="center" wrapText="1"/>
    </xf>
    <xf numFmtId="166" fontId="9" fillId="4" borderId="0" xfId="3" applyNumberFormat="1" applyFont="1" applyAlignment="1">
      <alignment horizontal="left" vertical="center" wrapText="1"/>
    </xf>
    <xf numFmtId="0" fontId="52" fillId="23" borderId="6" xfId="0" applyFont="1" applyFill="1" applyBorder="1" applyAlignment="1">
      <alignment horizontal="center" vertical="center" textRotation="90" wrapText="1"/>
    </xf>
    <xf numFmtId="14" fontId="9" fillId="4" borderId="0" xfId="3" applyNumberFormat="1" applyFont="1" applyAlignment="1">
      <alignment horizontal="left" vertical="center" wrapText="1"/>
    </xf>
    <xf numFmtId="0" fontId="36" fillId="21" borderId="0" xfId="0" applyFont="1" applyFill="1" applyAlignment="1">
      <alignment horizontal="left" vertical="center"/>
    </xf>
    <xf numFmtId="0" fontId="36" fillId="39" borderId="0" xfId="0" applyFont="1" applyFill="1" applyAlignment="1">
      <alignment horizontal="left" vertical="center"/>
    </xf>
    <xf numFmtId="0" fontId="36" fillId="0" borderId="6" xfId="0" applyFont="1" applyBorder="1" applyAlignment="1">
      <alignment horizontal="left" vertical="center"/>
    </xf>
    <xf numFmtId="0" fontId="36" fillId="0" borderId="49" xfId="0" applyFont="1" applyBorder="1" applyAlignment="1">
      <alignment horizontal="left" vertical="center"/>
    </xf>
    <xf numFmtId="0" fontId="37" fillId="45" borderId="16" xfId="0" applyFont="1" applyFill="1" applyBorder="1" applyAlignment="1">
      <alignment horizontal="center" vertical="center"/>
    </xf>
    <xf numFmtId="0" fontId="37" fillId="46" borderId="1" xfId="0" applyFont="1" applyFill="1" applyBorder="1" applyAlignment="1">
      <alignment horizontal="center" vertical="center"/>
    </xf>
    <xf numFmtId="0" fontId="37" fillId="45" borderId="1" xfId="0" applyFont="1" applyFill="1" applyBorder="1" applyAlignment="1">
      <alignment horizontal="center" vertical="center"/>
    </xf>
    <xf numFmtId="0" fontId="37" fillId="45" borderId="2" xfId="0" applyFont="1" applyFill="1" applyBorder="1" applyAlignment="1">
      <alignment horizontal="center" vertical="center"/>
    </xf>
    <xf numFmtId="164" fontId="0" fillId="40" borderId="0" xfId="1" applyFont="1" applyFill="1" applyBorder="1" applyAlignment="1">
      <alignment horizontal="center" vertical="center" wrapText="1"/>
    </xf>
    <xf numFmtId="164" fontId="5" fillId="40" borderId="0" xfId="1" applyFont="1" applyFill="1" applyBorder="1" applyAlignment="1">
      <alignment horizontal="center" vertical="center" wrapText="1"/>
    </xf>
    <xf numFmtId="0" fontId="0" fillId="41" borderId="0" xfId="0" applyFill="1" applyAlignment="1">
      <alignment horizontal="left" vertical="center" wrapText="1"/>
    </xf>
    <xf numFmtId="0" fontId="0" fillId="47" borderId="0" xfId="0" applyFill="1" applyAlignment="1">
      <alignment wrapText="1"/>
    </xf>
    <xf numFmtId="9" fontId="7" fillId="0" borderId="0" xfId="0" applyNumberFormat="1" applyFont="1" applyAlignment="1">
      <alignment horizontal="center" vertical="center" wrapText="1"/>
    </xf>
    <xf numFmtId="0" fontId="36" fillId="43" borderId="0" xfId="0" applyFont="1" applyFill="1" applyAlignment="1">
      <alignment horizontal="center" vertical="center" wrapText="1"/>
    </xf>
    <xf numFmtId="14" fontId="24" fillId="2" borderId="0" xfId="4" applyNumberFormat="1" applyFont="1" applyAlignment="1">
      <alignment horizontal="center" vertical="center" wrapText="1"/>
    </xf>
    <xf numFmtId="0" fontId="24" fillId="2" borderId="0" xfId="4" applyFont="1" applyAlignment="1">
      <alignment horizontal="center" vertical="center" wrapText="1"/>
    </xf>
    <xf numFmtId="0" fontId="24" fillId="2" borderId="0" xfId="4" applyFont="1" applyAlignment="1">
      <alignment horizontal="left" vertical="center" wrapText="1"/>
    </xf>
    <xf numFmtId="0" fontId="24" fillId="3" borderId="0" xfId="4" applyFont="1" applyFill="1" applyAlignment="1">
      <alignment horizontal="center" vertical="center" wrapText="1"/>
    </xf>
    <xf numFmtId="166" fontId="24" fillId="2" borderId="0" xfId="4" applyNumberFormat="1" applyFont="1" applyAlignment="1">
      <alignment horizontal="center" vertical="center" wrapText="1"/>
    </xf>
    <xf numFmtId="0" fontId="0" fillId="0" borderId="0" xfId="0" applyAlignment="1">
      <alignment vertical="center" wrapText="1"/>
    </xf>
    <xf numFmtId="0" fontId="35" fillId="4" borderId="0" xfId="3" applyFont="1" applyBorder="1" applyAlignment="1">
      <alignment horizontal="center" vertical="center" wrapText="1"/>
    </xf>
    <xf numFmtId="0" fontId="0" fillId="24" borderId="6" xfId="0" applyFill="1" applyBorder="1" applyAlignment="1">
      <alignment horizontal="center" vertical="center" wrapText="1"/>
    </xf>
    <xf numFmtId="164" fontId="0" fillId="4" borderId="6" xfId="1" applyFont="1" applyFill="1" applyBorder="1" applyAlignment="1">
      <alignment horizontal="center" vertical="center"/>
    </xf>
    <xf numFmtId="164" fontId="0" fillId="4" borderId="6" xfId="1" applyFont="1" applyFill="1" applyBorder="1" applyAlignment="1">
      <alignment horizontal="center" vertical="center" wrapText="1"/>
    </xf>
    <xf numFmtId="164" fontId="0" fillId="25" borderId="6" xfId="1" applyFont="1" applyFill="1" applyBorder="1" applyAlignment="1">
      <alignment horizontal="center" vertical="center" wrapText="1"/>
    </xf>
    <xf numFmtId="7" fontId="5" fillId="25" borderId="6" xfId="2" applyFont="1" applyFill="1" applyBorder="1" applyAlignment="1">
      <alignment horizontal="center" vertical="center"/>
    </xf>
    <xf numFmtId="7" fontId="0" fillId="25" borderId="6" xfId="2" applyFont="1" applyFill="1" applyBorder="1" applyAlignment="1">
      <alignment horizontal="center" vertical="center"/>
    </xf>
    <xf numFmtId="164" fontId="0" fillId="35" borderId="1" xfId="1" applyFont="1" applyFill="1" applyBorder="1" applyAlignment="1">
      <alignment horizontal="center" vertical="center"/>
    </xf>
    <xf numFmtId="164" fontId="0" fillId="4" borderId="1" xfId="1" applyFont="1" applyFill="1" applyBorder="1" applyAlignment="1">
      <alignment horizontal="center" vertical="center"/>
    </xf>
    <xf numFmtId="164" fontId="0" fillId="4" borderId="1" xfId="1" applyFont="1" applyFill="1" applyBorder="1" applyAlignment="1">
      <alignment horizontal="center" vertical="center" wrapText="1"/>
    </xf>
    <xf numFmtId="164" fontId="0" fillId="25" borderId="1" xfId="1" applyFont="1" applyFill="1" applyBorder="1" applyAlignment="1">
      <alignment horizontal="center" vertical="center" wrapText="1"/>
    </xf>
    <xf numFmtId="164" fontId="5" fillId="25" borderId="1" xfId="1" applyFont="1" applyFill="1" applyBorder="1" applyAlignment="1">
      <alignment horizontal="center" vertical="center"/>
    </xf>
    <xf numFmtId="164" fontId="0" fillId="25" borderId="1" xfId="1" applyFont="1" applyFill="1" applyBorder="1" applyAlignment="1">
      <alignment horizontal="center" vertical="center"/>
    </xf>
    <xf numFmtId="164" fontId="5" fillId="8" borderId="7" xfId="1" applyFont="1" applyFill="1" applyBorder="1" applyAlignment="1">
      <alignment horizontal="center" vertical="center"/>
    </xf>
    <xf numFmtId="164" fontId="0" fillId="35" borderId="7" xfId="1" applyFont="1" applyFill="1" applyBorder="1" applyAlignment="1">
      <alignment horizontal="center" vertical="center"/>
    </xf>
    <xf numFmtId="164" fontId="0" fillId="4" borderId="7" xfId="1" applyFont="1" applyFill="1" applyBorder="1" applyAlignment="1">
      <alignment horizontal="center" vertical="center"/>
    </xf>
    <xf numFmtId="164" fontId="0" fillId="4" borderId="7" xfId="1" applyFont="1" applyFill="1" applyBorder="1" applyAlignment="1">
      <alignment horizontal="center" vertical="center" wrapText="1"/>
    </xf>
    <xf numFmtId="164" fontId="0" fillId="25" borderId="7" xfId="1" applyFont="1" applyFill="1" applyBorder="1" applyAlignment="1">
      <alignment horizontal="center" vertical="center" wrapText="1"/>
    </xf>
    <xf numFmtId="164" fontId="5" fillId="25" borderId="7" xfId="1" applyFont="1" applyFill="1" applyBorder="1" applyAlignment="1">
      <alignment horizontal="center" vertical="center"/>
    </xf>
    <xf numFmtId="164" fontId="0" fillId="25" borderId="7" xfId="1" applyFont="1" applyFill="1" applyBorder="1" applyAlignment="1">
      <alignment horizontal="center" vertical="center"/>
    </xf>
    <xf numFmtId="0" fontId="0" fillId="24" borderId="67" xfId="0" applyFill="1" applyBorder="1" applyAlignment="1">
      <alignment horizontal="center" vertical="center" wrapText="1"/>
    </xf>
    <xf numFmtId="164" fontId="0" fillId="35" borderId="67" xfId="1" applyFont="1" applyFill="1" applyBorder="1" applyAlignment="1">
      <alignment horizontal="center" vertical="center"/>
    </xf>
    <xf numFmtId="164" fontId="0" fillId="4" borderId="67" xfId="1" applyFont="1" applyFill="1" applyBorder="1" applyAlignment="1">
      <alignment horizontal="center" vertical="center" wrapText="1"/>
    </xf>
    <xf numFmtId="164" fontId="0" fillId="25" borderId="67" xfId="1" applyFont="1" applyFill="1" applyBorder="1" applyAlignment="1">
      <alignment horizontal="center" vertical="center" wrapText="1"/>
    </xf>
    <xf numFmtId="164" fontId="5" fillId="25" borderId="67" xfId="1" applyFont="1" applyFill="1" applyBorder="1" applyAlignment="1">
      <alignment horizontal="center" vertical="center"/>
    </xf>
    <xf numFmtId="164" fontId="0" fillId="25" borderId="67" xfId="1" applyFont="1" applyFill="1" applyBorder="1" applyAlignment="1">
      <alignment horizontal="center" vertical="center"/>
    </xf>
    <xf numFmtId="0" fontId="31" fillId="9" borderId="68" xfId="0" applyFont="1" applyFill="1" applyBorder="1" applyAlignment="1">
      <alignment horizontal="center" vertical="center" wrapText="1"/>
    </xf>
    <xf numFmtId="0" fontId="6" fillId="0" borderId="69" xfId="0" applyFont="1" applyBorder="1" applyAlignment="1">
      <alignment horizontal="center" vertical="center" wrapText="1"/>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5" fillId="0" borderId="69" xfId="0" applyFont="1" applyBorder="1" applyAlignment="1">
      <alignment horizontal="center" vertical="center" wrapText="1"/>
    </xf>
    <xf numFmtId="0" fontId="5" fillId="0" borderId="69" xfId="0" applyFont="1" applyBorder="1" applyAlignment="1">
      <alignment horizontal="center" vertical="center"/>
    </xf>
    <xf numFmtId="0" fontId="6" fillId="0" borderId="72" xfId="0" applyFont="1" applyBorder="1" applyAlignment="1">
      <alignment horizontal="center" vertical="center" wrapText="1"/>
    </xf>
    <xf numFmtId="0" fontId="0" fillId="0" borderId="72" xfId="0" applyBorder="1" applyAlignment="1">
      <alignment horizontal="center" vertical="center"/>
    </xf>
    <xf numFmtId="0" fontId="5" fillId="0" borderId="73" xfId="0" applyFont="1" applyBorder="1" applyAlignment="1">
      <alignment horizontal="center" vertical="center"/>
    </xf>
    <xf numFmtId="0" fontId="0" fillId="0" borderId="74" xfId="0" applyBorder="1" applyAlignment="1">
      <alignment horizontal="center" vertical="center"/>
    </xf>
    <xf numFmtId="0" fontId="5" fillId="0" borderId="72" xfId="0" applyFont="1" applyBorder="1" applyAlignment="1">
      <alignment horizontal="center" vertical="center"/>
    </xf>
    <xf numFmtId="0" fontId="36" fillId="21" borderId="57" xfId="0" applyFont="1" applyFill="1" applyBorder="1" applyAlignment="1">
      <alignment horizontal="left" vertical="center"/>
    </xf>
    <xf numFmtId="0" fontId="0" fillId="0" borderId="44" xfId="0" applyBorder="1" applyAlignment="1">
      <alignment horizontal="center" vertical="center"/>
    </xf>
    <xf numFmtId="0" fontId="0" fillId="44" borderId="0" xfId="0" applyFill="1"/>
    <xf numFmtId="0" fontId="37" fillId="48" borderId="16" xfId="0" applyFont="1" applyFill="1" applyBorder="1" applyAlignment="1">
      <alignment horizontal="center" vertical="center"/>
    </xf>
    <xf numFmtId="0" fontId="37" fillId="49" borderId="1" xfId="0" applyFont="1" applyFill="1" applyBorder="1" applyAlignment="1">
      <alignment horizontal="center" vertical="center"/>
    </xf>
    <xf numFmtId="0" fontId="37" fillId="48" borderId="1" xfId="0" applyFont="1" applyFill="1" applyBorder="1" applyAlignment="1">
      <alignment horizontal="center" vertical="center"/>
    </xf>
    <xf numFmtId="0" fontId="37" fillId="48" borderId="2" xfId="0" applyFont="1" applyFill="1" applyBorder="1" applyAlignment="1">
      <alignment horizontal="center" vertical="center"/>
    </xf>
    <xf numFmtId="164" fontId="5" fillId="0" borderId="66" xfId="1" applyFont="1" applyBorder="1" applyAlignment="1">
      <alignment horizontal="center" vertical="center" wrapText="1"/>
    </xf>
    <xf numFmtId="164" fontId="0" fillId="0" borderId="0" xfId="1" applyFont="1" applyBorder="1" applyAlignment="1">
      <alignment horizontal="center" vertical="center" wrapText="1"/>
    </xf>
    <xf numFmtId="0" fontId="5" fillId="0" borderId="66" xfId="0" applyFont="1" applyBorder="1" applyAlignment="1">
      <alignment horizontal="left" vertical="center" wrapText="1"/>
    </xf>
    <xf numFmtId="0" fontId="0" fillId="40" borderId="0" xfId="0" applyFill="1" applyAlignment="1">
      <alignment horizontal="left" vertical="center" wrapText="1"/>
    </xf>
    <xf numFmtId="164" fontId="5" fillId="40" borderId="0" xfId="1" applyFont="1" applyFill="1" applyBorder="1" applyAlignment="1">
      <alignment horizontal="left" vertical="center" wrapText="1"/>
    </xf>
    <xf numFmtId="164" fontId="0" fillId="41" borderId="0" xfId="1" applyFont="1" applyFill="1" applyBorder="1" applyAlignment="1">
      <alignment horizontal="center" vertical="center" wrapText="1"/>
    </xf>
    <xf numFmtId="14" fontId="5" fillId="40" borderId="0" xfId="2" applyNumberFormat="1" applyFont="1" applyFill="1" applyBorder="1" applyAlignment="1">
      <alignment horizontal="center" vertical="center" wrapText="1"/>
    </xf>
    <xf numFmtId="14" fontId="5" fillId="0" borderId="66" xfId="2" applyNumberFormat="1" applyFont="1" applyBorder="1" applyAlignment="1">
      <alignment horizontal="center" vertical="center" wrapText="1"/>
    </xf>
    <xf numFmtId="14" fontId="5" fillId="41" borderId="0" xfId="2" applyNumberFormat="1" applyFont="1" applyFill="1" applyBorder="1" applyAlignment="1">
      <alignment horizontal="center" vertical="center" wrapText="1"/>
    </xf>
    <xf numFmtId="14" fontId="0" fillId="40" borderId="0" xfId="2" applyNumberFormat="1" applyFont="1" applyFill="1" applyBorder="1" applyAlignment="1">
      <alignment horizontal="center" vertical="center" wrapText="1"/>
    </xf>
    <xf numFmtId="0" fontId="37" fillId="50" borderId="16" xfId="0" applyFont="1" applyFill="1" applyBorder="1" applyAlignment="1">
      <alignment horizontal="center" vertical="center"/>
    </xf>
    <xf numFmtId="0" fontId="37" fillId="51" borderId="1" xfId="0" applyFont="1" applyFill="1" applyBorder="1" applyAlignment="1">
      <alignment horizontal="center" vertical="center"/>
    </xf>
    <xf numFmtId="0" fontId="37" fillId="50" borderId="1" xfId="0" applyFont="1" applyFill="1" applyBorder="1" applyAlignment="1">
      <alignment horizontal="center" vertical="center"/>
    </xf>
    <xf numFmtId="0" fontId="37" fillId="50" borderId="2" xfId="0" applyFont="1" applyFill="1" applyBorder="1" applyAlignment="1">
      <alignment horizontal="center" vertical="center"/>
    </xf>
    <xf numFmtId="0" fontId="37" fillId="52" borderId="16" xfId="0" applyFont="1" applyFill="1" applyBorder="1" applyAlignment="1">
      <alignment horizontal="center" vertical="center"/>
    </xf>
    <xf numFmtId="0" fontId="37" fillId="44" borderId="1" xfId="0" applyFont="1" applyFill="1" applyBorder="1" applyAlignment="1">
      <alignment horizontal="center" vertical="center"/>
    </xf>
    <xf numFmtId="0" fontId="37" fillId="52" borderId="2" xfId="0" applyFont="1" applyFill="1" applyBorder="1" applyAlignment="1">
      <alignment horizontal="center" vertical="center"/>
    </xf>
    <xf numFmtId="0" fontId="0" fillId="33" borderId="75" xfId="0" applyFill="1" applyBorder="1" applyAlignment="1">
      <alignment horizontal="center" vertical="center"/>
    </xf>
    <xf numFmtId="0" fontId="10" fillId="8" borderId="76" xfId="0" applyFont="1" applyFill="1" applyBorder="1" applyAlignment="1">
      <alignment horizontal="center" vertical="center" wrapText="1"/>
    </xf>
    <xf numFmtId="0" fontId="10" fillId="8" borderId="77" xfId="0" applyFont="1" applyFill="1" applyBorder="1" applyAlignment="1">
      <alignment horizontal="center" vertical="center" wrapText="1"/>
    </xf>
    <xf numFmtId="0" fontId="0" fillId="8" borderId="77" xfId="0" applyFill="1" applyBorder="1" applyAlignment="1">
      <alignment horizontal="center" vertical="center" wrapText="1"/>
    </xf>
    <xf numFmtId="0" fontId="0" fillId="8" borderId="76" xfId="0" applyFill="1" applyBorder="1" applyAlignment="1">
      <alignment horizontal="center" vertical="center" wrapText="1"/>
    </xf>
    <xf numFmtId="0" fontId="0" fillId="0" borderId="78"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5" fillId="0" borderId="80" xfId="0" applyFont="1" applyBorder="1" applyAlignment="1">
      <alignment horizontal="center" vertical="center"/>
    </xf>
    <xf numFmtId="0" fontId="5" fillId="0" borderId="81" xfId="0" applyFont="1" applyBorder="1" applyAlignment="1">
      <alignment horizontal="center" vertical="center"/>
    </xf>
    <xf numFmtId="0" fontId="5" fillId="0" borderId="82" xfId="0" applyFont="1" applyBorder="1" applyAlignment="1">
      <alignment horizontal="center" vertical="center"/>
    </xf>
    <xf numFmtId="0" fontId="37" fillId="15" borderId="3" xfId="0" applyFont="1" applyFill="1" applyBorder="1" applyAlignment="1">
      <alignment horizontal="center" vertical="center"/>
    </xf>
    <xf numFmtId="0" fontId="36" fillId="21" borderId="49" xfId="0" applyFont="1" applyFill="1" applyBorder="1" applyAlignment="1">
      <alignment horizontal="left" vertical="center"/>
    </xf>
    <xf numFmtId="0" fontId="0" fillId="0" borderId="0" xfId="0" quotePrefix="1" applyAlignment="1">
      <alignment vertical="center" wrapText="1"/>
    </xf>
    <xf numFmtId="164" fontId="5" fillId="40" borderId="66" xfId="1" applyFont="1" applyFill="1" applyBorder="1" applyAlignment="1">
      <alignment horizontal="center" vertical="center" wrapText="1"/>
    </xf>
    <xf numFmtId="164" fontId="44" fillId="0" borderId="66" xfId="1" applyFont="1" applyFill="1" applyBorder="1" applyAlignment="1">
      <alignment horizontal="center" vertical="center" wrapText="1"/>
    </xf>
    <xf numFmtId="0" fontId="15" fillId="0" borderId="66" xfId="0" applyFont="1" applyBorder="1" applyAlignment="1">
      <alignment horizontal="center" vertical="center"/>
    </xf>
    <xf numFmtId="0" fontId="5" fillId="40" borderId="0" xfId="0" applyFont="1" applyFill="1" applyAlignment="1">
      <alignment horizontal="left" vertical="center" wrapText="1"/>
    </xf>
    <xf numFmtId="0" fontId="6" fillId="53" borderId="1" xfId="0" applyFont="1" applyFill="1" applyBorder="1" applyAlignment="1">
      <alignment horizontal="left" vertical="center"/>
    </xf>
    <xf numFmtId="14" fontId="7" fillId="0" borderId="0" xfId="0" applyNumberFormat="1" applyFont="1" applyAlignment="1">
      <alignment horizontal="center" wrapText="1"/>
    </xf>
    <xf numFmtId="0" fontId="5" fillId="0" borderId="75" xfId="0" applyFont="1" applyBorder="1" applyAlignment="1">
      <alignment horizontal="center" vertical="center"/>
    </xf>
    <xf numFmtId="164" fontId="0" fillId="24" borderId="76" xfId="1" applyFont="1" applyFill="1" applyBorder="1" applyAlignment="1">
      <alignment horizontal="center" vertical="center"/>
    </xf>
    <xf numFmtId="14" fontId="0" fillId="24" borderId="76" xfId="0" applyNumberFormat="1" applyFill="1" applyBorder="1" applyAlignment="1">
      <alignment horizontal="center" vertical="center"/>
    </xf>
    <xf numFmtId="164" fontId="5" fillId="24" borderId="76" xfId="1" applyFont="1" applyFill="1" applyBorder="1" applyAlignment="1">
      <alignment horizontal="center" vertical="center" wrapText="1"/>
    </xf>
    <xf numFmtId="164" fontId="5" fillId="24" borderId="76" xfId="1" applyFont="1" applyFill="1" applyBorder="1" applyAlignment="1">
      <alignment horizontal="center" vertical="center"/>
    </xf>
    <xf numFmtId="164" fontId="5" fillId="24" borderId="77" xfId="1" applyFont="1" applyFill="1" applyBorder="1" applyAlignment="1">
      <alignment horizontal="center" vertical="center"/>
    </xf>
    <xf numFmtId="0" fontId="0" fillId="24" borderId="77" xfId="0" applyFill="1" applyBorder="1" applyAlignment="1">
      <alignment horizontal="center" vertical="center" wrapText="1"/>
    </xf>
    <xf numFmtId="164" fontId="5" fillId="24" borderId="83" xfId="1" applyFont="1" applyFill="1" applyBorder="1" applyAlignment="1">
      <alignment horizontal="center" vertical="center"/>
    </xf>
    <xf numFmtId="0" fontId="0" fillId="0" borderId="84" xfId="0" applyBorder="1" applyAlignment="1">
      <alignment horizontal="center" vertical="center"/>
    </xf>
    <xf numFmtId="0" fontId="53" fillId="0" borderId="0" xfId="0" applyFont="1" applyAlignment="1">
      <alignment vertical="center" wrapText="1"/>
    </xf>
    <xf numFmtId="0" fontId="4" fillId="2" borderId="85" xfId="4" applyBorder="1" applyAlignment="1">
      <alignment horizontal="center" vertical="center" wrapText="1"/>
    </xf>
    <xf numFmtId="0" fontId="4" fillId="2" borderId="86" xfId="4" applyBorder="1" applyAlignment="1">
      <alignment horizontal="center" vertical="center" wrapText="1"/>
    </xf>
    <xf numFmtId="0" fontId="4" fillId="3" borderId="86" xfId="4" applyFill="1" applyBorder="1" applyAlignment="1">
      <alignment horizontal="center" vertical="center" wrapText="1"/>
    </xf>
    <xf numFmtId="0" fontId="4" fillId="2" borderId="87" xfId="4" applyBorder="1" applyAlignment="1">
      <alignment horizontal="center" vertical="center" wrapText="1"/>
    </xf>
    <xf numFmtId="0" fontId="4" fillId="2" borderId="88" xfId="4" applyBorder="1" applyAlignment="1">
      <alignment horizontal="center" vertical="center" wrapText="1"/>
    </xf>
    <xf numFmtId="0" fontId="0" fillId="8" borderId="67" xfId="0" applyFill="1" applyBorder="1" applyAlignment="1">
      <alignment horizontal="center" vertical="center" wrapText="1"/>
    </xf>
    <xf numFmtId="0" fontId="0" fillId="8" borderId="83" xfId="0" applyFill="1" applyBorder="1" applyAlignment="1">
      <alignment horizontal="center" vertical="center" wrapText="1"/>
    </xf>
    <xf numFmtId="164" fontId="0" fillId="8" borderId="67" xfId="1" applyFont="1" applyFill="1" applyBorder="1" applyAlignment="1">
      <alignment horizontal="center" vertical="center"/>
    </xf>
    <xf numFmtId="164" fontId="5" fillId="25" borderId="94" xfId="1" applyFont="1" applyFill="1" applyBorder="1" applyAlignment="1">
      <alignment horizontal="center" vertical="center"/>
    </xf>
    <xf numFmtId="14" fontId="5" fillId="25" borderId="94" xfId="0" applyNumberFormat="1" applyFont="1" applyFill="1" applyBorder="1" applyAlignment="1">
      <alignment horizontal="center" vertical="center" wrapText="1"/>
    </xf>
    <xf numFmtId="164" fontId="5" fillId="25" borderId="94" xfId="1" applyFont="1" applyFill="1" applyBorder="1" applyAlignment="1">
      <alignment horizontal="center" vertical="center" wrapText="1"/>
    </xf>
    <xf numFmtId="7" fontId="5" fillId="25" borderId="94" xfId="2" applyFont="1" applyFill="1" applyBorder="1" applyAlignment="1">
      <alignment horizontal="center" vertical="center"/>
    </xf>
    <xf numFmtId="7" fontId="5" fillId="25" borderId="95" xfId="2" applyFont="1" applyFill="1" applyBorder="1" applyAlignment="1">
      <alignment horizontal="center" vertical="center"/>
    </xf>
    <xf numFmtId="164" fontId="5" fillId="25" borderId="95" xfId="1" applyFont="1" applyFill="1" applyBorder="1" applyAlignment="1">
      <alignment horizontal="center" vertical="center"/>
    </xf>
    <xf numFmtId="164" fontId="5" fillId="25" borderId="96" xfId="1" applyFont="1" applyFill="1" applyBorder="1" applyAlignment="1">
      <alignment horizontal="center" vertical="center"/>
    </xf>
    <xf numFmtId="0" fontId="5" fillId="0" borderId="41" xfId="0" applyFont="1" applyBorder="1" applyAlignment="1">
      <alignment horizontal="center" vertical="center" wrapText="1"/>
    </xf>
    <xf numFmtId="0" fontId="19" fillId="0" borderId="0" xfId="0" applyFont="1" applyAlignment="1">
      <alignment wrapText="1"/>
    </xf>
    <xf numFmtId="0" fontId="0" fillId="0" borderId="97" xfId="0" applyBorder="1" applyAlignment="1">
      <alignment horizontal="center" vertical="center"/>
    </xf>
    <xf numFmtId="0" fontId="10" fillId="24" borderId="99" xfId="0" applyFont="1" applyFill="1" applyBorder="1" applyAlignment="1">
      <alignment horizontal="center" vertical="center" wrapText="1"/>
    </xf>
    <xf numFmtId="0" fontId="10" fillId="24" borderId="100" xfId="0" applyFont="1" applyFill="1" applyBorder="1" applyAlignment="1">
      <alignment horizontal="center" vertical="center" wrapText="1"/>
    </xf>
    <xf numFmtId="0" fontId="10" fillId="24" borderId="101" xfId="0" applyFont="1" applyFill="1" applyBorder="1" applyAlignment="1">
      <alignment horizontal="center" vertical="center" wrapText="1"/>
    </xf>
    <xf numFmtId="0" fontId="0" fillId="24" borderId="101" xfId="0" applyFill="1" applyBorder="1" applyAlignment="1">
      <alignment horizontal="center" vertical="center" wrapText="1"/>
    </xf>
    <xf numFmtId="0" fontId="0" fillId="24" borderId="99" xfId="0" applyFill="1" applyBorder="1" applyAlignment="1">
      <alignment horizontal="center" vertical="center" wrapText="1"/>
    </xf>
    <xf numFmtId="0" fontId="0" fillId="24" borderId="102" xfId="0" applyFill="1" applyBorder="1" applyAlignment="1">
      <alignment horizontal="center" vertical="center" wrapText="1"/>
    </xf>
    <xf numFmtId="0" fontId="0" fillId="0" borderId="103" xfId="0" applyBorder="1" applyAlignment="1">
      <alignment horizontal="center" vertical="center"/>
    </xf>
    <xf numFmtId="0" fontId="0" fillId="0" borderId="104" xfId="0" applyBorder="1" applyAlignment="1">
      <alignment horizontal="center" vertical="center" wrapText="1"/>
    </xf>
    <xf numFmtId="0" fontId="0" fillId="0" borderId="105" xfId="0" applyBorder="1" applyAlignment="1">
      <alignment horizontal="center" vertical="center"/>
    </xf>
    <xf numFmtId="0" fontId="5" fillId="0" borderId="105" xfId="0" applyFont="1" applyBorder="1" applyAlignment="1">
      <alignment horizontal="center" vertical="center"/>
    </xf>
    <xf numFmtId="0" fontId="5" fillId="0" borderId="106" xfId="0" applyFont="1" applyBorder="1" applyAlignment="1">
      <alignment horizontal="center" vertical="center"/>
    </xf>
    <xf numFmtId="0" fontId="0" fillId="0" borderId="106" xfId="0" applyBorder="1" applyAlignment="1">
      <alignment horizontal="center" vertical="center"/>
    </xf>
    <xf numFmtId="0" fontId="5" fillId="0" borderId="107" xfId="0" applyFont="1" applyBorder="1" applyAlignment="1">
      <alignment horizontal="center" vertical="center"/>
    </xf>
    <xf numFmtId="0" fontId="0" fillId="0" borderId="109" xfId="0" applyBorder="1" applyAlignment="1">
      <alignment horizontal="center" vertical="center"/>
    </xf>
    <xf numFmtId="164" fontId="0" fillId="35" borderId="5" xfId="1" applyFont="1" applyFill="1" applyBorder="1" applyAlignment="1">
      <alignment horizontal="center" vertical="center"/>
    </xf>
    <xf numFmtId="164" fontId="0" fillId="35" borderId="5" xfId="1" applyFont="1" applyFill="1" applyBorder="1" applyAlignment="1">
      <alignment horizontal="center" vertical="center" wrapText="1"/>
    </xf>
    <xf numFmtId="0" fontId="0" fillId="35" borderId="5" xfId="0" applyFill="1" applyBorder="1" applyAlignment="1">
      <alignment horizontal="center" vertical="center"/>
    </xf>
    <xf numFmtId="0" fontId="19" fillId="0" borderId="0" xfId="0" applyFont="1" applyAlignment="1">
      <alignment horizontal="left" vertical="center" wrapText="1"/>
    </xf>
    <xf numFmtId="14" fontId="0" fillId="24" borderId="5" xfId="0" applyNumberFormat="1" applyFill="1" applyBorder="1" applyAlignment="1">
      <alignment horizontal="center" vertical="center"/>
    </xf>
    <xf numFmtId="164" fontId="0" fillId="24" borderId="5" xfId="1" applyFont="1" applyFill="1" applyBorder="1" applyAlignment="1">
      <alignment horizontal="center" vertical="center" wrapText="1"/>
    </xf>
    <xf numFmtId="164" fontId="0" fillId="24" borderId="5" xfId="1" applyFont="1" applyFill="1" applyBorder="1" applyAlignment="1">
      <alignment horizontal="center" vertical="center"/>
    </xf>
    <xf numFmtId="164" fontId="0" fillId="24" borderId="33" xfId="1" applyFont="1" applyFill="1" applyBorder="1" applyAlignment="1">
      <alignment horizontal="center" vertical="center" wrapText="1"/>
    </xf>
    <xf numFmtId="164" fontId="0" fillId="24" borderId="6" xfId="1" applyFont="1" applyFill="1" applyBorder="1" applyAlignment="1">
      <alignment horizontal="center" vertical="center"/>
    </xf>
    <xf numFmtId="164" fontId="0" fillId="24" borderId="1" xfId="1" applyFont="1" applyFill="1" applyBorder="1" applyAlignment="1">
      <alignment horizontal="center" vertical="center"/>
    </xf>
    <xf numFmtId="164" fontId="0" fillId="24" borderId="7" xfId="1" applyFont="1" applyFill="1" applyBorder="1" applyAlignment="1">
      <alignment horizontal="center" vertical="center"/>
    </xf>
    <xf numFmtId="0" fontId="5" fillId="0" borderId="108" xfId="0" applyFont="1" applyBorder="1" applyAlignment="1">
      <alignment horizontal="center" vertical="center"/>
    </xf>
    <xf numFmtId="164" fontId="5" fillId="35" borderId="1" xfId="1" applyFont="1" applyFill="1" applyBorder="1" applyAlignment="1">
      <alignment horizontal="center" vertical="center"/>
    </xf>
    <xf numFmtId="164" fontId="0" fillId="4" borderId="5" xfId="1" applyFont="1" applyFill="1" applyBorder="1" applyAlignment="1">
      <alignment horizontal="left" vertical="center" wrapText="1"/>
    </xf>
    <xf numFmtId="164" fontId="5" fillId="4" borderId="5" xfId="1" applyFont="1" applyFill="1" applyBorder="1" applyAlignment="1">
      <alignment horizontal="left" vertical="top" wrapText="1"/>
    </xf>
    <xf numFmtId="0" fontId="0" fillId="0" borderId="0" xfId="0" applyAlignment="1">
      <alignment vertical="center"/>
    </xf>
    <xf numFmtId="14" fontId="10" fillId="8" borderId="1" xfId="0" applyNumberFormat="1" applyFont="1" applyFill="1" applyBorder="1" applyAlignment="1">
      <alignment horizontal="center" vertical="center" wrapText="1"/>
    </xf>
    <xf numFmtId="0" fontId="0" fillId="0" borderId="41" xfId="0" applyBorder="1" applyAlignment="1">
      <alignment horizontal="center" vertical="center" wrapText="1"/>
    </xf>
    <xf numFmtId="0" fontId="54" fillId="45" borderId="16" xfId="0" applyFont="1" applyFill="1" applyBorder="1" applyAlignment="1">
      <alignment horizontal="center" vertical="center"/>
    </xf>
    <xf numFmtId="0" fontId="54" fillId="46" borderId="1" xfId="0" applyFont="1" applyFill="1" applyBorder="1" applyAlignment="1">
      <alignment horizontal="center" vertical="center"/>
    </xf>
    <xf numFmtId="0" fontId="54" fillId="45" borderId="1" xfId="0" applyFont="1" applyFill="1" applyBorder="1" applyAlignment="1">
      <alignment horizontal="center" vertical="center"/>
    </xf>
    <xf numFmtId="0" fontId="54" fillId="45" borderId="2" xfId="0" applyFont="1" applyFill="1" applyBorder="1" applyAlignment="1">
      <alignment horizontal="center" vertical="center"/>
    </xf>
    <xf numFmtId="0" fontId="54" fillId="45" borderId="23" xfId="0" applyFont="1" applyFill="1" applyBorder="1" applyAlignment="1">
      <alignment horizontal="center" vertical="center"/>
    </xf>
    <xf numFmtId="0" fontId="54" fillId="46" borderId="7" xfId="0" applyFont="1" applyFill="1" applyBorder="1" applyAlignment="1">
      <alignment horizontal="center" vertical="center"/>
    </xf>
    <xf numFmtId="0" fontId="54" fillId="45" borderId="7" xfId="0" applyFont="1" applyFill="1" applyBorder="1" applyAlignment="1">
      <alignment horizontal="center" vertical="center"/>
    </xf>
    <xf numFmtId="0" fontId="37" fillId="54" borderId="16" xfId="0" applyFont="1" applyFill="1" applyBorder="1" applyAlignment="1">
      <alignment horizontal="center" vertical="center"/>
    </xf>
    <xf numFmtId="0" fontId="37" fillId="55" borderId="1" xfId="0" applyFont="1" applyFill="1" applyBorder="1" applyAlignment="1">
      <alignment horizontal="center" vertical="center"/>
    </xf>
    <xf numFmtId="0" fontId="37" fillId="54" borderId="1" xfId="0" applyFont="1" applyFill="1" applyBorder="1" applyAlignment="1">
      <alignment horizontal="center" vertical="center"/>
    </xf>
    <xf numFmtId="0" fontId="37" fillId="54" borderId="2" xfId="0" applyFont="1" applyFill="1" applyBorder="1" applyAlignment="1">
      <alignment horizontal="center" vertical="center"/>
    </xf>
    <xf numFmtId="0" fontId="36" fillId="56" borderId="4" xfId="0" applyFont="1" applyFill="1" applyBorder="1" applyAlignment="1">
      <alignment horizontal="left" vertical="center"/>
    </xf>
    <xf numFmtId="0" fontId="36" fillId="57" borderId="4" xfId="0" applyFont="1" applyFill="1" applyBorder="1" applyAlignment="1">
      <alignment horizontal="left" vertical="center"/>
    </xf>
    <xf numFmtId="164" fontId="5" fillId="4" borderId="1" xfId="1" applyFont="1" applyFill="1" applyBorder="1" applyAlignment="1">
      <alignment horizontal="center" vertical="center"/>
    </xf>
    <xf numFmtId="7" fontId="5" fillId="4" borderId="5" xfId="2" applyFont="1" applyFill="1" applyBorder="1" applyAlignment="1">
      <alignment horizontal="center" vertical="center"/>
    </xf>
    <xf numFmtId="164" fontId="0" fillId="25" borderId="4" xfId="1" applyFont="1" applyFill="1" applyBorder="1" applyAlignment="1">
      <alignment horizontal="center" vertical="center" wrapText="1"/>
    </xf>
    <xf numFmtId="14" fontId="5" fillId="25" borderId="110" xfId="0" applyNumberFormat="1" applyFont="1" applyFill="1" applyBorder="1" applyAlignment="1">
      <alignment horizontal="center" vertical="center"/>
    </xf>
    <xf numFmtId="0" fontId="5" fillId="25" borderId="1" xfId="0" applyFont="1" applyFill="1" applyBorder="1" applyAlignment="1">
      <alignment horizontal="center" vertical="center"/>
    </xf>
    <xf numFmtId="14" fontId="5" fillId="25" borderId="5" xfId="0" applyNumberFormat="1" applyFont="1" applyFill="1" applyBorder="1" applyAlignment="1">
      <alignment horizontal="center" vertical="center"/>
    </xf>
    <xf numFmtId="0" fontId="5" fillId="25" borderId="5" xfId="2" applyNumberFormat="1" applyFont="1" applyFill="1" applyBorder="1" applyAlignment="1">
      <alignment horizontal="center" vertical="center"/>
    </xf>
    <xf numFmtId="0" fontId="10" fillId="25" borderId="112" xfId="0" applyFont="1" applyFill="1" applyBorder="1" applyAlignment="1">
      <alignment horizontal="center" vertical="center" wrapText="1"/>
    </xf>
    <xf numFmtId="14" fontId="0" fillId="25" borderId="113" xfId="0" applyNumberFormat="1" applyFill="1" applyBorder="1" applyAlignment="1">
      <alignment horizontal="center" vertical="center" wrapText="1"/>
    </xf>
    <xf numFmtId="164" fontId="5" fillId="25" borderId="113" xfId="1" applyFont="1" applyFill="1" applyBorder="1" applyAlignment="1">
      <alignment horizontal="center" vertical="center" wrapText="1"/>
    </xf>
    <xf numFmtId="164" fontId="5" fillId="25" borderId="113" xfId="1" applyFont="1" applyFill="1" applyBorder="1" applyAlignment="1">
      <alignment horizontal="center" vertical="center"/>
    </xf>
    <xf numFmtId="164" fontId="0" fillId="25" borderId="113" xfId="1" applyFont="1" applyFill="1" applyBorder="1" applyAlignment="1">
      <alignment horizontal="center" vertical="center" wrapText="1"/>
    </xf>
    <xf numFmtId="164" fontId="0" fillId="25" borderId="114" xfId="1" applyFont="1" applyFill="1" applyBorder="1" applyAlignment="1">
      <alignment horizontal="center" vertical="center" wrapText="1"/>
    </xf>
    <xf numFmtId="164" fontId="0" fillId="25" borderId="112" xfId="1" applyFont="1" applyFill="1" applyBorder="1" applyAlignment="1">
      <alignment horizontal="center" vertical="center" wrapText="1"/>
    </xf>
    <xf numFmtId="164" fontId="0" fillId="25" borderId="115" xfId="1" applyFont="1" applyFill="1" applyBorder="1" applyAlignment="1">
      <alignment horizontal="center" vertical="center" wrapText="1"/>
    </xf>
    <xf numFmtId="164" fontId="0" fillId="25" borderId="116" xfId="1" applyFont="1" applyFill="1" applyBorder="1" applyAlignment="1">
      <alignment horizontal="center" vertical="center" wrapText="1"/>
    </xf>
    <xf numFmtId="0" fontId="5" fillId="0" borderId="117" xfId="0" applyFont="1" applyBorder="1" applyAlignment="1">
      <alignment horizontal="center" vertical="center"/>
    </xf>
    <xf numFmtId="0" fontId="0" fillId="0" borderId="118" xfId="0" applyBorder="1" applyAlignment="1">
      <alignment horizontal="center" vertical="center"/>
    </xf>
    <xf numFmtId="0" fontId="0" fillId="0" borderId="119" xfId="0" applyBorder="1" applyAlignment="1">
      <alignment horizontal="center" vertical="center"/>
    </xf>
    <xf numFmtId="0" fontId="5" fillId="0" borderId="119" xfId="0" applyFont="1" applyBorder="1" applyAlignment="1">
      <alignment horizontal="center" vertical="center"/>
    </xf>
    <xf numFmtId="0" fontId="5" fillId="0" borderId="120" xfId="0" applyFont="1" applyBorder="1" applyAlignment="1">
      <alignment horizontal="center" vertical="center"/>
    </xf>
    <xf numFmtId="14" fontId="0" fillId="0" borderId="0" xfId="0" applyNumberFormat="1" applyAlignment="1">
      <alignment vertical="center"/>
    </xf>
    <xf numFmtId="0" fontId="36" fillId="0" borderId="0" xfId="0" applyFont="1" applyAlignment="1">
      <alignment horizontal="left" vertical="center"/>
    </xf>
    <xf numFmtId="0" fontId="37" fillId="15" borderId="121" xfId="0" applyFont="1" applyFill="1" applyBorder="1" applyAlignment="1">
      <alignment horizontal="center" vertical="center"/>
    </xf>
    <xf numFmtId="0" fontId="37" fillId="20" borderId="20" xfId="0" applyFont="1" applyFill="1" applyBorder="1" applyAlignment="1">
      <alignment horizontal="center" vertical="center"/>
    </xf>
    <xf numFmtId="0" fontId="37" fillId="17" borderId="20" xfId="0" applyFont="1" applyFill="1" applyBorder="1" applyAlignment="1">
      <alignment horizontal="center" vertical="center"/>
    </xf>
    <xf numFmtId="0" fontId="37" fillId="16" borderId="20" xfId="0" applyFont="1" applyFill="1" applyBorder="1" applyAlignment="1">
      <alignment horizontal="center" vertical="center"/>
    </xf>
    <xf numFmtId="0" fontId="37" fillId="6" borderId="20" xfId="0" applyFont="1" applyFill="1" applyBorder="1" applyAlignment="1">
      <alignment horizontal="center" vertical="center"/>
    </xf>
    <xf numFmtId="0" fontId="37" fillId="37" borderId="122" xfId="0" applyFont="1" applyFill="1" applyBorder="1" applyAlignment="1">
      <alignment horizontal="center" vertical="center"/>
    </xf>
    <xf numFmtId="0" fontId="26" fillId="0" borderId="123" xfId="0" applyFont="1" applyBorder="1" applyAlignment="1">
      <alignment horizontal="center" wrapText="1"/>
    </xf>
    <xf numFmtId="0" fontId="26" fillId="0" borderId="122" xfId="0" applyFont="1" applyBorder="1" applyAlignment="1">
      <alignment horizontal="left" wrapText="1" indent="1"/>
    </xf>
    <xf numFmtId="0" fontId="40" fillId="0" borderId="123" xfId="0" applyFont="1" applyBorder="1" applyAlignment="1">
      <alignment horizontal="center" vertical="center" wrapText="1"/>
    </xf>
    <xf numFmtId="0" fontId="40" fillId="0" borderId="122" xfId="0" applyFont="1" applyBorder="1" applyAlignment="1">
      <alignment horizontal="center" vertical="center" wrapText="1"/>
    </xf>
    <xf numFmtId="0" fontId="55" fillId="0" borderId="0" xfId="0" applyFont="1"/>
    <xf numFmtId="0" fontId="56" fillId="0" borderId="0" xfId="0" applyFont="1" applyAlignment="1">
      <alignment horizontal="center" vertical="center"/>
    </xf>
    <xf numFmtId="49" fontId="3" fillId="4" borderId="5" xfId="8" applyNumberFormat="1" applyFont="1" applyFill="1" applyBorder="1" applyAlignment="1">
      <alignment horizontal="center" vertical="center" wrapText="1"/>
    </xf>
    <xf numFmtId="0" fontId="0" fillId="25" borderId="5" xfId="1" applyNumberFormat="1" applyFont="1" applyFill="1" applyBorder="1" applyAlignment="1">
      <alignment horizontal="center" vertical="center" wrapText="1"/>
    </xf>
    <xf numFmtId="14" fontId="3" fillId="4" borderId="89"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64" fontId="3" fillId="4" borderId="5" xfId="8" applyFont="1" applyFill="1" applyBorder="1" applyAlignment="1">
      <alignment horizontal="center" vertical="center"/>
    </xf>
    <xf numFmtId="164" fontId="3" fillId="4" borderId="5" xfId="1" applyFont="1" applyFill="1" applyBorder="1" applyAlignment="1">
      <alignment horizontal="center" vertical="center" wrapText="1"/>
    </xf>
    <xf numFmtId="0" fontId="5" fillId="0" borderId="124" xfId="0" applyFont="1" applyBorder="1" applyAlignment="1">
      <alignment horizontal="center" vertical="center"/>
    </xf>
    <xf numFmtId="0" fontId="37" fillId="58" borderId="16" xfId="0" applyFont="1" applyFill="1" applyBorder="1" applyAlignment="1">
      <alignment horizontal="center" vertical="center"/>
    </xf>
    <xf numFmtId="0" fontId="37" fillId="59" borderId="1" xfId="0" applyFont="1" applyFill="1" applyBorder="1" applyAlignment="1">
      <alignment horizontal="center" vertical="center"/>
    </xf>
    <xf numFmtId="0" fontId="37" fillId="58" borderId="1" xfId="0" applyFont="1" applyFill="1" applyBorder="1" applyAlignment="1">
      <alignment horizontal="center" vertical="center"/>
    </xf>
    <xf numFmtId="0" fontId="37" fillId="58" borderId="2" xfId="0" applyFont="1" applyFill="1" applyBorder="1" applyAlignment="1">
      <alignment horizontal="center" vertical="center"/>
    </xf>
    <xf numFmtId="14" fontId="0" fillId="0" borderId="0" xfId="0" applyNumberFormat="1"/>
    <xf numFmtId="14" fontId="3" fillId="8" borderId="89" xfId="0"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justify" vertical="center" wrapText="1"/>
    </xf>
    <xf numFmtId="14" fontId="3" fillId="8" borderId="90" xfId="0" applyNumberFormat="1" applyFont="1" applyFill="1" applyBorder="1" applyAlignment="1">
      <alignment horizontal="center" vertical="center" wrapText="1"/>
    </xf>
    <xf numFmtId="0" fontId="3" fillId="8" borderId="76" xfId="0" applyFont="1" applyFill="1" applyBorder="1" applyAlignment="1">
      <alignment horizontal="center" vertical="center" wrapText="1"/>
    </xf>
    <xf numFmtId="0" fontId="3" fillId="8" borderId="76" xfId="0" applyFont="1" applyFill="1" applyBorder="1" applyAlignment="1">
      <alignment horizontal="justify" vertical="top" wrapText="1"/>
    </xf>
    <xf numFmtId="14" fontId="3" fillId="8" borderId="91" xfId="0" applyNumberFormat="1" applyFont="1" applyFill="1" applyBorder="1" applyAlignment="1">
      <alignment horizontal="center" vertical="center" wrapText="1"/>
    </xf>
    <xf numFmtId="0" fontId="3" fillId="8" borderId="5" xfId="0" applyFont="1" applyFill="1" applyBorder="1" applyAlignment="1">
      <alignment horizontal="center" vertical="center" wrapText="1"/>
    </xf>
    <xf numFmtId="0" fontId="3" fillId="8" borderId="5" xfId="0" applyFont="1" applyFill="1" applyBorder="1" applyAlignment="1">
      <alignment horizontal="justify" vertical="center" wrapText="1"/>
    </xf>
    <xf numFmtId="14" fontId="3" fillId="8" borderId="92" xfId="0" applyNumberFormat="1"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4" xfId="0" applyFont="1" applyFill="1" applyBorder="1" applyAlignment="1">
      <alignment horizontal="justify" vertical="center" wrapText="1"/>
    </xf>
    <xf numFmtId="14" fontId="3" fillId="24" borderId="90" xfId="0" applyNumberFormat="1" applyFont="1" applyFill="1" applyBorder="1" applyAlignment="1">
      <alignment horizontal="center" vertical="center" wrapText="1"/>
    </xf>
    <xf numFmtId="0" fontId="3" fillId="24" borderId="76" xfId="0" applyFont="1" applyFill="1" applyBorder="1" applyAlignment="1">
      <alignment horizontal="center" vertical="center" wrapText="1"/>
    </xf>
    <xf numFmtId="14" fontId="3" fillId="24" borderId="89" xfId="0" applyNumberFormat="1" applyFont="1" applyFill="1" applyBorder="1" applyAlignment="1">
      <alignment horizontal="center" vertical="center" wrapText="1"/>
    </xf>
    <xf numFmtId="0" fontId="3" fillId="24" borderId="1" xfId="0" applyFont="1" applyFill="1" applyBorder="1" applyAlignment="1">
      <alignment horizontal="center" vertical="center" wrapText="1"/>
    </xf>
    <xf numFmtId="14" fontId="3" fillId="24" borderId="98" xfId="0" applyNumberFormat="1" applyFont="1" applyFill="1" applyBorder="1" applyAlignment="1">
      <alignment horizontal="center" vertical="center" wrapText="1"/>
    </xf>
    <xf numFmtId="0" fontId="3" fillId="24" borderId="99" xfId="0" applyFont="1" applyFill="1" applyBorder="1" applyAlignment="1">
      <alignment horizontal="center" vertical="center" wrapText="1"/>
    </xf>
    <xf numFmtId="0" fontId="3" fillId="24" borderId="100" xfId="0" applyFont="1" applyFill="1" applyBorder="1" applyAlignment="1">
      <alignment horizontal="center" vertical="center" wrapText="1"/>
    </xf>
    <xf numFmtId="14" fontId="3" fillId="35" borderId="89"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14" fontId="3" fillId="35" borderId="5" xfId="0" applyNumberFormat="1" applyFont="1" applyFill="1" applyBorder="1" applyAlignment="1">
      <alignment horizontal="center" vertical="center" wrapText="1"/>
    </xf>
    <xf numFmtId="14" fontId="3" fillId="25" borderId="89" xfId="0" applyNumberFormat="1" applyFont="1" applyFill="1" applyBorder="1" applyAlignment="1">
      <alignment horizontal="center" vertical="center" wrapText="1"/>
    </xf>
    <xf numFmtId="0" fontId="3" fillId="25" borderId="1" xfId="0" applyFont="1" applyFill="1" applyBorder="1" applyAlignment="1">
      <alignment horizontal="center" vertical="center" wrapText="1"/>
    </xf>
    <xf numFmtId="14" fontId="3" fillId="25" borderId="111" xfId="0" applyNumberFormat="1" applyFont="1" applyFill="1" applyBorder="1" applyAlignment="1">
      <alignment horizontal="center" vertical="center" wrapText="1"/>
    </xf>
    <xf numFmtId="0" fontId="3" fillId="25" borderId="112" xfId="0" applyFont="1" applyFill="1" applyBorder="1" applyAlignment="1">
      <alignment horizontal="center" vertical="center" wrapText="1"/>
    </xf>
    <xf numFmtId="14" fontId="3" fillId="25" borderId="91" xfId="0" applyNumberFormat="1" applyFont="1" applyFill="1" applyBorder="1" applyAlignment="1">
      <alignment horizontal="center" vertical="center" wrapText="1"/>
    </xf>
    <xf numFmtId="0" fontId="3" fillId="25" borderId="5" xfId="0" applyFont="1" applyFill="1" applyBorder="1" applyAlignment="1">
      <alignment horizontal="center" vertical="center" wrapText="1"/>
    </xf>
    <xf numFmtId="14" fontId="3" fillId="25" borderId="93" xfId="0" applyNumberFormat="1" applyFont="1" applyFill="1" applyBorder="1" applyAlignment="1">
      <alignment horizontal="center" vertical="center" wrapText="1"/>
    </xf>
    <xf numFmtId="0" fontId="3" fillId="25" borderId="94"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14" fontId="3" fillId="24" borderId="3" xfId="0" applyNumberFormat="1" applyFont="1" applyFill="1" applyBorder="1" applyAlignment="1">
      <alignment horizontal="center" vertical="center" wrapText="1"/>
    </xf>
    <xf numFmtId="0" fontId="3" fillId="24" borderId="5" xfId="0" applyFont="1" applyFill="1" applyBorder="1" applyAlignment="1">
      <alignment horizontal="center" vertical="center" wrapText="1"/>
    </xf>
    <xf numFmtId="0" fontId="10" fillId="24" borderId="7" xfId="0" applyFont="1" applyFill="1" applyBorder="1" applyAlignment="1">
      <alignment horizontal="center" vertical="center" wrapText="1"/>
    </xf>
    <xf numFmtId="0" fontId="0" fillId="0" borderId="72" xfId="0" applyBorder="1" applyAlignment="1">
      <alignment horizontal="center" vertical="center" wrapText="1"/>
    </xf>
    <xf numFmtId="0" fontId="5" fillId="0" borderId="125" xfId="0" applyFont="1" applyBorder="1" applyAlignment="1">
      <alignment horizontal="center" vertical="center"/>
    </xf>
    <xf numFmtId="14" fontId="57" fillId="0" borderId="0" xfId="0" applyNumberFormat="1" applyFont="1" applyAlignment="1">
      <alignment horizontal="center" vertical="center" wrapText="1"/>
    </xf>
    <xf numFmtId="0" fontId="35" fillId="4" borderId="42" xfId="3" applyFont="1" applyBorder="1" applyAlignment="1">
      <alignment horizontal="center" vertical="center" wrapText="1"/>
    </xf>
    <xf numFmtId="0" fontId="35" fillId="4" borderId="43" xfId="3" applyFont="1" applyBorder="1" applyAlignment="1">
      <alignment horizontal="center" vertical="center" wrapText="1"/>
    </xf>
    <xf numFmtId="0" fontId="46" fillId="10" borderId="11" xfId="0" applyFont="1" applyFill="1" applyBorder="1" applyAlignment="1">
      <alignment horizontal="center" vertical="center"/>
    </xf>
    <xf numFmtId="0" fontId="46" fillId="10" borderId="12" xfId="0" applyFont="1" applyFill="1" applyBorder="1" applyAlignment="1">
      <alignment horizontal="center" vertical="center"/>
    </xf>
    <xf numFmtId="0" fontId="46" fillId="10" borderId="29" xfId="0" applyFont="1" applyFill="1" applyBorder="1" applyAlignment="1">
      <alignment horizontal="center" vertical="center"/>
    </xf>
    <xf numFmtId="0" fontId="0" fillId="0" borderId="28"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26" fillId="0" borderId="13" xfId="0" applyFont="1" applyBorder="1" applyAlignment="1">
      <alignment horizontal="center" vertical="center" wrapText="1"/>
    </xf>
    <xf numFmtId="0" fontId="26" fillId="0" borderId="14" xfId="0" applyFont="1" applyBorder="1" applyAlignment="1">
      <alignment horizontal="center" vertical="center" wrapText="1"/>
    </xf>
    <xf numFmtId="0" fontId="9" fillId="4" borderId="0" xfId="3" applyFont="1" applyAlignment="1">
      <alignment horizontal="left" vertical="center" wrapText="1"/>
    </xf>
    <xf numFmtId="0" fontId="12" fillId="22" borderId="11" xfId="0" applyFont="1" applyFill="1" applyBorder="1" applyAlignment="1">
      <alignment horizontal="center" vertical="center"/>
    </xf>
    <xf numFmtId="0" fontId="12" fillId="22" borderId="12" xfId="0" applyFont="1" applyFill="1" applyBorder="1" applyAlignment="1">
      <alignment horizontal="center" vertical="center"/>
    </xf>
    <xf numFmtId="0" fontId="12" fillId="22" borderId="29" xfId="0" applyFont="1" applyFill="1" applyBorder="1" applyAlignment="1">
      <alignment horizontal="center" vertical="center"/>
    </xf>
    <xf numFmtId="0" fontId="9" fillId="4" borderId="0" xfId="3" applyFont="1" applyAlignment="1">
      <alignment horizontal="center" vertical="center" wrapText="1"/>
    </xf>
    <xf numFmtId="0" fontId="11" fillId="5" borderId="11" xfId="3" applyFont="1" applyFill="1" applyBorder="1" applyAlignment="1">
      <alignment horizontal="center" vertical="center" wrapText="1"/>
    </xf>
    <xf numFmtId="0" fontId="11" fillId="5" borderId="12" xfId="3" applyFont="1" applyFill="1" applyBorder="1" applyAlignment="1">
      <alignment horizontal="center" vertical="center" wrapText="1"/>
    </xf>
    <xf numFmtId="0" fontId="11" fillId="5" borderId="27" xfId="3" applyFont="1" applyFill="1" applyBorder="1" applyAlignment="1">
      <alignment horizontal="center" vertical="center" wrapText="1"/>
    </xf>
    <xf numFmtId="0" fontId="20" fillId="0" borderId="54" xfId="0" applyFont="1" applyBorder="1" applyAlignment="1">
      <alignment horizontal="center" vertical="center" wrapText="1"/>
    </xf>
    <xf numFmtId="0" fontId="20" fillId="0" borderId="57" xfId="0" applyFont="1" applyBorder="1" applyAlignment="1">
      <alignment horizontal="center" vertical="center" wrapText="1"/>
    </xf>
    <xf numFmtId="166" fontId="9" fillId="4" borderId="0" xfId="3" applyNumberFormat="1" applyFont="1" applyAlignment="1">
      <alignment horizontal="center" vertical="center" wrapText="1"/>
    </xf>
    <xf numFmtId="0" fontId="9" fillId="44" borderId="57" xfId="3" applyFont="1" applyFill="1" applyBorder="1" applyAlignment="1">
      <alignment horizontal="center" vertical="center" wrapText="1"/>
    </xf>
    <xf numFmtId="0" fontId="33" fillId="23" borderId="28" xfId="0" applyFont="1" applyFill="1" applyBorder="1" applyAlignment="1">
      <alignment horizontal="center" vertical="center"/>
    </xf>
    <xf numFmtId="0" fontId="33" fillId="23" borderId="35" xfId="0" applyFont="1" applyFill="1" applyBorder="1" applyAlignment="1">
      <alignment horizontal="center" vertical="center"/>
    </xf>
    <xf numFmtId="0" fontId="33" fillId="23" borderId="36" xfId="0" applyFont="1" applyFill="1" applyBorder="1" applyAlignment="1">
      <alignment horizontal="center" vertical="center"/>
    </xf>
    <xf numFmtId="0" fontId="33" fillId="23" borderId="25" xfId="0" applyFont="1" applyFill="1" applyBorder="1" applyAlignment="1">
      <alignment horizontal="center" vertical="center"/>
    </xf>
    <xf numFmtId="0" fontId="33" fillId="23" borderId="0" xfId="0" applyFont="1" applyFill="1" applyAlignment="1">
      <alignment horizontal="center" vertical="center"/>
    </xf>
    <xf numFmtId="0" fontId="0" fillId="44" borderId="0" xfId="0" applyFill="1" applyAlignment="1">
      <alignment horizontal="center"/>
    </xf>
  </cellXfs>
  <cellStyles count="12">
    <cellStyle name="Lien hypertexte" xfId="11" builtinId="8"/>
    <cellStyle name="Milliers" xfId="1" builtinId="3"/>
    <cellStyle name="Milliers 2" xfId="8" xr:uid="{00000000-0005-0000-0000-000002000000}"/>
    <cellStyle name="Monétaire" xfId="2" builtinId="4"/>
    <cellStyle name="Monétaire 2" xfId="9" xr:uid="{00000000-0005-0000-0000-000004000000}"/>
    <cellStyle name="Normal" xfId="0" builtinId="0"/>
    <cellStyle name="Normal 2" xfId="6" xr:uid="{00000000-0005-0000-0000-000006000000}"/>
    <cellStyle name="Pourcentage" xfId="10" builtinId="5"/>
    <cellStyle name="Titre" xfId="3" builtinId="15"/>
    <cellStyle name="Titre 2" xfId="5" xr:uid="{00000000-0005-0000-0000-000009000000}"/>
    <cellStyle name="Titre 1" xfId="4" builtinId="16"/>
    <cellStyle name="Titre 1 2" xfId="7" xr:uid="{00000000-0005-0000-0000-00000B000000}"/>
  </cellStyles>
  <dxfs count="294">
    <dxf>
      <font>
        <b/>
        <i val="0"/>
      </font>
      <fill>
        <patternFill>
          <bgColor theme="5" tint="0.79998168889431442"/>
        </patternFill>
      </fill>
    </dxf>
    <dxf>
      <font>
        <b/>
        <i val="0"/>
        <color theme="7"/>
      </font>
      <fill>
        <patternFill>
          <bgColor theme="7" tint="0.79998168889431442"/>
        </patternFill>
      </fill>
    </dxf>
    <dxf>
      <font>
        <b/>
        <i val="0"/>
        <color auto="1"/>
      </font>
      <fill>
        <patternFill>
          <bgColor theme="0" tint="-0.24994659260841701"/>
        </patternFill>
      </fill>
    </dxf>
    <dxf>
      <font>
        <b/>
        <i val="0"/>
        <color theme="0"/>
      </font>
      <fill>
        <patternFill patternType="solid">
          <bgColor rgb="FF660033"/>
        </patternFill>
      </fill>
    </dxf>
    <dxf>
      <font>
        <b/>
        <i val="0"/>
        <color rgb="FF008000"/>
      </font>
      <fill>
        <patternFill>
          <bgColor theme="9" tint="0.59996337778862885"/>
        </patternFill>
      </fill>
    </dxf>
    <dxf>
      <font>
        <b/>
        <i val="0"/>
        <color theme="0"/>
      </font>
      <fill>
        <patternFill patternType="solid">
          <bgColor rgb="FF660033"/>
        </patternFill>
      </fill>
    </dxf>
    <dxf>
      <font>
        <b/>
        <i val="0"/>
        <color auto="1"/>
      </font>
      <fill>
        <patternFill>
          <bgColor theme="0" tint="-0.24994659260841701"/>
        </patternFill>
      </fill>
    </dxf>
    <dxf>
      <font>
        <b/>
        <i val="0"/>
        <color theme="7"/>
      </font>
      <fill>
        <patternFill>
          <bgColor theme="7" tint="0.79998168889431442"/>
        </patternFill>
      </fill>
    </dxf>
    <dxf>
      <font>
        <b/>
        <i val="0"/>
      </font>
      <fill>
        <patternFill>
          <bgColor theme="5" tint="0.79998168889431442"/>
        </patternFill>
      </fill>
    </dxf>
    <dxf>
      <font>
        <b/>
        <i val="0"/>
        <color rgb="FF008000"/>
      </font>
      <fill>
        <patternFill>
          <bgColor theme="9" tint="0.59996337778862885"/>
        </patternFill>
      </fill>
    </dxf>
    <dxf>
      <font>
        <b/>
        <i val="0"/>
        <color rgb="FF800000"/>
      </font>
      <fill>
        <patternFill>
          <bgColor rgb="FFFF0000"/>
        </patternFill>
      </fill>
    </dxf>
    <dxf>
      <font>
        <b/>
        <i val="0"/>
        <color rgb="FF008000"/>
      </font>
      <fill>
        <patternFill>
          <bgColor rgb="FF92D050"/>
        </patternFill>
      </fill>
    </dxf>
    <dxf>
      <font>
        <b/>
        <i val="0"/>
        <color rgb="FF008000"/>
      </font>
      <fill>
        <patternFill>
          <bgColor rgb="FF92D050"/>
        </patternFill>
      </fill>
    </dxf>
    <dxf>
      <font>
        <b/>
        <i val="0"/>
        <color rgb="FF800000"/>
      </font>
      <fill>
        <patternFill>
          <bgColor rgb="FFFF0000"/>
        </patternFill>
      </fill>
    </dxf>
    <dxf>
      <font>
        <b/>
        <i val="0"/>
        <color rgb="FF008000"/>
      </font>
      <fill>
        <patternFill>
          <bgColor theme="9" tint="0.59996337778862885"/>
        </patternFill>
      </fill>
    </dxf>
    <dxf>
      <font>
        <b/>
        <i val="0"/>
      </font>
      <fill>
        <patternFill>
          <bgColor theme="5" tint="0.79998168889431442"/>
        </patternFill>
      </fill>
    </dxf>
    <dxf>
      <font>
        <b/>
        <i val="0"/>
        <color theme="7"/>
      </font>
      <fill>
        <patternFill>
          <bgColor theme="7" tint="0.79998168889431442"/>
        </patternFill>
      </fill>
    </dxf>
    <dxf>
      <font>
        <b/>
        <i val="0"/>
        <color auto="1"/>
      </font>
      <fill>
        <patternFill>
          <bgColor theme="0" tint="-0.24994659260841701"/>
        </patternFill>
      </fill>
    </dxf>
    <dxf>
      <font>
        <b/>
        <i val="0"/>
        <color theme="0"/>
      </font>
      <fill>
        <patternFill patternType="solid">
          <bgColor rgb="FF660033"/>
        </patternFill>
      </fill>
    </dxf>
    <dxf>
      <font>
        <b/>
        <i val="0"/>
        <color rgb="FF800000"/>
      </font>
      <fill>
        <patternFill>
          <bgColor rgb="FFFF0000"/>
        </patternFill>
      </fill>
    </dxf>
    <dxf>
      <font>
        <b/>
        <i val="0"/>
        <color rgb="FF008000"/>
      </font>
      <fill>
        <patternFill>
          <bgColor rgb="FF92D050"/>
        </patternFill>
      </fill>
    </dxf>
    <dxf>
      <font>
        <b/>
        <i val="0"/>
        <color theme="7"/>
      </font>
      <fill>
        <patternFill>
          <bgColor theme="7" tint="0.79998168889431442"/>
        </patternFill>
      </fill>
    </dxf>
    <dxf>
      <font>
        <b/>
        <i val="0"/>
      </font>
      <fill>
        <patternFill>
          <bgColor theme="5" tint="0.79998168889431442"/>
        </patternFill>
      </fill>
    </dxf>
    <dxf>
      <font>
        <b/>
        <i val="0"/>
        <color rgb="FF008000"/>
      </font>
      <fill>
        <patternFill>
          <bgColor theme="9" tint="0.59996337778862885"/>
        </patternFill>
      </fill>
    </dxf>
    <dxf>
      <font>
        <b/>
        <i val="0"/>
        <color theme="0"/>
      </font>
      <fill>
        <patternFill patternType="solid">
          <bgColor rgb="FF660033"/>
        </patternFill>
      </fill>
    </dxf>
    <dxf>
      <font>
        <b/>
        <i val="0"/>
        <color auto="1"/>
      </font>
      <fill>
        <patternFill>
          <bgColor theme="0" tint="-0.24994659260841701"/>
        </patternFill>
      </fill>
    </dxf>
    <dxf>
      <font>
        <b/>
        <i val="0"/>
        <color rgb="FF008000"/>
      </font>
      <fill>
        <patternFill>
          <bgColor rgb="FF92D050"/>
        </patternFill>
      </fill>
    </dxf>
    <dxf>
      <font>
        <b/>
        <i val="0"/>
        <color rgb="FF800000"/>
      </font>
      <fill>
        <patternFill>
          <bgColor rgb="FFFF0000"/>
        </patternFill>
      </fill>
    </dxf>
    <dxf>
      <font>
        <b/>
        <i val="0"/>
        <color rgb="FF008000"/>
      </font>
      <fill>
        <patternFill>
          <bgColor theme="9" tint="0.59996337778862885"/>
        </patternFill>
      </fill>
    </dxf>
    <dxf>
      <font>
        <b/>
        <i val="0"/>
      </font>
      <fill>
        <patternFill>
          <bgColor theme="5" tint="0.79998168889431442"/>
        </patternFill>
      </fill>
    </dxf>
    <dxf>
      <font>
        <b/>
        <i val="0"/>
        <color theme="7"/>
      </font>
      <fill>
        <patternFill>
          <bgColor theme="7" tint="0.79998168889431442"/>
        </patternFill>
      </fill>
    </dxf>
    <dxf>
      <font>
        <b/>
        <i val="0"/>
        <color auto="1"/>
      </font>
      <fill>
        <patternFill>
          <bgColor theme="0" tint="-0.24994659260841701"/>
        </patternFill>
      </fill>
    </dxf>
    <dxf>
      <font>
        <b/>
        <i val="0"/>
        <color theme="0"/>
      </font>
      <fill>
        <patternFill patternType="solid">
          <bgColor rgb="FF660033"/>
        </patternFill>
      </fill>
    </dxf>
    <dxf>
      <font>
        <b/>
        <i val="0"/>
        <color rgb="FF008000"/>
      </font>
      <fill>
        <patternFill>
          <bgColor theme="9" tint="0.59996337778862885"/>
        </patternFill>
      </fill>
    </dxf>
    <dxf>
      <font>
        <b/>
        <i val="0"/>
      </font>
      <fill>
        <patternFill>
          <bgColor theme="5" tint="0.79998168889431442"/>
        </patternFill>
      </fill>
    </dxf>
    <dxf>
      <font>
        <b/>
        <i val="0"/>
        <color theme="7"/>
      </font>
      <fill>
        <patternFill>
          <bgColor theme="7" tint="0.79998168889431442"/>
        </patternFill>
      </fill>
    </dxf>
    <dxf>
      <font>
        <b/>
        <i val="0"/>
        <color auto="1"/>
      </font>
      <fill>
        <patternFill>
          <bgColor theme="0" tint="-0.24994659260841701"/>
        </patternFill>
      </fill>
    </dxf>
    <dxf>
      <font>
        <b/>
        <i val="0"/>
        <color theme="0"/>
      </font>
      <fill>
        <patternFill patternType="solid">
          <bgColor rgb="FF660033"/>
        </patternFill>
      </fill>
    </dxf>
    <dxf>
      <font>
        <b/>
        <i val="0"/>
        <color rgb="FF800000"/>
      </font>
      <fill>
        <patternFill>
          <bgColor rgb="FFFF0000"/>
        </patternFill>
      </fill>
    </dxf>
    <dxf>
      <font>
        <b/>
        <i val="0"/>
        <color rgb="FF008000"/>
      </font>
      <fill>
        <patternFill>
          <bgColor rgb="FF92D050"/>
        </patternFill>
      </fill>
    </dxf>
    <dxf>
      <font>
        <b/>
        <i val="0"/>
        <color rgb="FF00B050"/>
      </font>
    </dxf>
    <dxf>
      <font>
        <b/>
        <i val="0"/>
        <color rgb="FFFF0000"/>
      </font>
    </dxf>
    <dxf>
      <font>
        <color rgb="FF9C0006"/>
      </font>
      <fill>
        <patternFill>
          <bgColor rgb="FFFFC7CE"/>
        </patternFill>
      </fill>
    </dxf>
    <dxf>
      <fill>
        <patternFill>
          <bgColor rgb="FFFFC000"/>
        </patternFill>
      </fill>
    </dxf>
    <dxf>
      <font>
        <color rgb="FF006100"/>
      </font>
      <fill>
        <patternFill>
          <bgColor rgb="FFC6EFCE"/>
        </patternFill>
      </fill>
    </dxf>
    <dxf>
      <font>
        <b/>
        <i val="0"/>
      </font>
      <fill>
        <patternFill>
          <bgColor theme="0"/>
        </patternFill>
      </fill>
    </dxf>
    <dxf>
      <fill>
        <patternFill>
          <bgColor theme="7" tint="0.39994506668294322"/>
        </patternFill>
      </fill>
      <border>
        <left style="thin">
          <color auto="1"/>
        </left>
        <right style="thin">
          <color auto="1"/>
        </right>
        <top style="thin">
          <color auto="1"/>
        </top>
        <bottom style="thin">
          <color auto="1"/>
        </bottom>
        <vertical/>
        <horizontal/>
      </border>
    </dxf>
    <dxf>
      <font>
        <b/>
        <i val="0"/>
        <color rgb="FFFF0000"/>
      </font>
    </dxf>
    <dxf>
      <font>
        <b/>
        <i val="0"/>
        <color rgb="FF00B050"/>
      </font>
    </dxf>
    <dxf>
      <font>
        <b/>
        <i val="0"/>
        <color rgb="FFFF0000"/>
      </font>
    </dxf>
    <dxf>
      <font>
        <b/>
        <i val="0"/>
        <color rgb="FF00B050"/>
      </font>
    </dxf>
    <dxf>
      <font>
        <color rgb="FF006100"/>
      </font>
      <fill>
        <patternFill>
          <bgColor rgb="FFC6EFCE"/>
        </patternFill>
      </fill>
    </dxf>
    <dxf>
      <fill>
        <patternFill>
          <bgColor rgb="FFFFC000"/>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rgb="FFFFCC99"/>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medium">
          <color auto="1"/>
        </left>
        <right style="medium">
          <color auto="1"/>
        </right>
        <top style="medium">
          <color rgb="FF000000"/>
        </top>
        <bottom style="medium">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rgb="FFFF3399"/>
        <name val="Calibri"/>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outline="0">
        <left/>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medium">
          <color auto="1"/>
        </left>
        <right style="medium">
          <color auto="1"/>
        </right>
        <top style="medium">
          <color rgb="FF000000"/>
        </top>
        <bottom style="medium">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rgb="FFFF3399"/>
        <name val="Calibri"/>
        <scheme val="minor"/>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medium">
          <color auto="1"/>
        </left>
        <right style="medium">
          <color auto="1"/>
        </right>
        <top style="medium">
          <color indexed="64"/>
        </top>
        <bottom style="medium">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2"/>
        <color rgb="FFFF3399"/>
        <name val="Calibri"/>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4" tint="-0.249977111117893"/>
        <name val="Calibri"/>
        <scheme val="minor"/>
      </font>
      <fill>
        <patternFill patternType="solid">
          <fgColor theme="4" tint="0.79998168889431442"/>
          <bgColor theme="4" tint="0.79998168889431442"/>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numFmt numFmtId="165" formatCode="#,##0.00\ &quot;€&quot;"/>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left"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9" formatCode="dd/mm/yyyy"/>
      <alignment horizontal="center" vertical="center" textRotation="0" wrapText="1" indent="0" justifyLastLine="0" shrinkToFit="0" readingOrder="0"/>
    </dxf>
    <dxf>
      <font>
        <strike val="0"/>
        <outline val="0"/>
        <shadow val="0"/>
        <u val="none"/>
        <vertAlign val="baseline"/>
        <sz val="11"/>
        <color auto="1"/>
        <name val="Arial"/>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numFmt numFmtId="167" formatCode="#,##0.00\ &quot;€&quot;_);\(#,##0.00\ &quot;€&quot;\)"/>
    </dxf>
    <dxf>
      <font>
        <strike val="0"/>
        <outline val="0"/>
        <shadow val="0"/>
        <u val="none"/>
        <vertAlign val="baseline"/>
        <sz val="11"/>
        <color auto="1"/>
        <name val="Calibri"/>
        <scheme val="minor"/>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minor"/>
      </font>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font>
        <strike val="0"/>
        <outline val="0"/>
        <shadow val="0"/>
        <u val="none"/>
        <vertAlign val="baseline"/>
        <sz val="13"/>
        <color auto="1"/>
        <name val="Arial"/>
        <scheme val="none"/>
      </font>
      <alignment horizontal="general" vertical="bottom" textRotation="0" wrapText="1" indent="0" justifyLastLine="0" shrinkToFit="0" readingOrder="0"/>
    </dxf>
    <dxf>
      <font>
        <strike val="0"/>
        <outline val="0"/>
        <shadow val="0"/>
        <u val="none"/>
        <vertAlign val="baseline"/>
        <sz val="11"/>
        <color auto="1"/>
        <name val="Arial"/>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9"/>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b val="0"/>
        <i val="0"/>
        <strike val="0"/>
        <condense val="0"/>
        <extend val="0"/>
        <outline val="0"/>
        <shadow val="0"/>
        <u val="none"/>
        <vertAlign val="baseline"/>
        <sz val="9"/>
        <color auto="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alignment horizontal="general"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font>
        <strike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dxf>
    <dxf>
      <alignment horizontal="center" vertical="center" textRotation="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left" vertical="bottom" textRotation="0" wrapText="1" indent="1" justifyLastLine="0" shrinkToFit="0" readingOrder="0"/>
    </dxf>
    <dxf>
      <alignment horizontal="center" textRotation="0" indent="0" justifyLastLine="0" shrinkToFit="0" readingOrder="0"/>
    </dxf>
    <dxf>
      <font>
        <strike val="0"/>
        <outline val="0"/>
        <shadow val="0"/>
        <u val="none"/>
        <vertAlign val="baseline"/>
        <sz val="11"/>
        <color auto="1"/>
        <name val="Arial"/>
        <scheme val="none"/>
      </font>
    </dxf>
    <dxf>
      <font>
        <strike val="0"/>
        <outline val="0"/>
        <shadow val="0"/>
        <u val="none"/>
        <vertAlign val="baseline"/>
        <sz val="11"/>
        <color auto="1"/>
        <name val="Arial"/>
        <scheme val="none"/>
      </font>
      <alignment horizontal="general" vertical="bottom" textRotation="0" wrapText="0" indent="0" justifyLastLine="0" shrinkToFit="0" readingOrder="0"/>
    </dxf>
    <dxf>
      <font>
        <strike val="0"/>
        <outline val="0"/>
        <shadow val="0"/>
        <u val="none"/>
        <vertAlign val="baseline"/>
        <sz val="14"/>
        <name val="Calibri"/>
        <scheme val="minor"/>
      </font>
      <numFmt numFmtId="0" formatCode="General"/>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medium">
          <color rgb="FFC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indent="0" justifyLastLine="0" shrinkToFit="0" readingOrder="0"/>
      <border diagonalUp="0" diagonalDown="0">
        <left style="medium">
          <color rgb="FFC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theme="1"/>
        </left>
        <right style="thick">
          <color rgb="FFFF0000"/>
        </right>
        <top style="thin">
          <color theme="1"/>
        </top>
        <bottom style="thin">
          <color theme="1"/>
        </bottom>
        <vertical/>
        <horizontal style="thin">
          <color theme="1"/>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indexed="64"/>
        </left>
        <right style="thin">
          <color indexed="64"/>
        </right>
        <top/>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EAC4EE"/>
        </patternFill>
      </fill>
      <alignment horizontal="center" vertical="center" textRotation="0" wrapText="0" indent="0" justifyLastLine="0" shrinkToFit="0" readingOrder="0"/>
      <border diagonalUp="0" diagonalDown="0">
        <left style="thin">
          <color auto="1"/>
        </left>
        <right style="thick">
          <color rgb="FF0070C0"/>
        </right>
        <top style="thin">
          <color auto="1"/>
        </top>
        <bottom style="thin">
          <color auto="1"/>
        </bottom>
        <vertical/>
        <horizontal style="thin">
          <color auto="1"/>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EAC4EE"/>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right style="thin">
          <color auto="1"/>
        </right>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0" indent="0" justifyLastLine="0" shrinkToFit="0" readingOrder="0"/>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auto="1"/>
        </left>
        <right style="thin">
          <color auto="1"/>
        </right>
        <top/>
        <bottom style="thin">
          <color auto="1"/>
        </bottom>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indexed="64"/>
        </left>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1"/>
        <color auto="1"/>
        <name val="Calibri"/>
        <scheme val="minor"/>
      </font>
      <alignment horizontal="center" vertical="center" textRotation="0" wrapText="0" indent="0" justifyLastLine="0" shrinkToFit="0" readingOrder="0"/>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right style="thin">
          <color indexed="64"/>
        </right>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1"/>
        <color auto="1"/>
        <name val="Calibri"/>
        <scheme val="minor"/>
      </font>
      <alignment horizontal="center" vertical="center" textRotation="0" wrapText="0" indent="0" justifyLastLine="0" shrinkToFit="0" readingOrder="0"/>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1"/>
        <color auto="1"/>
        <name val="Calibri"/>
        <scheme val="minor"/>
      </font>
      <alignment horizontal="center" vertical="center" textRotation="0" wrapText="0" indent="0" justifyLastLine="0" shrinkToFit="0" readingOrder="0"/>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fill>
        <patternFill patternType="solid">
          <fgColor indexed="64"/>
          <bgColor theme="8" tint="0.59999389629810485"/>
        </patternFill>
      </fill>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ck">
          <color rgb="FF0070C0"/>
        </left>
      </border>
    </dxf>
    <dxf>
      <font>
        <strike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scheme val="minor"/>
      </font>
      <numFmt numFmtId="0" formatCode="General"/>
      <alignment horizontal="center" vertical="center" textRotation="0" wrapText="0" indent="0" justifyLastLine="0" shrinkToFit="0" readingOrder="0"/>
    </dxf>
    <dxf>
      <numFmt numFmtId="0" formatCode="General"/>
      <alignment horizontal="center" vertical="center" wrapText="1" indent="0" justifyLastLine="0" shrinkToFit="0" readingOrder="0"/>
    </dxf>
    <dxf>
      <fill>
        <patternFill>
          <bgColor rgb="FFB17ED8"/>
        </patternFill>
      </fill>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auto="1"/>
      </font>
      <fill>
        <patternFill patternType="solid">
          <fgColor theme="4"/>
          <bgColor theme="4"/>
        </patternFill>
      </fill>
      <border>
        <top style="thick">
          <color theme="0"/>
        </top>
      </border>
    </dxf>
    <dxf>
      <font>
        <b/>
        <i val="0"/>
        <color theme="0"/>
      </font>
      <fill>
        <patternFill patternType="solid">
          <fgColor theme="4"/>
          <bgColor theme="4" tint="-0.499984740745262"/>
        </patternFill>
      </fill>
      <border>
        <bottom style="thick">
          <color theme="0"/>
        </bottom>
      </border>
    </dxf>
    <dxf>
      <font>
        <color theme="1"/>
      </font>
      <fill>
        <patternFill patternType="solid">
          <fgColor theme="4" tint="0.79998168889431442"/>
          <bgColor theme="4" tint="0.79998168889431442"/>
        </patternFill>
      </fill>
      <border>
        <vertical style="thin">
          <color theme="0"/>
        </vertical>
        <horizontal style="thin">
          <color theme="0"/>
        </horizontal>
      </border>
    </dxf>
  </dxfs>
  <tableStyles count="2" defaultTableStyle="TableStyleMedium2" defaultPivotStyle="PivotStyleLight16">
    <tableStyle name="InventoryTable" pivot="0" count="7" xr9:uid="{00000000-0011-0000-FFFF-FFFF00000000}">
      <tableStyleElement type="wholeTable" dxfId="293"/>
      <tableStyleElement type="headerRow" dxfId="292"/>
      <tableStyleElement type="totalRow" dxfId="291"/>
      <tableStyleElement type="firstColumn" dxfId="290"/>
      <tableStyleElement type="lastColumn" dxfId="289"/>
      <tableStyleElement type="firstRowStripe" dxfId="288"/>
      <tableStyleElement type="firstColumnStripe" dxfId="287"/>
    </tableStyle>
    <tableStyle name="Style de tableau 1" pivot="0" count="1" xr9:uid="{00000000-0011-0000-FFFF-FFFF01000000}">
      <tableStyleElement type="wholeTable" dxfId="286"/>
    </tableStyle>
  </tableStyles>
  <colors>
    <mruColors>
      <color rgb="FFEAC4EE"/>
      <color rgb="FF660033"/>
      <color rgb="FFFF7C80"/>
      <color rgb="FFFF0000"/>
      <color rgb="FF008000"/>
      <color rgb="FFD0FF00"/>
      <color rgb="FF800000"/>
      <color rgb="FFFF8585"/>
      <color rgb="FF652E09"/>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dLbls>
          <c:showLegendKey val="0"/>
          <c:showVal val="0"/>
          <c:showCatName val="0"/>
          <c:showSerName val="0"/>
          <c:showPercent val="0"/>
          <c:showBubbleSize val="0"/>
        </c:dLbls>
        <c:axId val="794753072"/>
        <c:axId val="794766392"/>
      </c:areaChart>
      <c:catAx>
        <c:axId val="79475307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94766392"/>
        <c:crosses val="autoZero"/>
        <c:auto val="1"/>
        <c:lblAlgn val="ctr"/>
        <c:lblOffset val="100"/>
        <c:noMultiLvlLbl val="0"/>
      </c:catAx>
      <c:valAx>
        <c:axId val="794766392"/>
        <c:scaling>
          <c:orientation val="minMax"/>
        </c:scaling>
        <c:delete val="0"/>
        <c:axPos val="l"/>
        <c:majorGridlines>
          <c:spPr>
            <a:ln w="9525" cap="flat" cmpd="sng" algn="ctr">
              <a:solidFill>
                <a:schemeClr val="tx1">
                  <a:lumMod val="15000"/>
                  <a:lumOff val="85000"/>
                </a:schemeClr>
              </a:solidFill>
              <a:round/>
            </a:ln>
            <a:effectLst/>
          </c:spPr>
        </c:majorGridlines>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94753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297655</xdr:colOff>
      <xdr:row>73</xdr:row>
      <xdr:rowOff>0</xdr:rowOff>
    </xdr:from>
    <xdr:to>
      <xdr:col>7</xdr:col>
      <xdr:colOff>1702592</xdr:colOff>
      <xdr:row>105</xdr:row>
      <xdr:rowOff>304800</xdr:rowOff>
    </xdr:to>
    <xdr:grpSp>
      <xdr:nvGrpSpPr>
        <xdr:cNvPr id="14" name="Groupe 2">
          <a:extLst>
            <a:ext uri="{FF2B5EF4-FFF2-40B4-BE49-F238E27FC236}">
              <a16:creationId xmlns:a16="http://schemas.microsoft.com/office/drawing/2014/main" id="{472F0BB1-CB8E-48AD-AD16-08BA82F05E2F}"/>
            </a:ext>
          </a:extLst>
        </xdr:cNvPr>
        <xdr:cNvGrpSpPr/>
      </xdr:nvGrpSpPr>
      <xdr:grpSpPr>
        <a:xfrm>
          <a:off x="297655" y="20062031"/>
          <a:ext cx="8251031" cy="12496800"/>
          <a:chOff x="16487147" y="2043735"/>
          <a:chExt cx="4139403" cy="4732621"/>
        </a:xfrm>
      </xdr:grpSpPr>
      <xdr:grpSp>
        <xdr:nvGrpSpPr>
          <xdr:cNvPr id="15" name="Groupe 1">
            <a:extLst>
              <a:ext uri="{FF2B5EF4-FFF2-40B4-BE49-F238E27FC236}">
                <a16:creationId xmlns:a16="http://schemas.microsoft.com/office/drawing/2014/main" id="{28CE2390-F3EC-4FA9-B05A-8437335FD69A}"/>
              </a:ext>
            </a:extLst>
          </xdr:cNvPr>
          <xdr:cNvGrpSpPr/>
        </xdr:nvGrpSpPr>
        <xdr:grpSpPr>
          <a:xfrm>
            <a:off x="16487147" y="2043735"/>
            <a:ext cx="4139403" cy="4732621"/>
            <a:chOff x="24117676" y="1273630"/>
            <a:chExt cx="4278498" cy="6598920"/>
          </a:xfrm>
        </xdr:grpSpPr>
        <xdr:grpSp>
          <xdr:nvGrpSpPr>
            <xdr:cNvPr id="19" name="Groupe 24">
              <a:extLst>
                <a:ext uri="{FF2B5EF4-FFF2-40B4-BE49-F238E27FC236}">
                  <a16:creationId xmlns:a16="http://schemas.microsoft.com/office/drawing/2014/main" id="{B4408C94-5048-4664-832A-95B509F738C4}"/>
                </a:ext>
              </a:extLst>
            </xdr:cNvPr>
            <xdr:cNvGrpSpPr/>
          </xdr:nvGrpSpPr>
          <xdr:grpSpPr>
            <a:xfrm>
              <a:off x="24117676" y="1273630"/>
              <a:ext cx="4278498" cy="6598920"/>
              <a:chOff x="3920708" y="1342469"/>
              <a:chExt cx="2386219" cy="2087951"/>
            </a:xfrm>
          </xdr:grpSpPr>
          <xdr:pic>
            <xdr:nvPicPr>
              <xdr:cNvPr id="21" name="Image 27">
                <a:extLst>
                  <a:ext uri="{FF2B5EF4-FFF2-40B4-BE49-F238E27FC236}">
                    <a16:creationId xmlns:a16="http://schemas.microsoft.com/office/drawing/2014/main" id="{2361F21C-66FD-4FDB-BE35-B530E8DEEBDE}"/>
                  </a:ext>
                </a:extLst>
              </xdr:cNvPr>
              <xdr:cNvPicPr>
                <a:picLocks noChangeAspect="1"/>
              </xdr:cNvPicPr>
            </xdr:nvPicPr>
            <xdr:blipFill>
              <a:blip xmlns:r="http://schemas.openxmlformats.org/officeDocument/2006/relationships" r:embed="rId1"/>
              <a:stretch>
                <a:fillRect/>
              </a:stretch>
            </xdr:blipFill>
            <xdr:spPr>
              <a:xfrm>
                <a:off x="4802386" y="1586764"/>
                <a:ext cx="1083581" cy="1843656"/>
              </a:xfrm>
              <a:prstGeom prst="rect">
                <a:avLst/>
              </a:prstGeom>
            </xdr:spPr>
          </xdr:pic>
          <xdr:sp macro="" textlink="">
            <xdr:nvSpPr>
              <xdr:cNvPr id="22" name="ZoneTexte 5">
                <a:extLst>
                  <a:ext uri="{FF2B5EF4-FFF2-40B4-BE49-F238E27FC236}">
                    <a16:creationId xmlns:a16="http://schemas.microsoft.com/office/drawing/2014/main" id="{91D320FD-25CF-4209-AAFF-3B6990977F8D}"/>
                  </a:ext>
                </a:extLst>
              </xdr:cNvPr>
              <xdr:cNvSpPr txBox="1"/>
            </xdr:nvSpPr>
            <xdr:spPr>
              <a:xfrm>
                <a:off x="3920708" y="1342469"/>
                <a:ext cx="2270825" cy="57465"/>
              </a:xfrm>
              <a:prstGeom prst="rect">
                <a:avLst/>
              </a:prstGeom>
              <a:solidFill>
                <a:srgbClr val="FF9900"/>
              </a:solid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600" b="1" i="1" u="none" strike="noStrike" kern="1200" cap="none" spc="0" normalizeH="0" baseline="0" noProof="0">
                    <a:ln>
                      <a:noFill/>
                    </a:ln>
                    <a:solidFill>
                      <a:srgbClr val="003571"/>
                    </a:solidFill>
                    <a:effectLst/>
                    <a:uLnTx/>
                    <a:uFillTx/>
                    <a:latin typeface="Century Gothic" panose="020B0502020202020204" pitchFamily="34" charset="0"/>
                  </a:rPr>
                  <a:t>SIEGE DES LÉSIONS : 2023</a:t>
                </a:r>
              </a:p>
            </xdr:txBody>
          </xdr:sp>
          <xdr:sp macro="" textlink="">
            <xdr:nvSpPr>
              <xdr:cNvPr id="23" name="ZoneTexte 11">
                <a:extLst>
                  <a:ext uri="{FF2B5EF4-FFF2-40B4-BE49-F238E27FC236}">
                    <a16:creationId xmlns:a16="http://schemas.microsoft.com/office/drawing/2014/main" id="{DF76E206-F3B6-4BF1-9D74-365AD5396BD0}"/>
                  </a:ext>
                </a:extLst>
              </xdr:cNvPr>
              <xdr:cNvSpPr txBox="1"/>
            </xdr:nvSpPr>
            <xdr:spPr>
              <a:xfrm>
                <a:off x="4468556" y="1801751"/>
                <a:ext cx="676716" cy="52205"/>
              </a:xfrm>
              <a:prstGeom prst="rect">
                <a:avLst/>
              </a:prstGeom>
              <a:no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Yeux : </a:t>
                </a:r>
                <a:r>
                  <a:rPr kumimoji="0" lang="fr-FR" sz="1400" b="1" i="0" u="none" strike="noStrike" kern="1200" cap="none" spc="0" normalizeH="0" baseline="0" noProof="0">
                    <a:ln>
                      <a:noFill/>
                    </a:ln>
                    <a:solidFill>
                      <a:srgbClr val="00B050"/>
                    </a:solidFill>
                    <a:effectLst/>
                    <a:uLnTx/>
                    <a:uFillTx/>
                    <a:latin typeface="Century Gothic" panose="020B0502020202020204" pitchFamily="34" charset="0"/>
                  </a:rPr>
                  <a:t>0%</a:t>
                </a:r>
              </a:p>
            </xdr:txBody>
          </xdr:sp>
          <xdr:sp macro="" textlink="">
            <xdr:nvSpPr>
              <xdr:cNvPr id="24" name="ZoneTexte 15">
                <a:extLst>
                  <a:ext uri="{FF2B5EF4-FFF2-40B4-BE49-F238E27FC236}">
                    <a16:creationId xmlns:a16="http://schemas.microsoft.com/office/drawing/2014/main" id="{3A4E4AD6-F5B9-45D6-9881-CA834246A416}"/>
                  </a:ext>
                </a:extLst>
              </xdr:cNvPr>
              <xdr:cNvSpPr txBox="1"/>
            </xdr:nvSpPr>
            <xdr:spPr>
              <a:xfrm>
                <a:off x="5403751" y="2416402"/>
                <a:ext cx="903176" cy="52205"/>
              </a:xfrm>
              <a:prstGeom prst="rect">
                <a:avLst/>
              </a:prstGeom>
              <a:no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Mains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14%</a:t>
                </a:r>
              </a:p>
            </xdr:txBody>
          </xdr:sp>
          <xdr:sp macro="" textlink="">
            <xdr:nvSpPr>
              <xdr:cNvPr id="25" name="ZoneTexte 21">
                <a:extLst>
                  <a:ext uri="{FF2B5EF4-FFF2-40B4-BE49-F238E27FC236}">
                    <a16:creationId xmlns:a16="http://schemas.microsoft.com/office/drawing/2014/main" id="{E2424A40-CDDF-48D6-B3E2-4EF229D1B6B9}"/>
                  </a:ext>
                </a:extLst>
              </xdr:cNvPr>
              <xdr:cNvSpPr txBox="1"/>
            </xdr:nvSpPr>
            <xdr:spPr>
              <a:xfrm>
                <a:off x="5391214" y="3222270"/>
                <a:ext cx="854164" cy="52205"/>
              </a:xfrm>
              <a:prstGeom prst="rect">
                <a:avLst/>
              </a:prstGeom>
              <a:no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Pieds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32%</a:t>
                </a:r>
              </a:p>
            </xdr:txBody>
          </xdr:sp>
        </xdr:grpSp>
        <xdr:sp macro="" textlink="">
          <xdr:nvSpPr>
            <xdr:cNvPr id="20" name="ZoneTexte 19">
              <a:extLst>
                <a:ext uri="{FF2B5EF4-FFF2-40B4-BE49-F238E27FC236}">
                  <a16:creationId xmlns:a16="http://schemas.microsoft.com/office/drawing/2014/main" id="{F2A60006-5B63-4686-85F2-E4E09234D644}"/>
                </a:ext>
              </a:extLst>
            </xdr:cNvPr>
            <xdr:cNvSpPr txBox="1"/>
          </xdr:nvSpPr>
          <xdr:spPr>
            <a:xfrm>
              <a:off x="25318896" y="4347819"/>
              <a:ext cx="1113289" cy="439522"/>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Dos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5%</a:t>
              </a:r>
            </a:p>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fr-FR" sz="1400" b="1" i="0" u="none" strike="noStrike" kern="1200" cap="none" spc="0" normalizeH="0" baseline="0" noProof="0">
                <a:ln>
                  <a:noFill/>
                </a:ln>
                <a:solidFill>
                  <a:srgbClr val="FF0000"/>
                </a:solidFill>
                <a:effectLst/>
                <a:uLnTx/>
                <a:uFillTx/>
                <a:latin typeface="Century Gothic" panose="020B05020202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ea typeface="+mn-ea"/>
                  <a:cs typeface="+mn-cs"/>
                </a:rPr>
                <a:t>Bassin : </a:t>
              </a:r>
              <a:r>
                <a:rPr kumimoji="0" lang="fr-FR" sz="1400" b="1" i="0" u="none" strike="noStrike" kern="1200" cap="none" spc="0" normalizeH="0" baseline="0" noProof="0">
                  <a:ln>
                    <a:noFill/>
                  </a:ln>
                  <a:solidFill>
                    <a:srgbClr val="00B050"/>
                  </a:solidFill>
                  <a:effectLst/>
                  <a:uLnTx/>
                  <a:uFillTx/>
                  <a:latin typeface="Century Gothic" panose="020B0502020202020204" pitchFamily="34" charset="0"/>
                  <a:ea typeface="+mn-ea"/>
                  <a:cs typeface="+mn-cs"/>
                </a:rPr>
                <a:t>0%</a:t>
              </a:r>
            </a:p>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fr-FR" sz="1400" b="1" i="0" u="none" strike="noStrike" kern="1200" cap="none" spc="0" normalizeH="0" baseline="0" noProof="0">
                <a:ln>
                  <a:noFill/>
                </a:ln>
                <a:solidFill>
                  <a:srgbClr val="FF0000"/>
                </a:solidFill>
                <a:effectLst/>
                <a:uLnTx/>
                <a:uFillTx/>
                <a:latin typeface="Century Gothic" panose="020B0502020202020204" pitchFamily="34" charset="0"/>
              </a:endParaRPr>
            </a:p>
          </xdr:txBody>
        </xdr:sp>
      </xdr:grpSp>
      <xdr:sp macro="" textlink="">
        <xdr:nvSpPr>
          <xdr:cNvPr id="16" name="ZoneTexte 15">
            <a:extLst>
              <a:ext uri="{FF2B5EF4-FFF2-40B4-BE49-F238E27FC236}">
                <a16:creationId xmlns:a16="http://schemas.microsoft.com/office/drawing/2014/main" id="{C66F73FF-C349-43F5-BF3F-6C8CE23AA728}"/>
              </a:ext>
            </a:extLst>
          </xdr:cNvPr>
          <xdr:cNvSpPr txBox="1"/>
        </xdr:nvSpPr>
        <xdr:spPr>
          <a:xfrm>
            <a:off x="18868393" y="3799058"/>
            <a:ext cx="1597652" cy="395460"/>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Bras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18 %</a:t>
            </a:r>
          </a:p>
        </xdr:txBody>
      </xdr:sp>
      <xdr:sp macro="" textlink="">
        <xdr:nvSpPr>
          <xdr:cNvPr id="17" name="ZoneTexte 11">
            <a:extLst>
              <a:ext uri="{FF2B5EF4-FFF2-40B4-BE49-F238E27FC236}">
                <a16:creationId xmlns:a16="http://schemas.microsoft.com/office/drawing/2014/main" id="{56B8C546-12DB-4106-AF77-176D96EE8A87}"/>
              </a:ext>
            </a:extLst>
          </xdr:cNvPr>
          <xdr:cNvSpPr txBox="1"/>
        </xdr:nvSpPr>
        <xdr:spPr>
          <a:xfrm>
            <a:off x="18990859" y="2792128"/>
            <a:ext cx="1197061" cy="320384"/>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Tête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9%</a:t>
            </a:r>
          </a:p>
        </xdr:txBody>
      </xdr:sp>
      <xdr:sp macro="" textlink="">
        <xdr:nvSpPr>
          <xdr:cNvPr id="18" name="ZoneTexte 21">
            <a:extLst>
              <a:ext uri="{FF2B5EF4-FFF2-40B4-BE49-F238E27FC236}">
                <a16:creationId xmlns:a16="http://schemas.microsoft.com/office/drawing/2014/main" id="{F7775DDE-C027-4748-BBB1-349A911F3190}"/>
              </a:ext>
            </a:extLst>
          </xdr:cNvPr>
          <xdr:cNvSpPr txBox="1"/>
        </xdr:nvSpPr>
        <xdr:spPr>
          <a:xfrm>
            <a:off x="17266994" y="5630067"/>
            <a:ext cx="1510953" cy="320384"/>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Genoux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18%</a:t>
            </a:r>
          </a:p>
        </xdr:txBody>
      </xdr:sp>
    </xdr:grpSp>
    <xdr:clientData/>
  </xdr:twoCellAnchor>
  <xdr:twoCellAnchor>
    <xdr:from>
      <xdr:col>8</xdr:col>
      <xdr:colOff>1326287</xdr:colOff>
      <xdr:row>54</xdr:row>
      <xdr:rowOff>165598</xdr:rowOff>
    </xdr:from>
    <xdr:to>
      <xdr:col>9</xdr:col>
      <xdr:colOff>4265430</xdr:colOff>
      <xdr:row>61</xdr:row>
      <xdr:rowOff>241798</xdr:rowOff>
    </xdr:to>
    <xdr:graphicFrame macro="">
      <xdr:nvGraphicFramePr>
        <xdr:cNvPr id="3" name="Graphique 2">
          <a:extLst>
            <a:ext uri="{FF2B5EF4-FFF2-40B4-BE49-F238E27FC236}">
              <a16:creationId xmlns:a16="http://schemas.microsoft.com/office/drawing/2014/main" id="{4B141441-0827-380C-4414-17BEFF5E7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878245</xdr:colOff>
      <xdr:row>38</xdr:row>
      <xdr:rowOff>1631936</xdr:rowOff>
    </xdr:from>
    <xdr:to>
      <xdr:col>35</xdr:col>
      <xdr:colOff>1520319</xdr:colOff>
      <xdr:row>54</xdr:row>
      <xdr:rowOff>129589</xdr:rowOff>
    </xdr:to>
    <xdr:pic>
      <xdr:nvPicPr>
        <xdr:cNvPr id="6" name="Image 1">
          <a:extLst>
            <a:ext uri="{FF2B5EF4-FFF2-40B4-BE49-F238E27FC236}">
              <a16:creationId xmlns:a16="http://schemas.microsoft.com/office/drawing/2014/main" id="{28FE58CF-A59E-CB06-C3B0-D9E34E446503}"/>
            </a:ext>
            <a:ext uri="{147F2762-F138-4A5C-976F-8EAC2B608ADB}">
              <a16:predDERef xmlns:a16="http://schemas.microsoft.com/office/drawing/2014/main" pred="{4B141441-0827-380C-4414-17BEFF5E7427}"/>
            </a:ext>
          </a:extLst>
        </xdr:cNvPr>
        <xdr:cNvPicPr>
          <a:picLocks noChangeAspect="1"/>
        </xdr:cNvPicPr>
      </xdr:nvPicPr>
      <xdr:blipFill>
        <a:blip xmlns:r="http://schemas.openxmlformats.org/officeDocument/2006/relationships" r:embed="rId3"/>
        <a:stretch>
          <a:fillRect/>
        </a:stretch>
      </xdr:blipFill>
      <xdr:spPr>
        <a:xfrm>
          <a:off x="34120495" y="25051530"/>
          <a:ext cx="8218258" cy="51765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567714</xdr:colOff>
      <xdr:row>161</xdr:row>
      <xdr:rowOff>266104</xdr:rowOff>
    </xdr:from>
    <xdr:to>
      <xdr:col>43</xdr:col>
      <xdr:colOff>220979</xdr:colOff>
      <xdr:row>170</xdr:row>
      <xdr:rowOff>253612</xdr:rowOff>
    </xdr:to>
    <xdr:pic>
      <xdr:nvPicPr>
        <xdr:cNvPr id="6" name="Image 1">
          <a:extLst>
            <a:ext uri="{FF2B5EF4-FFF2-40B4-BE49-F238E27FC236}">
              <a16:creationId xmlns:a16="http://schemas.microsoft.com/office/drawing/2014/main" id="{5C334378-E8BD-441D-A244-FCC88EE5E489}"/>
            </a:ext>
          </a:extLst>
        </xdr:cNvPr>
        <xdr:cNvPicPr>
          <a:picLocks noChangeAspect="1"/>
        </xdr:cNvPicPr>
      </xdr:nvPicPr>
      <xdr:blipFill>
        <a:blip xmlns:r="http://schemas.openxmlformats.org/officeDocument/2006/relationships" r:embed="rId1"/>
        <a:stretch>
          <a:fillRect/>
        </a:stretch>
      </xdr:blipFill>
      <xdr:spPr>
        <a:xfrm>
          <a:off x="39631830" y="138030128"/>
          <a:ext cx="10212076" cy="506047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1" id="{DC14DA06-026B-4415-9F07-2570A935CDCE}"/>
</namedSheetViews>
</file>

<file path=xl/persons/person.xml><?xml version="1.0" encoding="utf-8"?>
<personList xmlns="http://schemas.microsoft.com/office/spreadsheetml/2018/threadedcomments" xmlns:x="http://schemas.openxmlformats.org/spreadsheetml/2006/main">
  <person displayName="BICHON David" id="{5E747518-247A-4DB1-BF54-54CE6244BAFA}" userId="S::dbichon@groupe-nge.fr::255f076b-1f27-4f2a-8737-60aa9e5dd740" providerId="AD"/>
  <person displayName="DUCOTTET Chloé" id="{09531BD5-C54D-435C-9B70-BA1C35F4BB1E}" userId="S::cducottet@sagesrail.fr::f48431b3-17d8-44fb-92cd-8ebbc0b13c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ListeInventaire6" displayName="ListeInventaire6" ref="A2:AD50" totalsRowShown="0" headerRowDxfId="285" dataDxfId="284" totalsRowDxfId="283" dataCellStyle="Normal">
  <autoFilter ref="A2:AD50" xr:uid="{00000000-000C-0000-FFFF-FFFF00000000}">
    <filterColumn colId="6">
      <filters>
        <filter val="RL"/>
      </filters>
    </filterColumn>
  </autoFilter>
  <tableColumns count="30">
    <tableColumn id="9" xr3:uid="{00000000-0010-0000-0000-000009000000}" name="Trimestre" dataDxfId="282" dataCellStyle="Normal"/>
    <tableColumn id="8" xr3:uid="{00000000-0010-0000-0000-000008000000}" name="Date" dataDxfId="281" totalsRowDxfId="280" dataCellStyle="Normal"/>
    <tableColumn id="13" xr3:uid="{00000000-0010-0000-0000-00000D000000}" name="Nom et Prénom" dataDxfId="279" totalsRowDxfId="278"/>
    <tableColumn id="12" xr3:uid="{00000000-0010-0000-0000-00000C000000}" name="Statut" dataDxfId="277" totalsRowDxfId="276"/>
    <tableColumn id="11" xr3:uid="{00000000-0010-0000-0000-00000B000000}" name="Société" dataDxfId="275" totalsRowDxfId="274"/>
    <tableColumn id="10" xr3:uid="{00000000-0010-0000-0000-00000A000000}" name="Chantier" dataDxfId="273" totalsRowDxfId="272"/>
    <tableColumn id="6" xr3:uid="{00000000-0010-0000-0000-000006000000}" name="Agence" dataDxfId="271" totalsRowDxfId="270" dataCellStyle="Milliers"/>
    <tableColumn id="1" xr3:uid="{00000000-0010-0000-0000-000001000000}" name="Type d'Accident (AT ou Trajet)" dataDxfId="269" totalsRowDxfId="268" dataCellStyle="Milliers"/>
    <tableColumn id="14" xr3:uid="{00000000-0010-0000-0000-00000E000000}" name="Lésion" dataDxfId="267" totalsRowDxfId="266"/>
    <tableColumn id="2" xr3:uid="{00000000-0010-0000-0000-000002000000}" name="Circonstances de l'accident" dataDxfId="265" totalsRowDxfId="264" dataCellStyle="Milliers"/>
    <tableColumn id="7" xr3:uid="{00000000-0010-0000-0000-000007000000}" name="Arrêt " dataDxfId="263" totalsRowDxfId="262"/>
    <tableColumn id="15" xr3:uid="{00000000-0010-0000-0000-00000F000000}" name="Dates arrêt" dataDxfId="261" totalsRowDxfId="260"/>
    <tableColumn id="3" xr3:uid="{00000000-0010-0000-0000-000003000000}" name="Nombre de jours" dataDxfId="259" totalsRowDxfId="258" dataCellStyle="Milliers"/>
    <tableColumn id="4" xr3:uid="{00000000-0010-0000-0000-000004000000}" name="Nb jours trim" dataDxfId="257" totalsRowDxfId="256" dataCellStyle="Monétaire"/>
    <tableColumn id="17" xr3:uid="{00000000-0010-0000-0000-000011000000}" name="Nb jours trim suiv." dataDxfId="255" totalsRowDxfId="254" dataCellStyle="Monétaire"/>
    <tableColumn id="18" xr3:uid="{00000000-0010-0000-0000-000012000000}" name="Poste adapté" dataDxfId="253" totalsRowDxfId="252" dataCellStyle="Monétaire"/>
    <tableColumn id="5" xr3:uid="{00000000-0010-0000-0000-000005000000}" name="Entretien de retour" dataDxfId="251" totalsRowDxfId="250" dataCellStyle="Milliers"/>
    <tableColumn id="29" xr3:uid="{A96D3917-CE11-4FBA-B5FA-5015C6A70B09}" name="DA sur chantier dans les 24h" dataDxfId="249" totalsRowDxfId="248" dataCellStyle="Milliers"/>
    <tableColumn id="28" xr3:uid="{B051457A-B079-42B5-BA4C-972821732DB6}" name="Analyse avec encadrement sous 7J" dataDxfId="247" totalsRowDxfId="246" dataCellStyle="Milliers"/>
    <tableColumn id="16" xr3:uid="{00000000-0010-0000-0000-000010000000}" name="Réserves" dataDxfId="245" totalsRowDxfId="244" dataCellStyle="Normal"/>
    <tableColumn id="30" xr3:uid="{3F08BB0D-4A8B-4BCB-B575-8251B24AA5D8}" name="Délai de communication au QSE (en heure)" dataDxfId="243" totalsRowDxfId="242"/>
    <tableColumn id="19" xr3:uid="{00000000-0010-0000-0000-000013000000}" name="DAT agence intérim" dataDxfId="241" totalsRowDxfId="240" dataCellStyle="Normal"/>
    <tableColumn id="27" xr3:uid="{00000000-0010-0000-0000-00001B000000}" name="CONCERNE UNE REGLE VITALE (oui ou non)" dataDxfId="239" totalsRowDxfId="238"/>
    <tableColumn id="20" xr3:uid="{00000000-0010-0000-0000-000014000000}" name="Gravité Réelle" dataDxfId="237" totalsRowDxfId="236" dataCellStyle="Normal"/>
    <tableColumn id="21" xr3:uid="{00000000-0010-0000-0000-000015000000}" name="Fréquence" dataDxfId="235" totalsRowDxfId="234" dataCellStyle="Normal"/>
    <tableColumn id="22" xr3:uid="{00000000-0010-0000-0000-000016000000}" name="Répétions " dataDxfId="233" totalsRowDxfId="232" dataCellStyle="Normal"/>
    <tableColumn id="23" xr3:uid="{00000000-0010-0000-0000-000017000000}" name="Gravité potentielle" dataDxfId="231" totalsRowDxfId="230" dataCellStyle="Normal"/>
    <tableColumn id="24" xr3:uid="{00000000-0010-0000-0000-000018000000}" name="TOTAL" dataDxfId="229" totalsRowDxfId="228" dataCellStyle="Normal">
      <calculatedColumnFormula>+SUM(ListeInventaire6[[#This Row],[Gravité Réelle]:[Gravité potentielle]])</calculatedColumnFormula>
    </tableColumn>
    <tableColumn id="25" xr3:uid="{00000000-0010-0000-0000-000019000000}" name="Faire une analyse détaillée" dataDxfId="227" totalsRowDxfId="226" dataCellStyle="Normal"/>
    <tableColumn id="26" xr3:uid="{00000000-0010-0000-0000-00001A000000}" name="ANALYSE" dataDxfId="225" totalsRowDxfId="224" dataCellStyle="Normal"/>
  </tableColumns>
  <tableStyleInfo name="TableStyleLight10"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ListeInventaire642" displayName="ListeInventaire642" ref="A2:AG241" headerRowDxfId="223" dataDxfId="222" totalsRowDxfId="221" dataCellStyle="Normal">
  <autoFilter ref="A2:AG241" xr:uid="{00000000-000C-0000-FFFF-FFFF02000000}"/>
  <tableColumns count="33">
    <tableColumn id="8" xr3:uid="{00000000-0010-0000-0200-000008000000}" name="Date" dataDxfId="220" totalsRowDxfId="219"/>
    <tableColumn id="6" xr3:uid="{00000000-0010-0000-0200-000006000000}" name="Agence" dataDxfId="218" totalsRowDxfId="217"/>
    <tableColumn id="1" xr3:uid="{00000000-0010-0000-0200-000001000000}" name="Presqu'accident/ Situation dangereuse " totalsRowLabel="Total" dataDxfId="216" totalsRowDxfId="215" dataCellStyle="Milliers"/>
    <tableColumn id="2" xr3:uid="{00000000-0010-0000-0200-000002000000}" name="Récit de l'événement" dataDxfId="214" totalsRowDxfId="213"/>
    <tableColumn id="7" xr3:uid="{00000000-0010-0000-0200-000007000000}" name="Chantier ou site concerné" dataDxfId="212" totalsRowDxfId="211"/>
    <tableColumn id="3" xr3:uid="{00000000-0010-0000-0200-000003000000}" name="Enregistrement" dataDxfId="210" totalsRowDxfId="209" dataCellStyle="Milliers"/>
    <tableColumn id="5" xr3:uid="{00000000-0010-0000-0200-000005000000}" name="Rédacteur" dataDxfId="208" totalsRowDxfId="207" dataCellStyle="Milliers"/>
    <tableColumn id="4" xr3:uid="{00000000-0010-0000-0200-000004000000}" name="Entreprise" dataDxfId="206" totalsRowDxfId="205" dataCellStyle="Normal"/>
    <tableColumn id="9" xr3:uid="{00000000-0010-0000-0200-000009000000}" name="Chute de plain-pied" dataDxfId="204" totalsRowDxfId="203" dataCellStyle="Normal"/>
    <tableColumn id="10" xr3:uid="{00000000-0010-0000-0200-00000A000000}" name="Risque de manutention" dataDxfId="202" totalsRowDxfId="201" dataCellStyle="Normal"/>
    <tableColumn id="11" xr3:uid="{00000000-0010-0000-0200-00000B000000}" name="Risque d'ensevelissement, projection d'objets" dataDxfId="200" totalsRowDxfId="199" dataCellStyle="Normal"/>
    <tableColumn id="12" xr3:uid="{00000000-0010-0000-0200-00000C000000}" name="Risque de chute de hauteur" dataDxfId="198" totalsRowDxfId="197" dataCellStyle="Normal"/>
    <tableColumn id="13" xr3:uid="{00000000-0010-0000-0200-00000D000000}" name="Risque chimique" dataDxfId="196" totalsRowDxfId="195" dataCellStyle="Normal"/>
    <tableColumn id="14" xr3:uid="{00000000-0010-0000-0200-00000E000000}" name="EPI" dataDxfId="194" totalsRowDxfId="193" dataCellStyle="Normal"/>
    <tableColumn id="15" xr3:uid="{00000000-0010-0000-0200-00000F000000}" name="Utilisation de matériels, engins et véhicules" dataDxfId="192" totalsRowDxfId="191" dataCellStyle="Normal"/>
    <tableColumn id="16" xr3:uid="{00000000-0010-0000-0200-000010000000}" name="Eau et sols" dataDxfId="190" totalsRowDxfId="189" dataCellStyle="Normal"/>
    <tableColumn id="17" xr3:uid="{00000000-0010-0000-0200-000011000000}" name="Circulation et déplacement" dataDxfId="188" totalsRowDxfId="187" dataCellStyle="Normal"/>
    <tableColumn id="18" xr3:uid="{00000000-0010-0000-0200-000012000000}" name="Installation de chantier" dataDxfId="186" totalsRowDxfId="185" dataCellStyle="Normal"/>
    <tableColumn id="19" xr3:uid="{00000000-0010-0000-0200-000013000000}" name="Organisation des secours" dataDxfId="184" totalsRowDxfId="183" dataCellStyle="Normal"/>
    <tableColumn id="20" xr3:uid="{00000000-0010-0000-0200-000014000000}" name="Ambiance thermique &amp; Environnement" dataDxfId="182" totalsRowDxfId="181" dataCellStyle="Normal"/>
    <tableColumn id="21" xr3:uid="{00000000-0010-0000-0200-000015000000}" name="Organisation générale du chantier" dataDxfId="180" totalsRowDxfId="179" dataCellStyle="Normal"/>
    <tableColumn id="22" xr3:uid="{00000000-0010-0000-0200-000016000000}" name="Formation et information du personnel" dataDxfId="178" totalsRowDxfId="177" dataCellStyle="Normal"/>
    <tableColumn id="23" xr3:uid="{00000000-0010-0000-0200-000017000000}" name="Documents sur chantier" dataDxfId="176" totalsRowDxfId="175" dataCellStyle="Normal"/>
    <tableColumn id="34" xr3:uid="{977AB8F2-F065-452D-ACC4-E6DFBFBFC6EE}" name="Riverains" dataDxfId="174" totalsRowDxfId="173"/>
    <tableColumn id="31" xr3:uid="{00000000-0010-0000-0200-00001F000000}" name="Réseaux, élec, gaz… " dataDxfId="172" totalsRowDxfId="171"/>
    <tableColumn id="24" xr3:uid="{00000000-0010-0000-0200-000018000000}" name="CONCERNE UNE REGLE VITALE (oui ou non)" dataDxfId="170" dataCellStyle="Normal"/>
    <tableColumn id="25" xr3:uid="{00000000-0010-0000-0200-000019000000}" name="Gravité Réelle" dataDxfId="169" dataCellStyle="Normal"/>
    <tableColumn id="26" xr3:uid="{00000000-0010-0000-0200-00001A000000}" name="Fréquence" dataDxfId="168" dataCellStyle="Normal"/>
    <tableColumn id="29" xr3:uid="{00000000-0010-0000-0200-00001D000000}" name="Répétions " dataDxfId="167"/>
    <tableColumn id="30" xr3:uid="{00000000-0010-0000-0200-00001E000000}" name="Gravité potentielle" dataDxfId="166"/>
    <tableColumn id="33" xr3:uid="{00000000-0010-0000-0200-000021000000}" name="TOTAL" dataDxfId="165">
      <calculatedColumnFormula>SUM(ListeInventaire642[[#This Row],[Gravité Réelle]:[Gravité potentielle]])</calculatedColumnFormula>
    </tableColumn>
    <tableColumn id="27" xr3:uid="{00000000-0010-0000-0200-00001B000000}" name="Faire une analyse" dataDxfId="164" dataCellStyle="Normal">
      <calculatedColumnFormula>IF(ListeInventaire642[[#This Row],[TOTAL]]&gt;89,"OUI","NON")</calculatedColumnFormula>
    </tableColumn>
    <tableColumn id="28" xr3:uid="{00000000-0010-0000-0200-00001C000000}" name="ANALYSE" dataDxfId="163" dataCellStyle="Normal"/>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ListeInventaire3811" displayName="ListeInventaire3811" ref="A3:AC511" headerRowDxfId="162" dataDxfId="161" totalsRowDxfId="160" dataCellStyle="Normal">
  <autoFilter ref="A3:AC511" xr:uid="{00000000-000C-0000-FFFF-FFFF04000000}"/>
  <sortState xmlns:xlrd2="http://schemas.microsoft.com/office/spreadsheetml/2017/richdata2" ref="A58:AC181">
    <sortCondition ref="A3:A511"/>
  </sortState>
  <tableColumns count="29">
    <tableColumn id="8" xr3:uid="{00000000-0010-0000-0400-000008000000}" name="Date" dataDxfId="159" totalsRowDxfId="158" dataCellStyle="Normal"/>
    <tableColumn id="6" xr3:uid="{00000000-0010-0000-0400-000006000000}" name="Origine " dataDxfId="157" totalsRowDxfId="156" dataCellStyle="Milliers"/>
    <tableColumn id="17" xr3:uid="{00000000-0010-0000-0400-000011000000}" name="Chantier" dataDxfId="155" totalsRowDxfId="154" dataCellStyle="Milliers"/>
    <tableColumn id="1" xr3:uid="{00000000-0010-0000-0400-000001000000}" name="Périmètre (Agence, secteur...)" totalsRowLabel="Total" dataDxfId="153" totalsRowDxfId="152" dataCellStyle="Milliers"/>
    <tableColumn id="2" xr3:uid="{00000000-0010-0000-0400-000002000000}" name="Thème Q/S/Sa/E/ Système / Financier" dataDxfId="151" totalsRowDxfId="150" dataCellStyle="Milliers"/>
    <tableColumn id="7" xr3:uid="{00000000-0010-0000-0400-000007000000}" name="Récit de l'action" dataDxfId="149" totalsRowDxfId="148"/>
    <tableColumn id="3" xr3:uid="{00000000-0010-0000-0400-000003000000}" name="Responsable de l'action" dataDxfId="147" totalsRowDxfId="146" dataCellStyle="Milliers"/>
    <tableColumn id="4" xr3:uid="{00000000-0010-0000-0400-000004000000}" name="échéance de réalisation" totalsRowFunction="sum" dataDxfId="145" totalsRowDxfId="144" dataCellStyle="Monétaire"/>
    <tableColumn id="9" xr3:uid="{00000000-0010-0000-0400-000009000000}" name="Alerte" dataDxfId="143" dataCellStyle="Normal"/>
    <tableColumn id="29" xr3:uid="{34024D13-6404-4D8D-AFFA-91281F1D9C5C}" name="Statut de la réalisation de l'action" dataDxfId="142"/>
    <tableColumn id="10" xr3:uid="{00000000-0010-0000-0400-00000A000000}" name="Chute de plain-pied" dataDxfId="141" totalsRowDxfId="140" dataCellStyle="Normal"/>
    <tableColumn id="11" xr3:uid="{00000000-0010-0000-0400-00000B000000}" name="Risque de manutention" dataDxfId="139" totalsRowDxfId="138" dataCellStyle="Normal"/>
    <tableColumn id="12" xr3:uid="{00000000-0010-0000-0400-00000C000000}" name="Risque d'ensevelissement, projection d'objets" dataDxfId="137" totalsRowDxfId="136" dataCellStyle="Normal"/>
    <tableColumn id="13" xr3:uid="{00000000-0010-0000-0400-00000D000000}" name="Risque de chute de hauteur" dataDxfId="135" totalsRowDxfId="134" dataCellStyle="Normal"/>
    <tableColumn id="14" xr3:uid="{00000000-0010-0000-0400-00000E000000}" name="Risque chimique" dataDxfId="133" totalsRowDxfId="132" dataCellStyle="Normal"/>
    <tableColumn id="15" xr3:uid="{00000000-0010-0000-0400-00000F000000}" name="EPI" dataDxfId="131" totalsRowDxfId="130" dataCellStyle="Normal"/>
    <tableColumn id="16" xr3:uid="{9EE9314B-4C5A-4D86-AB0A-32AAEAFB62B7}" name="Utilisation de matériels, engins et véhicules" dataDxfId="129" totalsRowDxfId="128" dataCellStyle="Normal"/>
    <tableColumn id="18" xr3:uid="{494868DF-EB17-4807-BE51-918EDE794421}" name="Eau et sols" dataDxfId="127" totalsRowDxfId="126" dataCellStyle="Normal"/>
    <tableColumn id="19" xr3:uid="{EFDB5F59-D079-4A1C-9F34-108C22FF6AD2}" name="Circulation et déplacement" dataDxfId="125" totalsRowDxfId="124" dataCellStyle="Normal"/>
    <tableColumn id="20" xr3:uid="{21E96354-D097-4BE7-9303-A4EC585E59D2}" name="Installation de chantier" dataDxfId="123" totalsRowDxfId="122" dataCellStyle="Normal"/>
    <tableColumn id="21" xr3:uid="{D0101AC3-37DE-4520-AEF2-C507D186496D}" name="Organisation des secours" dataDxfId="121" totalsRowDxfId="120" dataCellStyle="Normal"/>
    <tableColumn id="22" xr3:uid="{1FC8DE48-1462-47B1-A541-C8E0B6FA33FB}" name="Ambiance thermique &amp; Environnement" dataDxfId="119" totalsRowDxfId="118" dataCellStyle="Normal"/>
    <tableColumn id="23" xr3:uid="{8175460D-7A6C-451E-A5AA-075DA813477F}" name="Organisation générale du chantier" dataDxfId="117" totalsRowDxfId="116" dataCellStyle="Normal"/>
    <tableColumn id="24" xr3:uid="{96615400-4112-4C2C-AAA8-A00805AC3599}" name="Formation et information du personnel" dataDxfId="115" totalsRowDxfId="114" dataCellStyle="Normal"/>
    <tableColumn id="25" xr3:uid="{711D4FB6-2BD9-4A4E-95D9-363FB00B36B3}" name="Documents sur chantier" dataDxfId="113" totalsRowDxfId="112" dataCellStyle="Normal"/>
    <tableColumn id="26" xr3:uid="{D996B5E0-640C-4C05-B896-606183F2B456}" name="Riverains" dataDxfId="111" totalsRowDxfId="110" dataCellStyle="Normal"/>
    <tableColumn id="27" xr3:uid="{AF436D35-97C2-4991-8F10-0D2521319AF4}" name="Réseaux, élec, gaz… " dataDxfId="109" totalsRowDxfId="108" dataCellStyle="Normal"/>
    <tableColumn id="28" xr3:uid="{8893796C-E36B-4C5D-8F34-8D9624C15BE9}" name="CONCERNE UNE REGLE VITALE (oui ou non)" dataDxfId="107" totalsRowDxfId="106" dataCellStyle="Normal"/>
    <tableColumn id="5" xr3:uid="{EA9527C7-6DC8-45CF-B7A5-E2A900E3CB3C}" name="Colonne1" dataDxfId="105" totalsRowDxfId="104" dataCellStyle="Normal"/>
  </tableColumns>
  <tableStyleInfo name="InventoryTable"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6000000}" name="Tableau11" displayName="Tableau11" ref="B2:K110" totalsRowShown="0" headerRowDxfId="103">
  <autoFilter ref="B2:K110" xr:uid="{00000000-0009-0000-0100-00000B000000}">
    <filterColumn colId="2">
      <filters>
        <filter val="LHL"/>
      </filters>
    </filterColumn>
  </autoFilter>
  <tableColumns count="10">
    <tableColumn id="1" xr3:uid="{00000000-0010-0000-0600-000001000000}" name="Date"/>
    <tableColumn id="2" xr3:uid="{00000000-0010-0000-0600-000002000000}" name="chantier"/>
    <tableColumn id="6" xr3:uid="{00000000-0010-0000-0600-000006000000}" name="Agence"/>
    <tableColumn id="3" xr3:uid="{00000000-0010-0000-0600-000003000000}" name="Nom du préventeur"/>
    <tableColumn id="5" xr3:uid="{00000000-0010-0000-0600-000005000000}" name="Type de test (Alc ou Stup)"/>
    <tableColumn id="4" xr3:uid="{00000000-0010-0000-0600-000004000000}" name="Nbre de personnes testés"/>
    <tableColumn id="7" xr3:uid="{00000000-0010-0000-0600-000007000000}" name="Nbre négatifs"/>
    <tableColumn id="8" xr3:uid="{00000000-0010-0000-0600-000008000000}" name="Nbre positifs"/>
    <tableColumn id="11" xr3:uid="{B28FD9AE-4550-46DB-B121-83A08DEF1815}" name="Positif : Alcool / THC / Cocaine / Autre"/>
    <tableColumn id="9" xr3:uid="{82D7425F-6106-458B-9C5F-16B666B4060B}" name="Commentaire"/>
  </tableColumns>
  <tableStyleInfo name="Inventory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Tableau3" displayName="Tableau3" ref="B2:K21" totalsRowShown="0" headerRowDxfId="102" dataDxfId="100" headerRowBorderDxfId="101" tableBorderDxfId="99">
  <autoFilter ref="B2:K21" xr:uid="{00000000-0009-0000-0100-000003000000}"/>
  <sortState xmlns:xlrd2="http://schemas.microsoft.com/office/spreadsheetml/2017/richdata2" ref="B4:K13">
    <sortCondition ref="D2:D21"/>
  </sortState>
  <tableColumns count="10">
    <tableColumn id="1" xr3:uid="{00000000-0010-0000-0700-000001000000}" name="Agence" dataDxfId="98"/>
    <tableColumn id="2" xr3:uid="{00000000-0010-0000-0700-000002000000}" name="Règle vitale concernée" dataDxfId="97"/>
    <tableColumn id="3" xr3:uid="{00000000-0010-0000-0700-000003000000}" name="Date" dataDxfId="96"/>
    <tableColumn id="10" xr3:uid="{15828735-8BB8-4E1B-AC25-E8A53690DC6C}" name="Type personnel"/>
    <tableColumn id="4" xr3:uid="{00000000-0010-0000-0700-000004000000}" name="Chantier" dataDxfId="95"/>
    <tableColumn id="5" xr3:uid="{00000000-0010-0000-0700-000005000000}" name="Remarques" dataDxfId="94"/>
    <tableColumn id="6" xr3:uid="{00000000-0010-0000-0700-000006000000}" name="Action" dataDxfId="93"/>
    <tableColumn id="8" xr3:uid="{00000000-0010-0000-0700-000008000000}" name="Pilote" dataDxfId="92"/>
    <tableColumn id="9" xr3:uid="{00000000-0010-0000-0700-000009000000}" name="Réalisé : Oui / Non" dataDxfId="91"/>
    <tableColumn id="7" xr3:uid="{00000000-0010-0000-0700-000007000000}" name="Le…" dataDxfId="90"/>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75318C-7738-499F-9D70-EBD39BB51EF3}" name="Tableau32" displayName="Tableau32" ref="B2:L53" totalsRowShown="0" headerRowDxfId="89" dataDxfId="87" headerRowBorderDxfId="88" tableBorderDxfId="86">
  <autoFilter ref="B2:L53" xr:uid="{00000000-0009-0000-0100-000003000000}"/>
  <sortState xmlns:xlrd2="http://schemas.microsoft.com/office/spreadsheetml/2017/richdata2" ref="B3:L53">
    <sortCondition ref="C2:C53"/>
  </sortState>
  <tableColumns count="11">
    <tableColumn id="1" xr3:uid="{013C9AAF-1928-4BCE-A8CC-AD64A8DF9126}" name="Agence" dataDxfId="85"/>
    <tableColumn id="2" xr3:uid="{FED3F794-66E6-4166-A891-11C5C17939C4}" name="Date" dataDxfId="84"/>
    <tableColumn id="10" xr3:uid="{28CD542B-A7A1-45D5-8032-F5949C62D4C1}" name="Personnes concernées" dataDxfId="83"/>
    <tableColumn id="3" xr3:uid="{682D3FF3-A613-4FD7-8B36-8B28B40B94DE}" name="EPI" dataDxfId="82"/>
    <tableColumn id="4" xr3:uid="{4DB04272-C012-4228-914A-A95884105AF1}" name="Chantier" dataDxfId="81"/>
    <tableColumn id="6" xr3:uid="{E503BE60-A14B-4115-937D-1BD8D79BAA79}" name="Action" dataDxfId="80"/>
    <tableColumn id="8" xr3:uid="{78079545-5649-49AB-BE74-CB57B3200826}" name="Pilote" dataDxfId="79"/>
    <tableColumn id="9" xr3:uid="{9C340750-EEA0-4E51-9558-29E6B4351DF5}" name="Réalisé : Oui / Non" dataDxfId="78"/>
    <tableColumn id="11" xr3:uid="{F56E88CF-FFE8-4AE5-AAAB-D51979F9E529}" name="Le…" dataDxfId="77"/>
    <tableColumn id="7" xr3:uid="{DD3F1F44-C4D3-4FDC-A7AF-388AA650D018}" name="Références documents" dataDxfId="76"/>
    <tableColumn id="5" xr3:uid="{A7E8B665-4CFB-4C53-8F9B-AA766F6B024A}" name="Remarques" dataDxfId="75"/>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7BA1B0-2813-4140-BD95-3A779571B355}" name="Tableau327" displayName="Tableau327" ref="B2:J54" totalsRowShown="0" headerRowDxfId="74" dataDxfId="72" headerRowBorderDxfId="73" tableBorderDxfId="71">
  <autoFilter ref="B2:J54" xr:uid="{00000000-0009-0000-0100-000003000000}"/>
  <sortState xmlns:xlrd2="http://schemas.microsoft.com/office/spreadsheetml/2017/richdata2" ref="B3:J54">
    <sortCondition ref="C3:C54"/>
  </sortState>
  <tableColumns count="9">
    <tableColumn id="1" xr3:uid="{2CC44497-6854-4FCD-8F45-D7A433B1F699}" name="Agence" dataDxfId="70"/>
    <tableColumn id="2" xr3:uid="{FEBA8363-B6CC-4BD3-88E7-A42558D5ADE3}" name="Date" dataDxfId="69"/>
    <tableColumn id="4" xr3:uid="{F98799EB-A467-4140-930D-DD4575A2E08C}" name="Chantier" dataDxfId="68"/>
    <tableColumn id="6" xr3:uid="{228D116E-DC44-4EE6-9840-77513718EACA}" name="Cause" dataDxfId="67"/>
    <tableColumn id="8" xr3:uid="{F40C3F6E-2E37-4B96-A496-BB1A25C85E43}" name="Pilote" dataDxfId="66"/>
    <tableColumn id="9" xr3:uid="{ADCB2167-98EA-4ACB-A7C5-7ED9F5108BB9}" name="Réalisé : Oui / Non" dataDxfId="65"/>
    <tableColumn id="11" xr3:uid="{322B92D4-A47F-4CA5-BFEE-AF051EE88D7C}" name="Le…" dataDxfId="64"/>
    <tableColumn id="7" xr3:uid="{5811867F-2C81-4F53-98C6-3064B5BF8AD2}" name="Références documents" dataDxfId="63"/>
    <tableColumn id="5" xr3:uid="{ED394896-F8AB-4D68-B6A8-965A44E10427}" name="Remarques" dataDxfId="62"/>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8000000}" name="Tableau4" displayName="Tableau4" ref="B2:G23" totalsRowShown="0" headerRowDxfId="61" dataDxfId="60">
  <autoFilter ref="B2:G23" xr:uid="{00000000-0009-0000-0100-000004000000}"/>
  <tableColumns count="6">
    <tableColumn id="1" xr3:uid="{00000000-0010-0000-0800-000001000000}" name="Thèmatique" dataDxfId="59"/>
    <tableColumn id="2" xr3:uid="{00000000-0010-0000-0800-000002000000}" name="Produit acheté" dataDxfId="58"/>
    <tableColumn id="3" xr3:uid="{00000000-0010-0000-0800-000003000000}" name="Nom du fournisseur" dataDxfId="57"/>
    <tableColumn id="4" xr3:uid="{00000000-0010-0000-0800-000004000000}" name="Contact" dataDxfId="56"/>
    <tableColumn id="5" xr3:uid="{00000000-0010-0000-0800-000005000000}" name="Remarques" dataDxfId="55"/>
    <tableColumn id="6" xr3:uid="{00000000-0010-0000-0800-000006000000}" name="Acheteur NGE" dataDxfId="54"/>
  </tableColumns>
  <tableStyleInfo name="TableStyleLight18"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10" dT="2025-04-23T13:32:51.99" personId="{5E747518-247A-4DB1-BF54-54CE6244BAFA}" id="{06442E3A-A3EF-4287-A138-CA2BD82F2618}">
    <text xml:space="preserve">(choix de ne pas faire d’analyse car salarié en formation et pas de témoin direct).  Néanmoins, fiche info à produire. 
</text>
  </threadedComment>
</ThreadedComments>
</file>

<file path=xl/threadedComments/threadedComment2.xml><?xml version="1.0" encoding="utf-8"?>
<ThreadedComments xmlns="http://schemas.microsoft.com/office/spreadsheetml/2018/threadedcomments" xmlns:x="http://schemas.openxmlformats.org/spreadsheetml/2006/main">
  <threadedComment ref="AW39" dT="2025-09-12T12:43:20.65" personId="{09531BD5-C54D-435C-9B70-BA1C35F4BB1E}" id="{5219452F-3C8A-40A9-BD01-B762D7017DDE}">
    <text>T6 - Trappes charbo</text>
  </threadedComment>
  <threadedComment ref="BU40" dT="2026-01-21T12:40:35.85" personId="{09531BD5-C54D-435C-9B70-BA1C35F4BB1E}" id="{789B8697-2DF8-4E5F-A783-7CF4A5652C8C}">
    <text>121225 - EPI CAT 3
???</text>
  </threadedComment>
  <threadedComment ref="AQ68" dT="2025-07-24T12:25:57.24" personId="{09531BD5-C54D-435C-9B70-BA1C35F4BB1E}" id="{6C284AA8-D8A1-4682-BF74-1743CBE8235B}">
    <text>T6 : Balisage</text>
  </threadedComment>
  <threadedComment ref="AX68" dT="2025-09-12T12:43:58.69" personId="{09531BD5-C54D-435C-9B70-BA1C35F4BB1E}" id="{FF48CC42-F479-4D28-A855-AFF3B458106D}">
    <text>T6 - Eau</text>
  </threadedComment>
  <threadedComment ref="BO71" dT="2025-12-08T09:28:09.67" personId="{09531BD5-C54D-435C-9B70-BA1C35F4BB1E}" id="{13EACD7F-BCC7-4DD2-9585-8B5AECA5FEAF}">
    <text>251113 - Levage 0RI</text>
  </threadedComment>
  <threadedComment ref="BO107" dT="2025-11-27T08:30:08.48" personId="{09531BD5-C54D-435C-9B70-BA1C35F4BB1E}" id="{21D880F2-9C2A-4760-91AF-CCEBBAD51944}">
    <text>12/11/25 : Levage - 0 RI</text>
  </threadedComment>
  <threadedComment ref="BU109" dT="2025-12-08T13:52:34.90" personId="{09531BD5-C54D-435C-9B70-BA1C35F4BB1E}" id="{6C2B90FA-B9B8-4AC1-93A8-C4EC8D94FB70}">
    <text>251203 - EPI classe 3 0RI</text>
  </threadedComment>
  <threadedComment ref="BU119" dT="2025-12-08T14:10:09.95" personId="{09531BD5-C54D-435C-9B70-BA1C35F4BB1E}" id="{0D1DFC0A-6413-427E-A687-26ACE3F55EFC}">
    <text>251205 - EPI C3 0RI</text>
  </threadedComment>
  <threadedComment ref="BO122" dT="2025-11-27T08:30:21.13" personId="{09531BD5-C54D-435C-9B70-BA1C35F4BB1E}" id="{A1C68F17-AD8A-4C74-9F01-29E711A72539}">
    <text>12/11/25 : Levage - 0 RI</text>
  </threadedComment>
  <threadedComment ref="BO133" dT="2025-11-27T08:53:28.46" personId="{09531BD5-C54D-435C-9B70-BA1C35F4BB1E}" id="{16ED199D-6520-42B6-A548-15C1CBA41773}">
    <text>251118 - Levage et KIZEO - 0RI</text>
  </threadedComment>
  <threadedComment ref="AW139" dT="2025-09-12T12:46:15.80" personId="{09531BD5-C54D-435C-9B70-BA1C35F4BB1E}" id="{02DE3B89-2CB6-487A-9F76-E5C171AB096C}">
    <text>Dont T6 - Trappes charbo / Balisage</text>
  </threadedComment>
  <threadedComment ref="AK142" dT="2025-07-24T12:27:15.55" personId="{09531BD5-C54D-435C-9B70-BA1C35F4BB1E}" id="{09E731BC-D1B5-46B2-A024-6A01D7833618}">
    <text>Dont 2 au T6</text>
  </threadedComment>
  <threadedComment ref="BO144" dT="2025-12-08T09:27:53.59" personId="{09531BD5-C54D-435C-9B70-BA1C35F4BB1E}" id="{2C68D1F1-D6B7-40A2-B726-7F1DD8EA27DB}">
    <text>251113 - Levage 0RI</text>
  </threadedComment>
  <threadedComment ref="AQ154" dT="2025-07-24T12:28:03.50" personId="{09531BD5-C54D-435C-9B70-BA1C35F4BB1E}" id="{2EEFCAAB-8B1C-43AC-B0ED-E875BFEB0C03}">
    <text>T6 : LAC sous tension</text>
  </threadedComment>
  <threadedComment ref="AX171" dT="2025-09-12T12:44:35.96" personId="{09531BD5-C54D-435C-9B70-BA1C35F4BB1E}" id="{E3A190E6-A249-4697-96BD-B0251937C873}">
    <text>T6 - Eau</text>
  </threadedComment>
  <threadedComment ref="BO177" dT="2025-12-08T13:18:18.03" personId="{09531BD5-C54D-435C-9B70-BA1C35F4BB1E}" id="{71A68202-A675-467B-ADEF-CB64A21E2B3A}">
    <text>251125 - Levage 0RI</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hyperlink" Target="mailto:service@be-atex.com" TargetMode="External"/><Relationship Id="rId7" Type="http://schemas.openxmlformats.org/officeDocument/2006/relationships/printerSettings" Target="../printerSettings/printerSettings8.bin"/><Relationship Id="rId2" Type="http://schemas.openxmlformats.org/officeDocument/2006/relationships/hyperlink" Target="mailto:commande@objectif-prevention.frV&#233;ronique%20MATHIEU%2002%2033%2048%2092%2015" TargetMode="External"/><Relationship Id="rId1" Type="http://schemas.openxmlformats.org/officeDocument/2006/relationships/hyperlink" Target="https://equipeur.fr/fr/" TargetMode="External"/><Relationship Id="rId6" Type="http://schemas.openxmlformats.org/officeDocument/2006/relationships/hyperlink" Target="mailto:acmadistosse_acmadis_tosse@invitations.mailinblack.com" TargetMode="External"/><Relationship Id="rId5" Type="http://schemas.openxmlformats.org/officeDocument/2006/relationships/hyperlink" Target="mailto:commercial2@derancourt.com" TargetMode="External"/><Relationship Id="rId4" Type="http://schemas.openxmlformats.org/officeDocument/2006/relationships/hyperlink" Target="mailto:commercial@sassi-france.f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FF0000"/>
    <pageSetUpPr fitToPage="1"/>
  </sheetPr>
  <dimension ref="A1:AH97"/>
  <sheetViews>
    <sheetView showGridLines="0" topLeftCell="A16" zoomScale="80" zoomScaleNormal="80" workbookViewId="0">
      <selection activeCell="H20" sqref="H20"/>
    </sheetView>
  </sheetViews>
  <sheetFormatPr baseColWidth="10" defaultColWidth="10" defaultRowHeight="30" customHeight="1" outlineLevelRow="1" x14ac:dyDescent="0.25"/>
  <cols>
    <col min="1" max="1" width="4.42578125" style="4" customWidth="1"/>
    <col min="2" max="2" width="18.42578125" style="4" customWidth="1"/>
    <col min="3" max="3" width="19.5703125" style="4" bestFit="1" customWidth="1"/>
    <col min="4" max="4" width="15.42578125" style="4" bestFit="1" customWidth="1"/>
    <col min="5" max="5" width="16.7109375" style="4" bestFit="1" customWidth="1"/>
    <col min="6" max="6" width="13.42578125" style="4" customWidth="1"/>
    <col min="7" max="7" width="14.7109375" style="4" customWidth="1"/>
    <col min="8" max="8" width="26.7109375" style="4" customWidth="1"/>
    <col min="9" max="9" width="24.42578125" style="36" customWidth="1"/>
    <col min="10" max="10" width="68.7109375" style="4" customWidth="1"/>
    <col min="11" max="11" width="10" style="4" customWidth="1"/>
    <col min="12" max="12" width="17.42578125" style="4" customWidth="1"/>
    <col min="13" max="14" width="16.5703125" style="4" customWidth="1"/>
    <col min="15" max="15" width="21.28515625" style="4" customWidth="1"/>
    <col min="16" max="16" width="14.5703125" style="4" customWidth="1"/>
    <col min="17" max="19" width="13.42578125" style="4" customWidth="1"/>
    <col min="20" max="21" width="16.28515625" style="4" customWidth="1"/>
    <col min="22" max="22" width="13.28515625" style="4" customWidth="1"/>
    <col min="23" max="23" width="26.7109375" style="4" bestFit="1" customWidth="1"/>
    <col min="24" max="27" width="17.5703125" style="4" customWidth="1"/>
    <col min="28" max="28" width="12.7109375" style="4" customWidth="1"/>
    <col min="29" max="29" width="18.5703125" style="4" customWidth="1"/>
    <col min="30" max="30" width="23.7109375" style="4" customWidth="1"/>
    <col min="31" max="31" width="10" style="4"/>
    <col min="32" max="32" width="28.7109375" style="4" customWidth="1"/>
    <col min="33" max="33" width="3" style="4" customWidth="1"/>
    <col min="34" max="34" width="26.42578125" style="4" customWidth="1"/>
    <col min="35" max="35" width="3" style="4" customWidth="1"/>
    <col min="36" max="36" width="26.42578125" style="4" customWidth="1"/>
    <col min="37" max="37" width="3" style="4" customWidth="1"/>
    <col min="38" max="38" width="26.42578125" style="4" customWidth="1"/>
    <col min="39" max="16384" width="10" style="4"/>
  </cols>
  <sheetData>
    <row r="1" spans="1:30" s="29" customFormat="1" ht="57" customHeight="1" thickBot="1" x14ac:dyDescent="0.3">
      <c r="A1" s="548" t="s">
        <v>0</v>
      </c>
      <c r="B1" s="549"/>
      <c r="C1" s="549"/>
      <c r="D1" s="549"/>
      <c r="E1" s="549"/>
      <c r="F1" s="549"/>
      <c r="G1" s="549"/>
      <c r="H1" s="549"/>
      <c r="I1" s="549"/>
      <c r="J1" s="549"/>
      <c r="K1" s="549"/>
      <c r="L1" s="549"/>
      <c r="M1" s="549"/>
      <c r="N1" s="549"/>
      <c r="O1" s="549"/>
      <c r="P1" s="549"/>
      <c r="Q1" s="549"/>
      <c r="R1" s="307"/>
      <c r="S1" s="307"/>
      <c r="T1" s="307"/>
      <c r="U1" s="307"/>
    </row>
    <row r="2" spans="1:30" ht="57" thickTop="1" x14ac:dyDescent="0.25">
      <c r="A2" s="58" t="s">
        <v>1</v>
      </c>
      <c r="B2" s="399" t="s">
        <v>2</v>
      </c>
      <c r="C2" s="400" t="s">
        <v>3</v>
      </c>
      <c r="D2" s="400" t="s">
        <v>4</v>
      </c>
      <c r="E2" s="400" t="s">
        <v>5</v>
      </c>
      <c r="F2" s="400" t="s">
        <v>6</v>
      </c>
      <c r="G2" s="400" t="s">
        <v>7</v>
      </c>
      <c r="H2" s="401" t="s">
        <v>8</v>
      </c>
      <c r="I2" s="400" t="s">
        <v>9</v>
      </c>
      <c r="J2" s="400" t="s">
        <v>10</v>
      </c>
      <c r="K2" s="400" t="s">
        <v>11</v>
      </c>
      <c r="L2" s="400" t="s">
        <v>12</v>
      </c>
      <c r="M2" s="400" t="s">
        <v>13</v>
      </c>
      <c r="N2" s="400" t="s">
        <v>14</v>
      </c>
      <c r="O2" s="400" t="s">
        <v>15</v>
      </c>
      <c r="P2" s="400" t="s">
        <v>16</v>
      </c>
      <c r="Q2" s="400" t="s">
        <v>17</v>
      </c>
      <c r="R2" s="402" t="s">
        <v>18</v>
      </c>
      <c r="S2" s="403" t="s">
        <v>19</v>
      </c>
      <c r="T2" s="334" t="s">
        <v>20</v>
      </c>
      <c r="U2" s="334" t="s">
        <v>21</v>
      </c>
      <c r="V2" s="340" t="s">
        <v>22</v>
      </c>
      <c r="W2" s="333" t="s">
        <v>23</v>
      </c>
      <c r="X2" s="102" t="s">
        <v>24</v>
      </c>
      <c r="Y2" s="103" t="s">
        <v>25</v>
      </c>
      <c r="Z2" s="103" t="s">
        <v>26</v>
      </c>
      <c r="AA2" s="103" t="s">
        <v>27</v>
      </c>
      <c r="AB2" s="103" t="s">
        <v>28</v>
      </c>
      <c r="AC2" s="103" t="s">
        <v>29</v>
      </c>
      <c r="AD2" s="104" t="s">
        <v>30</v>
      </c>
    </row>
    <row r="3" spans="1:30" s="7" customFormat="1" ht="31.5" x14ac:dyDescent="0.25">
      <c r="A3" s="147">
        <v>1</v>
      </c>
      <c r="B3" s="509">
        <v>45682</v>
      </c>
      <c r="C3" s="510" t="s">
        <v>31</v>
      </c>
      <c r="D3" s="510" t="s">
        <v>32</v>
      </c>
      <c r="E3" s="510" t="s">
        <v>33</v>
      </c>
      <c r="F3" s="510" t="s">
        <v>34</v>
      </c>
      <c r="G3" s="510" t="s">
        <v>35</v>
      </c>
      <c r="H3" s="14" t="s">
        <v>36</v>
      </c>
      <c r="I3" s="510" t="s">
        <v>37</v>
      </c>
      <c r="J3" s="511" t="s">
        <v>38</v>
      </c>
      <c r="K3" s="14" t="s">
        <v>39</v>
      </c>
      <c r="L3" s="14" t="s">
        <v>40</v>
      </c>
      <c r="M3" s="14"/>
      <c r="N3" s="59"/>
      <c r="O3" s="59"/>
      <c r="P3" s="16"/>
      <c r="Q3" s="15"/>
      <c r="R3" s="16"/>
      <c r="S3" s="404"/>
      <c r="T3" s="335"/>
      <c r="U3" s="335"/>
      <c r="V3" s="341"/>
      <c r="W3" s="196"/>
      <c r="X3" s="105"/>
      <c r="Y3" s="106"/>
      <c r="Z3" s="106"/>
      <c r="AA3" s="106"/>
      <c r="AB3" s="106">
        <f>+SUM(ListeInventaire6[[#This Row],[Gravité Réelle]:[Gravité potentielle]])</f>
        <v>0</v>
      </c>
      <c r="AC3" s="106"/>
      <c r="AD3" s="448" t="s">
        <v>41</v>
      </c>
    </row>
    <row r="4" spans="1:30" s="7" customFormat="1" ht="31.5" x14ac:dyDescent="0.25">
      <c r="A4" s="147">
        <v>1</v>
      </c>
      <c r="B4" s="509">
        <v>45699</v>
      </c>
      <c r="C4" s="510" t="s">
        <v>42</v>
      </c>
      <c r="D4" s="516" t="s">
        <v>32</v>
      </c>
      <c r="E4" s="510" t="s">
        <v>33</v>
      </c>
      <c r="F4" s="510" t="s">
        <v>43</v>
      </c>
      <c r="G4" s="510" t="s">
        <v>35</v>
      </c>
      <c r="H4" s="14" t="s">
        <v>44</v>
      </c>
      <c r="I4" s="510" t="s">
        <v>45</v>
      </c>
      <c r="J4" s="511" t="s">
        <v>46</v>
      </c>
      <c r="K4" s="14" t="s">
        <v>39</v>
      </c>
      <c r="L4" s="14" t="s">
        <v>47</v>
      </c>
      <c r="M4" s="14">
        <v>3</v>
      </c>
      <c r="N4" s="59">
        <v>3</v>
      </c>
      <c r="O4" s="59">
        <v>0</v>
      </c>
      <c r="P4" s="16" t="s">
        <v>48</v>
      </c>
      <c r="Q4" s="15"/>
      <c r="R4" s="16" t="s">
        <v>48</v>
      </c>
      <c r="S4" s="404" t="s">
        <v>48</v>
      </c>
      <c r="T4" s="335"/>
      <c r="U4" s="335"/>
      <c r="V4" s="341"/>
      <c r="W4" s="196"/>
      <c r="X4" s="105">
        <v>30</v>
      </c>
      <c r="Y4" s="106">
        <v>20</v>
      </c>
      <c r="Z4" s="106">
        <v>10</v>
      </c>
      <c r="AA4" s="106">
        <v>50</v>
      </c>
      <c r="AB4" s="106">
        <f>+SUM(ListeInventaire6[[#This Row],[Gravité Réelle]:[Gravité potentielle]])</f>
        <v>110</v>
      </c>
      <c r="AC4" s="106" t="s">
        <v>48</v>
      </c>
      <c r="AD4" s="198"/>
    </row>
    <row r="5" spans="1:30" s="7" customFormat="1" ht="78.75" hidden="1" x14ac:dyDescent="0.25">
      <c r="A5" s="369">
        <v>1</v>
      </c>
      <c r="B5" s="512">
        <v>45701</v>
      </c>
      <c r="C5" s="513" t="s">
        <v>49</v>
      </c>
      <c r="D5" s="513" t="s">
        <v>32</v>
      </c>
      <c r="E5" s="513" t="s">
        <v>33</v>
      </c>
      <c r="F5" s="513" t="s">
        <v>50</v>
      </c>
      <c r="G5" s="513" t="s">
        <v>51</v>
      </c>
      <c r="H5" s="370" t="s">
        <v>52</v>
      </c>
      <c r="I5" s="513" t="s">
        <v>53</v>
      </c>
      <c r="J5" s="514" t="s">
        <v>54</v>
      </c>
      <c r="K5" s="370" t="s">
        <v>39</v>
      </c>
      <c r="L5" s="370" t="s">
        <v>55</v>
      </c>
      <c r="M5" s="370">
        <v>97</v>
      </c>
      <c r="N5" s="371">
        <v>46</v>
      </c>
      <c r="O5" s="371">
        <v>51</v>
      </c>
      <c r="P5" s="372" t="s">
        <v>48</v>
      </c>
      <c r="Q5" s="373"/>
      <c r="R5" s="372" t="s">
        <v>39</v>
      </c>
      <c r="S5" s="405" t="s">
        <v>39</v>
      </c>
      <c r="T5" s="374"/>
      <c r="U5" s="374"/>
      <c r="V5" s="375"/>
      <c r="W5" s="376"/>
      <c r="X5" s="377">
        <v>50</v>
      </c>
      <c r="Y5" s="378">
        <v>20</v>
      </c>
      <c r="Z5" s="378">
        <v>0</v>
      </c>
      <c r="AA5" s="378">
        <v>50</v>
      </c>
      <c r="AB5" s="378">
        <f>+SUM(ListeInventaire6[[#This Row],[Gravité Réelle]:[Gravité potentielle]])</f>
        <v>120</v>
      </c>
      <c r="AC5" s="378" t="s">
        <v>39</v>
      </c>
      <c r="AD5" s="379"/>
    </row>
    <row r="6" spans="1:30" s="7" customFormat="1" ht="60" hidden="1" x14ac:dyDescent="0.25">
      <c r="A6" s="147">
        <v>1</v>
      </c>
      <c r="B6" s="509">
        <v>45706</v>
      </c>
      <c r="C6" s="510" t="s">
        <v>56</v>
      </c>
      <c r="D6" s="510" t="s">
        <v>57</v>
      </c>
      <c r="E6" s="510" t="s">
        <v>58</v>
      </c>
      <c r="F6" s="510" t="s">
        <v>59</v>
      </c>
      <c r="G6" s="510" t="s">
        <v>60</v>
      </c>
      <c r="H6" s="14" t="s">
        <v>61</v>
      </c>
      <c r="I6" s="539" t="s">
        <v>62</v>
      </c>
      <c r="J6" s="511" t="s">
        <v>63</v>
      </c>
      <c r="K6" s="14" t="s">
        <v>39</v>
      </c>
      <c r="L6" s="14" t="s">
        <v>64</v>
      </c>
      <c r="M6" s="14">
        <v>1</v>
      </c>
      <c r="N6" s="14">
        <v>1</v>
      </c>
      <c r="O6" s="14">
        <v>0</v>
      </c>
      <c r="P6" s="16" t="s">
        <v>65</v>
      </c>
      <c r="Q6" s="15"/>
      <c r="R6" s="16" t="s">
        <v>39</v>
      </c>
      <c r="S6" s="404" t="s">
        <v>39</v>
      </c>
      <c r="T6" s="335"/>
      <c r="U6" s="335"/>
      <c r="V6" s="341"/>
      <c r="W6" s="196"/>
      <c r="X6" s="105"/>
      <c r="Y6" s="106"/>
      <c r="Z6" s="106"/>
      <c r="AA6" s="106"/>
      <c r="AB6" s="106">
        <f>+SUM(ListeInventaire6[[#This Row],[Gravité Réelle]:[Gravité potentielle]])</f>
        <v>0</v>
      </c>
      <c r="AC6" s="106"/>
      <c r="AD6" s="107"/>
    </row>
    <row r="7" spans="1:30" s="7" customFormat="1" x14ac:dyDescent="0.25">
      <c r="A7" s="147">
        <v>1</v>
      </c>
      <c r="B7" s="509">
        <v>45706</v>
      </c>
      <c r="C7" s="510" t="s">
        <v>66</v>
      </c>
      <c r="D7" s="510" t="s">
        <v>32</v>
      </c>
      <c r="E7" s="510" t="s">
        <v>67</v>
      </c>
      <c r="F7" s="510" t="s">
        <v>68</v>
      </c>
      <c r="G7" s="510" t="s">
        <v>35</v>
      </c>
      <c r="H7" s="14" t="s">
        <v>61</v>
      </c>
      <c r="I7" s="510" t="s">
        <v>69</v>
      </c>
      <c r="J7" s="511" t="s">
        <v>70</v>
      </c>
      <c r="K7" s="14" t="s">
        <v>48</v>
      </c>
      <c r="L7" s="14"/>
      <c r="M7" s="14"/>
      <c r="N7" s="14"/>
      <c r="O7" s="14"/>
      <c r="P7" s="16"/>
      <c r="Q7" s="15" t="s">
        <v>48</v>
      </c>
      <c r="R7" s="16" t="s">
        <v>39</v>
      </c>
      <c r="S7" s="404" t="s">
        <v>39</v>
      </c>
      <c r="T7" s="335"/>
      <c r="U7" s="335"/>
      <c r="V7" s="341"/>
      <c r="W7" s="196"/>
      <c r="X7" s="105">
        <v>10</v>
      </c>
      <c r="Y7" s="106">
        <v>10</v>
      </c>
      <c r="Z7" s="106">
        <v>0</v>
      </c>
      <c r="AA7" s="106">
        <v>30</v>
      </c>
      <c r="AB7" s="106">
        <f>+SUM(ListeInventaire6[[#This Row],[Gravité Réelle]:[Gravité potentielle]])</f>
        <v>50</v>
      </c>
      <c r="AC7" s="106"/>
      <c r="AD7" s="107"/>
    </row>
    <row r="8" spans="1:30" s="7" customFormat="1" ht="45" x14ac:dyDescent="0.25">
      <c r="A8" s="147">
        <v>1</v>
      </c>
      <c r="B8" s="515">
        <v>45727</v>
      </c>
      <c r="C8" s="516" t="s">
        <v>71</v>
      </c>
      <c r="D8" s="516" t="s">
        <v>32</v>
      </c>
      <c r="E8" s="516" t="s">
        <v>33</v>
      </c>
      <c r="F8" s="516" t="s">
        <v>72</v>
      </c>
      <c r="G8" s="243" t="s">
        <v>35</v>
      </c>
      <c r="H8" s="243" t="s">
        <v>61</v>
      </c>
      <c r="I8" s="245" t="s">
        <v>73</v>
      </c>
      <c r="J8" s="517" t="s">
        <v>74</v>
      </c>
      <c r="K8" s="221" t="s">
        <v>48</v>
      </c>
      <c r="L8" s="221"/>
      <c r="M8" s="221"/>
      <c r="N8" s="221"/>
      <c r="O8" s="221"/>
      <c r="P8" s="222" t="s">
        <v>48</v>
      </c>
      <c r="Q8" s="211" t="s">
        <v>48</v>
      </c>
      <c r="R8" s="320" t="s">
        <v>48</v>
      </c>
      <c r="S8" s="406" t="s">
        <v>48</v>
      </c>
      <c r="T8" s="336"/>
      <c r="U8" s="336"/>
      <c r="V8" s="342"/>
      <c r="W8" s="196"/>
      <c r="X8" s="215">
        <v>10</v>
      </c>
      <c r="Y8" s="215">
        <v>20</v>
      </c>
      <c r="Z8" s="215">
        <v>0</v>
      </c>
      <c r="AA8" s="215">
        <v>20</v>
      </c>
      <c r="AB8" s="197">
        <f>+SUM(ListeInventaire6[[#This Row],[Gravité Réelle]:[Gravité potentielle]])</f>
        <v>50</v>
      </c>
      <c r="AC8" s="215"/>
      <c r="AD8" s="198"/>
    </row>
    <row r="9" spans="1:30" s="7" customFormat="1" ht="45" hidden="1" x14ac:dyDescent="0.25">
      <c r="A9" s="6">
        <v>1</v>
      </c>
      <c r="B9" s="509">
        <v>45735</v>
      </c>
      <c r="C9" s="510" t="s">
        <v>75</v>
      </c>
      <c r="D9" s="510" t="s">
        <v>57</v>
      </c>
      <c r="E9" s="510" t="s">
        <v>33</v>
      </c>
      <c r="F9" s="510" t="s">
        <v>59</v>
      </c>
      <c r="G9" s="510" t="s">
        <v>60</v>
      </c>
      <c r="H9" s="14" t="s">
        <v>61</v>
      </c>
      <c r="I9" s="510" t="s">
        <v>76</v>
      </c>
      <c r="J9" s="511" t="s">
        <v>77</v>
      </c>
      <c r="K9" s="14" t="s">
        <v>39</v>
      </c>
      <c r="L9" s="447" t="s">
        <v>78</v>
      </c>
      <c r="M9" s="14">
        <v>23</v>
      </c>
      <c r="N9" s="59">
        <v>8</v>
      </c>
      <c r="O9" s="59">
        <v>15</v>
      </c>
      <c r="P9" s="16" t="s">
        <v>65</v>
      </c>
      <c r="Q9" s="15"/>
      <c r="R9" s="16" t="s">
        <v>39</v>
      </c>
      <c r="S9" s="404" t="s">
        <v>39</v>
      </c>
      <c r="T9" s="335"/>
      <c r="U9" s="335"/>
      <c r="V9" s="341"/>
      <c r="W9" s="196"/>
      <c r="X9" s="105"/>
      <c r="Y9" s="106"/>
      <c r="Z9" s="106"/>
      <c r="AA9" s="106"/>
      <c r="AB9" s="197">
        <f>+SUM(ListeInventaire6[[#This Row],[Gravité Réelle]:[Gravité potentielle]])</f>
        <v>0</v>
      </c>
      <c r="AC9" s="106"/>
      <c r="AD9" s="198"/>
    </row>
    <row r="10" spans="1:30" s="7" customFormat="1" hidden="1" x14ac:dyDescent="0.25">
      <c r="A10" s="6">
        <v>1</v>
      </c>
      <c r="B10" s="518">
        <v>45736</v>
      </c>
      <c r="C10" s="519" t="s">
        <v>79</v>
      </c>
      <c r="D10" s="519" t="s">
        <v>32</v>
      </c>
      <c r="E10" s="510" t="s">
        <v>33</v>
      </c>
      <c r="F10" s="510" t="s">
        <v>59</v>
      </c>
      <c r="G10" s="510" t="s">
        <v>60</v>
      </c>
      <c r="H10" s="14" t="s">
        <v>61</v>
      </c>
      <c r="I10" s="519" t="s">
        <v>80</v>
      </c>
      <c r="J10" s="520" t="s">
        <v>81</v>
      </c>
      <c r="K10" s="223" t="s">
        <v>48</v>
      </c>
      <c r="L10" s="223"/>
      <c r="M10" s="223"/>
      <c r="N10" s="224"/>
      <c r="O10" s="224"/>
      <c r="P10" s="225" t="s">
        <v>48</v>
      </c>
      <c r="Q10" s="15" t="s">
        <v>48</v>
      </c>
      <c r="R10" s="16" t="s">
        <v>39</v>
      </c>
      <c r="S10" s="406" t="s">
        <v>48</v>
      </c>
      <c r="T10" s="337"/>
      <c r="U10" s="337"/>
      <c r="V10" s="343"/>
      <c r="W10" s="196"/>
      <c r="X10" s="226"/>
      <c r="Y10" s="227"/>
      <c r="Z10" s="227"/>
      <c r="AA10" s="227"/>
      <c r="AB10" s="106">
        <f>+SUM(ListeInventaire6[[#This Row],[Gravité Réelle]:[Gravité potentielle]])</f>
        <v>0</v>
      </c>
      <c r="AC10" s="227"/>
      <c r="AD10" s="198"/>
    </row>
    <row r="11" spans="1:30" s="7" customFormat="1" x14ac:dyDescent="0.25">
      <c r="A11" s="6">
        <v>1</v>
      </c>
      <c r="B11" s="509">
        <v>45741</v>
      </c>
      <c r="C11" s="510" t="s">
        <v>82</v>
      </c>
      <c r="D11" s="510" t="s">
        <v>57</v>
      </c>
      <c r="E11" s="510" t="s">
        <v>33</v>
      </c>
      <c r="F11" s="510" t="s">
        <v>43</v>
      </c>
      <c r="G11" s="510" t="s">
        <v>35</v>
      </c>
      <c r="H11" s="14" t="s">
        <v>61</v>
      </c>
      <c r="I11" s="510" t="s">
        <v>83</v>
      </c>
      <c r="J11" s="511" t="s">
        <v>84</v>
      </c>
      <c r="K11" s="14" t="s">
        <v>48</v>
      </c>
      <c r="L11" s="14"/>
      <c r="M11" s="14"/>
      <c r="N11" s="59"/>
      <c r="O11" s="59"/>
      <c r="P11" s="16"/>
      <c r="Q11" s="15" t="s">
        <v>48</v>
      </c>
      <c r="R11" s="16" t="s">
        <v>39</v>
      </c>
      <c r="S11" s="404" t="s">
        <v>39</v>
      </c>
      <c r="T11" s="335"/>
      <c r="U11" s="335"/>
      <c r="V11" s="341"/>
      <c r="W11" s="196"/>
      <c r="X11" s="196"/>
      <c r="Y11" s="197"/>
      <c r="Z11" s="197"/>
      <c r="AA11" s="197"/>
      <c r="AB11" s="197">
        <f>+SUM(ListeInventaire6[[#This Row],[Gravité Réelle]:[Gravité potentielle]])</f>
        <v>0</v>
      </c>
      <c r="AC11" s="197"/>
      <c r="AD11" s="198"/>
    </row>
    <row r="12" spans="1:30" s="7" customFormat="1" hidden="1" outlineLevel="1" x14ac:dyDescent="0.25">
      <c r="A12" s="389">
        <v>2</v>
      </c>
      <c r="B12" s="521">
        <v>45751</v>
      </c>
      <c r="C12" s="522" t="s">
        <v>85</v>
      </c>
      <c r="D12" s="522" t="s">
        <v>32</v>
      </c>
      <c r="E12" s="522" t="s">
        <v>86</v>
      </c>
      <c r="F12" s="522" t="s">
        <v>87</v>
      </c>
      <c r="G12" s="390" t="s">
        <v>88</v>
      </c>
      <c r="H12" s="390" t="s">
        <v>52</v>
      </c>
      <c r="I12" s="391" t="s">
        <v>89</v>
      </c>
      <c r="J12" s="392" t="s">
        <v>90</v>
      </c>
      <c r="K12" s="393" t="s">
        <v>39</v>
      </c>
      <c r="L12" s="392" t="s">
        <v>91</v>
      </c>
      <c r="M12" s="393">
        <v>42</v>
      </c>
      <c r="N12" s="394">
        <v>42</v>
      </c>
      <c r="O12" s="394">
        <v>0</v>
      </c>
      <c r="P12" s="395" t="s">
        <v>48</v>
      </c>
      <c r="Q12" s="393" t="s">
        <v>39</v>
      </c>
      <c r="R12" s="394"/>
      <c r="S12" s="396"/>
      <c r="T12" s="374"/>
      <c r="U12" s="374"/>
      <c r="V12" s="375"/>
      <c r="W12" s="376"/>
      <c r="X12" s="377"/>
      <c r="Y12" s="378"/>
      <c r="Z12" s="378"/>
      <c r="AA12" s="378"/>
      <c r="AB12" s="397">
        <f>+SUM(ListeInventaire6[[#This Row],[Gravité Réelle]:[Gravité potentielle]])</f>
        <v>0</v>
      </c>
      <c r="AC12" s="378"/>
      <c r="AD12" s="379"/>
    </row>
    <row r="13" spans="1:30" s="7" customFormat="1" outlineLevel="1" x14ac:dyDescent="0.25">
      <c r="A13" s="6">
        <v>2</v>
      </c>
      <c r="B13" s="523">
        <v>45789</v>
      </c>
      <c r="C13" s="524" t="s">
        <v>92</v>
      </c>
      <c r="D13" s="524" t="s">
        <v>32</v>
      </c>
      <c r="E13" s="524" t="s">
        <v>33</v>
      </c>
      <c r="F13" s="524" t="s">
        <v>43</v>
      </c>
      <c r="G13" s="524" t="s">
        <v>35</v>
      </c>
      <c r="H13" s="60" t="s">
        <v>1690</v>
      </c>
      <c r="I13" s="524" t="s">
        <v>93</v>
      </c>
      <c r="J13" s="524" t="s">
        <v>94</v>
      </c>
      <c r="K13" s="60" t="s">
        <v>48</v>
      </c>
      <c r="L13" s="60"/>
      <c r="M13" s="246"/>
      <c r="N13" s="61"/>
      <c r="O13" s="61"/>
      <c r="P13" s="61" t="s">
        <v>39</v>
      </c>
      <c r="Q13" s="246" t="s">
        <v>48</v>
      </c>
      <c r="R13" s="61" t="s">
        <v>48</v>
      </c>
      <c r="S13" s="327" t="s">
        <v>48</v>
      </c>
      <c r="T13" s="335" t="s">
        <v>39</v>
      </c>
      <c r="U13" s="335"/>
      <c r="V13" s="341"/>
      <c r="W13" s="196"/>
      <c r="X13" s="105">
        <v>10</v>
      </c>
      <c r="Y13" s="106">
        <v>10</v>
      </c>
      <c r="Z13" s="106">
        <v>0</v>
      </c>
      <c r="AA13" s="106">
        <v>30</v>
      </c>
      <c r="AB13" s="106">
        <f>+SUM(ListeInventaire6[[#This Row],[Gravité Réelle]:[Gravité potentielle]])</f>
        <v>50</v>
      </c>
      <c r="AC13" s="106" t="s">
        <v>48</v>
      </c>
      <c r="AD13" s="414" t="s">
        <v>95</v>
      </c>
    </row>
    <row r="14" spans="1:30" s="7" customFormat="1" hidden="1" outlineLevel="1" x14ac:dyDescent="0.25">
      <c r="A14" s="78">
        <v>2</v>
      </c>
      <c r="B14" s="523">
        <v>45796</v>
      </c>
      <c r="C14" s="524" t="s">
        <v>96</v>
      </c>
      <c r="D14" s="524" t="s">
        <v>32</v>
      </c>
      <c r="E14" s="524" t="s">
        <v>97</v>
      </c>
      <c r="F14" s="524" t="s">
        <v>98</v>
      </c>
      <c r="G14" s="523" t="s">
        <v>60</v>
      </c>
      <c r="H14" s="524" t="s">
        <v>61</v>
      </c>
      <c r="I14" s="524" t="s">
        <v>99</v>
      </c>
      <c r="J14" s="524" t="s">
        <v>100</v>
      </c>
      <c r="K14" s="60" t="s">
        <v>48</v>
      </c>
      <c r="L14" s="60"/>
      <c r="M14" s="246"/>
      <c r="N14" s="61"/>
      <c r="O14" s="61"/>
      <c r="P14" s="61" t="s">
        <v>39</v>
      </c>
      <c r="Q14" s="246" t="s">
        <v>39</v>
      </c>
      <c r="R14" s="524" t="s">
        <v>39</v>
      </c>
      <c r="S14" s="524" t="s">
        <v>39</v>
      </c>
      <c r="T14" s="442"/>
      <c r="U14" s="503"/>
      <c r="V14" s="344"/>
      <c r="W14" s="196"/>
      <c r="X14" s="106"/>
      <c r="Y14" s="106"/>
      <c r="Z14" s="106"/>
      <c r="AA14" s="106"/>
      <c r="AB14" s="106">
        <f>+SUM(ListeInventaire6[[#This Row],[Gravité Réelle]:[Gravité potentielle]])</f>
        <v>0</v>
      </c>
      <c r="AC14" s="106"/>
      <c r="AD14" s="107"/>
    </row>
    <row r="15" spans="1:30" s="7" customFormat="1" ht="45" outlineLevel="1" x14ac:dyDescent="0.25">
      <c r="A15" s="416">
        <v>2</v>
      </c>
      <c r="B15" s="525">
        <v>45800</v>
      </c>
      <c r="C15" s="526" t="s">
        <v>101</v>
      </c>
      <c r="D15" s="526" t="s">
        <v>32</v>
      </c>
      <c r="E15" s="526" t="s">
        <v>102</v>
      </c>
      <c r="F15" s="526" t="s">
        <v>103</v>
      </c>
      <c r="G15" s="527" t="s">
        <v>35</v>
      </c>
      <c r="H15" s="417" t="s">
        <v>52</v>
      </c>
      <c r="I15" s="526" t="s">
        <v>104</v>
      </c>
      <c r="J15" s="527" t="s">
        <v>105</v>
      </c>
      <c r="K15" s="418" t="s">
        <v>39</v>
      </c>
      <c r="L15" s="417" t="s">
        <v>106</v>
      </c>
      <c r="M15" s="417">
        <v>14</v>
      </c>
      <c r="N15" s="419">
        <v>14</v>
      </c>
      <c r="O15" s="419">
        <v>0</v>
      </c>
      <c r="P15" s="420" t="s">
        <v>48</v>
      </c>
      <c r="Q15" s="421"/>
      <c r="R15" s="524" t="s">
        <v>39</v>
      </c>
      <c r="S15" s="422"/>
      <c r="T15" s="423" t="s">
        <v>39</v>
      </c>
      <c r="U15" s="423"/>
      <c r="V15" s="424"/>
      <c r="W15" s="425"/>
      <c r="X15" s="426"/>
      <c r="Y15" s="427"/>
      <c r="Z15" s="427"/>
      <c r="AA15" s="427"/>
      <c r="AB15" s="427">
        <f>+SUM(ListeInventaire6[[#This Row],[Gravité Réelle]:[Gravité potentielle]])</f>
        <v>0</v>
      </c>
      <c r="AC15" s="428"/>
      <c r="AD15" s="429"/>
    </row>
    <row r="16" spans="1:30" s="7" customFormat="1" ht="50.1" customHeight="1" outlineLevel="1" x14ac:dyDescent="0.25">
      <c r="A16" s="148">
        <v>2</v>
      </c>
      <c r="B16" s="528">
        <v>45810</v>
      </c>
      <c r="C16" s="529" t="s">
        <v>107</v>
      </c>
      <c r="D16" s="529" t="s">
        <v>57</v>
      </c>
      <c r="E16" s="529" t="s">
        <v>33</v>
      </c>
      <c r="F16" s="529" t="s">
        <v>72</v>
      </c>
      <c r="G16" s="244" t="s">
        <v>35</v>
      </c>
      <c r="H16" s="60" t="s">
        <v>44</v>
      </c>
      <c r="I16" s="530" t="s">
        <v>108</v>
      </c>
      <c r="J16" s="149" t="s">
        <v>109</v>
      </c>
      <c r="K16" s="150" t="s">
        <v>39</v>
      </c>
      <c r="L16" s="228" t="s">
        <v>110</v>
      </c>
      <c r="M16" s="229">
        <v>2</v>
      </c>
      <c r="N16" s="229">
        <v>2</v>
      </c>
      <c r="O16" s="229">
        <v>0</v>
      </c>
      <c r="P16" s="308" t="s">
        <v>48</v>
      </c>
      <c r="Q16" s="314" t="s">
        <v>48</v>
      </c>
      <c r="R16" s="321" t="s">
        <v>48</v>
      </c>
      <c r="S16" s="328" t="s">
        <v>48</v>
      </c>
      <c r="T16" s="335" t="s">
        <v>48</v>
      </c>
      <c r="U16" s="335"/>
      <c r="V16" s="341"/>
      <c r="W16" s="196"/>
      <c r="X16" s="105">
        <v>30</v>
      </c>
      <c r="Y16" s="106">
        <v>10</v>
      </c>
      <c r="Z16" s="106">
        <v>0</v>
      </c>
      <c r="AA16" s="106">
        <v>50</v>
      </c>
      <c r="AB16" s="346">
        <f>+SUM(ListeInventaire6[[#This Row],[Gravité Réelle]:[Gravité potentielle]])</f>
        <v>90</v>
      </c>
      <c r="AC16" s="106"/>
      <c r="AD16" s="107"/>
    </row>
    <row r="17" spans="1:34" s="7" customFormat="1" ht="50.1" hidden="1" customHeight="1" outlineLevel="1" x14ac:dyDescent="0.25">
      <c r="A17" s="6">
        <v>2</v>
      </c>
      <c r="B17" s="542">
        <v>45818</v>
      </c>
      <c r="C17" s="524" t="s">
        <v>111</v>
      </c>
      <c r="D17" s="524" t="s">
        <v>32</v>
      </c>
      <c r="E17" s="524" t="s">
        <v>112</v>
      </c>
      <c r="F17" s="524" t="s">
        <v>113</v>
      </c>
      <c r="G17" s="543" t="s">
        <v>114</v>
      </c>
      <c r="H17" s="60" t="s">
        <v>61</v>
      </c>
      <c r="I17" s="524" t="s">
        <v>115</v>
      </c>
      <c r="J17" s="543" t="s">
        <v>116</v>
      </c>
      <c r="K17" s="228" t="s">
        <v>39</v>
      </c>
      <c r="L17" s="60" t="s">
        <v>117</v>
      </c>
      <c r="M17" s="60">
        <f>ListeInventaire6[[#This Row],[Nb jours trim]]+ListeInventaire6[[#This Row],[Nb jours trim suiv.]]</f>
        <v>54</v>
      </c>
      <c r="N17" s="544">
        <v>13</v>
      </c>
      <c r="O17" s="544">
        <f>22+19</f>
        <v>41</v>
      </c>
      <c r="P17" s="61" t="s">
        <v>48</v>
      </c>
      <c r="Q17" s="246" t="s">
        <v>48</v>
      </c>
      <c r="R17" s="524" t="s">
        <v>39</v>
      </c>
      <c r="S17" s="327" t="s">
        <v>39</v>
      </c>
      <c r="T17" s="335" t="s">
        <v>39</v>
      </c>
      <c r="U17" s="335"/>
      <c r="V17" s="545"/>
      <c r="W17" s="196" t="s">
        <v>48</v>
      </c>
      <c r="X17" s="105">
        <v>10</v>
      </c>
      <c r="Y17" s="106">
        <v>30</v>
      </c>
      <c r="Z17" s="106">
        <v>20</v>
      </c>
      <c r="AA17" s="106">
        <v>20</v>
      </c>
      <c r="AB17" s="106">
        <f>+SUM(ListeInventaire6[[#This Row],[Gravité Réelle]:[Gravité potentielle]])</f>
        <v>80</v>
      </c>
      <c r="AC17" s="197" t="s">
        <v>48</v>
      </c>
      <c r="AD17" s="546" t="s">
        <v>118</v>
      </c>
    </row>
    <row r="18" spans="1:34" s="7" customFormat="1" ht="61.5" hidden="1" customHeight="1" outlineLevel="1" x14ac:dyDescent="0.25">
      <c r="A18" s="416">
        <v>2</v>
      </c>
      <c r="B18" s="528">
        <v>45828</v>
      </c>
      <c r="C18" s="529" t="s">
        <v>119</v>
      </c>
      <c r="D18" s="529" t="s">
        <v>32</v>
      </c>
      <c r="E18" s="529" t="s">
        <v>33</v>
      </c>
      <c r="F18" s="529" t="s">
        <v>59</v>
      </c>
      <c r="G18" s="431" t="s">
        <v>60</v>
      </c>
      <c r="H18" s="60" t="s">
        <v>61</v>
      </c>
      <c r="I18" s="530" t="s">
        <v>120</v>
      </c>
      <c r="J18" s="432" t="s">
        <v>121</v>
      </c>
      <c r="K18" s="433" t="s">
        <v>48</v>
      </c>
      <c r="L18" s="228"/>
      <c r="M18" s="229"/>
      <c r="N18" s="229"/>
      <c r="O18" s="229"/>
      <c r="P18" s="308" t="s">
        <v>39</v>
      </c>
      <c r="Q18" s="443" t="s">
        <v>48</v>
      </c>
      <c r="R18" s="321" t="s">
        <v>39</v>
      </c>
      <c r="S18" s="321" t="s">
        <v>39</v>
      </c>
      <c r="T18" s="442" t="s">
        <v>39</v>
      </c>
      <c r="U18" s="503"/>
      <c r="V18" s="344"/>
      <c r="W18" s="196"/>
      <c r="X18" s="106"/>
      <c r="Y18" s="106"/>
      <c r="Z18" s="106"/>
      <c r="AA18" s="106"/>
      <c r="AB18" s="106">
        <f>+SUM(ListeInventaire6[[#This Row],[Gravité Réelle]:[Gravité potentielle]])</f>
        <v>0</v>
      </c>
      <c r="AC18" s="106"/>
      <c r="AD18" s="107"/>
    </row>
    <row r="19" spans="1:34" s="7" customFormat="1" ht="50.1" hidden="1" customHeight="1" outlineLevel="1" x14ac:dyDescent="0.25">
      <c r="A19" s="78">
        <v>2</v>
      </c>
      <c r="B19" s="523">
        <v>45833</v>
      </c>
      <c r="C19" s="524" t="s">
        <v>122</v>
      </c>
      <c r="D19" s="524" t="s">
        <v>32</v>
      </c>
      <c r="E19" s="524" t="s">
        <v>33</v>
      </c>
      <c r="F19" s="524" t="s">
        <v>123</v>
      </c>
      <c r="G19" s="524" t="s">
        <v>124</v>
      </c>
      <c r="H19" s="60" t="s">
        <v>61</v>
      </c>
      <c r="I19" s="435" t="s">
        <v>125</v>
      </c>
      <c r="J19" s="436" t="s">
        <v>126</v>
      </c>
      <c r="K19" s="437" t="s">
        <v>48</v>
      </c>
      <c r="L19" s="438"/>
      <c r="M19" s="437"/>
      <c r="N19" s="437"/>
      <c r="O19" s="437"/>
      <c r="P19" s="439" t="s">
        <v>39</v>
      </c>
      <c r="Q19" s="440"/>
      <c r="R19" s="441" t="s">
        <v>39</v>
      </c>
      <c r="S19" s="441" t="s">
        <v>39</v>
      </c>
      <c r="T19" s="338"/>
      <c r="U19" s="338"/>
      <c r="V19" s="341"/>
      <c r="W19" s="196"/>
      <c r="X19" s="105"/>
      <c r="Y19" s="106"/>
      <c r="Z19" s="106"/>
      <c r="AA19" s="106"/>
      <c r="AB19" s="346">
        <f>+SUM(ListeInventaire6[[#This Row],[Gravité Réelle]:[Gravité potentielle]])</f>
        <v>0</v>
      </c>
      <c r="AC19" s="106"/>
      <c r="AD19" s="107"/>
    </row>
    <row r="20" spans="1:34" s="7" customFormat="1" ht="50.1" customHeight="1" outlineLevel="1" x14ac:dyDescent="0.25">
      <c r="A20" s="78">
        <v>2</v>
      </c>
      <c r="B20" s="523">
        <v>45833</v>
      </c>
      <c r="C20" s="524" t="s">
        <v>127</v>
      </c>
      <c r="D20" s="524" t="s">
        <v>32</v>
      </c>
      <c r="E20" s="524" t="s">
        <v>112</v>
      </c>
      <c r="F20" s="524" t="s">
        <v>43</v>
      </c>
      <c r="G20" s="524" t="s">
        <v>35</v>
      </c>
      <c r="H20" s="60" t="s">
        <v>61</v>
      </c>
      <c r="I20" s="435" t="s">
        <v>128</v>
      </c>
      <c r="J20" s="436" t="s">
        <v>129</v>
      </c>
      <c r="K20" s="437" t="s">
        <v>39</v>
      </c>
      <c r="L20" s="438" t="s">
        <v>130</v>
      </c>
      <c r="M20" s="437">
        <v>7</v>
      </c>
      <c r="N20" s="437">
        <v>3</v>
      </c>
      <c r="O20" s="437">
        <v>4</v>
      </c>
      <c r="P20" s="439" t="s">
        <v>65</v>
      </c>
      <c r="Q20" s="440" t="s">
        <v>39</v>
      </c>
      <c r="R20" s="441" t="s">
        <v>39</v>
      </c>
      <c r="S20" s="441" t="s">
        <v>39</v>
      </c>
      <c r="T20" s="338" t="s">
        <v>48</v>
      </c>
      <c r="U20" s="338"/>
      <c r="V20" s="341"/>
      <c r="W20" s="196" t="s">
        <v>48</v>
      </c>
      <c r="X20" s="105">
        <v>30</v>
      </c>
      <c r="Y20" s="106">
        <v>10</v>
      </c>
      <c r="Z20" s="106">
        <v>0</v>
      </c>
      <c r="AA20" s="106">
        <v>20</v>
      </c>
      <c r="AB20" s="346">
        <f>+SUM(ListeInventaire6[[#This Row],[Gravité Réelle]:[Gravité potentielle]])</f>
        <v>60</v>
      </c>
      <c r="AC20" s="106"/>
      <c r="AD20" s="107"/>
    </row>
    <row r="21" spans="1:34" s="7" customFormat="1" ht="50.1" customHeight="1" outlineLevel="1" x14ac:dyDescent="0.25">
      <c r="A21" s="78">
        <v>2</v>
      </c>
      <c r="B21" s="523">
        <v>45838</v>
      </c>
      <c r="C21" s="524" t="s">
        <v>131</v>
      </c>
      <c r="D21" s="524" t="s">
        <v>57</v>
      </c>
      <c r="E21" s="524" t="s">
        <v>33</v>
      </c>
      <c r="F21" s="524" t="s">
        <v>132</v>
      </c>
      <c r="G21" s="524" t="s">
        <v>35</v>
      </c>
      <c r="H21" s="60" t="s">
        <v>61</v>
      </c>
      <c r="I21" s="435" t="s">
        <v>133</v>
      </c>
      <c r="J21" s="436" t="s">
        <v>134</v>
      </c>
      <c r="K21" s="437" t="s">
        <v>39</v>
      </c>
      <c r="L21" s="438" t="s">
        <v>135</v>
      </c>
      <c r="M21" s="437">
        <v>14</v>
      </c>
      <c r="N21" s="437">
        <v>14</v>
      </c>
      <c r="O21" s="437">
        <v>0</v>
      </c>
      <c r="P21" s="439" t="s">
        <v>65</v>
      </c>
      <c r="Q21" s="440" t="s">
        <v>48</v>
      </c>
      <c r="R21" s="441" t="s">
        <v>39</v>
      </c>
      <c r="S21" s="441" t="s">
        <v>39</v>
      </c>
      <c r="T21" s="338" t="s">
        <v>48</v>
      </c>
      <c r="U21" s="338"/>
      <c r="V21" s="341"/>
      <c r="W21" s="196" t="s">
        <v>48</v>
      </c>
      <c r="X21" s="105">
        <v>30</v>
      </c>
      <c r="Y21" s="106">
        <v>20</v>
      </c>
      <c r="Z21" s="106">
        <v>10</v>
      </c>
      <c r="AA21" s="106">
        <v>20</v>
      </c>
      <c r="AB21" s="346">
        <f>+SUM(ListeInventaire6[[#This Row],[Gravité Réelle]:[Gravité potentielle]])</f>
        <v>80</v>
      </c>
      <c r="AC21" s="106"/>
      <c r="AD21" s="107"/>
      <c r="AH21" s="7" t="s">
        <v>136</v>
      </c>
    </row>
    <row r="22" spans="1:34" s="7" customFormat="1" ht="50.1" hidden="1" customHeight="1" outlineLevel="1" x14ac:dyDescent="0.25">
      <c r="A22" s="6">
        <v>3</v>
      </c>
      <c r="B22" s="499">
        <v>45845</v>
      </c>
      <c r="C22" s="540" t="s">
        <v>137</v>
      </c>
      <c r="D22" s="500" t="s">
        <v>32</v>
      </c>
      <c r="E22" s="500" t="s">
        <v>33</v>
      </c>
      <c r="F22" s="500" t="s">
        <v>98</v>
      </c>
      <c r="G22" s="500" t="s">
        <v>60</v>
      </c>
      <c r="H22" s="62" t="s">
        <v>44</v>
      </c>
      <c r="I22" s="66" t="s">
        <v>138</v>
      </c>
      <c r="J22" s="64" t="s">
        <v>139</v>
      </c>
      <c r="K22" s="63" t="s">
        <v>39</v>
      </c>
      <c r="L22" s="64" t="s">
        <v>140</v>
      </c>
      <c r="M22" s="64">
        <v>3</v>
      </c>
      <c r="N22" s="64">
        <v>3</v>
      </c>
      <c r="O22" s="64">
        <v>0</v>
      </c>
      <c r="P22" s="309" t="s">
        <v>48</v>
      </c>
      <c r="Q22" s="316" t="s">
        <v>48</v>
      </c>
      <c r="R22" s="323" t="s">
        <v>48</v>
      </c>
      <c r="S22" s="329"/>
      <c r="T22" s="335" t="s">
        <v>48</v>
      </c>
      <c r="U22" s="335"/>
      <c r="V22" s="341"/>
      <c r="W22" s="196"/>
      <c r="X22" s="105"/>
      <c r="Y22" s="106"/>
      <c r="Z22" s="106"/>
      <c r="AA22" s="106"/>
      <c r="AB22" s="346">
        <f>+SUM(ListeInventaire6[[#This Row],[Gravité Réelle]:[Gravité potentielle]])</f>
        <v>0</v>
      </c>
      <c r="AC22" s="106"/>
      <c r="AD22" s="198"/>
    </row>
    <row r="23" spans="1:34" s="7" customFormat="1" ht="50.1" hidden="1" customHeight="1" outlineLevel="1" x14ac:dyDescent="0.25">
      <c r="A23" s="6">
        <v>3</v>
      </c>
      <c r="B23" s="499">
        <v>45845</v>
      </c>
      <c r="C23" s="540" t="s">
        <v>141</v>
      </c>
      <c r="D23" s="500" t="s">
        <v>32</v>
      </c>
      <c r="E23" s="500" t="s">
        <v>33</v>
      </c>
      <c r="F23" s="500" t="s">
        <v>98</v>
      </c>
      <c r="G23" s="500" t="s">
        <v>60</v>
      </c>
      <c r="H23" s="62" t="s">
        <v>44</v>
      </c>
      <c r="I23" s="66" t="s">
        <v>142</v>
      </c>
      <c r="J23" s="64" t="s">
        <v>143</v>
      </c>
      <c r="K23" s="63" t="s">
        <v>39</v>
      </c>
      <c r="L23" s="64" t="s">
        <v>144</v>
      </c>
      <c r="M23" s="64">
        <v>22</v>
      </c>
      <c r="N23" s="64">
        <v>22</v>
      </c>
      <c r="O23" s="64">
        <v>0</v>
      </c>
      <c r="P23" s="310" t="s">
        <v>48</v>
      </c>
      <c r="Q23" s="316" t="s">
        <v>48</v>
      </c>
      <c r="R23" s="323" t="s">
        <v>48</v>
      </c>
      <c r="S23" s="329"/>
      <c r="T23" s="339" t="s">
        <v>145</v>
      </c>
      <c r="U23" s="339"/>
      <c r="V23" s="341"/>
      <c r="W23" s="196"/>
      <c r="X23" s="105"/>
      <c r="Y23" s="106"/>
      <c r="Z23" s="106"/>
      <c r="AA23" s="106"/>
      <c r="AB23" s="346">
        <f>+SUM(ListeInventaire6[[#This Row],[Gravité Réelle]:[Gravité potentielle]])</f>
        <v>0</v>
      </c>
      <c r="AC23" s="106"/>
      <c r="AD23" s="107"/>
    </row>
    <row r="24" spans="1:34" s="7" customFormat="1" ht="65.25" hidden="1" customHeight="1" outlineLevel="1" x14ac:dyDescent="0.25">
      <c r="A24" s="6">
        <v>3</v>
      </c>
      <c r="B24" s="499">
        <v>45847</v>
      </c>
      <c r="C24" s="500" t="s">
        <v>146</v>
      </c>
      <c r="D24" s="500" t="s">
        <v>32</v>
      </c>
      <c r="E24" s="500" t="s">
        <v>86</v>
      </c>
      <c r="F24" s="500" t="s">
        <v>147</v>
      </c>
      <c r="G24" s="500" t="s">
        <v>148</v>
      </c>
      <c r="H24" s="62" t="s">
        <v>61</v>
      </c>
      <c r="I24" s="66" t="s">
        <v>149</v>
      </c>
      <c r="J24" s="64" t="s">
        <v>150</v>
      </c>
      <c r="K24" s="63" t="s">
        <v>48</v>
      </c>
      <c r="L24" s="64"/>
      <c r="M24" s="63"/>
      <c r="N24" s="63"/>
      <c r="O24" s="63"/>
      <c r="P24" s="309"/>
      <c r="Q24" s="315"/>
      <c r="R24" s="322" t="s">
        <v>39</v>
      </c>
      <c r="S24" s="323" t="s">
        <v>39</v>
      </c>
      <c r="T24" s="335" t="s">
        <v>48</v>
      </c>
      <c r="U24" s="335"/>
      <c r="V24" s="341"/>
      <c r="W24" s="196" t="s">
        <v>48</v>
      </c>
      <c r="X24" s="105">
        <v>30</v>
      </c>
      <c r="Y24" s="106">
        <v>20</v>
      </c>
      <c r="Z24" s="106">
        <v>0</v>
      </c>
      <c r="AA24" s="106">
        <v>30</v>
      </c>
      <c r="AB24" s="346">
        <f>+SUM(ListeInventaire6[[#This Row],[Gravité Réelle]:[Gravité potentielle]])</f>
        <v>80</v>
      </c>
      <c r="AC24" s="106"/>
      <c r="AD24" s="107"/>
    </row>
    <row r="25" spans="1:34" s="7" customFormat="1" ht="132.75" customHeight="1" outlineLevel="1" x14ac:dyDescent="0.25">
      <c r="A25" s="78">
        <v>3</v>
      </c>
      <c r="B25" s="499">
        <v>45853</v>
      </c>
      <c r="C25" s="500" t="s">
        <v>151</v>
      </c>
      <c r="D25" s="500" t="s">
        <v>32</v>
      </c>
      <c r="E25" s="500" t="s">
        <v>33</v>
      </c>
      <c r="F25" s="500" t="s">
        <v>152</v>
      </c>
      <c r="G25" s="500" t="s">
        <v>35</v>
      </c>
      <c r="H25" s="62" t="s">
        <v>1690</v>
      </c>
      <c r="I25" s="66" t="s">
        <v>153</v>
      </c>
      <c r="J25" s="76" t="s">
        <v>154</v>
      </c>
      <c r="K25" s="65" t="s">
        <v>48</v>
      </c>
      <c r="L25" s="64"/>
      <c r="M25" s="64"/>
      <c r="N25" s="64"/>
      <c r="O25" s="64"/>
      <c r="P25" s="310" t="s">
        <v>48</v>
      </c>
      <c r="Q25" s="316" t="s">
        <v>48</v>
      </c>
      <c r="R25" s="323" t="s">
        <v>39</v>
      </c>
      <c r="S25" s="329" t="s">
        <v>39</v>
      </c>
      <c r="T25" s="335" t="s">
        <v>39</v>
      </c>
      <c r="U25" s="335"/>
      <c r="V25" s="341"/>
      <c r="W25" s="196" t="s">
        <v>48</v>
      </c>
      <c r="X25" s="105">
        <v>30</v>
      </c>
      <c r="Y25" s="106">
        <v>20</v>
      </c>
      <c r="Z25" s="106">
        <v>10</v>
      </c>
      <c r="AA25" s="106">
        <v>20</v>
      </c>
      <c r="AB25" s="346">
        <f>+SUM(ListeInventaire6[[#This Row],[Gravité Réelle]:[Gravité potentielle]])</f>
        <v>80</v>
      </c>
      <c r="AC25" s="106"/>
      <c r="AD25" s="107"/>
    </row>
    <row r="26" spans="1:34" s="7" customFormat="1" ht="105" hidden="1" outlineLevel="1" x14ac:dyDescent="0.25">
      <c r="A26" s="6">
        <v>3</v>
      </c>
      <c r="B26" s="499">
        <v>45853</v>
      </c>
      <c r="C26" s="500" t="s">
        <v>155</v>
      </c>
      <c r="D26" s="500" t="s">
        <v>32</v>
      </c>
      <c r="E26" s="500" t="s">
        <v>86</v>
      </c>
      <c r="F26" s="500" t="s">
        <v>156</v>
      </c>
      <c r="G26" s="500" t="s">
        <v>88</v>
      </c>
      <c r="H26" s="62" t="s">
        <v>61</v>
      </c>
      <c r="I26" s="66" t="s">
        <v>157</v>
      </c>
      <c r="J26" s="444" t="s">
        <v>158</v>
      </c>
      <c r="K26" s="65" t="s">
        <v>48</v>
      </c>
      <c r="L26" s="64"/>
      <c r="M26" s="64"/>
      <c r="N26" s="64"/>
      <c r="O26" s="64"/>
      <c r="P26" s="310" t="s">
        <v>48</v>
      </c>
      <c r="Q26" s="316"/>
      <c r="R26" s="323" t="s">
        <v>39</v>
      </c>
      <c r="S26" s="329" t="s">
        <v>39</v>
      </c>
      <c r="T26" s="335"/>
      <c r="U26" s="335"/>
      <c r="V26" s="341"/>
      <c r="W26" s="196"/>
      <c r="X26" s="105"/>
      <c r="Y26" s="106"/>
      <c r="Z26" s="106"/>
      <c r="AA26" s="106"/>
      <c r="AB26" s="346">
        <f>+SUM(ListeInventaire6[[#This Row],[Gravité Réelle]:[Gravité potentielle]])</f>
        <v>0</v>
      </c>
      <c r="AC26" s="106"/>
      <c r="AD26" s="107"/>
    </row>
    <row r="27" spans="1:34" s="7" customFormat="1" ht="92.25" hidden="1" customHeight="1" outlineLevel="1" x14ac:dyDescent="0.25">
      <c r="A27" s="78">
        <v>3</v>
      </c>
      <c r="B27" s="499">
        <v>45859</v>
      </c>
      <c r="C27" s="500" t="s">
        <v>159</v>
      </c>
      <c r="D27" s="500" t="s">
        <v>32</v>
      </c>
      <c r="E27" s="500" t="s">
        <v>112</v>
      </c>
      <c r="F27" s="500" t="s">
        <v>160</v>
      </c>
      <c r="G27" s="500" t="s">
        <v>114</v>
      </c>
      <c r="H27" s="62" t="s">
        <v>61</v>
      </c>
      <c r="I27" s="66" t="s">
        <v>161</v>
      </c>
      <c r="J27" s="445" t="s">
        <v>162</v>
      </c>
      <c r="K27" s="65" t="s">
        <v>48</v>
      </c>
      <c r="L27" s="502"/>
      <c r="M27" s="65"/>
      <c r="N27" s="65"/>
      <c r="O27" s="65"/>
      <c r="P27" s="310" t="s">
        <v>39</v>
      </c>
      <c r="Q27" s="316"/>
      <c r="R27" s="323" t="s">
        <v>48</v>
      </c>
      <c r="S27" s="329" t="s">
        <v>39</v>
      </c>
      <c r="T27" s="335" t="s">
        <v>48</v>
      </c>
      <c r="U27" s="335"/>
      <c r="V27" s="341"/>
      <c r="W27" s="196" t="s">
        <v>48</v>
      </c>
      <c r="X27" s="105">
        <v>10</v>
      </c>
      <c r="Y27" s="106">
        <v>20</v>
      </c>
      <c r="Z27" s="106">
        <v>10</v>
      </c>
      <c r="AA27" s="106">
        <v>10</v>
      </c>
      <c r="AB27" s="346">
        <f>+SUM(ListeInventaire6[[#This Row],[Gravité Réelle]:[Gravité potentielle]])</f>
        <v>50</v>
      </c>
      <c r="AC27" s="106"/>
      <c r="AD27" s="107"/>
    </row>
    <row r="28" spans="1:34" s="7" customFormat="1" ht="92.25" hidden="1" customHeight="1" outlineLevel="1" x14ac:dyDescent="0.25">
      <c r="A28" s="78">
        <v>3</v>
      </c>
      <c r="B28" s="499">
        <v>45888</v>
      </c>
      <c r="C28" s="500" t="s">
        <v>163</v>
      </c>
      <c r="D28" s="500" t="s">
        <v>57</v>
      </c>
      <c r="E28" s="500" t="s">
        <v>112</v>
      </c>
      <c r="F28" s="500" t="s">
        <v>164</v>
      </c>
      <c r="G28" s="462" t="s">
        <v>114</v>
      </c>
      <c r="H28" s="462" t="s">
        <v>61</v>
      </c>
      <c r="I28" s="66" t="s">
        <v>165</v>
      </c>
      <c r="J28" s="76" t="s">
        <v>166</v>
      </c>
      <c r="K28" s="65" t="s">
        <v>48</v>
      </c>
      <c r="L28" s="64"/>
      <c r="M28" s="65"/>
      <c r="N28" s="463"/>
      <c r="O28" s="463"/>
      <c r="P28" s="463" t="s">
        <v>48</v>
      </c>
      <c r="Q28" s="462"/>
      <c r="R28" s="322" t="s">
        <v>39</v>
      </c>
      <c r="S28" s="329" t="s">
        <v>39</v>
      </c>
      <c r="T28" s="442" t="s">
        <v>48</v>
      </c>
      <c r="U28" s="503"/>
      <c r="V28" s="344"/>
      <c r="W28" s="430" t="s">
        <v>48</v>
      </c>
      <c r="X28" s="106">
        <v>30</v>
      </c>
      <c r="Y28" s="106">
        <v>10</v>
      </c>
      <c r="Z28" s="106">
        <v>0</v>
      </c>
      <c r="AA28" s="106">
        <v>20</v>
      </c>
      <c r="AB28" s="106">
        <f>+SUM(ListeInventaire6[[#This Row],[Gravité Réelle]:[Gravité potentielle]])</f>
        <v>60</v>
      </c>
      <c r="AC28" s="106"/>
      <c r="AD28" s="414" t="s">
        <v>167</v>
      </c>
    </row>
    <row r="29" spans="1:34" s="7" customFormat="1" ht="29.65" customHeight="1" outlineLevel="1" x14ac:dyDescent="0.25">
      <c r="A29" s="6">
        <v>3</v>
      </c>
      <c r="B29" s="499">
        <v>45894</v>
      </c>
      <c r="C29" s="500" t="s">
        <v>168</v>
      </c>
      <c r="D29" s="500" t="s">
        <v>32</v>
      </c>
      <c r="E29" s="500" t="s">
        <v>33</v>
      </c>
      <c r="F29" s="500" t="s">
        <v>132</v>
      </c>
      <c r="G29" s="500" t="s">
        <v>35</v>
      </c>
      <c r="H29" s="62" t="s">
        <v>1690</v>
      </c>
      <c r="I29" s="66" t="s">
        <v>115</v>
      </c>
      <c r="J29" s="64" t="s">
        <v>169</v>
      </c>
      <c r="K29" s="63" t="s">
        <v>48</v>
      </c>
      <c r="L29" s="64"/>
      <c r="M29" s="63"/>
      <c r="N29" s="63"/>
      <c r="O29" s="63"/>
      <c r="P29" s="463" t="s">
        <v>48</v>
      </c>
      <c r="Q29" s="315"/>
      <c r="R29" s="322" t="s">
        <v>39</v>
      </c>
      <c r="S29" s="329" t="s">
        <v>48</v>
      </c>
      <c r="T29" s="335" t="s">
        <v>39</v>
      </c>
      <c r="U29" s="335"/>
      <c r="V29" s="341"/>
      <c r="W29" s="196" t="s">
        <v>48</v>
      </c>
      <c r="X29" s="196">
        <v>10</v>
      </c>
      <c r="Y29" s="197">
        <v>20</v>
      </c>
      <c r="Z29" s="197">
        <v>10</v>
      </c>
      <c r="AA29" s="197">
        <v>30</v>
      </c>
      <c r="AB29" s="346">
        <f>+SUM(ListeInventaire6[[#This Row],[Gravité Réelle]:[Gravité potentielle]])</f>
        <v>70</v>
      </c>
      <c r="AC29" s="197"/>
      <c r="AD29" s="198"/>
    </row>
    <row r="30" spans="1:34" s="7" customFormat="1" ht="45" hidden="1" outlineLevel="1" x14ac:dyDescent="0.25">
      <c r="A30" s="78">
        <v>3</v>
      </c>
      <c r="B30" s="499">
        <v>45904</v>
      </c>
      <c r="C30" s="500" t="s">
        <v>170</v>
      </c>
      <c r="D30" s="500" t="s">
        <v>32</v>
      </c>
      <c r="E30" s="500" t="s">
        <v>33</v>
      </c>
      <c r="F30" s="500" t="s">
        <v>171</v>
      </c>
      <c r="G30" s="500" t="s">
        <v>124</v>
      </c>
      <c r="H30" s="62" t="s">
        <v>61</v>
      </c>
      <c r="I30" s="66" t="s">
        <v>172</v>
      </c>
      <c r="J30" s="64" t="s">
        <v>173</v>
      </c>
      <c r="K30" s="65" t="s">
        <v>39</v>
      </c>
      <c r="L30" s="502" t="s">
        <v>174</v>
      </c>
      <c r="M30" s="65">
        <v>2</v>
      </c>
      <c r="N30" s="65">
        <v>2</v>
      </c>
      <c r="O30" s="65">
        <v>0</v>
      </c>
      <c r="P30" s="310" t="s">
        <v>48</v>
      </c>
      <c r="Q30" s="316"/>
      <c r="R30" s="323" t="s">
        <v>39</v>
      </c>
      <c r="S30" s="329" t="s">
        <v>39</v>
      </c>
      <c r="T30" s="339"/>
      <c r="U30" s="339"/>
      <c r="V30" s="341"/>
      <c r="W30" s="196" t="s">
        <v>48</v>
      </c>
      <c r="X30" s="105"/>
      <c r="Y30" s="106"/>
      <c r="Z30" s="106"/>
      <c r="AA30" s="106"/>
      <c r="AB30" s="346">
        <f>+SUM(ListeInventaire6[[#This Row],[Gravité Réelle]:[Gravité potentielle]])</f>
        <v>0</v>
      </c>
      <c r="AC30" s="106"/>
      <c r="AD30" s="107"/>
    </row>
    <row r="31" spans="1:34" s="7" customFormat="1" ht="45" hidden="1" outlineLevel="1" x14ac:dyDescent="0.25">
      <c r="A31" s="78">
        <v>3</v>
      </c>
      <c r="B31" s="499">
        <v>45905</v>
      </c>
      <c r="C31" s="500" t="s">
        <v>175</v>
      </c>
      <c r="D31" s="500" t="s">
        <v>32</v>
      </c>
      <c r="E31" s="500" t="s">
        <v>112</v>
      </c>
      <c r="F31" s="500" t="s">
        <v>176</v>
      </c>
      <c r="G31" s="500" t="s">
        <v>114</v>
      </c>
      <c r="H31" s="62" t="s">
        <v>61</v>
      </c>
      <c r="I31" s="66" t="s">
        <v>177</v>
      </c>
      <c r="J31" s="64" t="s">
        <v>178</v>
      </c>
      <c r="K31" s="63" t="s">
        <v>48</v>
      </c>
      <c r="L31" s="502"/>
      <c r="M31" s="65"/>
      <c r="N31" s="65"/>
      <c r="O31" s="65"/>
      <c r="P31" s="310" t="s">
        <v>48</v>
      </c>
      <c r="Q31" s="316"/>
      <c r="R31" s="323" t="s">
        <v>39</v>
      </c>
      <c r="S31" s="329" t="s">
        <v>39</v>
      </c>
      <c r="T31" s="335" t="s">
        <v>48</v>
      </c>
      <c r="U31" s="335"/>
      <c r="V31" s="341"/>
      <c r="W31" s="196" t="s">
        <v>48</v>
      </c>
      <c r="X31" s="105">
        <v>30</v>
      </c>
      <c r="Y31" s="106">
        <v>10</v>
      </c>
      <c r="Z31" s="106">
        <v>10</v>
      </c>
      <c r="AA31" s="106">
        <v>20</v>
      </c>
      <c r="AB31" s="346">
        <f>+SUM(ListeInventaire6[[#This Row],[Gravité Réelle]:[Gravité potentielle]])</f>
        <v>70</v>
      </c>
      <c r="AC31" s="106"/>
      <c r="AD31" s="107"/>
    </row>
    <row r="32" spans="1:34" s="7" customFormat="1" ht="15.75" outlineLevel="1" x14ac:dyDescent="0.25">
      <c r="A32" s="6">
        <v>3</v>
      </c>
      <c r="B32" s="499">
        <v>45915</v>
      </c>
      <c r="C32" s="500" t="s">
        <v>179</v>
      </c>
      <c r="D32" s="500" t="s">
        <v>32</v>
      </c>
      <c r="E32" s="500" t="s">
        <v>33</v>
      </c>
      <c r="F32" s="500" t="s">
        <v>180</v>
      </c>
      <c r="G32" s="500" t="s">
        <v>35</v>
      </c>
      <c r="H32" s="62" t="s">
        <v>1661</v>
      </c>
      <c r="I32" s="66" t="s">
        <v>181</v>
      </c>
      <c r="J32" s="64" t="s">
        <v>182</v>
      </c>
      <c r="K32" s="501"/>
      <c r="L32" s="497"/>
      <c r="M32" s="501"/>
      <c r="N32" s="501"/>
      <c r="O32" s="501"/>
      <c r="P32" s="310"/>
      <c r="Q32" s="316"/>
      <c r="R32" s="323"/>
      <c r="S32" s="329"/>
      <c r="T32" s="335"/>
      <c r="U32" s="335"/>
      <c r="V32" s="341"/>
      <c r="W32" s="196"/>
      <c r="X32" s="196"/>
      <c r="Y32" s="197"/>
      <c r="Z32" s="197"/>
      <c r="AA32" s="197"/>
      <c r="AB32" s="346">
        <f>+SUM(ListeInventaire6[[#This Row],[Gravité Réelle]:[Gravité potentielle]])</f>
        <v>0</v>
      </c>
      <c r="AC32" s="197"/>
      <c r="AD32" s="198"/>
    </row>
    <row r="33" spans="1:30" s="7" customFormat="1" outlineLevel="1" x14ac:dyDescent="0.25">
      <c r="A33" s="6">
        <v>3</v>
      </c>
      <c r="B33" s="499">
        <v>45923</v>
      </c>
      <c r="C33" s="500" t="s">
        <v>183</v>
      </c>
      <c r="D33" s="500" t="s">
        <v>32</v>
      </c>
      <c r="E33" s="500" t="s">
        <v>33</v>
      </c>
      <c r="F33" s="500" t="s">
        <v>43</v>
      </c>
      <c r="G33" s="500" t="s">
        <v>35</v>
      </c>
      <c r="H33" s="62" t="s">
        <v>36</v>
      </c>
      <c r="I33" s="66" t="s">
        <v>184</v>
      </c>
      <c r="J33" s="64" t="s">
        <v>182</v>
      </c>
      <c r="K33" s="63"/>
      <c r="L33" s="502"/>
      <c r="M33" s="63"/>
      <c r="N33" s="63"/>
      <c r="O33" s="63"/>
      <c r="P33" s="310"/>
      <c r="Q33" s="316"/>
      <c r="R33" s="323"/>
      <c r="S33" s="329"/>
      <c r="T33" s="335"/>
      <c r="U33" s="335"/>
      <c r="V33" s="341"/>
      <c r="W33" s="196"/>
      <c r="X33" s="196"/>
      <c r="Y33" s="197"/>
      <c r="Z33" s="197"/>
      <c r="AA33" s="197"/>
      <c r="AB33" s="346">
        <f>+SUM(ListeInventaire6[[#This Row],[Gravité Réelle]:[Gravité potentielle]])</f>
        <v>0</v>
      </c>
      <c r="AC33" s="197"/>
      <c r="AD33" s="198"/>
    </row>
    <row r="34" spans="1:30" s="7" customFormat="1" hidden="1" outlineLevel="1" x14ac:dyDescent="0.25">
      <c r="A34" s="78">
        <v>3</v>
      </c>
      <c r="B34" s="499">
        <v>45924</v>
      </c>
      <c r="C34" s="500" t="s">
        <v>185</v>
      </c>
      <c r="D34" s="500" t="s">
        <v>32</v>
      </c>
      <c r="E34" s="500" t="s">
        <v>33</v>
      </c>
      <c r="F34" s="500" t="s">
        <v>186</v>
      </c>
      <c r="G34" s="500" t="s">
        <v>51</v>
      </c>
      <c r="H34" s="62" t="s">
        <v>61</v>
      </c>
      <c r="I34" s="66" t="s">
        <v>187</v>
      </c>
      <c r="J34" s="76" t="s">
        <v>188</v>
      </c>
      <c r="K34" s="501" t="s">
        <v>39</v>
      </c>
      <c r="L34" s="497" t="s">
        <v>189</v>
      </c>
      <c r="M34" s="501">
        <v>63</v>
      </c>
      <c r="N34" s="501">
        <v>5</v>
      </c>
      <c r="O34" s="501">
        <v>58</v>
      </c>
      <c r="P34" s="310" t="s">
        <v>48</v>
      </c>
      <c r="Q34" s="316"/>
      <c r="R34" s="323" t="s">
        <v>39</v>
      </c>
      <c r="S34" s="329" t="s">
        <v>39</v>
      </c>
      <c r="T34" s="335" t="s">
        <v>48</v>
      </c>
      <c r="U34" s="335"/>
      <c r="V34" s="341"/>
      <c r="W34" s="196" t="s">
        <v>48</v>
      </c>
      <c r="X34" s="105">
        <v>50</v>
      </c>
      <c r="Y34" s="106">
        <v>20</v>
      </c>
      <c r="Z34" s="106">
        <v>0</v>
      </c>
      <c r="AA34" s="106">
        <v>30</v>
      </c>
      <c r="AB34" s="346">
        <f>+SUM(ListeInventaire6[[#This Row],[Gravité Réelle]:[Gravité potentielle]])</f>
        <v>100</v>
      </c>
      <c r="AC34" s="106"/>
      <c r="AD34" s="107"/>
    </row>
    <row r="35" spans="1:30" s="7" customFormat="1" hidden="1" outlineLevel="1" x14ac:dyDescent="0.25">
      <c r="A35" s="6">
        <v>4</v>
      </c>
      <c r="B35" s="531">
        <v>45931</v>
      </c>
      <c r="C35" s="532" t="s">
        <v>190</v>
      </c>
      <c r="D35" s="532" t="s">
        <v>57</v>
      </c>
      <c r="E35" s="532" t="s">
        <v>33</v>
      </c>
      <c r="F35" s="532" t="s">
        <v>186</v>
      </c>
      <c r="G35" s="532" t="s">
        <v>51</v>
      </c>
      <c r="H35" s="67" t="s">
        <v>61</v>
      </c>
      <c r="I35" s="68" t="s">
        <v>191</v>
      </c>
      <c r="J35" s="77" t="s">
        <v>192</v>
      </c>
      <c r="K35" s="69" t="s">
        <v>48</v>
      </c>
      <c r="L35" s="70"/>
      <c r="M35" s="70"/>
      <c r="N35" s="70"/>
      <c r="O35" s="70"/>
      <c r="P35" s="311" t="s">
        <v>39</v>
      </c>
      <c r="Q35" s="317" t="s">
        <v>48</v>
      </c>
      <c r="R35" s="324" t="s">
        <v>39</v>
      </c>
      <c r="S35" s="330" t="s">
        <v>39</v>
      </c>
      <c r="T35" s="335" t="s">
        <v>48</v>
      </c>
      <c r="U35" s="335"/>
      <c r="V35" s="341" t="s">
        <v>39</v>
      </c>
      <c r="W35" s="196" t="s">
        <v>48</v>
      </c>
      <c r="X35" s="105">
        <v>50</v>
      </c>
      <c r="Y35" s="106">
        <v>20</v>
      </c>
      <c r="Z35" s="106">
        <v>0</v>
      </c>
      <c r="AA35" s="106">
        <v>30</v>
      </c>
      <c r="AB35" s="106">
        <f>+SUM(ListeInventaire6[[#This Row],[Gravité Réelle]:[Gravité potentielle]])</f>
        <v>100</v>
      </c>
      <c r="AC35" s="106"/>
      <c r="AD35" s="107"/>
    </row>
    <row r="36" spans="1:30" s="7" customFormat="1" ht="15.75" outlineLevel="1" x14ac:dyDescent="0.25">
      <c r="A36" s="6">
        <v>4</v>
      </c>
      <c r="B36" s="531">
        <v>45931</v>
      </c>
      <c r="C36" s="532" t="s">
        <v>92</v>
      </c>
      <c r="D36" s="532" t="s">
        <v>32</v>
      </c>
      <c r="E36" s="532" t="s">
        <v>33</v>
      </c>
      <c r="F36" s="532" t="s">
        <v>43</v>
      </c>
      <c r="G36" s="532" t="s">
        <v>35</v>
      </c>
      <c r="H36" s="67" t="s">
        <v>61</v>
      </c>
      <c r="I36" s="68" t="s">
        <v>93</v>
      </c>
      <c r="J36" s="77" t="s">
        <v>193</v>
      </c>
      <c r="K36" s="69" t="s">
        <v>48</v>
      </c>
      <c r="L36" s="70"/>
      <c r="M36" s="70"/>
      <c r="N36" s="70"/>
      <c r="O36" s="70"/>
      <c r="P36" s="311" t="s">
        <v>39</v>
      </c>
      <c r="Q36" s="317" t="s">
        <v>48</v>
      </c>
      <c r="R36" s="324" t="s">
        <v>39</v>
      </c>
      <c r="S36" s="324" t="s">
        <v>48</v>
      </c>
      <c r="T36" s="335" t="s">
        <v>48</v>
      </c>
      <c r="U36" s="335"/>
      <c r="V36" s="341"/>
      <c r="W36" s="196" t="s">
        <v>48</v>
      </c>
      <c r="X36" s="105">
        <v>10</v>
      </c>
      <c r="Y36" s="106">
        <v>20</v>
      </c>
      <c r="Z36" s="106">
        <v>10</v>
      </c>
      <c r="AA36" s="106">
        <v>30</v>
      </c>
      <c r="AB36" s="106">
        <f>+SUM(ListeInventaire6[[#This Row],[Gravité Réelle]:[Gravité potentielle]])</f>
        <v>70</v>
      </c>
      <c r="AC36" s="106"/>
      <c r="AD36" s="107"/>
    </row>
    <row r="37" spans="1:30" s="7" customFormat="1" ht="45" hidden="1" outlineLevel="1" x14ac:dyDescent="0.25">
      <c r="A37" s="78">
        <v>4</v>
      </c>
      <c r="B37" s="465">
        <v>45937</v>
      </c>
      <c r="C37" s="466" t="s">
        <v>194</v>
      </c>
      <c r="D37" s="466" t="s">
        <v>32</v>
      </c>
      <c r="E37" s="466" t="s">
        <v>112</v>
      </c>
      <c r="F37" s="466" t="s">
        <v>195</v>
      </c>
      <c r="G37" s="318" t="s">
        <v>114</v>
      </c>
      <c r="H37" s="318" t="s">
        <v>61</v>
      </c>
      <c r="I37" s="467" t="s">
        <v>196</v>
      </c>
      <c r="J37" s="77" t="s">
        <v>197</v>
      </c>
      <c r="K37" s="69" t="s">
        <v>39</v>
      </c>
      <c r="L37" s="464" t="s">
        <v>198</v>
      </c>
      <c r="M37" s="69">
        <v>4</v>
      </c>
      <c r="N37" s="468">
        <v>4</v>
      </c>
      <c r="O37" s="213"/>
      <c r="P37" s="213" t="s">
        <v>65</v>
      </c>
      <c r="Q37" s="318" t="s">
        <v>39</v>
      </c>
      <c r="R37" s="319" t="s">
        <v>39</v>
      </c>
      <c r="S37" s="330" t="s">
        <v>39</v>
      </c>
      <c r="T37" s="335" t="s">
        <v>48</v>
      </c>
      <c r="U37" s="335"/>
      <c r="V37" s="344"/>
      <c r="W37" s="430" t="s">
        <v>48</v>
      </c>
      <c r="X37" s="106">
        <v>50</v>
      </c>
      <c r="Y37" s="106">
        <v>10</v>
      </c>
      <c r="Z37" s="106">
        <v>0</v>
      </c>
      <c r="AA37" s="106">
        <v>20</v>
      </c>
      <c r="AB37" s="106">
        <f>+SUM(ListeInventaire6[[#This Row],[Gravité Réelle]:[Gravité potentielle]])</f>
        <v>80</v>
      </c>
      <c r="AC37" s="106"/>
      <c r="AD37" s="107"/>
    </row>
    <row r="38" spans="1:30" s="7" customFormat="1" ht="75" hidden="1" outlineLevel="1" x14ac:dyDescent="0.25">
      <c r="A38" s="6">
        <v>4</v>
      </c>
      <c r="B38" s="531">
        <v>45938</v>
      </c>
      <c r="C38" s="541" t="s">
        <v>199</v>
      </c>
      <c r="D38" s="532" t="s">
        <v>57</v>
      </c>
      <c r="E38" s="532" t="s">
        <v>33</v>
      </c>
      <c r="F38" s="532" t="s">
        <v>200</v>
      </c>
      <c r="G38" s="532" t="s">
        <v>60</v>
      </c>
      <c r="H38" s="67" t="s">
        <v>61</v>
      </c>
      <c r="I38" s="68" t="s">
        <v>201</v>
      </c>
      <c r="J38" s="77" t="s">
        <v>202</v>
      </c>
      <c r="K38" s="69" t="s">
        <v>48</v>
      </c>
      <c r="L38" s="70"/>
      <c r="M38" s="70"/>
      <c r="N38" s="70"/>
      <c r="O38" s="70"/>
      <c r="P38" s="311" t="s">
        <v>203</v>
      </c>
      <c r="Q38" s="317" t="s">
        <v>48</v>
      </c>
      <c r="R38" s="319" t="s">
        <v>39</v>
      </c>
      <c r="S38" s="330" t="s">
        <v>39</v>
      </c>
      <c r="T38" s="339" t="s">
        <v>48</v>
      </c>
      <c r="U38" s="339"/>
      <c r="V38" s="341" t="s">
        <v>39</v>
      </c>
      <c r="W38" s="196" t="s">
        <v>48</v>
      </c>
      <c r="X38" s="105">
        <v>10</v>
      </c>
      <c r="Y38" s="106">
        <v>20</v>
      </c>
      <c r="Z38" s="106">
        <v>10</v>
      </c>
      <c r="AA38" s="106">
        <v>30</v>
      </c>
      <c r="AB38" s="106">
        <f>+SUM(ListeInventaire6[[#This Row],[Gravité Réelle]:[Gravité potentielle]])</f>
        <v>70</v>
      </c>
      <c r="AC38" s="106"/>
      <c r="AD38" s="107"/>
    </row>
    <row r="39" spans="1:30" outlineLevel="1" x14ac:dyDescent="0.25">
      <c r="A39" s="6">
        <v>4</v>
      </c>
      <c r="B39" s="531">
        <v>45954</v>
      </c>
      <c r="C39" s="532" t="s">
        <v>204</v>
      </c>
      <c r="D39" s="532" t="s">
        <v>32</v>
      </c>
      <c r="E39" s="532" t="s">
        <v>102</v>
      </c>
      <c r="F39" s="532" t="s">
        <v>205</v>
      </c>
      <c r="G39" s="532" t="s">
        <v>35</v>
      </c>
      <c r="H39" s="67" t="s">
        <v>61</v>
      </c>
      <c r="I39" s="68" t="s">
        <v>206</v>
      </c>
      <c r="J39" s="77" t="s">
        <v>207</v>
      </c>
      <c r="K39" s="69" t="s">
        <v>39</v>
      </c>
      <c r="L39" s="70" t="s">
        <v>208</v>
      </c>
      <c r="M39" s="70">
        <v>61</v>
      </c>
      <c r="N39" s="70">
        <v>61</v>
      </c>
      <c r="O39" s="70">
        <v>0</v>
      </c>
      <c r="P39" s="311" t="s">
        <v>65</v>
      </c>
      <c r="Q39" s="317"/>
      <c r="R39" s="324" t="s">
        <v>39</v>
      </c>
      <c r="S39" s="330" t="s">
        <v>39</v>
      </c>
      <c r="T39" s="339" t="s">
        <v>48</v>
      </c>
      <c r="U39" s="339"/>
      <c r="V39" s="341"/>
      <c r="W39" s="196" t="s">
        <v>48</v>
      </c>
      <c r="X39" s="105">
        <v>30</v>
      </c>
      <c r="Y39" s="106">
        <v>20</v>
      </c>
      <c r="Z39" s="106">
        <v>10</v>
      </c>
      <c r="AA39" s="106">
        <v>30</v>
      </c>
      <c r="AB39" s="106">
        <f>+SUM(ListeInventaire6[[#This Row],[Gravité Réelle]:[Gravité potentielle]])</f>
        <v>90</v>
      </c>
      <c r="AC39" s="106"/>
      <c r="AD39" s="107"/>
    </row>
    <row r="40" spans="1:30" ht="60" hidden="1" outlineLevel="1" x14ac:dyDescent="0.25">
      <c r="A40" s="6"/>
      <c r="B40" s="531">
        <v>45965</v>
      </c>
      <c r="C40" s="532" t="s">
        <v>209</v>
      </c>
      <c r="D40" s="532" t="s">
        <v>32</v>
      </c>
      <c r="E40" s="532" t="s">
        <v>112</v>
      </c>
      <c r="F40" s="532" t="s">
        <v>210</v>
      </c>
      <c r="G40" s="532" t="s">
        <v>114</v>
      </c>
      <c r="H40" s="67"/>
      <c r="I40" s="68" t="s">
        <v>211</v>
      </c>
      <c r="J40" s="77" t="s">
        <v>212</v>
      </c>
      <c r="K40" s="69" t="s">
        <v>48</v>
      </c>
      <c r="L40" s="70"/>
      <c r="M40" s="70"/>
      <c r="N40" s="70"/>
      <c r="O40" s="70"/>
      <c r="P40" s="311"/>
      <c r="Q40" s="317"/>
      <c r="R40" s="324" t="s">
        <v>39</v>
      </c>
      <c r="S40" s="330"/>
      <c r="T40" s="339" t="s">
        <v>145</v>
      </c>
      <c r="U40" s="339"/>
      <c r="V40" s="341"/>
      <c r="W40" s="196" t="s">
        <v>48</v>
      </c>
      <c r="X40" s="105">
        <v>30</v>
      </c>
      <c r="Y40" s="106">
        <v>10</v>
      </c>
      <c r="Z40" s="106">
        <v>20</v>
      </c>
      <c r="AA40" s="106">
        <v>20</v>
      </c>
      <c r="AB40" s="106">
        <f>+SUM(ListeInventaire6[[#This Row],[Gravité Réelle]:[Gravité potentielle]])</f>
        <v>80</v>
      </c>
      <c r="AC40" s="106"/>
      <c r="AD40" s="107"/>
    </row>
    <row r="41" spans="1:30" hidden="1" outlineLevel="1" x14ac:dyDescent="0.25">
      <c r="A41" s="6">
        <v>4</v>
      </c>
      <c r="B41" s="531">
        <v>45966</v>
      </c>
      <c r="C41" s="532" t="s">
        <v>213</v>
      </c>
      <c r="D41" s="532" t="s">
        <v>32</v>
      </c>
      <c r="E41" s="532" t="s">
        <v>112</v>
      </c>
      <c r="F41" s="532" t="s">
        <v>214</v>
      </c>
      <c r="G41" s="532" t="s">
        <v>114</v>
      </c>
      <c r="H41" s="67" t="s">
        <v>61</v>
      </c>
      <c r="I41" s="68" t="s">
        <v>187</v>
      </c>
      <c r="J41" s="77" t="s">
        <v>215</v>
      </c>
      <c r="K41" s="69" t="s">
        <v>48</v>
      </c>
      <c r="L41" s="70"/>
      <c r="M41" s="70"/>
      <c r="N41" s="70"/>
      <c r="O41" s="70"/>
      <c r="P41" s="311" t="s">
        <v>39</v>
      </c>
      <c r="Q41" s="317"/>
      <c r="R41" s="324" t="s">
        <v>39</v>
      </c>
      <c r="S41" s="330" t="s">
        <v>39</v>
      </c>
      <c r="T41" s="339" t="s">
        <v>145</v>
      </c>
      <c r="U41" s="339"/>
      <c r="V41" s="341" t="s">
        <v>39</v>
      </c>
      <c r="W41" s="196" t="s">
        <v>48</v>
      </c>
      <c r="X41" s="105">
        <v>30</v>
      </c>
      <c r="Y41" s="106">
        <v>10</v>
      </c>
      <c r="Z41" s="106">
        <v>10</v>
      </c>
      <c r="AA41" s="106">
        <v>20</v>
      </c>
      <c r="AB41" s="106">
        <f>+SUM(ListeInventaire6[[#This Row],[Gravité Réelle]:[Gravité potentielle]])</f>
        <v>70</v>
      </c>
      <c r="AC41" s="106"/>
      <c r="AD41" s="107"/>
    </row>
    <row r="42" spans="1:30" ht="45" hidden="1" outlineLevel="1" x14ac:dyDescent="0.25">
      <c r="A42" s="6"/>
      <c r="B42" s="533">
        <v>45966</v>
      </c>
      <c r="C42" s="534" t="s">
        <v>216</v>
      </c>
      <c r="D42" s="534" t="s">
        <v>32</v>
      </c>
      <c r="E42" s="534" t="s">
        <v>86</v>
      </c>
      <c r="F42" s="534" t="s">
        <v>217</v>
      </c>
      <c r="G42" s="534" t="s">
        <v>88</v>
      </c>
      <c r="H42" s="469" t="s">
        <v>52</v>
      </c>
      <c r="I42" s="470" t="s">
        <v>218</v>
      </c>
      <c r="J42" s="471" t="s">
        <v>219</v>
      </c>
      <c r="K42" s="472" t="s">
        <v>39</v>
      </c>
      <c r="L42" s="473" t="s">
        <v>1663</v>
      </c>
      <c r="M42" s="473">
        <v>93</v>
      </c>
      <c r="N42" s="473">
        <f>93-37</f>
        <v>56</v>
      </c>
      <c r="O42" s="473">
        <v>37</v>
      </c>
      <c r="P42" s="474" t="s">
        <v>48</v>
      </c>
      <c r="Q42" s="475"/>
      <c r="R42" s="476" t="s">
        <v>39</v>
      </c>
      <c r="S42" s="477" t="s">
        <v>39</v>
      </c>
      <c r="T42" s="478" t="s">
        <v>48</v>
      </c>
      <c r="U42" s="478"/>
      <c r="V42" s="479"/>
      <c r="W42" s="480" t="s">
        <v>48</v>
      </c>
      <c r="X42" s="482">
        <v>30</v>
      </c>
      <c r="Y42" s="482">
        <v>20</v>
      </c>
      <c r="Z42" s="482">
        <v>0</v>
      </c>
      <c r="AA42" s="482">
        <v>50</v>
      </c>
      <c r="AB42" s="482">
        <f>+SUM(ListeInventaire6[[#This Row],[Gravité Réelle]:[Gravité potentielle]])</f>
        <v>100</v>
      </c>
      <c r="AC42" s="106"/>
      <c r="AD42" s="198"/>
    </row>
    <row r="43" spans="1:30" ht="60" hidden="1" outlineLevel="1" x14ac:dyDescent="0.25">
      <c r="A43" s="6"/>
      <c r="B43" s="533">
        <v>45973</v>
      </c>
      <c r="C43" s="534" t="s">
        <v>220</v>
      </c>
      <c r="D43" s="534" t="s">
        <v>32</v>
      </c>
      <c r="E43" s="534" t="s">
        <v>33</v>
      </c>
      <c r="F43" s="534" t="s">
        <v>221</v>
      </c>
      <c r="G43" s="534" t="s">
        <v>124</v>
      </c>
      <c r="H43" s="469" t="s">
        <v>52</v>
      </c>
      <c r="I43" s="470" t="s">
        <v>222</v>
      </c>
      <c r="J43" s="471" t="s">
        <v>223</v>
      </c>
      <c r="K43" s="472" t="s">
        <v>39</v>
      </c>
      <c r="L43" s="473" t="s">
        <v>224</v>
      </c>
      <c r="M43" s="473">
        <v>32</v>
      </c>
      <c r="N43" s="473">
        <v>32</v>
      </c>
      <c r="O43" s="473"/>
      <c r="P43" s="474" t="s">
        <v>48</v>
      </c>
      <c r="Q43" s="475"/>
      <c r="R43" s="476" t="s">
        <v>48</v>
      </c>
      <c r="S43" s="477"/>
      <c r="T43" s="478" t="s">
        <v>39</v>
      </c>
      <c r="U43" s="478"/>
      <c r="V43" s="479"/>
      <c r="W43" s="480" t="s">
        <v>48</v>
      </c>
      <c r="X43" s="481">
        <v>50</v>
      </c>
      <c r="Y43" s="482">
        <v>30</v>
      </c>
      <c r="Z43" s="482">
        <v>0</v>
      </c>
      <c r="AA43" s="482">
        <v>50</v>
      </c>
      <c r="AB43" s="482">
        <f>+SUM(ListeInventaire6[[#This Row],[Gravité Réelle]:[Gravité potentielle]])</f>
        <v>130</v>
      </c>
      <c r="AC43" s="106"/>
      <c r="AD43" s="107"/>
    </row>
    <row r="44" spans="1:30" ht="37.5" customHeight="1" outlineLevel="1" x14ac:dyDescent="0.25">
      <c r="A44" s="78">
        <v>4</v>
      </c>
      <c r="B44" s="535">
        <v>45981</v>
      </c>
      <c r="C44" s="536" t="s">
        <v>225</v>
      </c>
      <c r="D44" s="532" t="s">
        <v>32</v>
      </c>
      <c r="E44" s="536" t="s">
        <v>102</v>
      </c>
      <c r="F44" s="536" t="s">
        <v>226</v>
      </c>
      <c r="G44" s="536" t="s">
        <v>35</v>
      </c>
      <c r="H44" s="69" t="s">
        <v>61</v>
      </c>
      <c r="I44" s="212" t="s">
        <v>227</v>
      </c>
      <c r="J44" s="77" t="s">
        <v>228</v>
      </c>
      <c r="K44" s="69" t="s">
        <v>39</v>
      </c>
      <c r="L44" s="77" t="s">
        <v>229</v>
      </c>
      <c r="M44" s="69">
        <v>45</v>
      </c>
      <c r="N44" s="498">
        <v>41</v>
      </c>
      <c r="O44" s="70">
        <v>4</v>
      </c>
      <c r="P44" s="312" t="s">
        <v>48</v>
      </c>
      <c r="Q44" s="318"/>
      <c r="R44" s="325" t="s">
        <v>39</v>
      </c>
      <c r="S44" s="330" t="s">
        <v>39</v>
      </c>
      <c r="T44" s="339"/>
      <c r="U44" s="339"/>
      <c r="V44" s="344"/>
      <c r="W44" s="196" t="s">
        <v>48</v>
      </c>
      <c r="X44" s="214">
        <v>70</v>
      </c>
      <c r="Y44" s="215">
        <v>10</v>
      </c>
      <c r="Z44" s="215">
        <v>0</v>
      </c>
      <c r="AA44" s="215">
        <v>40</v>
      </c>
      <c r="AB44" s="215">
        <f>+SUM(ListeInventaire6[[#This Row],[Gravité Réelle]:[Gravité potentielle]])</f>
        <v>120</v>
      </c>
      <c r="AC44" s="215"/>
      <c r="AD44" s="198"/>
    </row>
    <row r="45" spans="1:30" outlineLevel="1" x14ac:dyDescent="0.25">
      <c r="A45" s="78"/>
      <c r="B45" s="535">
        <v>45986</v>
      </c>
      <c r="C45" s="536" t="s">
        <v>230</v>
      </c>
      <c r="D45" s="532" t="s">
        <v>32</v>
      </c>
      <c r="E45" s="536" t="s">
        <v>33</v>
      </c>
      <c r="F45" s="536" t="s">
        <v>43</v>
      </c>
      <c r="G45" s="143" t="s">
        <v>35</v>
      </c>
      <c r="H45" s="143" t="s">
        <v>44</v>
      </c>
      <c r="I45" s="68" t="s">
        <v>93</v>
      </c>
      <c r="J45" s="143" t="s">
        <v>231</v>
      </c>
      <c r="K45" s="143" t="s">
        <v>39</v>
      </c>
      <c r="L45" s="70" t="s">
        <v>232</v>
      </c>
      <c r="M45" s="69">
        <v>5</v>
      </c>
      <c r="N45" s="468">
        <v>5</v>
      </c>
      <c r="O45" s="70">
        <v>0</v>
      </c>
      <c r="P45" s="313" t="s">
        <v>48</v>
      </c>
      <c r="Q45" s="318" t="s">
        <v>48</v>
      </c>
      <c r="R45" s="325" t="s">
        <v>48</v>
      </c>
      <c r="S45" s="331"/>
      <c r="T45" s="335" t="s">
        <v>145</v>
      </c>
      <c r="U45" s="335"/>
      <c r="V45" s="344"/>
      <c r="W45" s="196" t="s">
        <v>48</v>
      </c>
      <c r="X45" s="106">
        <v>30</v>
      </c>
      <c r="Y45" s="106">
        <v>10</v>
      </c>
      <c r="Z45" s="106">
        <v>0</v>
      </c>
      <c r="AA45" s="106">
        <v>40</v>
      </c>
      <c r="AB45" s="106">
        <f>+SUM(ListeInventaire6[[#This Row],[Gravité Réelle]:[Gravité potentielle]])</f>
        <v>80</v>
      </c>
      <c r="AC45" s="106"/>
      <c r="AD45" s="198"/>
    </row>
    <row r="46" spans="1:30" ht="45" outlineLevel="1" x14ac:dyDescent="0.25">
      <c r="A46" s="78"/>
      <c r="B46" s="535">
        <v>45988</v>
      </c>
      <c r="C46" s="536" t="s">
        <v>233</v>
      </c>
      <c r="D46" s="532" t="s">
        <v>32</v>
      </c>
      <c r="E46" s="536" t="s">
        <v>33</v>
      </c>
      <c r="F46" s="536" t="s">
        <v>234</v>
      </c>
      <c r="G46" s="143" t="s">
        <v>35</v>
      </c>
      <c r="H46" s="143" t="s">
        <v>44</v>
      </c>
      <c r="I46" s="68" t="s">
        <v>235</v>
      </c>
      <c r="J46" s="70" t="s">
        <v>236</v>
      </c>
      <c r="K46" s="143" t="s">
        <v>39</v>
      </c>
      <c r="L46" s="70" t="s">
        <v>237</v>
      </c>
      <c r="M46" s="69">
        <v>2</v>
      </c>
      <c r="N46" s="468">
        <v>2</v>
      </c>
      <c r="O46" s="70">
        <v>0</v>
      </c>
      <c r="P46" s="313" t="s">
        <v>48</v>
      </c>
      <c r="Q46" s="318" t="s">
        <v>48</v>
      </c>
      <c r="R46" s="325" t="s">
        <v>48</v>
      </c>
      <c r="S46" s="331"/>
      <c r="T46" s="335"/>
      <c r="U46" s="335"/>
      <c r="V46" s="344"/>
      <c r="W46" s="196" t="s">
        <v>48</v>
      </c>
      <c r="X46" s="106">
        <v>30</v>
      </c>
      <c r="Y46" s="106">
        <v>10</v>
      </c>
      <c r="Z46" s="106">
        <v>10</v>
      </c>
      <c r="AA46" s="106">
        <v>50</v>
      </c>
      <c r="AB46" s="106">
        <f>+SUM(ListeInventaire6[[#This Row],[Gravité Réelle]:[Gravité potentielle]])</f>
        <v>100</v>
      </c>
      <c r="AC46" s="106"/>
      <c r="AD46" s="198"/>
    </row>
    <row r="47" spans="1:30" ht="15.75" outlineLevel="1" x14ac:dyDescent="0.25">
      <c r="A47" s="78"/>
      <c r="B47" s="535">
        <v>46000</v>
      </c>
      <c r="C47" s="536" t="s">
        <v>238</v>
      </c>
      <c r="D47" s="532" t="s">
        <v>32</v>
      </c>
      <c r="E47" s="536" t="s">
        <v>33</v>
      </c>
      <c r="F47" s="536" t="s">
        <v>180</v>
      </c>
      <c r="G47" s="536" t="s">
        <v>35</v>
      </c>
      <c r="H47" s="67" t="s">
        <v>36</v>
      </c>
      <c r="I47" s="144" t="s">
        <v>93</v>
      </c>
      <c r="J47" s="70" t="s">
        <v>239</v>
      </c>
      <c r="K47" s="143"/>
      <c r="L47" s="69"/>
      <c r="M47" s="69"/>
      <c r="N47" s="468"/>
      <c r="O47" s="70"/>
      <c r="P47" s="313"/>
      <c r="Q47" s="319"/>
      <c r="R47" s="326"/>
      <c r="S47" s="332"/>
      <c r="T47" s="335"/>
      <c r="U47" s="335"/>
      <c r="V47" s="344"/>
      <c r="W47" s="196" t="s">
        <v>48</v>
      </c>
      <c r="X47" s="214"/>
      <c r="Y47" s="215"/>
      <c r="Z47" s="215"/>
      <c r="AA47" s="215"/>
      <c r="AB47" s="215">
        <f>+SUM(ListeInventaire6[[#This Row],[Gravité Réelle]:[Gravité potentielle]])</f>
        <v>0</v>
      </c>
      <c r="AC47" s="215"/>
      <c r="AD47" s="198"/>
    </row>
    <row r="48" spans="1:30" ht="15" hidden="1" outlineLevel="1" x14ac:dyDescent="0.25">
      <c r="A48" s="78"/>
      <c r="B48" s="535"/>
      <c r="C48" s="536"/>
      <c r="D48" s="532"/>
      <c r="E48" s="536"/>
      <c r="F48" s="536"/>
      <c r="G48" s="536"/>
      <c r="H48" s="69"/>
      <c r="I48" s="212"/>
      <c r="J48" s="77"/>
      <c r="K48" s="69"/>
      <c r="L48" s="69"/>
      <c r="M48" s="69"/>
      <c r="N48" s="468"/>
      <c r="O48" s="70"/>
      <c r="P48" s="312"/>
      <c r="Q48" s="318"/>
      <c r="R48" s="325"/>
      <c r="S48" s="331"/>
      <c r="T48" s="339"/>
      <c r="U48" s="339"/>
      <c r="V48" s="344"/>
      <c r="W48" s="196" t="s">
        <v>48</v>
      </c>
      <c r="X48" s="106"/>
      <c r="Y48" s="215"/>
      <c r="Z48" s="215"/>
      <c r="AA48" s="215"/>
      <c r="AB48" s="215">
        <f>+SUM(ListeInventaire6[[#This Row],[Gravité Réelle]:[Gravité potentielle]])</f>
        <v>0</v>
      </c>
      <c r="AC48" s="215"/>
      <c r="AD48" s="198"/>
    </row>
    <row r="49" spans="1:30" ht="15" hidden="1" outlineLevel="1" x14ac:dyDescent="0.25">
      <c r="A49" s="78"/>
      <c r="B49" s="535"/>
      <c r="C49" s="536"/>
      <c r="D49" s="532"/>
      <c r="E49" s="536"/>
      <c r="F49" s="536"/>
      <c r="G49" s="536"/>
      <c r="H49" s="69"/>
      <c r="I49" s="212"/>
      <c r="J49" s="77"/>
      <c r="K49" s="69"/>
      <c r="L49" s="69"/>
      <c r="M49" s="69"/>
      <c r="N49" s="468"/>
      <c r="O49" s="70"/>
      <c r="P49" s="312"/>
      <c r="Q49" s="318"/>
      <c r="R49" s="325"/>
      <c r="S49" s="331"/>
      <c r="T49" s="339"/>
      <c r="U49" s="339"/>
      <c r="V49" s="344"/>
      <c r="W49" s="196" t="s">
        <v>48</v>
      </c>
      <c r="X49" s="214"/>
      <c r="Y49" s="214"/>
      <c r="Z49" s="215"/>
      <c r="AA49" s="215"/>
      <c r="AB49" s="215">
        <f>+SUM(ListeInventaire6[[#This Row],[Gravité Réelle]:[Gravité potentielle]])</f>
        <v>0</v>
      </c>
      <c r="AC49" s="215"/>
      <c r="AD49" s="198"/>
    </row>
    <row r="50" spans="1:30" ht="15.75" hidden="1" outlineLevel="1" thickBot="1" x14ac:dyDescent="0.3">
      <c r="A50" s="78"/>
      <c r="B50" s="537"/>
      <c r="C50" s="538"/>
      <c r="D50" s="538"/>
      <c r="E50" s="538"/>
      <c r="F50" s="538"/>
      <c r="G50" s="538"/>
      <c r="H50" s="407"/>
      <c r="I50" s="408"/>
      <c r="J50" s="409"/>
      <c r="K50" s="407"/>
      <c r="L50" s="407"/>
      <c r="M50" s="407"/>
      <c r="N50" s="410"/>
      <c r="O50" s="70"/>
      <c r="P50" s="411"/>
      <c r="Q50" s="407"/>
      <c r="R50" s="412"/>
      <c r="S50" s="413"/>
      <c r="T50" s="339"/>
      <c r="U50" s="339"/>
      <c r="V50" s="344"/>
      <c r="W50" s="196" t="s">
        <v>48</v>
      </c>
      <c r="X50" s="214"/>
      <c r="Y50" s="215"/>
      <c r="Z50" s="215"/>
      <c r="AA50" s="215"/>
      <c r="AB50" s="215">
        <f>+SUM(ListeInventaire6[[#This Row],[Gravité Réelle]:[Gravité potentielle]])</f>
        <v>0</v>
      </c>
      <c r="AC50" s="215"/>
      <c r="AD50" s="198"/>
    </row>
    <row r="79" spans="9:12" ht="30" customHeight="1" x14ac:dyDescent="0.25">
      <c r="I79" s="4"/>
      <c r="J79" s="71" t="s">
        <v>240</v>
      </c>
      <c r="K79" s="71">
        <f>L79/22</f>
        <v>0.13636363636363635</v>
      </c>
      <c r="L79" s="4">
        <v>3</v>
      </c>
    </row>
    <row r="80" spans="9:12" ht="30" customHeight="1" x14ac:dyDescent="0.25">
      <c r="I80" s="4"/>
      <c r="J80" s="71" t="s">
        <v>241</v>
      </c>
      <c r="K80" s="71">
        <f t="shared" ref="K80:K97" si="0">L80/22</f>
        <v>0.18181818181818182</v>
      </c>
      <c r="L80" s="4">
        <v>4</v>
      </c>
    </row>
    <row r="81" spans="9:12" ht="30" customHeight="1" x14ac:dyDescent="0.25">
      <c r="I81" s="4"/>
      <c r="J81" s="71" t="s">
        <v>242</v>
      </c>
      <c r="K81" s="71">
        <f t="shared" si="0"/>
        <v>0</v>
      </c>
      <c r="L81" s="4">
        <v>0</v>
      </c>
    </row>
    <row r="82" spans="9:12" ht="30" customHeight="1" x14ac:dyDescent="0.25">
      <c r="I82" s="4"/>
      <c r="J82" s="71" t="s">
        <v>243</v>
      </c>
      <c r="K82" s="71">
        <f t="shared" si="0"/>
        <v>0</v>
      </c>
      <c r="L82" s="4">
        <v>0</v>
      </c>
    </row>
    <row r="83" spans="9:12" ht="30" customHeight="1" x14ac:dyDescent="0.25">
      <c r="I83" s="4"/>
      <c r="J83" s="71" t="s">
        <v>244</v>
      </c>
      <c r="K83" s="71">
        <f t="shared" si="0"/>
        <v>4.5454545454545456E-2</v>
      </c>
      <c r="L83" s="4">
        <v>1</v>
      </c>
    </row>
    <row r="84" spans="9:12" ht="30" customHeight="1" x14ac:dyDescent="0.25">
      <c r="I84" s="4"/>
      <c r="J84" s="71" t="s">
        <v>245</v>
      </c>
      <c r="K84" s="71">
        <f t="shared" si="0"/>
        <v>9.0909090909090912E-2</v>
      </c>
      <c r="L84" s="4">
        <v>2</v>
      </c>
    </row>
    <row r="85" spans="9:12" ht="30" customHeight="1" x14ac:dyDescent="0.25">
      <c r="I85" s="4"/>
      <c r="J85" s="71" t="s">
        <v>246</v>
      </c>
      <c r="K85" s="71">
        <f t="shared" si="0"/>
        <v>0.31818181818181818</v>
      </c>
      <c r="L85" s="4">
        <v>7</v>
      </c>
    </row>
    <row r="86" spans="9:12" ht="30" customHeight="1" x14ac:dyDescent="0.25">
      <c r="I86" s="4"/>
      <c r="J86" s="71" t="s">
        <v>247</v>
      </c>
      <c r="K86" s="71">
        <f t="shared" si="0"/>
        <v>0.18181818181818182</v>
      </c>
      <c r="L86" s="4">
        <v>4</v>
      </c>
    </row>
    <row r="87" spans="9:12" ht="30" customHeight="1" x14ac:dyDescent="0.25">
      <c r="I87" s="4"/>
      <c r="K87" s="71"/>
    </row>
    <row r="88" spans="9:12" ht="30" customHeight="1" x14ac:dyDescent="0.25">
      <c r="I88" s="4"/>
      <c r="J88" s="72" t="s">
        <v>248</v>
      </c>
      <c r="K88" s="72">
        <f>L88/22</f>
        <v>0.27272727272727271</v>
      </c>
      <c r="L88" s="4">
        <v>6</v>
      </c>
    </row>
    <row r="89" spans="9:12" ht="30" customHeight="1" x14ac:dyDescent="0.25">
      <c r="I89" s="4"/>
      <c r="J89" s="72" t="s">
        <v>249</v>
      </c>
      <c r="K89" s="72">
        <f>L89/22</f>
        <v>0.18181818181818182</v>
      </c>
      <c r="L89" s="4">
        <v>4</v>
      </c>
    </row>
    <row r="90" spans="9:12" ht="30" customHeight="1" x14ac:dyDescent="0.25">
      <c r="I90" s="4"/>
      <c r="J90" s="72" t="s">
        <v>250</v>
      </c>
      <c r="K90" s="72">
        <f>L90/22</f>
        <v>0.18181818181818182</v>
      </c>
      <c r="L90" s="4">
        <v>4</v>
      </c>
    </row>
    <row r="91" spans="9:12" ht="30" customHeight="1" x14ac:dyDescent="0.25">
      <c r="I91" s="4"/>
      <c r="J91" s="72" t="s">
        <v>251</v>
      </c>
      <c r="K91" s="72">
        <f t="shared" si="0"/>
        <v>0.13636363636363635</v>
      </c>
      <c r="L91" s="4">
        <v>3</v>
      </c>
    </row>
    <row r="92" spans="9:12" ht="30" customHeight="1" x14ac:dyDescent="0.25">
      <c r="I92" s="4"/>
      <c r="J92" s="72" t="s">
        <v>252</v>
      </c>
      <c r="K92" s="72">
        <f>L92/22</f>
        <v>9.0909090909090912E-2</v>
      </c>
      <c r="L92" s="4">
        <v>2</v>
      </c>
    </row>
    <row r="93" spans="9:12" ht="30" customHeight="1" x14ac:dyDescent="0.25">
      <c r="I93" s="4"/>
      <c r="J93" s="72" t="s">
        <v>253</v>
      </c>
      <c r="K93" s="72">
        <f t="shared" si="0"/>
        <v>4.5454545454545456E-2</v>
      </c>
      <c r="L93" s="4">
        <v>1</v>
      </c>
    </row>
    <row r="94" spans="9:12" ht="30" customHeight="1" x14ac:dyDescent="0.25">
      <c r="I94" s="4"/>
      <c r="J94" s="138" t="s">
        <v>254</v>
      </c>
      <c r="K94" s="71">
        <f t="shared" si="0"/>
        <v>0</v>
      </c>
      <c r="L94" s="4">
        <v>0</v>
      </c>
    </row>
    <row r="95" spans="9:12" ht="30" customHeight="1" x14ac:dyDescent="0.25">
      <c r="I95" s="4"/>
      <c r="J95" s="72" t="s">
        <v>255</v>
      </c>
      <c r="K95" s="71">
        <f t="shared" si="0"/>
        <v>0</v>
      </c>
      <c r="L95" s="4">
        <v>0</v>
      </c>
    </row>
    <row r="96" spans="9:12" ht="30" customHeight="1" x14ac:dyDescent="0.25">
      <c r="I96" s="4"/>
      <c r="J96" s="72" t="s">
        <v>253</v>
      </c>
      <c r="K96" s="71">
        <f t="shared" si="0"/>
        <v>0</v>
      </c>
      <c r="L96" s="4">
        <v>0</v>
      </c>
    </row>
    <row r="97" spans="9:12" ht="30" customHeight="1" x14ac:dyDescent="0.25">
      <c r="I97" s="4"/>
      <c r="J97" s="72" t="s">
        <v>256</v>
      </c>
      <c r="K97" s="71">
        <f t="shared" si="0"/>
        <v>0</v>
      </c>
      <c r="L97" s="4">
        <v>0</v>
      </c>
    </row>
  </sheetData>
  <mergeCells count="1">
    <mergeCell ref="A1:Q1"/>
  </mergeCells>
  <phoneticPr fontId="14" type="noConversion"/>
  <conditionalFormatting sqref="W2">
    <cfRule type="colorScale" priority="21">
      <colorScale>
        <cfvo type="min"/>
        <cfvo type="percentile" val="50"/>
        <cfvo type="max"/>
        <color rgb="FF63BE7B"/>
        <color rgb="FFFFEB84"/>
        <color rgb="FFF8696B"/>
      </colorScale>
    </cfRule>
  </conditionalFormatting>
  <conditionalFormatting sqref="X7:X8">
    <cfRule type="colorScale" priority="9">
      <colorScale>
        <cfvo type="min"/>
        <cfvo type="percentile" val="50"/>
        <cfvo type="max"/>
        <color rgb="FF63BE7B"/>
        <color rgb="FFFFEB84"/>
        <color rgb="FFF8696B"/>
      </colorScale>
    </cfRule>
  </conditionalFormatting>
  <conditionalFormatting sqref="X9:X10">
    <cfRule type="colorScale" priority="18">
      <colorScale>
        <cfvo type="min"/>
        <cfvo type="percentile" val="50"/>
        <cfvo type="max"/>
        <color rgb="FF63BE7B"/>
        <color rgb="FFFFEB84"/>
        <color rgb="FFF8696B"/>
      </colorScale>
    </cfRule>
  </conditionalFormatting>
  <conditionalFormatting sqref="X49:X1048576 X2:X6 Y1 Y49 X11:X47">
    <cfRule type="colorScale" priority="29">
      <colorScale>
        <cfvo type="min"/>
        <cfvo type="percentile" val="50"/>
        <cfvo type="max"/>
        <color rgb="FF63BE7B"/>
        <color rgb="FFFFEB84"/>
        <color rgb="FFF8696B"/>
      </colorScale>
    </cfRule>
  </conditionalFormatting>
  <conditionalFormatting sqref="Z2:Z6 AA1 Z11:Z1048576">
    <cfRule type="dataBar" priority="27">
      <dataBar>
        <cfvo type="min"/>
        <cfvo type="max"/>
        <color rgb="FFFF555A"/>
      </dataBar>
      <extLst>
        <ext xmlns:x14="http://schemas.microsoft.com/office/spreadsheetml/2009/9/main" uri="{B025F937-C7B1-47D3-B67F-A62EFF666E3E}">
          <x14:id>{5900CB53-23AE-4AF3-A6EC-51828C58F9BE}</x14:id>
        </ext>
      </extLst>
    </cfRule>
  </conditionalFormatting>
  <conditionalFormatting sqref="Z7:Z8">
    <cfRule type="dataBar" priority="7">
      <dataBar>
        <cfvo type="min"/>
        <cfvo type="max"/>
        <color rgb="FFFF555A"/>
      </dataBar>
      <extLst>
        <ext xmlns:x14="http://schemas.microsoft.com/office/spreadsheetml/2009/9/main" uri="{B025F937-C7B1-47D3-B67F-A62EFF666E3E}">
          <x14:id>{C7274D62-403F-456B-8C41-1D4B4E98F80A}</x14:id>
        </ext>
      </extLst>
    </cfRule>
  </conditionalFormatting>
  <conditionalFormatting sqref="Z9:Z10">
    <cfRule type="dataBar" priority="16">
      <dataBar>
        <cfvo type="min"/>
        <cfvo type="max"/>
        <color rgb="FFFF555A"/>
      </dataBar>
      <extLst>
        <ext xmlns:x14="http://schemas.microsoft.com/office/spreadsheetml/2009/9/main" uri="{B025F937-C7B1-47D3-B67F-A62EFF666E3E}">
          <x14:id>{8040114E-8148-4D5A-89FA-FBC8AD25CCE9}</x14:id>
        </ext>
      </extLst>
    </cfRule>
  </conditionalFormatting>
  <conditionalFormatting sqref="AA2:AA6 AB1 AA11:AA1048576">
    <cfRule type="colorScale" priority="26">
      <colorScale>
        <cfvo type="min"/>
        <cfvo type="percentile" val="50"/>
        <cfvo type="max"/>
        <color rgb="FF63BE7B"/>
        <color rgb="FFFFEB84"/>
        <color rgb="FFF8696B"/>
      </colorScale>
    </cfRule>
  </conditionalFormatting>
  <conditionalFormatting sqref="AA7:AA8">
    <cfRule type="colorScale" priority="6">
      <colorScale>
        <cfvo type="min"/>
        <cfvo type="percentile" val="50"/>
        <cfvo type="max"/>
        <color rgb="FF63BE7B"/>
        <color rgb="FFFFEB84"/>
        <color rgb="FFF8696B"/>
      </colorScale>
    </cfRule>
  </conditionalFormatting>
  <conditionalFormatting sqref="AA9:AA10">
    <cfRule type="colorScale" priority="15">
      <colorScale>
        <cfvo type="min"/>
        <cfvo type="percentile" val="50"/>
        <cfvo type="max"/>
        <color rgb="FF63BE7B"/>
        <color rgb="FFFFEB84"/>
        <color rgb="FFF8696B"/>
      </colorScale>
    </cfRule>
  </conditionalFormatting>
  <conditionalFormatting sqref="AB2">
    <cfRule type="colorScale" priority="22">
      <colorScale>
        <cfvo type="min"/>
        <cfvo type="percentile" val="50"/>
        <cfvo type="max"/>
        <color rgb="FF63BE7B"/>
        <color rgb="FFFFEB84"/>
        <color rgb="FFF8696B"/>
      </colorScale>
    </cfRule>
  </conditionalFormatting>
  <conditionalFormatting sqref="AC1 AB3:AB1048576">
    <cfRule type="cellIs" dxfId="53" priority="23" operator="greaterThan">
      <formula>89</formula>
    </cfRule>
    <cfRule type="cellIs" dxfId="52" priority="24" operator="between">
      <formula>70</formula>
      <formula>89</formula>
    </cfRule>
    <cfRule type="cellIs" dxfId="51" priority="25" operator="between">
      <formula>1</formula>
      <formula>69</formula>
    </cfRule>
  </conditionalFormatting>
  <conditionalFormatting sqref="AC2:AC1048576">
    <cfRule type="containsText" dxfId="50" priority="1" operator="containsText" text="NON">
      <formula>NOT(ISERROR(SEARCH("NON",AC2)))</formula>
    </cfRule>
    <cfRule type="containsText" dxfId="49" priority="2" operator="containsText" text="OUI">
      <formula>NOT(ISERROR(SEARCH("OUI",AC2)))</formula>
    </cfRule>
  </conditionalFormatting>
  <conditionalFormatting sqref="AD1">
    <cfRule type="containsText" dxfId="48" priority="19" operator="containsText" text="NON">
      <formula>NOT(ISERROR(SEARCH("NON",AD1)))</formula>
    </cfRule>
    <cfRule type="containsText" dxfId="47" priority="20" operator="containsText" text="OUI">
      <formula>NOT(ISERROR(SEARCH("OUI",AD1)))</formula>
    </cfRule>
  </conditionalFormatting>
  <dataValidations count="5">
    <dataValidation allowBlank="1" showInputMessage="1" showErrorMessage="1" prompt="Entrez le nom dans cette colonne sous ce titre." sqref="J2:L2" xr:uid="{00000000-0002-0000-0000-000000000000}"/>
    <dataValidation allowBlank="1" showInputMessage="1" showErrorMessage="1" prompt="Entrez la description dans cette colonne sous ce titre." sqref="M2" xr:uid="{00000000-0002-0000-0000-000001000000}"/>
    <dataValidation allowBlank="1" showInputMessage="1" showErrorMessage="1" prompt="Entrez la quantité en stock dans cette colonne sous ce titre." sqref="Q2:S2" xr:uid="{00000000-0002-0000-0000-000002000000}"/>
    <dataValidation allowBlank="1" showInputMessage="1" showErrorMessage="1" prompt="Entrez l’ID d’inventaire dans cette colonne sous ce titre. Utilisez les filtres de titre pour trouver des entrées spécifiques" sqref="G2 I2" xr:uid="{00000000-0002-0000-0000-000003000000}"/>
    <dataValidation allowBlank="1" showInputMessage="1" showErrorMessage="1" prompt="Créez une liste d'inventaire dans cette feuille de calcul. Le titre de cette feuille de calcul figure dans cette cellule. Entrez les détails dans le tableau ci-dessous." sqref="A1" xr:uid="{00000000-0002-0000-0000-000004000000}"/>
  </dataValidations>
  <printOptions horizontalCentered="1"/>
  <pageMargins left="0.71" right="0.71" top="0.71" bottom="0.71" header="0.5" footer="0.5"/>
  <pageSetup paperSize="8" scale="36" fitToHeight="0" orientation="landscape" r:id="rId1"/>
  <headerFooter differentFirst="1" alignWithMargins="0">
    <oddFooter>Page &amp;P of &amp;N</oddFooter>
  </headerFooter>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8" id="{A8880E35-694D-4E27-8DF1-DBA5E05B53A4}">
            <x14:iconSet custom="1">
              <x14:cfvo type="percent">
                <xm:f>0</xm:f>
              </x14:cfvo>
              <x14:cfvo type="num">
                <xm:f>19</xm:f>
              </x14:cfvo>
              <x14:cfvo type="num">
                <xm:f>29</xm:f>
              </x14:cfvo>
              <x14:cfIcon iconSet="3TrafficLights1" iconId="2"/>
              <x14:cfIcon iconSet="3TrafficLights1" iconId="1"/>
              <x14:cfIcon iconSet="3TrafficLights1" iconId="0"/>
            </x14:iconSet>
          </x14:cfRule>
          <xm:sqref>Y7:Y8</xm:sqref>
        </x14:conditionalFormatting>
        <x14:conditionalFormatting xmlns:xm="http://schemas.microsoft.com/office/excel/2006/main">
          <x14:cfRule type="iconSet" priority="17" id="{27203B90-25B6-405F-9560-EA7A264BD33D}">
            <x14:iconSet custom="1">
              <x14:cfvo type="percent">
                <xm:f>0</xm:f>
              </x14:cfvo>
              <x14:cfvo type="num">
                <xm:f>19</xm:f>
              </x14:cfvo>
              <x14:cfvo type="num">
                <xm:f>29</xm:f>
              </x14:cfvo>
              <x14:cfIcon iconSet="3TrafficLights1" iconId="2"/>
              <x14:cfIcon iconSet="3TrafficLights1" iconId="1"/>
              <x14:cfIcon iconSet="3TrafficLights1" iconId="0"/>
            </x14:iconSet>
          </x14:cfRule>
          <xm:sqref>Y9:Y10</xm:sqref>
        </x14:conditionalFormatting>
        <x14:conditionalFormatting xmlns:xm="http://schemas.microsoft.com/office/excel/2006/main">
          <x14:cfRule type="iconSet" priority="28" id="{B60C18BB-D9A7-4336-94E0-A2025CEFEDC4}">
            <x14:iconSet custom="1">
              <x14:cfvo type="percent">
                <xm:f>0</xm:f>
              </x14:cfvo>
              <x14:cfvo type="num">
                <xm:f>19</xm:f>
              </x14:cfvo>
              <x14:cfvo type="num">
                <xm:f>29</xm:f>
              </x14:cfvo>
              <x14:cfIcon iconSet="3TrafficLights1" iconId="2"/>
              <x14:cfIcon iconSet="3TrafficLights1" iconId="1"/>
              <x14:cfIcon iconSet="3TrafficLights1" iconId="0"/>
            </x14:iconSet>
          </x14:cfRule>
          <xm:sqref>Y50:Y1048576 Z1 Y2:Y6 Y11:Y48</xm:sqref>
        </x14:conditionalFormatting>
        <x14:conditionalFormatting xmlns:xm="http://schemas.microsoft.com/office/excel/2006/main">
          <x14:cfRule type="dataBar" id="{5900CB53-23AE-4AF3-A6EC-51828C58F9BE}">
            <x14:dataBar minLength="0" maxLength="100" border="1" negativeBarBorderColorSameAsPositive="0">
              <x14:cfvo type="autoMin"/>
              <x14:cfvo type="autoMax"/>
              <x14:borderColor rgb="FFFF555A"/>
              <x14:negativeFillColor rgb="FFFF0000"/>
              <x14:negativeBorderColor rgb="FFFF0000"/>
              <x14:axisColor rgb="FF000000"/>
            </x14:dataBar>
          </x14:cfRule>
          <xm:sqref>Z2:Z6 AA1 Z11:Z1048576</xm:sqref>
        </x14:conditionalFormatting>
        <x14:conditionalFormatting xmlns:xm="http://schemas.microsoft.com/office/excel/2006/main">
          <x14:cfRule type="dataBar" id="{C7274D62-403F-456B-8C41-1D4B4E98F80A}">
            <x14:dataBar minLength="0" maxLength="100" border="1" negativeBarBorderColorSameAsPositive="0">
              <x14:cfvo type="autoMin"/>
              <x14:cfvo type="autoMax"/>
              <x14:borderColor rgb="FFFF555A"/>
              <x14:negativeFillColor rgb="FFFF0000"/>
              <x14:negativeBorderColor rgb="FFFF0000"/>
              <x14:axisColor rgb="FF000000"/>
            </x14:dataBar>
          </x14:cfRule>
          <xm:sqref>Z7:Z8</xm:sqref>
        </x14:conditionalFormatting>
        <x14:conditionalFormatting xmlns:xm="http://schemas.microsoft.com/office/excel/2006/main">
          <x14:cfRule type="dataBar" id="{8040114E-8148-4D5A-89FA-FBC8AD25CCE9}">
            <x14:dataBar minLength="0" maxLength="100" border="1" negativeBarBorderColorSameAsPositive="0">
              <x14:cfvo type="autoMin"/>
              <x14:cfvo type="autoMax"/>
              <x14:borderColor rgb="FFFF555A"/>
              <x14:negativeFillColor rgb="FFFF0000"/>
              <x14:negativeBorderColor rgb="FFFF0000"/>
              <x14:axisColor rgb="FF000000"/>
            </x14:dataBar>
          </x14:cfRule>
          <xm:sqref>Z9:Z10</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showErrorMessage="1" xr:uid="{A7FC2BC8-FBEE-4CE7-AE8A-4425A84B12AC}">
          <x14:formula1>
            <xm:f>'Liste déroulante '!$O$3:$O$4</xm:f>
          </x14:formula1>
          <xm:sqref>S3:S11 S13:S21 S24 S30:S37 R3:R51</xm:sqref>
        </x14:dataValidation>
        <x14:dataValidation type="list" allowBlank="1" showInputMessage="1" showErrorMessage="1" xr:uid="{4A6F56CF-D420-4994-A3C8-D4AB7DA4F1E6}">
          <x14:formula1>
            <xm:f>'Liste déroulante '!#REF!</xm:f>
          </x14:formula1>
          <xm:sqref>S12 W18:W21 W23:W26 W3:W16 S45:S50 S43</xm:sqref>
        </x14:dataValidation>
        <x14:dataValidation type="list" allowBlank="1" showInputMessage="1" showErrorMessage="1" xr:uid="{6C5CB14B-0827-4FBB-8D79-70F0AB2386FC}">
          <x14:formula1>
            <xm:f>'Liste déroulante '!$P$3:$P$4</xm:f>
          </x14:formula1>
          <xm:sqref>S22:S23 S25:S29 S44 S38:S42</xm:sqref>
        </x14:dataValidation>
        <x14:dataValidation type="list" allowBlank="1" showInputMessage="1" showErrorMessage="1" xr:uid="{244FF135-E21D-4322-AF51-3A288D2A959C}">
          <x14:formula1>
            <xm:f>'Liste déroulante '!$Q$3:$Q$4</xm:f>
          </x14:formula1>
          <xm:sqref>W22 W17 W27:W50</xm:sqref>
        </x14:dataValidation>
        <x14:dataValidation type="list" allowBlank="1" showInputMessage="1" showErrorMessage="1" xr:uid="{A7563AB8-9DBE-4E73-89B2-F1867B6FF1E9}">
          <x14:formula1>
            <xm:f>'Liste déroulante '!$M$3:$M$4</xm:f>
          </x14:formula1>
          <xm:sqref>K3:K32 K35:K50</xm:sqref>
        </x14:dataValidation>
        <x14:dataValidation type="list" allowBlank="1" showInputMessage="1" showErrorMessage="1" xr:uid="{547C5C2C-67A3-43FB-9AD0-D840172F48D6}">
          <x14:formula1>
            <xm:f>'Liste déroulante '!$M$3:$M$7</xm:f>
          </x14:formula1>
          <xm:sqref>P3:P50</xm:sqref>
        </x14:dataValidation>
        <x14:dataValidation type="list" allowBlank="1" showInputMessage="1" showErrorMessage="1" xr:uid="{90C847AC-0AA8-4D12-BA63-F382B1B17349}">
          <x14:formula1>
            <xm:f>'Liste déroulante '!$N$3:$N$4</xm:f>
          </x14:formula1>
          <xm:sqref>Q3:Q50</xm:sqref>
        </x14:dataValidation>
        <x14:dataValidation type="list" allowBlank="1" showInputMessage="1" showErrorMessage="1" xr:uid="{281BC5FC-235C-4C4D-8881-BED522970246}">
          <x14:formula1>
            <xm:f>'Liste déroulante '!$R$3:$R$5</xm:f>
          </x14:formula1>
          <xm:sqref>AC3:AC50</xm:sqref>
        </x14:dataValidation>
        <x14:dataValidation type="list" allowBlank="1" showInputMessage="1" showErrorMessage="1" xr:uid="{DD5F8467-0C23-4CBF-8672-B99C29CF7484}">
          <x14:formula1>
            <xm:f>'Liste déroulante '!$K$3:$K$8</xm:f>
          </x14:formula1>
          <xm:sqref>H2:H50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theme="4"/>
  </sheetPr>
  <dimension ref="A1:CM199"/>
  <sheetViews>
    <sheetView zoomScale="70" zoomScaleNormal="70" workbookViewId="0">
      <pane xSplit="5" ySplit="1" topLeftCell="BG64" activePane="bottomRight" state="frozen"/>
      <selection pane="topRight" activeCell="F1" sqref="F1"/>
      <selection pane="bottomLeft" activeCell="A2" sqref="A2"/>
      <selection pane="bottomRight" activeCell="CB18" sqref="CB18"/>
    </sheetView>
  </sheetViews>
  <sheetFormatPr baseColWidth="10" defaultColWidth="9.28515625" defaultRowHeight="15" customHeight="1" x14ac:dyDescent="0.25"/>
  <cols>
    <col min="1" max="1" width="16.5703125" style="242" bestFit="1" customWidth="1"/>
    <col min="2" max="2" width="12.5703125" bestFit="1" customWidth="1"/>
    <col min="3" max="3" width="25.5703125" customWidth="1"/>
    <col min="4" max="4" width="16.5703125" bestFit="1" customWidth="1"/>
    <col min="5" max="5" width="37.5703125" customWidth="1"/>
    <col min="6" max="6" width="8.7109375" customWidth="1"/>
    <col min="7" max="8" width="8.5703125" style="74" customWidth="1"/>
    <col min="9" max="77" width="8.5703125" customWidth="1"/>
    <col min="78" max="79" width="8.5703125" style="137" customWidth="1"/>
    <col min="80" max="80" width="8.5703125" style="129" customWidth="1"/>
    <col min="81" max="86" width="8.5703125" customWidth="1"/>
    <col min="90" max="90" width="13.28515625" bestFit="1" customWidth="1"/>
  </cols>
  <sheetData>
    <row r="1" spans="1:86" s="2" customFormat="1" ht="38.25" x14ac:dyDescent="0.3">
      <c r="A1" s="558" t="s">
        <v>257</v>
      </c>
      <c r="B1" s="558"/>
      <c r="C1" s="558"/>
      <c r="D1" s="558"/>
      <c r="E1" s="558"/>
      <c r="F1" s="558"/>
      <c r="G1" s="558"/>
      <c r="H1" s="558"/>
      <c r="I1" s="558"/>
      <c r="J1" s="558"/>
      <c r="K1" s="558"/>
      <c r="L1" s="558"/>
      <c r="M1" s="558"/>
      <c r="N1" s="558"/>
      <c r="O1" s="558"/>
      <c r="P1" s="558"/>
      <c r="Q1" s="558"/>
      <c r="R1" s="558"/>
      <c r="S1" s="558"/>
      <c r="T1" s="558"/>
      <c r="U1" s="558"/>
      <c r="V1" s="558"/>
      <c r="W1" s="558"/>
      <c r="X1" s="558"/>
      <c r="Y1" s="558"/>
      <c r="Z1" s="558"/>
      <c r="AA1" s="558"/>
      <c r="AB1" s="558"/>
      <c r="AC1" s="558"/>
      <c r="AD1" s="558"/>
      <c r="AE1" s="558"/>
      <c r="AF1" s="558"/>
      <c r="AG1" s="558"/>
      <c r="AH1" s="558"/>
      <c r="AI1" s="558"/>
      <c r="AJ1" s="558"/>
      <c r="AK1" s="73"/>
      <c r="AL1" s="73"/>
      <c r="BZ1" s="130"/>
      <c r="CA1" s="130"/>
      <c r="CB1" s="128"/>
    </row>
    <row r="2" spans="1:86" s="4" customFormat="1" ht="23.65" customHeight="1" thickBot="1" x14ac:dyDescent="0.3">
      <c r="A2" s="235" t="s">
        <v>7</v>
      </c>
      <c r="B2" s="8"/>
      <c r="C2" s="8"/>
      <c r="D2" s="8"/>
      <c r="E2" s="8" t="s">
        <v>258</v>
      </c>
      <c r="F2" s="45"/>
      <c r="G2" s="45"/>
      <c r="H2" s="45"/>
      <c r="I2" s="45"/>
      <c r="J2" s="45"/>
      <c r="K2" s="45"/>
      <c r="L2" s="45"/>
      <c r="M2" s="45"/>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c r="BS2" s="123"/>
      <c r="BT2" s="123"/>
      <c r="BU2" s="123"/>
      <c r="BV2" s="123"/>
      <c r="BW2" s="123"/>
      <c r="BX2" s="123"/>
      <c r="BY2" s="123"/>
      <c r="BZ2" s="123"/>
      <c r="CA2" s="123"/>
      <c r="CB2" s="123"/>
      <c r="CC2" s="123"/>
      <c r="CD2" s="123"/>
      <c r="CE2" s="123"/>
      <c r="CF2" s="123"/>
      <c r="CG2" s="123"/>
      <c r="CH2" s="123"/>
    </row>
    <row r="3" spans="1:86" s="5" customFormat="1" ht="23.65" customHeight="1" thickTop="1" thickBot="1" x14ac:dyDescent="0.25">
      <c r="A3" s="236"/>
      <c r="B3" s="116"/>
      <c r="C3" s="116"/>
      <c r="D3" s="116"/>
      <c r="E3" s="117"/>
      <c r="F3" s="559" t="s">
        <v>259</v>
      </c>
      <c r="G3" s="560"/>
      <c r="H3" s="560"/>
      <c r="I3" s="560"/>
      <c r="J3" s="560"/>
      <c r="K3" s="561"/>
      <c r="L3" s="559" t="s">
        <v>260</v>
      </c>
      <c r="M3" s="560"/>
      <c r="N3" s="560"/>
      <c r="O3" s="560"/>
      <c r="P3" s="560"/>
      <c r="Q3" s="561"/>
      <c r="R3" s="559" t="s">
        <v>261</v>
      </c>
      <c r="S3" s="560"/>
      <c r="T3" s="560"/>
      <c r="U3" s="560"/>
      <c r="V3" s="560"/>
      <c r="W3" s="561"/>
      <c r="X3" s="559" t="s">
        <v>262</v>
      </c>
      <c r="Y3" s="560"/>
      <c r="Z3" s="560"/>
      <c r="AA3" s="560"/>
      <c r="AB3" s="560"/>
      <c r="AC3" s="561"/>
      <c r="AD3" s="559" t="s">
        <v>263</v>
      </c>
      <c r="AE3" s="560"/>
      <c r="AF3" s="560"/>
      <c r="AG3" s="560"/>
      <c r="AH3" s="560"/>
      <c r="AI3" s="561"/>
      <c r="AJ3" s="559" t="s">
        <v>264</v>
      </c>
      <c r="AK3" s="560"/>
      <c r="AL3" s="560"/>
      <c r="AM3" s="560"/>
      <c r="AN3" s="560"/>
      <c r="AO3" s="561"/>
      <c r="AP3" s="559" t="s">
        <v>265</v>
      </c>
      <c r="AQ3" s="560"/>
      <c r="AR3" s="560"/>
      <c r="AS3" s="560"/>
      <c r="AT3" s="560"/>
      <c r="AU3" s="561"/>
      <c r="AV3" s="559" t="s">
        <v>266</v>
      </c>
      <c r="AW3" s="560"/>
      <c r="AX3" s="560"/>
      <c r="AY3" s="560"/>
      <c r="AZ3" s="560"/>
      <c r="BA3" s="561"/>
      <c r="BB3" s="559" t="s">
        <v>267</v>
      </c>
      <c r="BC3" s="560"/>
      <c r="BD3" s="560"/>
      <c r="BE3" s="560"/>
      <c r="BF3" s="560"/>
      <c r="BG3" s="561"/>
      <c r="BH3" s="559" t="s">
        <v>268</v>
      </c>
      <c r="BI3" s="560"/>
      <c r="BJ3" s="560"/>
      <c r="BK3" s="560"/>
      <c r="BL3" s="560"/>
      <c r="BM3" s="561"/>
      <c r="BN3" s="559" t="s">
        <v>269</v>
      </c>
      <c r="BO3" s="560"/>
      <c r="BP3" s="560"/>
      <c r="BQ3" s="560"/>
      <c r="BR3" s="560"/>
      <c r="BS3" s="561"/>
      <c r="BT3" s="559" t="s">
        <v>270</v>
      </c>
      <c r="BU3" s="560"/>
      <c r="BV3" s="560"/>
      <c r="BW3" s="560"/>
      <c r="BX3" s="560"/>
      <c r="BY3" s="561"/>
      <c r="BZ3" s="556" t="s">
        <v>271</v>
      </c>
      <c r="CA3" s="557"/>
      <c r="CB3" s="128"/>
      <c r="CC3" s="553" t="s">
        <v>272</v>
      </c>
      <c r="CD3" s="554"/>
      <c r="CE3" s="554"/>
      <c r="CF3" s="554"/>
      <c r="CG3" s="554"/>
      <c r="CH3" s="555"/>
    </row>
    <row r="4" spans="1:86" s="43" customFormat="1" ht="23.65" customHeight="1" thickBot="1" x14ac:dyDescent="0.3">
      <c r="A4" s="237" t="s">
        <v>7</v>
      </c>
      <c r="B4" s="115" t="s">
        <v>273</v>
      </c>
      <c r="C4" s="115" t="s">
        <v>274</v>
      </c>
      <c r="D4" s="115" t="s">
        <v>275</v>
      </c>
      <c r="E4" s="200" t="s">
        <v>276</v>
      </c>
      <c r="F4" s="166" t="s">
        <v>277</v>
      </c>
      <c r="G4" s="154" t="s">
        <v>278</v>
      </c>
      <c r="H4" s="155" t="s">
        <v>279</v>
      </c>
      <c r="I4" s="156" t="s">
        <v>280</v>
      </c>
      <c r="J4" s="157" t="s">
        <v>281</v>
      </c>
      <c r="K4" s="161" t="s">
        <v>282</v>
      </c>
      <c r="L4" s="153" t="s">
        <v>277</v>
      </c>
      <c r="M4" s="154" t="s">
        <v>278</v>
      </c>
      <c r="N4" s="155" t="s">
        <v>279</v>
      </c>
      <c r="O4" s="156" t="s">
        <v>280</v>
      </c>
      <c r="P4" s="157" t="s">
        <v>281</v>
      </c>
      <c r="Q4" s="161" t="s">
        <v>282</v>
      </c>
      <c r="R4" s="153" t="s">
        <v>277</v>
      </c>
      <c r="S4" s="154" t="s">
        <v>283</v>
      </c>
      <c r="T4" s="155" t="s">
        <v>279</v>
      </c>
      <c r="U4" s="156" t="s">
        <v>280</v>
      </c>
      <c r="V4" s="157" t="s">
        <v>281</v>
      </c>
      <c r="W4" s="161" t="s">
        <v>282</v>
      </c>
      <c r="X4" s="153" t="s">
        <v>277</v>
      </c>
      <c r="Y4" s="154" t="s">
        <v>278</v>
      </c>
      <c r="Z4" s="155" t="s">
        <v>279</v>
      </c>
      <c r="AA4" s="156" t="s">
        <v>280</v>
      </c>
      <c r="AB4" s="157" t="s">
        <v>281</v>
      </c>
      <c r="AC4" s="161" t="s">
        <v>282</v>
      </c>
      <c r="AD4" s="153" t="s">
        <v>277</v>
      </c>
      <c r="AE4" s="154" t="s">
        <v>278</v>
      </c>
      <c r="AF4" s="155" t="s">
        <v>279</v>
      </c>
      <c r="AG4" s="156" t="s">
        <v>280</v>
      </c>
      <c r="AH4" s="157" t="s">
        <v>281</v>
      </c>
      <c r="AI4" s="161" t="s">
        <v>282</v>
      </c>
      <c r="AJ4" s="153" t="s">
        <v>277</v>
      </c>
      <c r="AK4" s="154" t="s">
        <v>278</v>
      </c>
      <c r="AL4" s="155" t="s">
        <v>279</v>
      </c>
      <c r="AM4" s="156" t="s">
        <v>280</v>
      </c>
      <c r="AN4" s="157" t="s">
        <v>281</v>
      </c>
      <c r="AO4" s="161" t="s">
        <v>282</v>
      </c>
      <c r="AP4" s="153" t="s">
        <v>277</v>
      </c>
      <c r="AQ4" s="154" t="s">
        <v>278</v>
      </c>
      <c r="AR4" s="155" t="s">
        <v>279</v>
      </c>
      <c r="AS4" s="156" t="s">
        <v>280</v>
      </c>
      <c r="AT4" s="157" t="s">
        <v>281</v>
      </c>
      <c r="AU4" s="161" t="s">
        <v>282</v>
      </c>
      <c r="AV4" s="153" t="s">
        <v>277</v>
      </c>
      <c r="AW4" s="154" t="s">
        <v>278</v>
      </c>
      <c r="AX4" s="155" t="s">
        <v>279</v>
      </c>
      <c r="AY4" s="156" t="s">
        <v>280</v>
      </c>
      <c r="AZ4" s="157" t="s">
        <v>281</v>
      </c>
      <c r="BA4" s="161" t="s">
        <v>282</v>
      </c>
      <c r="BB4" s="153" t="s">
        <v>277</v>
      </c>
      <c r="BC4" s="154" t="s">
        <v>278</v>
      </c>
      <c r="BD4" s="155" t="s">
        <v>279</v>
      </c>
      <c r="BE4" s="156" t="s">
        <v>280</v>
      </c>
      <c r="BF4" s="157" t="s">
        <v>281</v>
      </c>
      <c r="BG4" s="161" t="s">
        <v>282</v>
      </c>
      <c r="BH4" s="153" t="s">
        <v>277</v>
      </c>
      <c r="BI4" s="154" t="s">
        <v>278</v>
      </c>
      <c r="BJ4" s="155" t="s">
        <v>279</v>
      </c>
      <c r="BK4" s="156" t="s">
        <v>280</v>
      </c>
      <c r="BL4" s="157" t="s">
        <v>281</v>
      </c>
      <c r="BM4" s="161" t="s">
        <v>282</v>
      </c>
      <c r="BN4" s="153" t="s">
        <v>277</v>
      </c>
      <c r="BO4" s="154" t="s">
        <v>278</v>
      </c>
      <c r="BP4" s="155" t="s">
        <v>279</v>
      </c>
      <c r="BQ4" s="156" t="s">
        <v>280</v>
      </c>
      <c r="BR4" s="157" t="s">
        <v>281</v>
      </c>
      <c r="BS4" s="161" t="s">
        <v>282</v>
      </c>
      <c r="BT4" s="153" t="s">
        <v>277</v>
      </c>
      <c r="BU4" s="154" t="s">
        <v>278</v>
      </c>
      <c r="BV4" s="155" t="s">
        <v>279</v>
      </c>
      <c r="BW4" s="156" t="s">
        <v>280</v>
      </c>
      <c r="BX4" s="157" t="s">
        <v>281</v>
      </c>
      <c r="BY4" s="161" t="s">
        <v>282</v>
      </c>
      <c r="BZ4" s="124" t="s">
        <v>284</v>
      </c>
      <c r="CA4" s="127" t="s">
        <v>285</v>
      </c>
      <c r="CB4" s="163" t="s">
        <v>286</v>
      </c>
      <c r="CC4" s="166" t="s">
        <v>277</v>
      </c>
      <c r="CD4" s="167" t="s">
        <v>278</v>
      </c>
      <c r="CE4" s="168" t="s">
        <v>279</v>
      </c>
      <c r="CF4" s="156" t="s">
        <v>280</v>
      </c>
      <c r="CG4" s="169" t="s">
        <v>281</v>
      </c>
      <c r="CH4" s="161" t="s">
        <v>282</v>
      </c>
    </row>
    <row r="5" spans="1:86" s="1" customFormat="1" ht="24" customHeight="1" x14ac:dyDescent="0.2">
      <c r="A5" s="176" t="s">
        <v>35</v>
      </c>
      <c r="B5" s="141" t="s">
        <v>33</v>
      </c>
      <c r="C5" s="139" t="s">
        <v>287</v>
      </c>
      <c r="D5" s="141" t="s">
        <v>288</v>
      </c>
      <c r="E5" s="175" t="s">
        <v>289</v>
      </c>
      <c r="F5" s="348"/>
      <c r="G5" s="349"/>
      <c r="H5" s="350"/>
      <c r="I5" s="350"/>
      <c r="J5" s="350"/>
      <c r="K5" s="351"/>
      <c r="L5" s="348"/>
      <c r="M5" s="349"/>
      <c r="N5" s="350"/>
      <c r="O5" s="350"/>
      <c r="P5" s="350"/>
      <c r="Q5" s="351"/>
      <c r="R5" s="348"/>
      <c r="S5" s="349"/>
      <c r="T5" s="350"/>
      <c r="U5" s="350"/>
      <c r="V5" s="350"/>
      <c r="W5" s="351"/>
      <c r="X5" s="348"/>
      <c r="Y5" s="349"/>
      <c r="Z5" s="350"/>
      <c r="AA5" s="350"/>
      <c r="AB5" s="350"/>
      <c r="AC5" s="351"/>
      <c r="AD5" s="348"/>
      <c r="AE5" s="349"/>
      <c r="AF5" s="350"/>
      <c r="AG5" s="350"/>
      <c r="AH5" s="350"/>
      <c r="AI5" s="351"/>
      <c r="AJ5" s="348"/>
      <c r="AK5" s="349"/>
      <c r="AL5" s="350"/>
      <c r="AM5" s="350"/>
      <c r="AN5" s="350"/>
      <c r="AO5" s="351"/>
      <c r="AP5" s="348"/>
      <c r="AQ5" s="349"/>
      <c r="AR5" s="350"/>
      <c r="AS5" s="350"/>
      <c r="AT5" s="350"/>
      <c r="AU5" s="351"/>
      <c r="AV5" s="348"/>
      <c r="AW5" s="349"/>
      <c r="AX5" s="350"/>
      <c r="AY5" s="350"/>
      <c r="AZ5" s="350"/>
      <c r="BA5" s="351"/>
      <c r="BB5" s="456"/>
      <c r="BC5" s="457">
        <v>1</v>
      </c>
      <c r="BD5" s="458"/>
      <c r="BE5" s="458"/>
      <c r="BF5" s="458"/>
      <c r="BG5" s="459"/>
      <c r="BH5" s="125"/>
      <c r="BI5" s="158">
        <v>1</v>
      </c>
      <c r="BJ5" s="159"/>
      <c r="BK5" s="126">
        <v>1</v>
      </c>
      <c r="BL5" s="160"/>
      <c r="BM5" s="162"/>
      <c r="BN5" s="125"/>
      <c r="BO5" s="158"/>
      <c r="BP5" s="159"/>
      <c r="BQ5" s="126">
        <v>1</v>
      </c>
      <c r="BR5" s="160"/>
      <c r="BS5" s="162"/>
      <c r="BT5" s="125"/>
      <c r="BU5" s="158"/>
      <c r="BV5" s="159"/>
      <c r="BW5" s="126"/>
      <c r="BX5" s="160"/>
      <c r="BY5" s="162"/>
      <c r="BZ5" s="131"/>
      <c r="CA5" s="132"/>
      <c r="CB5" s="164"/>
      <c r="CC5" s="170">
        <f t="shared" ref="CC5:CH9" si="0">SUM(F5,L5,R5,X5,AD5,AJ5,AP5,AV5,BB5,BH5,BN5,BT5)</f>
        <v>0</v>
      </c>
      <c r="CD5" s="171">
        <f t="shared" si="0"/>
        <v>2</v>
      </c>
      <c r="CE5" s="171">
        <f t="shared" si="0"/>
        <v>0</v>
      </c>
      <c r="CF5" s="171">
        <f t="shared" si="0"/>
        <v>2</v>
      </c>
      <c r="CG5" s="171">
        <f t="shared" si="0"/>
        <v>0</v>
      </c>
      <c r="CH5" s="172">
        <f t="shared" si="0"/>
        <v>0</v>
      </c>
    </row>
    <row r="6" spans="1:86" s="1" customFormat="1" ht="24" customHeight="1" x14ac:dyDescent="0.2">
      <c r="A6" s="174" t="s">
        <v>290</v>
      </c>
      <c r="B6" s="141" t="s">
        <v>291</v>
      </c>
      <c r="C6" s="139" t="s">
        <v>292</v>
      </c>
      <c r="D6" s="141" t="s">
        <v>293</v>
      </c>
      <c r="E6" s="175" t="s">
        <v>294</v>
      </c>
      <c r="F6" s="125"/>
      <c r="G6" s="158">
        <v>1</v>
      </c>
      <c r="H6" s="159"/>
      <c r="I6" s="126"/>
      <c r="J6" s="160"/>
      <c r="K6" s="162"/>
      <c r="L6" s="125"/>
      <c r="M6" s="158"/>
      <c r="N6" s="159">
        <v>1</v>
      </c>
      <c r="O6" s="126"/>
      <c r="P6" s="160"/>
      <c r="Q6" s="162"/>
      <c r="R6" s="125"/>
      <c r="S6" s="158">
        <v>1</v>
      </c>
      <c r="T6" s="159">
        <v>1</v>
      </c>
      <c r="U6" s="126"/>
      <c r="V6" s="160">
        <v>1</v>
      </c>
      <c r="W6" s="162"/>
      <c r="X6" s="125"/>
      <c r="Y6" s="158">
        <v>1</v>
      </c>
      <c r="Z6" s="159">
        <v>1</v>
      </c>
      <c r="AA6" s="126"/>
      <c r="AB6" s="160"/>
      <c r="AC6" s="162"/>
      <c r="AD6" s="125"/>
      <c r="AE6" s="158">
        <v>1</v>
      </c>
      <c r="AF6" s="159"/>
      <c r="AG6" s="126"/>
      <c r="AH6" s="160"/>
      <c r="AI6" s="162"/>
      <c r="AJ6" s="125"/>
      <c r="AK6" s="158">
        <v>1</v>
      </c>
      <c r="AL6" s="159"/>
      <c r="AM6" s="126"/>
      <c r="AN6" s="160"/>
      <c r="AO6" s="162"/>
      <c r="AP6" s="125"/>
      <c r="AQ6" s="158"/>
      <c r="AR6" s="159"/>
      <c r="AS6" s="126"/>
      <c r="AT6" s="160"/>
      <c r="AU6" s="162"/>
      <c r="AV6" s="125"/>
      <c r="AW6" s="158"/>
      <c r="AX6" s="159"/>
      <c r="AY6" s="126"/>
      <c r="AZ6" s="160"/>
      <c r="BA6" s="162"/>
      <c r="BB6" s="125"/>
      <c r="BC6" s="158">
        <v>1</v>
      </c>
      <c r="BD6" s="159"/>
      <c r="BE6" s="126"/>
      <c r="BF6" s="160"/>
      <c r="BG6" s="162"/>
      <c r="BH6" s="125"/>
      <c r="BI6" s="158">
        <v>1</v>
      </c>
      <c r="BJ6" s="159"/>
      <c r="BK6" s="126"/>
      <c r="BL6" s="160"/>
      <c r="BM6" s="162"/>
      <c r="BN6" s="125"/>
      <c r="BO6" s="158"/>
      <c r="BP6" s="159"/>
      <c r="BQ6" s="126"/>
      <c r="BR6" s="160"/>
      <c r="BS6" s="162"/>
      <c r="BT6" s="125"/>
      <c r="BU6" s="158"/>
      <c r="BV6" s="159"/>
      <c r="BW6" s="126"/>
      <c r="BX6" s="160"/>
      <c r="BY6" s="162"/>
      <c r="BZ6" s="131"/>
      <c r="CA6" s="132"/>
      <c r="CB6" s="164"/>
      <c r="CC6" s="170">
        <f t="shared" si="0"/>
        <v>0</v>
      </c>
      <c r="CD6" s="171">
        <f t="shared" si="0"/>
        <v>7</v>
      </c>
      <c r="CE6" s="171">
        <f t="shared" si="0"/>
        <v>3</v>
      </c>
      <c r="CF6" s="171">
        <f t="shared" si="0"/>
        <v>0</v>
      </c>
      <c r="CG6" s="171">
        <f t="shared" si="0"/>
        <v>1</v>
      </c>
      <c r="CH6" s="172">
        <f t="shared" si="0"/>
        <v>0</v>
      </c>
    </row>
    <row r="7" spans="1:86" s="1" customFormat="1" ht="24" customHeight="1" x14ac:dyDescent="0.2">
      <c r="A7" s="174" t="s">
        <v>290</v>
      </c>
      <c r="B7" s="141" t="s">
        <v>291</v>
      </c>
      <c r="C7" s="139" t="s">
        <v>295</v>
      </c>
      <c r="D7" s="141" t="s">
        <v>296</v>
      </c>
      <c r="E7" s="175" t="s">
        <v>297</v>
      </c>
      <c r="F7" s="125"/>
      <c r="G7" s="158">
        <v>1</v>
      </c>
      <c r="H7" s="159"/>
      <c r="I7" s="126">
        <v>1</v>
      </c>
      <c r="J7" s="160"/>
      <c r="K7" s="162"/>
      <c r="L7" s="125"/>
      <c r="M7" s="158"/>
      <c r="N7" s="159">
        <v>1</v>
      </c>
      <c r="O7" s="126">
        <v>1</v>
      </c>
      <c r="P7" s="160"/>
      <c r="Q7" s="162"/>
      <c r="R7" s="125"/>
      <c r="S7" s="158"/>
      <c r="T7" s="159"/>
      <c r="U7" s="126">
        <v>1</v>
      </c>
      <c r="V7" s="160"/>
      <c r="W7" s="162"/>
      <c r="X7" s="125"/>
      <c r="Y7" s="158">
        <v>1</v>
      </c>
      <c r="Z7" s="159">
        <v>1</v>
      </c>
      <c r="AA7" s="126">
        <v>1</v>
      </c>
      <c r="AB7" s="160"/>
      <c r="AC7" s="162"/>
      <c r="AD7" s="125"/>
      <c r="AE7" s="158"/>
      <c r="AF7" s="159"/>
      <c r="AG7" s="126">
        <v>1</v>
      </c>
      <c r="AH7" s="160"/>
      <c r="AI7" s="162"/>
      <c r="AJ7" s="125"/>
      <c r="AK7" s="158"/>
      <c r="AL7" s="159"/>
      <c r="AM7" s="126">
        <v>1</v>
      </c>
      <c r="AN7" s="160"/>
      <c r="AO7" s="162"/>
      <c r="AP7" s="125"/>
      <c r="AQ7" s="158">
        <v>1</v>
      </c>
      <c r="AR7" s="159"/>
      <c r="AS7" s="126">
        <v>1</v>
      </c>
      <c r="AT7" s="160"/>
      <c r="AU7" s="162"/>
      <c r="AV7" s="125"/>
      <c r="AW7" s="158"/>
      <c r="AX7" s="159"/>
      <c r="AY7" s="126">
        <v>1</v>
      </c>
      <c r="AZ7" s="160"/>
      <c r="BA7" s="162"/>
      <c r="BB7" s="125"/>
      <c r="BC7" s="158"/>
      <c r="BD7" s="159"/>
      <c r="BE7" s="126">
        <v>1</v>
      </c>
      <c r="BF7" s="160"/>
      <c r="BG7" s="162">
        <v>1</v>
      </c>
      <c r="BH7" s="125"/>
      <c r="BI7" s="158">
        <v>1</v>
      </c>
      <c r="BJ7" s="159"/>
      <c r="BK7" s="126"/>
      <c r="BL7" s="160"/>
      <c r="BM7" s="162"/>
      <c r="BN7" s="125"/>
      <c r="BO7" s="158"/>
      <c r="BP7" s="159"/>
      <c r="BQ7" s="126"/>
      <c r="BR7" s="160"/>
      <c r="BS7" s="162"/>
      <c r="BT7" s="125"/>
      <c r="BU7" s="158"/>
      <c r="BV7" s="159"/>
      <c r="BW7" s="126">
        <v>1</v>
      </c>
      <c r="BX7" s="160"/>
      <c r="BY7" s="162"/>
      <c r="BZ7" s="133"/>
      <c r="CA7" s="134"/>
      <c r="CB7" s="165"/>
      <c r="CC7" s="170">
        <f t="shared" si="0"/>
        <v>0</v>
      </c>
      <c r="CD7" s="171">
        <f t="shared" si="0"/>
        <v>4</v>
      </c>
      <c r="CE7" s="171">
        <f t="shared" si="0"/>
        <v>2</v>
      </c>
      <c r="CF7" s="171">
        <f t="shared" si="0"/>
        <v>10</v>
      </c>
      <c r="CG7" s="171">
        <f t="shared" si="0"/>
        <v>0</v>
      </c>
      <c r="CH7" s="172">
        <f t="shared" si="0"/>
        <v>1</v>
      </c>
    </row>
    <row r="8" spans="1:86" s="1" customFormat="1" ht="24" customHeight="1" x14ac:dyDescent="0.2">
      <c r="A8" s="176" t="s">
        <v>35</v>
      </c>
      <c r="B8" s="141" t="s">
        <v>33</v>
      </c>
      <c r="C8" s="139" t="s">
        <v>298</v>
      </c>
      <c r="D8" s="141" t="s">
        <v>299</v>
      </c>
      <c r="E8" s="175" t="s">
        <v>258</v>
      </c>
      <c r="F8" s="449"/>
      <c r="G8" s="450"/>
      <c r="H8" s="451"/>
      <c r="I8" s="451"/>
      <c r="J8" s="451"/>
      <c r="K8" s="452"/>
      <c r="L8" s="449"/>
      <c r="M8" s="450"/>
      <c r="N8" s="451"/>
      <c r="O8" s="451"/>
      <c r="P8" s="451"/>
      <c r="Q8" s="452"/>
      <c r="R8" s="449"/>
      <c r="S8" s="450"/>
      <c r="T8" s="451"/>
      <c r="U8" s="451"/>
      <c r="V8" s="451"/>
      <c r="W8" s="452"/>
      <c r="X8" s="449"/>
      <c r="Y8" s="450"/>
      <c r="Z8" s="451"/>
      <c r="AA8" s="451"/>
      <c r="AB8" s="451"/>
      <c r="AC8" s="452"/>
      <c r="AD8" s="453"/>
      <c r="AE8" s="454"/>
      <c r="AF8" s="455"/>
      <c r="AG8" s="455"/>
      <c r="AH8" s="455"/>
      <c r="AI8" s="452"/>
      <c r="AJ8" s="449"/>
      <c r="AK8" s="450"/>
      <c r="AL8" s="451"/>
      <c r="AM8" s="451"/>
      <c r="AN8" s="451"/>
      <c r="AO8" s="452"/>
      <c r="AP8" s="449"/>
      <c r="AQ8" s="450"/>
      <c r="AR8" s="451"/>
      <c r="AS8" s="451"/>
      <c r="AT8" s="451"/>
      <c r="AU8" s="452"/>
      <c r="AV8" s="449"/>
      <c r="AW8" s="450"/>
      <c r="AX8" s="451"/>
      <c r="AY8" s="451"/>
      <c r="AZ8" s="451"/>
      <c r="BA8" s="452"/>
      <c r="BB8" s="449"/>
      <c r="BC8" s="450"/>
      <c r="BD8" s="451"/>
      <c r="BE8" s="451"/>
      <c r="BF8" s="451"/>
      <c r="BG8" s="452"/>
      <c r="BH8" s="504"/>
      <c r="BI8" s="505"/>
      <c r="BJ8" s="506"/>
      <c r="BK8" s="506"/>
      <c r="BL8" s="506"/>
      <c r="BM8" s="507">
        <v>1</v>
      </c>
      <c r="BN8" s="125"/>
      <c r="BO8" s="158"/>
      <c r="BP8" s="159"/>
      <c r="BQ8" s="126"/>
      <c r="BR8" s="160"/>
      <c r="BS8" s="162"/>
      <c r="BT8" s="125"/>
      <c r="BU8" s="158"/>
      <c r="BV8" s="159"/>
      <c r="BW8" s="126"/>
      <c r="BX8" s="160"/>
      <c r="BY8" s="162"/>
      <c r="BZ8" s="133"/>
      <c r="CA8" s="134"/>
      <c r="CB8" s="165"/>
      <c r="CC8" s="170">
        <f t="shared" si="0"/>
        <v>0</v>
      </c>
      <c r="CD8" s="171">
        <f t="shared" si="0"/>
        <v>0</v>
      </c>
      <c r="CE8" s="171">
        <f t="shared" si="0"/>
        <v>0</v>
      </c>
      <c r="CF8" s="171">
        <f t="shared" si="0"/>
        <v>0</v>
      </c>
      <c r="CG8" s="171">
        <f t="shared" si="0"/>
        <v>0</v>
      </c>
      <c r="CH8" s="172">
        <f t="shared" si="0"/>
        <v>1</v>
      </c>
    </row>
    <row r="9" spans="1:86" s="1" customFormat="1" ht="24.75" customHeight="1" x14ac:dyDescent="0.2">
      <c r="A9" s="174" t="s">
        <v>290</v>
      </c>
      <c r="B9" s="141" t="s">
        <v>33</v>
      </c>
      <c r="C9" s="139" t="s">
        <v>300</v>
      </c>
      <c r="D9" s="141" t="s">
        <v>301</v>
      </c>
      <c r="E9" s="175" t="s">
        <v>302</v>
      </c>
      <c r="F9" s="125"/>
      <c r="G9" s="158">
        <v>1</v>
      </c>
      <c r="H9" s="159"/>
      <c r="I9" s="126"/>
      <c r="J9" s="160"/>
      <c r="K9" s="162"/>
      <c r="L9" s="125"/>
      <c r="M9" s="158">
        <v>1</v>
      </c>
      <c r="N9" s="159">
        <v>1</v>
      </c>
      <c r="O9" s="126"/>
      <c r="P9" s="160"/>
      <c r="Q9" s="162"/>
      <c r="R9" s="291"/>
      <c r="S9" s="292"/>
      <c r="T9" s="293"/>
      <c r="U9" s="293"/>
      <c r="V9" s="293"/>
      <c r="W9" s="294"/>
      <c r="X9" s="291"/>
      <c r="Y9" s="292"/>
      <c r="Z9" s="293"/>
      <c r="AA9" s="293"/>
      <c r="AB9" s="293"/>
      <c r="AC9" s="294"/>
      <c r="AD9" s="294"/>
      <c r="AE9" s="294"/>
      <c r="AF9" s="294"/>
      <c r="AG9" s="294"/>
      <c r="AH9" s="294"/>
      <c r="AI9" s="294"/>
      <c r="AJ9" s="125"/>
      <c r="AK9" s="158">
        <v>1</v>
      </c>
      <c r="AL9" s="159">
        <v>1</v>
      </c>
      <c r="AM9" s="126"/>
      <c r="AN9" s="160"/>
      <c r="AO9" s="162"/>
      <c r="AP9" s="125"/>
      <c r="AQ9" s="158">
        <v>1</v>
      </c>
      <c r="AR9" s="159">
        <v>1</v>
      </c>
      <c r="AS9" s="126"/>
      <c r="AT9" s="160"/>
      <c r="AU9" s="162"/>
      <c r="AV9" s="125"/>
      <c r="AW9" s="158">
        <v>2</v>
      </c>
      <c r="AX9" s="159"/>
      <c r="AY9" s="126"/>
      <c r="AZ9" s="160"/>
      <c r="BA9" s="162"/>
      <c r="BB9" s="125"/>
      <c r="BC9" s="158">
        <v>1</v>
      </c>
      <c r="BD9" s="159"/>
      <c r="BE9" s="126"/>
      <c r="BF9" s="160"/>
      <c r="BG9" s="162"/>
      <c r="BH9" s="362"/>
      <c r="BI9" s="363"/>
      <c r="BJ9" s="364"/>
      <c r="BK9" s="364"/>
      <c r="BL9" s="364"/>
      <c r="BM9" s="365"/>
      <c r="BN9" s="362"/>
      <c r="BO9" s="363"/>
      <c r="BP9" s="364"/>
      <c r="BQ9" s="364"/>
      <c r="BR9" s="364"/>
      <c r="BS9" s="365"/>
      <c r="BT9" s="362"/>
      <c r="BU9" s="363"/>
      <c r="BV9" s="364"/>
      <c r="BW9" s="364"/>
      <c r="BX9" s="364"/>
      <c r="BY9" s="365"/>
      <c r="BZ9" s="133"/>
      <c r="CA9" s="134"/>
      <c r="CB9" s="165"/>
      <c r="CC9" s="170">
        <f t="shared" si="0"/>
        <v>0</v>
      </c>
      <c r="CD9" s="171">
        <f t="shared" si="0"/>
        <v>7</v>
      </c>
      <c r="CE9" s="171">
        <f t="shared" si="0"/>
        <v>3</v>
      </c>
      <c r="CF9" s="171">
        <f t="shared" si="0"/>
        <v>0</v>
      </c>
      <c r="CG9" s="171">
        <f t="shared" si="0"/>
        <v>0</v>
      </c>
      <c r="CH9" s="172">
        <f t="shared" si="0"/>
        <v>0</v>
      </c>
    </row>
    <row r="10" spans="1:86" s="1" customFormat="1" ht="24.75" customHeight="1" x14ac:dyDescent="0.2">
      <c r="A10" s="177" t="s">
        <v>303</v>
      </c>
      <c r="B10" s="141" t="s">
        <v>291</v>
      </c>
      <c r="C10" s="139" t="s">
        <v>304</v>
      </c>
      <c r="D10" s="141" t="s">
        <v>305</v>
      </c>
      <c r="E10" s="175" t="s">
        <v>294</v>
      </c>
      <c r="F10" s="125"/>
      <c r="G10" s="158">
        <v>1</v>
      </c>
      <c r="H10" s="159"/>
      <c r="I10" s="126"/>
      <c r="J10" s="160"/>
      <c r="K10" s="162"/>
      <c r="L10" s="125"/>
      <c r="M10" s="158">
        <v>1</v>
      </c>
      <c r="N10" s="159"/>
      <c r="O10" s="126"/>
      <c r="P10" s="160"/>
      <c r="Q10" s="162"/>
      <c r="R10" s="125"/>
      <c r="S10" s="158">
        <v>1</v>
      </c>
      <c r="T10" s="159"/>
      <c r="U10" s="126"/>
      <c r="V10" s="160"/>
      <c r="W10" s="162"/>
      <c r="X10" s="125"/>
      <c r="Y10" s="158"/>
      <c r="Z10" s="159"/>
      <c r="AA10" s="126"/>
      <c r="AB10" s="160"/>
      <c r="AC10" s="162"/>
      <c r="AD10" s="125"/>
      <c r="AE10" s="158"/>
      <c r="AF10" s="159"/>
      <c r="AG10" s="126"/>
      <c r="AH10" s="160"/>
      <c r="AI10" s="162"/>
      <c r="AJ10" s="125"/>
      <c r="AK10" s="158">
        <v>1</v>
      </c>
      <c r="AL10" s="159"/>
      <c r="AM10" s="126"/>
      <c r="AN10" s="160"/>
      <c r="AO10" s="162"/>
      <c r="AP10" s="125"/>
      <c r="AQ10" s="158">
        <v>1</v>
      </c>
      <c r="AR10" s="159">
        <v>1</v>
      </c>
      <c r="AS10" s="126"/>
      <c r="AT10" s="160"/>
      <c r="AU10" s="162"/>
      <c r="AV10" s="125"/>
      <c r="AW10" s="158"/>
      <c r="AX10" s="159"/>
      <c r="AY10" s="126"/>
      <c r="AZ10" s="160"/>
      <c r="BA10" s="162"/>
      <c r="BB10" s="125"/>
      <c r="BC10" s="158">
        <v>2</v>
      </c>
      <c r="BD10" s="159">
        <v>1</v>
      </c>
      <c r="BE10" s="126"/>
      <c r="BF10" s="160"/>
      <c r="BG10" s="162"/>
      <c r="BH10" s="125"/>
      <c r="BI10" s="158"/>
      <c r="BJ10" s="159"/>
      <c r="BK10" s="126"/>
      <c r="BL10" s="160"/>
      <c r="BM10" s="162"/>
      <c r="BN10" s="125"/>
      <c r="BO10" s="158"/>
      <c r="BP10" s="159"/>
      <c r="BQ10" s="126"/>
      <c r="BR10" s="160"/>
      <c r="BS10" s="162"/>
      <c r="BT10" s="125"/>
      <c r="BU10" s="158">
        <v>1</v>
      </c>
      <c r="BV10" s="159"/>
      <c r="BW10" s="126"/>
      <c r="BX10" s="160"/>
      <c r="BY10" s="162"/>
      <c r="BZ10" s="133"/>
      <c r="CA10" s="134"/>
      <c r="CB10" s="165"/>
      <c r="CC10" s="170">
        <f t="shared" ref="CC10:CH12" si="1">SUM(F10,L10,R10,X10,AD10,AJ10,AP10,AV10,BB10,BH10,BN10,BT10)</f>
        <v>0</v>
      </c>
      <c r="CD10" s="171">
        <f t="shared" si="1"/>
        <v>8</v>
      </c>
      <c r="CE10" s="171">
        <f t="shared" si="1"/>
        <v>2</v>
      </c>
      <c r="CF10" s="171">
        <f t="shared" si="1"/>
        <v>0</v>
      </c>
      <c r="CG10" s="171">
        <f t="shared" si="1"/>
        <v>0</v>
      </c>
      <c r="CH10" s="172">
        <f t="shared" si="1"/>
        <v>0</v>
      </c>
    </row>
    <row r="11" spans="1:86" s="1" customFormat="1" ht="24.75" customHeight="1" x14ac:dyDescent="0.2">
      <c r="A11" s="238" t="s">
        <v>306</v>
      </c>
      <c r="B11" s="141" t="s">
        <v>306</v>
      </c>
      <c r="C11" s="139" t="s">
        <v>304</v>
      </c>
      <c r="D11" s="141" t="s">
        <v>307</v>
      </c>
      <c r="E11" s="175" t="s">
        <v>297</v>
      </c>
      <c r="F11" s="125"/>
      <c r="G11" s="158"/>
      <c r="H11" s="159"/>
      <c r="I11" s="126"/>
      <c r="J11" s="160"/>
      <c r="K11" s="162"/>
      <c r="L11" s="125"/>
      <c r="M11" s="158"/>
      <c r="N11" s="159"/>
      <c r="O11" s="126"/>
      <c r="P11" s="160"/>
      <c r="Q11" s="162"/>
      <c r="R11" s="125"/>
      <c r="S11" s="158"/>
      <c r="T11" s="159"/>
      <c r="U11" s="126"/>
      <c r="V11" s="160"/>
      <c r="W11" s="162"/>
      <c r="X11" s="125"/>
      <c r="Y11" s="158"/>
      <c r="Z11" s="159"/>
      <c r="AA11" s="126"/>
      <c r="AB11" s="160"/>
      <c r="AC11" s="162"/>
      <c r="AD11" s="125"/>
      <c r="AE11" s="158"/>
      <c r="AF11" s="159"/>
      <c r="AG11" s="126"/>
      <c r="AH11" s="160"/>
      <c r="AI11" s="162"/>
      <c r="AJ11" s="125"/>
      <c r="AK11" s="158"/>
      <c r="AL11" s="159"/>
      <c r="AM11" s="126"/>
      <c r="AN11" s="160"/>
      <c r="AO11" s="162"/>
      <c r="AP11" s="125"/>
      <c r="AQ11" s="158"/>
      <c r="AR11" s="159"/>
      <c r="AS11" s="126"/>
      <c r="AT11" s="160"/>
      <c r="AU11" s="162"/>
      <c r="AV11" s="125"/>
      <c r="AW11" s="158"/>
      <c r="AX11" s="159"/>
      <c r="AY11" s="126"/>
      <c r="AZ11" s="160"/>
      <c r="BA11" s="162"/>
      <c r="BB11" s="125"/>
      <c r="BC11" s="158"/>
      <c r="BD11" s="159"/>
      <c r="BE11" s="126"/>
      <c r="BF11" s="160"/>
      <c r="BG11" s="162"/>
      <c r="BH11" s="125"/>
      <c r="BI11" s="158"/>
      <c r="BJ11" s="159"/>
      <c r="BK11" s="126"/>
      <c r="BL11" s="160"/>
      <c r="BM11" s="162"/>
      <c r="BN11" s="125"/>
      <c r="BO11" s="158"/>
      <c r="BP11" s="159"/>
      <c r="BQ11" s="126"/>
      <c r="BR11" s="160"/>
      <c r="BS11" s="162"/>
      <c r="BT11" s="125"/>
      <c r="BU11" s="158"/>
      <c r="BV11" s="159"/>
      <c r="BW11" s="126"/>
      <c r="BX11" s="160"/>
      <c r="BY11" s="162"/>
      <c r="BZ11" s="133"/>
      <c r="CA11" s="134"/>
      <c r="CB11" s="165"/>
      <c r="CC11" s="170">
        <f t="shared" si="1"/>
        <v>0</v>
      </c>
      <c r="CD11" s="171">
        <f t="shared" si="1"/>
        <v>0</v>
      </c>
      <c r="CE11" s="171">
        <f t="shared" si="1"/>
        <v>0</v>
      </c>
      <c r="CF11" s="171">
        <f t="shared" si="1"/>
        <v>0</v>
      </c>
      <c r="CG11" s="171">
        <f t="shared" si="1"/>
        <v>0</v>
      </c>
      <c r="CH11" s="172">
        <f t="shared" si="1"/>
        <v>0</v>
      </c>
    </row>
    <row r="12" spans="1:86" s="1" customFormat="1" ht="24.75" customHeight="1" x14ac:dyDescent="0.2">
      <c r="A12" s="176" t="s">
        <v>35</v>
      </c>
      <c r="B12" s="141" t="s">
        <v>33</v>
      </c>
      <c r="C12" s="139" t="s">
        <v>308</v>
      </c>
      <c r="D12" s="139" t="s">
        <v>309</v>
      </c>
      <c r="E12" s="175" t="s">
        <v>294</v>
      </c>
      <c r="F12" s="125"/>
      <c r="G12" s="158">
        <v>2</v>
      </c>
      <c r="H12" s="159"/>
      <c r="I12" s="126"/>
      <c r="J12" s="160"/>
      <c r="K12" s="162"/>
      <c r="L12" s="125"/>
      <c r="M12" s="158">
        <v>1</v>
      </c>
      <c r="N12" s="159">
        <v>1</v>
      </c>
      <c r="O12" s="126"/>
      <c r="P12" s="160"/>
      <c r="Q12" s="162"/>
      <c r="R12" s="125"/>
      <c r="S12" s="158">
        <v>2</v>
      </c>
      <c r="T12" s="159"/>
      <c r="U12" s="126"/>
      <c r="V12" s="160"/>
      <c r="W12" s="162"/>
      <c r="X12" s="125"/>
      <c r="Y12" s="158">
        <v>1</v>
      </c>
      <c r="Z12" s="159"/>
      <c r="AA12" s="126"/>
      <c r="AB12" s="160"/>
      <c r="AC12" s="162"/>
      <c r="AD12" s="125"/>
      <c r="AE12" s="158">
        <v>2</v>
      </c>
      <c r="AF12" s="159">
        <v>1</v>
      </c>
      <c r="AG12" s="126"/>
      <c r="AH12" s="160"/>
      <c r="AI12" s="162"/>
      <c r="AJ12" s="125"/>
      <c r="AK12" s="158">
        <v>3</v>
      </c>
      <c r="AL12" s="159">
        <v>2</v>
      </c>
      <c r="AM12" s="126"/>
      <c r="AN12" s="160"/>
      <c r="AO12" s="162"/>
      <c r="AP12" s="125"/>
      <c r="AQ12" s="158">
        <v>2</v>
      </c>
      <c r="AR12" s="159"/>
      <c r="AS12" s="126"/>
      <c r="AT12" s="160"/>
      <c r="AU12" s="162"/>
      <c r="AV12" s="125">
        <v>1</v>
      </c>
      <c r="AW12" s="158">
        <v>1</v>
      </c>
      <c r="AX12" s="159"/>
      <c r="AY12" s="126">
        <v>1</v>
      </c>
      <c r="AZ12" s="160"/>
      <c r="BA12" s="162"/>
      <c r="BB12" s="125"/>
      <c r="BC12" s="158"/>
      <c r="BD12" s="159"/>
      <c r="BE12" s="126"/>
      <c r="BF12" s="160"/>
      <c r="BG12" s="162"/>
      <c r="BH12" s="125"/>
      <c r="BI12" s="158">
        <v>1</v>
      </c>
      <c r="BJ12" s="159">
        <v>1</v>
      </c>
      <c r="BK12" s="126"/>
      <c r="BL12" s="160"/>
      <c r="BM12" s="162"/>
      <c r="BN12" s="125"/>
      <c r="BO12" s="158"/>
      <c r="BP12" s="159"/>
      <c r="BQ12" s="126"/>
      <c r="BR12" s="160"/>
      <c r="BS12" s="162"/>
      <c r="BT12" s="125"/>
      <c r="BU12" s="158"/>
      <c r="BV12" s="159"/>
      <c r="BW12" s="126"/>
      <c r="BX12" s="160"/>
      <c r="BY12" s="162"/>
      <c r="BZ12" s="133"/>
      <c r="CA12" s="134"/>
      <c r="CB12" s="165"/>
      <c r="CC12" s="170">
        <f t="shared" si="1"/>
        <v>1</v>
      </c>
      <c r="CD12" s="171">
        <f t="shared" si="1"/>
        <v>15</v>
      </c>
      <c r="CE12" s="171">
        <f t="shared" si="1"/>
        <v>5</v>
      </c>
      <c r="CF12" s="171">
        <f t="shared" si="1"/>
        <v>1</v>
      </c>
      <c r="CG12" s="171">
        <f t="shared" si="1"/>
        <v>0</v>
      </c>
      <c r="CH12" s="172">
        <f t="shared" si="1"/>
        <v>0</v>
      </c>
    </row>
    <row r="13" spans="1:86" s="1" customFormat="1" ht="24.75" customHeight="1" x14ac:dyDescent="0.2">
      <c r="A13" s="176" t="s">
        <v>35</v>
      </c>
      <c r="B13" s="141" t="s">
        <v>33</v>
      </c>
      <c r="C13" s="139" t="s">
        <v>310</v>
      </c>
      <c r="D13" s="141" t="s">
        <v>311</v>
      </c>
      <c r="E13" s="175" t="s">
        <v>297</v>
      </c>
      <c r="F13" s="125">
        <v>1</v>
      </c>
      <c r="G13" s="158">
        <v>1</v>
      </c>
      <c r="H13" s="159"/>
      <c r="I13" s="126"/>
      <c r="J13" s="160"/>
      <c r="K13" s="162"/>
      <c r="L13" s="125"/>
      <c r="M13" s="158"/>
      <c r="N13" s="159">
        <v>1</v>
      </c>
      <c r="O13" s="126"/>
      <c r="P13" s="160"/>
      <c r="Q13" s="162"/>
      <c r="R13" s="125"/>
      <c r="S13" s="158"/>
      <c r="T13" s="159"/>
      <c r="U13" s="126"/>
      <c r="V13" s="160"/>
      <c r="W13" s="162"/>
      <c r="X13" s="125"/>
      <c r="Y13" s="158"/>
      <c r="Z13" s="159"/>
      <c r="AA13" s="126"/>
      <c r="AB13" s="160"/>
      <c r="AC13" s="162"/>
      <c r="AD13" s="125"/>
      <c r="AE13" s="158"/>
      <c r="AF13" s="159"/>
      <c r="AG13" s="126"/>
      <c r="AH13" s="160"/>
      <c r="AI13" s="162"/>
      <c r="AJ13" s="125"/>
      <c r="AK13" s="158"/>
      <c r="AL13" s="159"/>
      <c r="AM13" s="126"/>
      <c r="AN13" s="160"/>
      <c r="AO13" s="162"/>
      <c r="AP13" s="125"/>
      <c r="AQ13" s="158"/>
      <c r="AR13" s="159"/>
      <c r="AS13" s="126"/>
      <c r="AT13" s="160"/>
      <c r="AU13" s="162"/>
      <c r="AV13" s="125"/>
      <c r="AW13" s="158">
        <v>1</v>
      </c>
      <c r="AX13" s="159"/>
      <c r="AY13" s="126"/>
      <c r="AZ13" s="160"/>
      <c r="BA13" s="162"/>
      <c r="BB13" s="125"/>
      <c r="BC13" s="158"/>
      <c r="BD13" s="159"/>
      <c r="BE13" s="126"/>
      <c r="BF13" s="160"/>
      <c r="BG13" s="162"/>
      <c r="BH13" s="125"/>
      <c r="BI13" s="158"/>
      <c r="BJ13" s="159"/>
      <c r="BK13" s="126"/>
      <c r="BL13" s="160"/>
      <c r="BM13" s="162"/>
      <c r="BN13" s="125"/>
      <c r="BO13" s="158"/>
      <c r="BP13" s="159"/>
      <c r="BQ13" s="126"/>
      <c r="BR13" s="160"/>
      <c r="BS13" s="162"/>
      <c r="BT13" s="125">
        <v>1</v>
      </c>
      <c r="BU13" s="158">
        <v>1</v>
      </c>
      <c r="BV13" s="159"/>
      <c r="BW13" s="126"/>
      <c r="BX13" s="160"/>
      <c r="BY13" s="162"/>
      <c r="BZ13" s="133"/>
      <c r="CA13" s="134"/>
      <c r="CB13" s="165"/>
      <c r="CC13" s="170">
        <f t="shared" ref="CC13:CC38" si="2">SUM(F13,L13,R13,X13,AD13,AJ13,AP13,AV13,BB13,BH13,BN13,BT13)</f>
        <v>2</v>
      </c>
      <c r="CD13" s="171">
        <f t="shared" ref="CD13:CD38" si="3">SUM(G13,M13,S13,Y13,AE13,AK13,AQ13,AW13,BC13,BI13,BO13,BU13)</f>
        <v>3</v>
      </c>
      <c r="CE13" s="171">
        <f t="shared" ref="CE13:CE38" si="4">SUM(H13,N13,T13,Z13,AF13,AL13,AR13,AX13,BD13,BJ13,BP13,BV13)</f>
        <v>1</v>
      </c>
      <c r="CF13" s="171">
        <f t="shared" ref="CF13:CF38" si="5">SUM(I13,O13,U13,AA13,AG13,AM13,AS13,AY13,BE13,BK13,BQ13,BW13)</f>
        <v>0</v>
      </c>
      <c r="CG13" s="171">
        <f t="shared" ref="CG13:CG38" si="6">SUM(J13,P13,V13,AB13,AH13,AN13,AT13,AZ13,BF13,BL13,BR13,BX13)</f>
        <v>0</v>
      </c>
      <c r="CH13" s="172">
        <f t="shared" ref="CH13:CH38" si="7">SUM(K13,Q13,W13,AC13,AI13,AO13,AU13,BA13,BG13,BM13,BS13,BY13)</f>
        <v>0</v>
      </c>
    </row>
    <row r="14" spans="1:86" s="1" customFormat="1" ht="24" customHeight="1" x14ac:dyDescent="0.2">
      <c r="A14" s="176" t="s">
        <v>35</v>
      </c>
      <c r="B14" s="141" t="s">
        <v>102</v>
      </c>
      <c r="C14" s="139" t="s">
        <v>312</v>
      </c>
      <c r="D14" s="141" t="s">
        <v>313</v>
      </c>
      <c r="E14" s="175" t="s">
        <v>314</v>
      </c>
      <c r="F14" s="125"/>
      <c r="G14" s="158">
        <v>1</v>
      </c>
      <c r="H14" s="159"/>
      <c r="I14" s="126"/>
      <c r="J14" s="160"/>
      <c r="K14" s="162"/>
      <c r="L14" s="125"/>
      <c r="M14" s="158"/>
      <c r="N14" s="159"/>
      <c r="O14" s="126"/>
      <c r="P14" s="160"/>
      <c r="Q14" s="162"/>
      <c r="R14" s="125"/>
      <c r="S14" s="158"/>
      <c r="T14" s="159"/>
      <c r="U14" s="126">
        <v>1</v>
      </c>
      <c r="V14" s="160"/>
      <c r="W14" s="162"/>
      <c r="X14" s="125"/>
      <c r="Y14" s="158"/>
      <c r="Z14" s="159"/>
      <c r="AA14" s="126"/>
      <c r="AB14" s="160"/>
      <c r="AC14" s="162"/>
      <c r="AD14" s="125"/>
      <c r="AE14" s="158">
        <v>1</v>
      </c>
      <c r="AF14" s="159"/>
      <c r="AG14" s="126"/>
      <c r="AH14" s="160"/>
      <c r="AI14" s="162"/>
      <c r="AJ14" s="125"/>
      <c r="AK14" s="158"/>
      <c r="AL14" s="159"/>
      <c r="AM14" s="126"/>
      <c r="AN14" s="160"/>
      <c r="AO14" s="162"/>
      <c r="AP14" s="125"/>
      <c r="AQ14" s="158"/>
      <c r="AR14" s="159"/>
      <c r="AS14" s="126"/>
      <c r="AT14" s="160"/>
      <c r="AU14" s="162"/>
      <c r="AV14" s="125"/>
      <c r="AW14" s="158"/>
      <c r="AX14" s="159"/>
      <c r="AY14" s="126"/>
      <c r="AZ14" s="160"/>
      <c r="BA14" s="162"/>
      <c r="BB14" s="125"/>
      <c r="BC14" s="158"/>
      <c r="BD14" s="159"/>
      <c r="BE14" s="126"/>
      <c r="BF14" s="160"/>
      <c r="BG14" s="162"/>
      <c r="BH14" s="125"/>
      <c r="BI14" s="158"/>
      <c r="BJ14" s="159"/>
      <c r="BK14" s="126"/>
      <c r="BL14" s="160"/>
      <c r="BM14" s="162"/>
      <c r="BN14" s="125"/>
      <c r="BO14" s="158"/>
      <c r="BP14" s="159"/>
      <c r="BQ14" s="126"/>
      <c r="BR14" s="160"/>
      <c r="BS14" s="162"/>
      <c r="BT14" s="125"/>
      <c r="BU14" s="158"/>
      <c r="BV14" s="159"/>
      <c r="BW14" s="126"/>
      <c r="BX14" s="160"/>
      <c r="BY14" s="162"/>
      <c r="BZ14" s="133"/>
      <c r="CA14" s="134"/>
      <c r="CB14" s="165"/>
      <c r="CC14" s="170">
        <f t="shared" si="2"/>
        <v>0</v>
      </c>
      <c r="CD14" s="171">
        <f t="shared" si="3"/>
        <v>2</v>
      </c>
      <c r="CE14" s="171">
        <f t="shared" si="4"/>
        <v>0</v>
      </c>
      <c r="CF14" s="171">
        <f t="shared" si="5"/>
        <v>1</v>
      </c>
      <c r="CG14" s="171">
        <f t="shared" si="6"/>
        <v>0</v>
      </c>
      <c r="CH14" s="172">
        <f t="shared" si="7"/>
        <v>0</v>
      </c>
    </row>
    <row r="15" spans="1:86" s="1" customFormat="1" ht="24" customHeight="1" x14ac:dyDescent="0.2">
      <c r="A15" s="176" t="s">
        <v>35</v>
      </c>
      <c r="B15" s="141" t="s">
        <v>33</v>
      </c>
      <c r="C15" s="139" t="s">
        <v>315</v>
      </c>
      <c r="D15" s="141" t="s">
        <v>316</v>
      </c>
      <c r="E15" s="175" t="s">
        <v>317</v>
      </c>
      <c r="F15" s="125"/>
      <c r="G15" s="158"/>
      <c r="H15" s="159"/>
      <c r="I15" s="126"/>
      <c r="J15" s="160"/>
      <c r="K15" s="162"/>
      <c r="L15" s="125"/>
      <c r="M15" s="158"/>
      <c r="N15" s="159"/>
      <c r="O15" s="126"/>
      <c r="P15" s="160"/>
      <c r="Q15" s="162"/>
      <c r="R15" s="125"/>
      <c r="S15" s="158"/>
      <c r="T15" s="159"/>
      <c r="U15" s="126"/>
      <c r="V15" s="160"/>
      <c r="W15" s="162"/>
      <c r="X15" s="125"/>
      <c r="Y15" s="158"/>
      <c r="Z15" s="159"/>
      <c r="AA15" s="126"/>
      <c r="AB15" s="160"/>
      <c r="AC15" s="162"/>
      <c r="AD15" s="125"/>
      <c r="AE15" s="158"/>
      <c r="AF15" s="159"/>
      <c r="AG15" s="126"/>
      <c r="AH15" s="160"/>
      <c r="AI15" s="162"/>
      <c r="AJ15" s="125"/>
      <c r="AK15" s="158"/>
      <c r="AL15" s="159"/>
      <c r="AM15" s="126"/>
      <c r="AN15" s="160"/>
      <c r="AO15" s="162"/>
      <c r="AP15" s="125"/>
      <c r="AQ15" s="158"/>
      <c r="AR15" s="159"/>
      <c r="AS15" s="126"/>
      <c r="AT15" s="160"/>
      <c r="AU15" s="162"/>
      <c r="AV15" s="125"/>
      <c r="AW15" s="158"/>
      <c r="AX15" s="159"/>
      <c r="AY15" s="126"/>
      <c r="AZ15" s="160"/>
      <c r="BA15" s="162"/>
      <c r="BB15" s="125"/>
      <c r="BC15" s="158"/>
      <c r="BD15" s="159"/>
      <c r="BE15" s="126"/>
      <c r="BF15" s="160"/>
      <c r="BG15" s="162"/>
      <c r="BH15" s="125"/>
      <c r="BI15" s="158"/>
      <c r="BJ15" s="159"/>
      <c r="BK15" s="126"/>
      <c r="BL15" s="160"/>
      <c r="BM15" s="162"/>
      <c r="BN15" s="125"/>
      <c r="BO15" s="158"/>
      <c r="BP15" s="159"/>
      <c r="BQ15" s="126"/>
      <c r="BR15" s="160"/>
      <c r="BS15" s="162"/>
      <c r="BT15" s="125"/>
      <c r="BU15" s="158"/>
      <c r="BV15" s="159"/>
      <c r="BW15" s="126"/>
      <c r="BX15" s="160"/>
      <c r="BY15" s="162"/>
      <c r="BZ15" s="133"/>
      <c r="CA15" s="134"/>
      <c r="CB15" s="165"/>
      <c r="CC15" s="170">
        <f t="shared" si="2"/>
        <v>0</v>
      </c>
      <c r="CD15" s="171">
        <f t="shared" si="3"/>
        <v>0</v>
      </c>
      <c r="CE15" s="171">
        <f t="shared" si="4"/>
        <v>0</v>
      </c>
      <c r="CF15" s="171">
        <f t="shared" si="5"/>
        <v>0</v>
      </c>
      <c r="CG15" s="171">
        <f t="shared" si="6"/>
        <v>0</v>
      </c>
      <c r="CH15" s="172">
        <f t="shared" si="7"/>
        <v>0</v>
      </c>
    </row>
    <row r="16" spans="1:86" s="1" customFormat="1" ht="24" customHeight="1" x14ac:dyDescent="0.2">
      <c r="A16" s="238" t="s">
        <v>306</v>
      </c>
      <c r="B16" s="141" t="s">
        <v>306</v>
      </c>
      <c r="C16" s="139" t="s">
        <v>318</v>
      </c>
      <c r="D16" s="141" t="s">
        <v>319</v>
      </c>
      <c r="E16" s="152" t="s">
        <v>302</v>
      </c>
      <c r="F16" s="125"/>
      <c r="G16" s="158">
        <v>1</v>
      </c>
      <c r="H16" s="159"/>
      <c r="I16" s="126"/>
      <c r="J16" s="160"/>
      <c r="K16" s="162"/>
      <c r="L16" s="125"/>
      <c r="M16" s="158"/>
      <c r="N16" s="159"/>
      <c r="O16" s="126"/>
      <c r="P16" s="160"/>
      <c r="Q16" s="162"/>
      <c r="R16" s="125"/>
      <c r="S16" s="158"/>
      <c r="T16" s="159"/>
      <c r="U16" s="126"/>
      <c r="V16" s="160"/>
      <c r="W16" s="162"/>
      <c r="X16" s="125"/>
      <c r="Y16" s="158"/>
      <c r="Z16" s="159"/>
      <c r="AA16" s="126"/>
      <c r="AB16" s="160"/>
      <c r="AC16" s="162"/>
      <c r="AD16" s="125"/>
      <c r="AE16" s="158"/>
      <c r="AF16" s="159"/>
      <c r="AG16" s="126"/>
      <c r="AH16" s="160"/>
      <c r="AI16" s="162"/>
      <c r="AJ16" s="125"/>
      <c r="AK16" s="158"/>
      <c r="AL16" s="159"/>
      <c r="AM16" s="126"/>
      <c r="AN16" s="160"/>
      <c r="AO16" s="162"/>
      <c r="AP16" s="125"/>
      <c r="AQ16" s="158"/>
      <c r="AR16" s="159"/>
      <c r="AS16" s="126"/>
      <c r="AT16" s="160"/>
      <c r="AU16" s="162"/>
      <c r="AV16" s="125"/>
      <c r="AW16" s="158"/>
      <c r="AX16" s="159"/>
      <c r="AY16" s="126"/>
      <c r="AZ16" s="160"/>
      <c r="BA16" s="162"/>
      <c r="BB16" s="125"/>
      <c r="BC16" s="158"/>
      <c r="BD16" s="159"/>
      <c r="BE16" s="126"/>
      <c r="BF16" s="160"/>
      <c r="BG16" s="162"/>
      <c r="BH16" s="125"/>
      <c r="BI16" s="158"/>
      <c r="BJ16" s="159"/>
      <c r="BK16" s="126"/>
      <c r="BL16" s="160"/>
      <c r="BM16" s="162"/>
      <c r="BN16" s="125"/>
      <c r="BO16" s="158"/>
      <c r="BP16" s="159"/>
      <c r="BQ16" s="126"/>
      <c r="BR16" s="160"/>
      <c r="BS16" s="162"/>
      <c r="BT16" s="125"/>
      <c r="BU16" s="158"/>
      <c r="BV16" s="159"/>
      <c r="BW16" s="126"/>
      <c r="BX16" s="160"/>
      <c r="BY16" s="162"/>
      <c r="BZ16" s="133"/>
      <c r="CA16" s="134"/>
      <c r="CB16" s="165"/>
      <c r="CC16" s="170">
        <f t="shared" si="2"/>
        <v>0</v>
      </c>
      <c r="CD16" s="171">
        <f t="shared" si="3"/>
        <v>1</v>
      </c>
      <c r="CE16" s="171">
        <f t="shared" si="4"/>
        <v>0</v>
      </c>
      <c r="CF16" s="171">
        <f t="shared" si="5"/>
        <v>0</v>
      </c>
      <c r="CG16" s="171">
        <f t="shared" si="6"/>
        <v>0</v>
      </c>
      <c r="CH16" s="172">
        <f t="shared" si="7"/>
        <v>0</v>
      </c>
    </row>
    <row r="17" spans="1:91" s="1" customFormat="1" ht="24" customHeight="1" x14ac:dyDescent="0.2">
      <c r="A17" s="178" t="s">
        <v>51</v>
      </c>
      <c r="B17" s="141" t="s">
        <v>33</v>
      </c>
      <c r="C17" s="139" t="s">
        <v>320</v>
      </c>
      <c r="D17" s="141" t="s">
        <v>321</v>
      </c>
      <c r="E17" s="152" t="s">
        <v>294</v>
      </c>
      <c r="F17" s="125"/>
      <c r="G17" s="158"/>
      <c r="H17" s="159"/>
      <c r="I17" s="126"/>
      <c r="J17" s="160"/>
      <c r="K17" s="162"/>
      <c r="L17" s="125"/>
      <c r="M17" s="158"/>
      <c r="N17" s="159"/>
      <c r="O17" s="126"/>
      <c r="P17" s="160"/>
      <c r="Q17" s="162"/>
      <c r="R17" s="125"/>
      <c r="S17" s="158"/>
      <c r="T17" s="159"/>
      <c r="U17" s="126"/>
      <c r="V17" s="160"/>
      <c r="W17" s="162"/>
      <c r="X17" s="125"/>
      <c r="Y17" s="158"/>
      <c r="Z17" s="159"/>
      <c r="AA17" s="126"/>
      <c r="AB17" s="160"/>
      <c r="AC17" s="162"/>
      <c r="AD17" s="125"/>
      <c r="AE17" s="158"/>
      <c r="AF17" s="159"/>
      <c r="AG17" s="126"/>
      <c r="AH17" s="160"/>
      <c r="AI17" s="162"/>
      <c r="AJ17" s="125"/>
      <c r="AK17" s="158">
        <v>2</v>
      </c>
      <c r="AL17" s="159">
        <v>1</v>
      </c>
      <c r="AM17" s="126"/>
      <c r="AN17" s="160"/>
      <c r="AO17" s="162"/>
      <c r="AP17" s="125">
        <v>2</v>
      </c>
      <c r="AQ17" s="158">
        <v>1</v>
      </c>
      <c r="AR17" s="159">
        <v>1</v>
      </c>
      <c r="AS17" s="126"/>
      <c r="AT17" s="160"/>
      <c r="AU17" s="162"/>
      <c r="AV17" s="125">
        <v>1</v>
      </c>
      <c r="AW17" s="158">
        <v>2</v>
      </c>
      <c r="AX17" s="159"/>
      <c r="AY17" s="126"/>
      <c r="AZ17" s="160">
        <v>1</v>
      </c>
      <c r="BA17" s="162"/>
      <c r="BB17" s="125"/>
      <c r="BC17" s="158">
        <v>1</v>
      </c>
      <c r="BD17" s="159"/>
      <c r="BE17" s="126"/>
      <c r="BF17" s="160"/>
      <c r="BG17" s="162"/>
      <c r="BH17" s="125">
        <v>1</v>
      </c>
      <c r="BI17" s="158">
        <v>1</v>
      </c>
      <c r="BJ17" s="159"/>
      <c r="BK17" s="126"/>
      <c r="BL17" s="160"/>
      <c r="BM17" s="162"/>
      <c r="BN17" s="125">
        <v>1</v>
      </c>
      <c r="BO17" s="158">
        <v>1</v>
      </c>
      <c r="BP17" s="159"/>
      <c r="BQ17" s="126"/>
      <c r="BR17" s="160"/>
      <c r="BS17" s="162"/>
      <c r="BT17" s="125"/>
      <c r="BU17" s="158"/>
      <c r="BV17" s="159"/>
      <c r="BW17" s="126"/>
      <c r="BX17" s="160"/>
      <c r="BY17" s="162"/>
      <c r="BZ17" s="133"/>
      <c r="CA17" s="134"/>
      <c r="CB17" s="165"/>
      <c r="CC17" s="170">
        <f t="shared" si="2"/>
        <v>5</v>
      </c>
      <c r="CD17" s="171">
        <f t="shared" si="3"/>
        <v>8</v>
      </c>
      <c r="CE17" s="171">
        <f t="shared" si="4"/>
        <v>2</v>
      </c>
      <c r="CF17" s="171">
        <f t="shared" si="5"/>
        <v>0</v>
      </c>
      <c r="CG17" s="171">
        <f t="shared" si="6"/>
        <v>1</v>
      </c>
      <c r="CH17" s="172">
        <f t="shared" si="7"/>
        <v>0</v>
      </c>
    </row>
    <row r="18" spans="1:91" s="1" customFormat="1" ht="24" customHeight="1" x14ac:dyDescent="0.2">
      <c r="A18" s="176" t="s">
        <v>35</v>
      </c>
      <c r="B18" s="141" t="s">
        <v>33</v>
      </c>
      <c r="C18" s="139" t="s">
        <v>322</v>
      </c>
      <c r="D18" s="141" t="s">
        <v>323</v>
      </c>
      <c r="E18" s="152" t="s">
        <v>297</v>
      </c>
      <c r="F18" s="125"/>
      <c r="G18" s="158">
        <v>1</v>
      </c>
      <c r="H18" s="159"/>
      <c r="I18" s="126">
        <v>1</v>
      </c>
      <c r="J18" s="160"/>
      <c r="K18" s="162"/>
      <c r="L18" s="125"/>
      <c r="M18" s="158"/>
      <c r="N18" s="159"/>
      <c r="O18" s="126">
        <v>1</v>
      </c>
      <c r="P18" s="160"/>
      <c r="Q18" s="162"/>
      <c r="R18" s="125"/>
      <c r="S18" s="158"/>
      <c r="T18" s="159"/>
      <c r="U18" s="126">
        <v>1</v>
      </c>
      <c r="V18" s="160"/>
      <c r="W18" s="162"/>
      <c r="X18" s="125"/>
      <c r="Y18" s="158"/>
      <c r="Z18" s="159"/>
      <c r="AA18" s="126">
        <v>1</v>
      </c>
      <c r="AB18" s="160"/>
      <c r="AC18" s="162"/>
      <c r="AD18" s="125"/>
      <c r="AE18" s="158"/>
      <c r="AF18" s="159"/>
      <c r="AG18" s="126">
        <v>1</v>
      </c>
      <c r="AH18" s="160"/>
      <c r="AI18" s="162"/>
      <c r="AJ18" s="125"/>
      <c r="AK18" s="158"/>
      <c r="AL18" s="159"/>
      <c r="AM18" s="126">
        <v>1</v>
      </c>
      <c r="AN18" s="160"/>
      <c r="AO18" s="162"/>
      <c r="AP18" s="125"/>
      <c r="AQ18" s="158">
        <v>1</v>
      </c>
      <c r="AR18" s="159"/>
      <c r="AS18" s="126">
        <v>1</v>
      </c>
      <c r="AT18" s="160"/>
      <c r="AU18" s="162"/>
      <c r="AV18" s="125"/>
      <c r="AW18" s="158"/>
      <c r="AX18" s="159"/>
      <c r="AY18" s="126">
        <v>1</v>
      </c>
      <c r="AZ18" s="160"/>
      <c r="BA18" s="162"/>
      <c r="BB18" s="125"/>
      <c r="BC18" s="158">
        <v>1</v>
      </c>
      <c r="BD18" s="159"/>
      <c r="BE18" s="126">
        <v>1</v>
      </c>
      <c r="BF18" s="160"/>
      <c r="BG18" s="162"/>
      <c r="BH18" s="125"/>
      <c r="BI18" s="158">
        <v>1</v>
      </c>
      <c r="BJ18" s="159"/>
      <c r="BK18" s="126">
        <v>1</v>
      </c>
      <c r="BL18" s="160"/>
      <c r="BM18" s="162"/>
      <c r="BN18" s="125"/>
      <c r="BO18" s="158"/>
      <c r="BP18" s="159"/>
      <c r="BQ18" s="126"/>
      <c r="BR18" s="160"/>
      <c r="BS18" s="162"/>
      <c r="BT18" s="125"/>
      <c r="BU18" s="158"/>
      <c r="BV18" s="159"/>
      <c r="BW18" s="126">
        <v>1</v>
      </c>
      <c r="BX18" s="160"/>
      <c r="BY18" s="162"/>
      <c r="BZ18" s="133"/>
      <c r="CA18" s="134"/>
      <c r="CB18" s="165"/>
      <c r="CC18" s="170">
        <f t="shared" si="2"/>
        <v>0</v>
      </c>
      <c r="CD18" s="171">
        <f t="shared" si="3"/>
        <v>4</v>
      </c>
      <c r="CE18" s="171">
        <f t="shared" si="4"/>
        <v>0</v>
      </c>
      <c r="CF18" s="171">
        <f t="shared" si="5"/>
        <v>11</v>
      </c>
      <c r="CG18" s="171">
        <f t="shared" si="6"/>
        <v>0</v>
      </c>
      <c r="CH18" s="172">
        <f t="shared" si="7"/>
        <v>0</v>
      </c>
    </row>
    <row r="19" spans="1:91" s="1" customFormat="1" ht="24" customHeight="1" x14ac:dyDescent="0.2">
      <c r="A19" s="239" t="s">
        <v>306</v>
      </c>
      <c r="B19" s="139" t="s">
        <v>306</v>
      </c>
      <c r="C19" s="139" t="s">
        <v>324</v>
      </c>
      <c r="D19" s="141" t="s">
        <v>325</v>
      </c>
      <c r="E19" s="152" t="s">
        <v>302</v>
      </c>
      <c r="F19" s="125"/>
      <c r="G19" s="158" t="s">
        <v>326</v>
      </c>
      <c r="H19" s="159"/>
      <c r="I19" s="126"/>
      <c r="J19" s="160"/>
      <c r="K19" s="162"/>
      <c r="L19" s="125"/>
      <c r="M19" s="158"/>
      <c r="N19" s="159"/>
      <c r="O19" s="126"/>
      <c r="P19" s="160"/>
      <c r="Q19" s="162"/>
      <c r="R19" s="125"/>
      <c r="S19" s="158"/>
      <c r="T19" s="159"/>
      <c r="U19" s="126"/>
      <c r="V19" s="160"/>
      <c r="W19" s="162"/>
      <c r="X19" s="125"/>
      <c r="Y19" s="158"/>
      <c r="Z19" s="159"/>
      <c r="AA19" s="126"/>
      <c r="AB19" s="160"/>
      <c r="AC19" s="162"/>
      <c r="AD19" s="125"/>
      <c r="AE19" s="158"/>
      <c r="AF19" s="159"/>
      <c r="AG19" s="126"/>
      <c r="AH19" s="160"/>
      <c r="AI19" s="162"/>
      <c r="AJ19" s="125"/>
      <c r="AK19" s="158"/>
      <c r="AL19" s="159"/>
      <c r="AM19" s="126"/>
      <c r="AN19" s="160"/>
      <c r="AO19" s="162"/>
      <c r="AP19" s="125"/>
      <c r="AQ19" s="158"/>
      <c r="AR19" s="159"/>
      <c r="AS19" s="126"/>
      <c r="AT19" s="160"/>
      <c r="AU19" s="162"/>
      <c r="AV19" s="125"/>
      <c r="AW19" s="158"/>
      <c r="AX19" s="159"/>
      <c r="AY19" s="126"/>
      <c r="AZ19" s="160"/>
      <c r="BA19" s="162"/>
      <c r="BB19" s="125"/>
      <c r="BC19" s="158"/>
      <c r="BD19" s="159"/>
      <c r="BE19" s="126"/>
      <c r="BF19" s="160"/>
      <c r="BG19" s="162"/>
      <c r="BH19" s="125"/>
      <c r="BI19" s="158"/>
      <c r="BJ19" s="159"/>
      <c r="BK19" s="126"/>
      <c r="BL19" s="160"/>
      <c r="BM19" s="162"/>
      <c r="BN19" s="125"/>
      <c r="BO19" s="158"/>
      <c r="BP19" s="159"/>
      <c r="BQ19" s="126"/>
      <c r="BR19" s="160"/>
      <c r="BS19" s="162"/>
      <c r="BT19" s="125"/>
      <c r="BU19" s="158"/>
      <c r="BV19" s="159"/>
      <c r="BW19" s="126"/>
      <c r="BX19" s="160"/>
      <c r="BY19" s="162"/>
      <c r="BZ19" s="190"/>
      <c r="CA19" s="192"/>
      <c r="CB19" s="194"/>
      <c r="CC19" s="170">
        <f t="shared" si="2"/>
        <v>0</v>
      </c>
      <c r="CD19" s="171">
        <f t="shared" si="3"/>
        <v>0</v>
      </c>
      <c r="CE19" s="171">
        <f t="shared" si="4"/>
        <v>0</v>
      </c>
      <c r="CF19" s="171">
        <f>SUM(I19,O19,U19,AA19,AG19,AM19,AS19,AY19,BE19,BK19,BQ19,BW19)</f>
        <v>0</v>
      </c>
      <c r="CG19" s="171">
        <f t="shared" si="6"/>
        <v>0</v>
      </c>
      <c r="CH19" s="172">
        <f t="shared" si="7"/>
        <v>0</v>
      </c>
    </row>
    <row r="20" spans="1:91" s="1" customFormat="1" ht="24" customHeight="1" x14ac:dyDescent="0.2">
      <c r="A20" s="176" t="s">
        <v>35</v>
      </c>
      <c r="B20" s="141" t="s">
        <v>33</v>
      </c>
      <c r="C20" s="139" t="s">
        <v>327</v>
      </c>
      <c r="D20" s="139" t="s">
        <v>328</v>
      </c>
      <c r="E20" s="152" t="s">
        <v>302</v>
      </c>
      <c r="F20" s="125"/>
      <c r="G20" s="158">
        <v>1</v>
      </c>
      <c r="H20" s="159"/>
      <c r="I20" s="126"/>
      <c r="J20" s="160"/>
      <c r="K20" s="162"/>
      <c r="L20" s="125"/>
      <c r="M20" s="158"/>
      <c r="N20" s="159"/>
      <c r="O20" s="126"/>
      <c r="P20" s="160"/>
      <c r="Q20" s="162"/>
      <c r="R20" s="125"/>
      <c r="S20" s="158">
        <v>1</v>
      </c>
      <c r="T20" s="159">
        <v>1</v>
      </c>
      <c r="U20" s="126"/>
      <c r="V20" s="160"/>
      <c r="W20" s="162"/>
      <c r="X20" s="125"/>
      <c r="Y20" s="158">
        <v>1</v>
      </c>
      <c r="Z20" s="159">
        <v>1</v>
      </c>
      <c r="AA20" s="126"/>
      <c r="AB20" s="160"/>
      <c r="AC20" s="162"/>
      <c r="AD20" s="125"/>
      <c r="AE20" s="158">
        <v>1</v>
      </c>
      <c r="AF20" s="159">
        <v>1</v>
      </c>
      <c r="AG20" s="126"/>
      <c r="AH20" s="160"/>
      <c r="AI20" s="162"/>
      <c r="AJ20" s="125"/>
      <c r="AK20" s="158">
        <v>4</v>
      </c>
      <c r="AL20" s="159">
        <v>1</v>
      </c>
      <c r="AM20" s="126"/>
      <c r="AN20" s="160"/>
      <c r="AO20" s="162"/>
      <c r="AP20" s="125"/>
      <c r="AQ20" s="158"/>
      <c r="AR20" s="159"/>
      <c r="AS20" s="126"/>
      <c r="AT20" s="160"/>
      <c r="AU20" s="162"/>
      <c r="AV20" s="125">
        <v>1</v>
      </c>
      <c r="AW20" s="158">
        <v>1</v>
      </c>
      <c r="AX20" s="159">
        <v>1</v>
      </c>
      <c r="AY20" s="126"/>
      <c r="AZ20" s="160"/>
      <c r="BA20" s="162"/>
      <c r="BB20" s="125"/>
      <c r="BC20" s="158"/>
      <c r="BD20" s="159"/>
      <c r="BE20" s="126"/>
      <c r="BF20" s="160"/>
      <c r="BG20" s="162"/>
      <c r="BH20" s="125">
        <v>1</v>
      </c>
      <c r="BI20" s="158">
        <v>1</v>
      </c>
      <c r="BJ20" s="159">
        <v>1</v>
      </c>
      <c r="BK20" s="126"/>
      <c r="BL20" s="160"/>
      <c r="BM20" s="162"/>
      <c r="BN20" s="125">
        <v>1</v>
      </c>
      <c r="BO20" s="158">
        <v>1</v>
      </c>
      <c r="BP20" s="159">
        <v>2</v>
      </c>
      <c r="BQ20" s="126"/>
      <c r="BR20" s="160"/>
      <c r="BS20" s="162"/>
      <c r="BT20" s="125">
        <v>1</v>
      </c>
      <c r="BU20" s="158">
        <v>1</v>
      </c>
      <c r="BV20" s="159"/>
      <c r="BW20" s="126"/>
      <c r="BX20" s="160"/>
      <c r="BY20" s="162"/>
      <c r="BZ20" s="133"/>
      <c r="CA20" s="134"/>
      <c r="CB20" s="165"/>
      <c r="CC20" s="170">
        <f t="shared" si="2"/>
        <v>4</v>
      </c>
      <c r="CD20" s="171">
        <f t="shared" si="3"/>
        <v>12</v>
      </c>
      <c r="CE20" s="171">
        <f t="shared" si="4"/>
        <v>8</v>
      </c>
      <c r="CF20" s="171">
        <f>SUM(I20,O20,U20,AA20,AG20,AM20,AS20,AY20,BE20,BK20,BQ20,BW20)</f>
        <v>0</v>
      </c>
      <c r="CG20" s="171">
        <f t="shared" si="6"/>
        <v>0</v>
      </c>
      <c r="CH20" s="172">
        <f t="shared" si="7"/>
        <v>0</v>
      </c>
    </row>
    <row r="21" spans="1:91" s="1" customFormat="1" ht="24" customHeight="1" x14ac:dyDescent="0.2">
      <c r="A21" s="142" t="s">
        <v>329</v>
      </c>
      <c r="B21" s="139" t="s">
        <v>33</v>
      </c>
      <c r="C21" s="139" t="s">
        <v>330</v>
      </c>
      <c r="D21" s="139" t="s">
        <v>331</v>
      </c>
      <c r="E21" s="152" t="s">
        <v>297</v>
      </c>
      <c r="F21" s="125"/>
      <c r="G21" s="158">
        <v>2</v>
      </c>
      <c r="H21" s="159"/>
      <c r="I21" s="126">
        <v>1</v>
      </c>
      <c r="J21" s="160"/>
      <c r="K21" s="162"/>
      <c r="L21" s="125"/>
      <c r="M21" s="158">
        <v>1</v>
      </c>
      <c r="N21" s="159">
        <v>1</v>
      </c>
      <c r="O21" s="126"/>
      <c r="P21" s="160"/>
      <c r="Q21" s="162"/>
      <c r="R21" s="125"/>
      <c r="S21" s="158"/>
      <c r="T21" s="159"/>
      <c r="U21" s="126">
        <v>1</v>
      </c>
      <c r="V21" s="160"/>
      <c r="W21" s="162"/>
      <c r="X21" s="125"/>
      <c r="Y21" s="158"/>
      <c r="Z21" s="159"/>
      <c r="AA21" s="126">
        <v>1</v>
      </c>
      <c r="AB21" s="160"/>
      <c r="AC21" s="162"/>
      <c r="AD21" s="125"/>
      <c r="AE21" s="158"/>
      <c r="AF21" s="159"/>
      <c r="AG21" s="126"/>
      <c r="AH21" s="160"/>
      <c r="AI21" s="162"/>
      <c r="AJ21" s="125"/>
      <c r="AK21" s="158"/>
      <c r="AL21" s="159"/>
      <c r="AM21" s="126"/>
      <c r="AN21" s="160"/>
      <c r="AO21" s="162"/>
      <c r="AP21" s="125"/>
      <c r="AQ21" s="158"/>
      <c r="AR21" s="159"/>
      <c r="AS21" s="126">
        <v>1</v>
      </c>
      <c r="AT21" s="160"/>
      <c r="AU21" s="162"/>
      <c r="AV21" s="125"/>
      <c r="AW21" s="158"/>
      <c r="AX21" s="159"/>
      <c r="AY21" s="126"/>
      <c r="AZ21" s="160"/>
      <c r="BA21" s="162"/>
      <c r="BB21" s="125"/>
      <c r="BC21" s="158"/>
      <c r="BD21" s="159"/>
      <c r="BE21" s="126"/>
      <c r="BF21" s="160"/>
      <c r="BG21" s="162"/>
      <c r="BH21" s="125"/>
      <c r="BI21" s="158"/>
      <c r="BJ21" s="159"/>
      <c r="BK21" s="126"/>
      <c r="BL21" s="160"/>
      <c r="BM21" s="162"/>
      <c r="BN21" s="125"/>
      <c r="BO21" s="158"/>
      <c r="BP21" s="159"/>
      <c r="BQ21" s="126"/>
      <c r="BR21" s="160"/>
      <c r="BS21" s="162"/>
      <c r="BT21" s="125"/>
      <c r="BU21" s="158"/>
      <c r="BV21" s="159"/>
      <c r="BW21" s="126"/>
      <c r="BX21" s="160"/>
      <c r="BY21" s="162"/>
      <c r="BZ21" s="133"/>
      <c r="CA21" s="134"/>
      <c r="CB21" s="165"/>
      <c r="CC21" s="170">
        <f t="shared" si="2"/>
        <v>0</v>
      </c>
      <c r="CD21" s="171">
        <f t="shared" si="3"/>
        <v>3</v>
      </c>
      <c r="CE21" s="171">
        <f t="shared" si="4"/>
        <v>1</v>
      </c>
      <c r="CF21" s="171">
        <f t="shared" si="5"/>
        <v>4</v>
      </c>
      <c r="CG21" s="171">
        <f t="shared" si="6"/>
        <v>0</v>
      </c>
      <c r="CH21" s="172">
        <f t="shared" si="7"/>
        <v>0</v>
      </c>
    </row>
    <row r="22" spans="1:91" s="1" customFormat="1" ht="24" customHeight="1" x14ac:dyDescent="0.2">
      <c r="A22" s="239" t="s">
        <v>306</v>
      </c>
      <c r="B22" s="139" t="s">
        <v>306</v>
      </c>
      <c r="C22" s="139" t="s">
        <v>332</v>
      </c>
      <c r="D22" s="141" t="s">
        <v>333</v>
      </c>
      <c r="E22" s="152" t="s">
        <v>302</v>
      </c>
      <c r="F22" s="125"/>
      <c r="G22" s="158">
        <v>1</v>
      </c>
      <c r="H22" s="159"/>
      <c r="I22" s="126"/>
      <c r="J22" s="160"/>
      <c r="K22" s="162"/>
      <c r="L22" s="125"/>
      <c r="M22" s="158"/>
      <c r="N22" s="159"/>
      <c r="O22" s="126"/>
      <c r="P22" s="160"/>
      <c r="Q22" s="162"/>
      <c r="R22" s="125"/>
      <c r="S22" s="158"/>
      <c r="T22" s="159"/>
      <c r="U22" s="126"/>
      <c r="V22" s="160"/>
      <c r="W22" s="162"/>
      <c r="X22" s="125"/>
      <c r="Y22" s="158"/>
      <c r="Z22" s="159"/>
      <c r="AA22" s="126"/>
      <c r="AB22" s="160"/>
      <c r="AC22" s="162"/>
      <c r="AD22" s="125"/>
      <c r="AE22" s="158"/>
      <c r="AF22" s="159"/>
      <c r="AG22" s="126"/>
      <c r="AH22" s="160"/>
      <c r="AI22" s="162"/>
      <c r="AJ22" s="125"/>
      <c r="AK22" s="158"/>
      <c r="AL22" s="159"/>
      <c r="AM22" s="126"/>
      <c r="AN22" s="160"/>
      <c r="AO22" s="162"/>
      <c r="AP22" s="125"/>
      <c r="AQ22" s="158"/>
      <c r="AR22" s="159"/>
      <c r="AS22" s="126"/>
      <c r="AT22" s="160"/>
      <c r="AU22" s="162"/>
      <c r="AV22" s="125"/>
      <c r="AW22" s="158"/>
      <c r="AX22" s="159"/>
      <c r="AY22" s="126"/>
      <c r="AZ22" s="160"/>
      <c r="BA22" s="162"/>
      <c r="BB22" s="125"/>
      <c r="BC22" s="158"/>
      <c r="BD22" s="159"/>
      <c r="BE22" s="126"/>
      <c r="BF22" s="160"/>
      <c r="BG22" s="162"/>
      <c r="BH22" s="125"/>
      <c r="BI22" s="158"/>
      <c r="BJ22" s="159"/>
      <c r="BK22" s="126"/>
      <c r="BL22" s="160"/>
      <c r="BM22" s="162"/>
      <c r="BN22" s="125"/>
      <c r="BO22" s="158"/>
      <c r="BP22" s="159"/>
      <c r="BQ22" s="126"/>
      <c r="BR22" s="160"/>
      <c r="BS22" s="162"/>
      <c r="BT22" s="125"/>
      <c r="BU22" s="158"/>
      <c r="BV22" s="159"/>
      <c r="BW22" s="126"/>
      <c r="BX22" s="160"/>
      <c r="BY22" s="162"/>
      <c r="BZ22" s="190"/>
      <c r="CA22" s="192"/>
      <c r="CB22" s="194"/>
      <c r="CC22" s="170">
        <f t="shared" si="2"/>
        <v>0</v>
      </c>
      <c r="CD22" s="171">
        <f t="shared" si="3"/>
        <v>1</v>
      </c>
      <c r="CE22" s="171">
        <f t="shared" si="4"/>
        <v>0</v>
      </c>
      <c r="CF22" s="171">
        <f t="shared" si="5"/>
        <v>0</v>
      </c>
      <c r="CG22" s="171">
        <f t="shared" si="6"/>
        <v>0</v>
      </c>
      <c r="CH22" s="172">
        <f t="shared" si="7"/>
        <v>0</v>
      </c>
    </row>
    <row r="23" spans="1:91" s="1" customFormat="1" ht="24" customHeight="1" x14ac:dyDescent="0.2">
      <c r="A23" s="206" t="s">
        <v>148</v>
      </c>
      <c r="B23" s="139" t="s">
        <v>148</v>
      </c>
      <c r="C23" s="139" t="s">
        <v>334</v>
      </c>
      <c r="D23" s="141" t="s">
        <v>335</v>
      </c>
      <c r="E23" s="152" t="s">
        <v>297</v>
      </c>
      <c r="F23" s="125"/>
      <c r="G23" s="158"/>
      <c r="H23" s="159"/>
      <c r="I23" s="126"/>
      <c r="J23" s="160"/>
      <c r="K23" s="162"/>
      <c r="L23" s="125"/>
      <c r="M23" s="158"/>
      <c r="N23" s="159"/>
      <c r="O23" s="126"/>
      <c r="P23" s="160"/>
      <c r="Q23" s="162"/>
      <c r="R23" s="125"/>
      <c r="S23" s="158"/>
      <c r="T23" s="159"/>
      <c r="U23" s="126"/>
      <c r="V23" s="160"/>
      <c r="W23" s="162"/>
      <c r="X23" s="125"/>
      <c r="Y23" s="158"/>
      <c r="Z23" s="159"/>
      <c r="AA23" s="126"/>
      <c r="AB23" s="160"/>
      <c r="AC23" s="162"/>
      <c r="AD23" s="125"/>
      <c r="AE23" s="158"/>
      <c r="AF23" s="159"/>
      <c r="AG23" s="126"/>
      <c r="AH23" s="160"/>
      <c r="AI23" s="162"/>
      <c r="AJ23" s="125"/>
      <c r="AK23" s="158"/>
      <c r="AL23" s="159"/>
      <c r="AM23" s="126"/>
      <c r="AN23" s="160"/>
      <c r="AO23" s="162"/>
      <c r="AP23" s="125"/>
      <c r="AQ23" s="158"/>
      <c r="AR23" s="159"/>
      <c r="AS23" s="126"/>
      <c r="AT23" s="160"/>
      <c r="AU23" s="162"/>
      <c r="AV23" s="125"/>
      <c r="AW23" s="158"/>
      <c r="AX23" s="159"/>
      <c r="AY23" s="126"/>
      <c r="AZ23" s="160"/>
      <c r="BA23" s="162"/>
      <c r="BB23" s="125"/>
      <c r="BC23" s="158">
        <v>1</v>
      </c>
      <c r="BD23" s="159"/>
      <c r="BE23" s="126"/>
      <c r="BF23" s="160"/>
      <c r="BG23" s="162"/>
      <c r="BH23" s="125"/>
      <c r="BI23" s="158">
        <v>1</v>
      </c>
      <c r="BJ23" s="159"/>
      <c r="BK23" s="126"/>
      <c r="BL23" s="160"/>
      <c r="BM23" s="162"/>
      <c r="BN23" s="125"/>
      <c r="BO23" s="158"/>
      <c r="BP23" s="159"/>
      <c r="BQ23" s="126"/>
      <c r="BR23" s="160"/>
      <c r="BS23" s="162"/>
      <c r="BT23" s="125"/>
      <c r="BU23" s="158"/>
      <c r="BV23" s="159"/>
      <c r="BW23" s="126"/>
      <c r="BX23" s="160"/>
      <c r="BY23" s="162"/>
      <c r="BZ23" s="190"/>
      <c r="CA23" s="192"/>
      <c r="CB23" s="194"/>
      <c r="CC23" s="170">
        <f t="shared" ref="CC23:CH23" si="8">SUM(F23,L23,R23,X23,AD23,AJ23,AP23,AV23,BB23,BH23,BN23,BT23)</f>
        <v>0</v>
      </c>
      <c r="CD23" s="171">
        <f t="shared" si="8"/>
        <v>2</v>
      </c>
      <c r="CE23" s="171">
        <f t="shared" si="8"/>
        <v>0</v>
      </c>
      <c r="CF23" s="171">
        <f t="shared" si="8"/>
        <v>0</v>
      </c>
      <c r="CG23" s="171">
        <f t="shared" si="8"/>
        <v>0</v>
      </c>
      <c r="CH23" s="172">
        <f t="shared" si="8"/>
        <v>0</v>
      </c>
    </row>
    <row r="24" spans="1:91" s="1" customFormat="1" ht="24" customHeight="1" x14ac:dyDescent="0.2">
      <c r="A24" s="206" t="s">
        <v>148</v>
      </c>
      <c r="B24" s="141" t="s">
        <v>148</v>
      </c>
      <c r="C24" s="139" t="s">
        <v>336</v>
      </c>
      <c r="D24" s="141" t="s">
        <v>337</v>
      </c>
      <c r="E24" s="152" t="s">
        <v>289</v>
      </c>
      <c r="F24" s="125"/>
      <c r="G24" s="158"/>
      <c r="H24" s="159"/>
      <c r="I24" s="126">
        <v>1</v>
      </c>
      <c r="J24" s="160"/>
      <c r="K24" s="162"/>
      <c r="L24" s="125"/>
      <c r="M24" s="158"/>
      <c r="N24" s="159"/>
      <c r="O24" s="126"/>
      <c r="P24" s="160"/>
      <c r="Q24" s="162"/>
      <c r="R24" s="125"/>
      <c r="S24" s="158"/>
      <c r="T24" s="159"/>
      <c r="U24" s="126">
        <v>2</v>
      </c>
      <c r="V24" s="160"/>
      <c r="W24" s="162"/>
      <c r="X24" s="125"/>
      <c r="Y24" s="158">
        <v>2</v>
      </c>
      <c r="Z24" s="159">
        <v>1</v>
      </c>
      <c r="AA24" s="126"/>
      <c r="AB24" s="160"/>
      <c r="AC24" s="162"/>
      <c r="AD24" s="125"/>
      <c r="AE24" s="158"/>
      <c r="AF24" s="159"/>
      <c r="AG24" s="126"/>
      <c r="AH24" s="160"/>
      <c r="AI24" s="162"/>
      <c r="AJ24" s="125"/>
      <c r="AK24" s="158">
        <v>1</v>
      </c>
      <c r="AL24" s="159"/>
      <c r="AM24" s="126">
        <v>1</v>
      </c>
      <c r="AN24" s="160"/>
      <c r="AO24" s="162"/>
      <c r="AP24" s="125"/>
      <c r="AQ24" s="158">
        <v>1</v>
      </c>
      <c r="AR24" s="159"/>
      <c r="AS24" s="126"/>
      <c r="AT24" s="160"/>
      <c r="AU24" s="162"/>
      <c r="AV24" s="125"/>
      <c r="AW24" s="158">
        <v>1</v>
      </c>
      <c r="AX24" s="159"/>
      <c r="AY24" s="126">
        <v>1</v>
      </c>
      <c r="AZ24" s="160"/>
      <c r="BA24" s="162"/>
      <c r="BB24" s="125"/>
      <c r="BC24" s="158">
        <v>2</v>
      </c>
      <c r="BD24" s="159">
        <v>1</v>
      </c>
      <c r="BE24" s="126"/>
      <c r="BF24" s="160"/>
      <c r="BG24" s="162"/>
      <c r="BH24" s="125"/>
      <c r="BI24" s="158"/>
      <c r="BJ24" s="159"/>
      <c r="BK24" s="126">
        <v>1</v>
      </c>
      <c r="BL24" s="160"/>
      <c r="BM24" s="162"/>
      <c r="BN24" s="125"/>
      <c r="BO24" s="158">
        <v>1</v>
      </c>
      <c r="BP24" s="159"/>
      <c r="BQ24" s="126">
        <v>1</v>
      </c>
      <c r="BR24" s="160"/>
      <c r="BS24" s="162"/>
      <c r="BT24" s="125"/>
      <c r="BU24" s="158"/>
      <c r="BV24" s="159"/>
      <c r="BW24" s="126"/>
      <c r="BX24" s="160"/>
      <c r="BY24" s="162"/>
      <c r="BZ24" s="135"/>
      <c r="CA24" s="134"/>
      <c r="CB24" s="165"/>
      <c r="CC24" s="170">
        <f t="shared" si="2"/>
        <v>0</v>
      </c>
      <c r="CD24" s="171">
        <f t="shared" si="3"/>
        <v>8</v>
      </c>
      <c r="CE24" s="171">
        <f t="shared" si="4"/>
        <v>2</v>
      </c>
      <c r="CF24" s="171">
        <f t="shared" si="5"/>
        <v>7</v>
      </c>
      <c r="CG24" s="171">
        <f t="shared" si="6"/>
        <v>0</v>
      </c>
      <c r="CH24" s="172">
        <f t="shared" si="7"/>
        <v>0</v>
      </c>
    </row>
    <row r="25" spans="1:91" s="1" customFormat="1" ht="24" customHeight="1" x14ac:dyDescent="0.2">
      <c r="A25" s="177" t="s">
        <v>303</v>
      </c>
      <c r="B25" s="141" t="s">
        <v>291</v>
      </c>
      <c r="C25" s="139" t="s">
        <v>338</v>
      </c>
      <c r="D25" s="141" t="s">
        <v>339</v>
      </c>
      <c r="E25" s="152" t="s">
        <v>294</v>
      </c>
      <c r="F25" s="125"/>
      <c r="G25" s="158">
        <v>1</v>
      </c>
      <c r="H25" s="159"/>
      <c r="I25" s="126"/>
      <c r="J25" s="160"/>
      <c r="K25" s="162"/>
      <c r="L25" s="125"/>
      <c r="M25" s="158"/>
      <c r="N25" s="159"/>
      <c r="O25" s="126"/>
      <c r="P25" s="160"/>
      <c r="Q25" s="162"/>
      <c r="R25" s="125"/>
      <c r="S25" s="158">
        <v>1</v>
      </c>
      <c r="T25" s="159">
        <v>1</v>
      </c>
      <c r="U25" s="126"/>
      <c r="V25" s="160"/>
      <c r="W25" s="162"/>
      <c r="X25" s="125"/>
      <c r="Y25" s="158"/>
      <c r="Z25" s="159"/>
      <c r="AA25" s="126"/>
      <c r="AB25" s="160"/>
      <c r="AC25" s="162"/>
      <c r="AD25" s="125"/>
      <c r="AE25" s="158">
        <v>1</v>
      </c>
      <c r="AF25" s="159">
        <v>1</v>
      </c>
      <c r="AG25" s="126"/>
      <c r="AH25" s="160"/>
      <c r="AI25" s="162"/>
      <c r="AJ25" s="125"/>
      <c r="AK25" s="158">
        <v>3</v>
      </c>
      <c r="AL25" s="159">
        <v>1</v>
      </c>
      <c r="AM25" s="126"/>
      <c r="AN25" s="160">
        <v>1</v>
      </c>
      <c r="AO25" s="162"/>
      <c r="AP25" s="125"/>
      <c r="AQ25" s="158">
        <v>1</v>
      </c>
      <c r="AR25" s="159">
        <v>1</v>
      </c>
      <c r="AS25" s="126"/>
      <c r="AT25" s="160"/>
      <c r="AU25" s="162"/>
      <c r="AV25" s="125"/>
      <c r="AW25" s="158"/>
      <c r="AX25" s="159"/>
      <c r="AY25" s="126"/>
      <c r="AZ25" s="160"/>
      <c r="BA25" s="162"/>
      <c r="BB25" s="125"/>
      <c r="BC25" s="158">
        <v>4</v>
      </c>
      <c r="BD25" s="159">
        <v>3</v>
      </c>
      <c r="BE25" s="126"/>
      <c r="BF25" s="160"/>
      <c r="BG25" s="162"/>
      <c r="BH25" s="125"/>
      <c r="BI25" s="158">
        <v>1</v>
      </c>
      <c r="BJ25" s="159"/>
      <c r="BK25" s="126"/>
      <c r="BL25" s="160"/>
      <c r="BM25" s="162"/>
      <c r="BN25" s="125"/>
      <c r="BO25" s="158">
        <v>1</v>
      </c>
      <c r="BP25" s="159"/>
      <c r="BQ25" s="126"/>
      <c r="BR25" s="160"/>
      <c r="BS25" s="162"/>
      <c r="BT25" s="125"/>
      <c r="BU25" s="158"/>
      <c r="BV25" s="159"/>
      <c r="BW25" s="126"/>
      <c r="BX25" s="160"/>
      <c r="BY25" s="162"/>
      <c r="BZ25" s="133"/>
      <c r="CA25" s="134"/>
      <c r="CB25" s="165"/>
      <c r="CC25" s="170">
        <f t="shared" si="2"/>
        <v>0</v>
      </c>
      <c r="CD25" s="171">
        <f t="shared" si="3"/>
        <v>13</v>
      </c>
      <c r="CE25" s="171">
        <f t="shared" si="4"/>
        <v>7</v>
      </c>
      <c r="CF25" s="171">
        <f t="shared" si="5"/>
        <v>0</v>
      </c>
      <c r="CG25" s="171">
        <f t="shared" si="6"/>
        <v>1</v>
      </c>
      <c r="CH25" s="172">
        <f t="shared" si="7"/>
        <v>0</v>
      </c>
      <c r="CM25" s="1">
        <f>5/8</f>
        <v>0.625</v>
      </c>
    </row>
    <row r="26" spans="1:91" s="1" customFormat="1" ht="24" customHeight="1" x14ac:dyDescent="0.2">
      <c r="A26" s="178" t="s">
        <v>51</v>
      </c>
      <c r="B26" s="141" t="s">
        <v>33</v>
      </c>
      <c r="C26" s="139" t="s">
        <v>340</v>
      </c>
      <c r="D26" s="141" t="s">
        <v>341</v>
      </c>
      <c r="E26" s="152" t="s">
        <v>342</v>
      </c>
      <c r="F26" s="125"/>
      <c r="G26" s="158">
        <v>1</v>
      </c>
      <c r="H26" s="159"/>
      <c r="I26" s="126"/>
      <c r="J26" s="160"/>
      <c r="K26" s="162"/>
      <c r="L26" s="125"/>
      <c r="M26" s="158"/>
      <c r="N26" s="159"/>
      <c r="O26" s="126"/>
      <c r="P26" s="160"/>
      <c r="Q26" s="162"/>
      <c r="R26" s="125"/>
      <c r="S26" s="158"/>
      <c r="T26" s="159"/>
      <c r="U26" s="126"/>
      <c r="V26" s="160"/>
      <c r="W26" s="162"/>
      <c r="X26" s="125"/>
      <c r="Y26" s="158"/>
      <c r="Z26" s="159"/>
      <c r="AA26" s="126"/>
      <c r="AB26" s="160"/>
      <c r="AC26" s="162"/>
      <c r="AD26" s="125"/>
      <c r="AE26" s="158"/>
      <c r="AF26" s="159"/>
      <c r="AG26" s="126"/>
      <c r="AH26" s="160"/>
      <c r="AI26" s="162"/>
      <c r="AJ26" s="125"/>
      <c r="AK26" s="158"/>
      <c r="AL26" s="159"/>
      <c r="AM26" s="126"/>
      <c r="AN26" s="160"/>
      <c r="AO26" s="162"/>
      <c r="AP26" s="125"/>
      <c r="AQ26" s="158"/>
      <c r="AR26" s="159"/>
      <c r="AS26" s="126"/>
      <c r="AT26" s="160"/>
      <c r="AU26" s="162"/>
      <c r="AV26" s="125"/>
      <c r="AW26" s="158"/>
      <c r="AX26" s="159"/>
      <c r="AY26" s="126"/>
      <c r="AZ26" s="160"/>
      <c r="BA26" s="162"/>
      <c r="BB26" s="125"/>
      <c r="BC26" s="158"/>
      <c r="BD26" s="159"/>
      <c r="BE26" s="126"/>
      <c r="BF26" s="160"/>
      <c r="BG26" s="162"/>
      <c r="BH26" s="125"/>
      <c r="BI26" s="158"/>
      <c r="BJ26" s="159"/>
      <c r="BK26" s="126"/>
      <c r="BL26" s="160"/>
      <c r="BM26" s="162"/>
      <c r="BN26" s="125"/>
      <c r="BO26" s="158"/>
      <c r="BP26" s="159"/>
      <c r="BQ26" s="126"/>
      <c r="BR26" s="160"/>
      <c r="BS26" s="162"/>
      <c r="BT26" s="125"/>
      <c r="BU26" s="158"/>
      <c r="BV26" s="159"/>
      <c r="BW26" s="126"/>
      <c r="BX26" s="160"/>
      <c r="BY26" s="162"/>
      <c r="BZ26" s="133"/>
      <c r="CA26" s="134"/>
      <c r="CB26" s="165"/>
      <c r="CC26" s="170">
        <f t="shared" si="2"/>
        <v>0</v>
      </c>
      <c r="CD26" s="171">
        <f t="shared" si="3"/>
        <v>1</v>
      </c>
      <c r="CE26" s="171">
        <f t="shared" si="4"/>
        <v>0</v>
      </c>
      <c r="CF26" s="171">
        <f t="shared" si="5"/>
        <v>0</v>
      </c>
      <c r="CG26" s="171">
        <f t="shared" si="6"/>
        <v>0</v>
      </c>
      <c r="CH26" s="172">
        <f t="shared" si="7"/>
        <v>0</v>
      </c>
    </row>
    <row r="27" spans="1:91" s="1" customFormat="1" ht="24" customHeight="1" x14ac:dyDescent="0.2">
      <c r="A27" s="142" t="s">
        <v>329</v>
      </c>
      <c r="B27" s="139" t="s">
        <v>33</v>
      </c>
      <c r="C27" s="139" t="s">
        <v>343</v>
      </c>
      <c r="D27" s="139" t="s">
        <v>344</v>
      </c>
      <c r="E27" s="152" t="s">
        <v>302</v>
      </c>
      <c r="F27" s="125">
        <v>1</v>
      </c>
      <c r="G27" s="158">
        <v>2</v>
      </c>
      <c r="H27" s="159"/>
      <c r="I27" s="126"/>
      <c r="J27" s="160"/>
      <c r="K27" s="162"/>
      <c r="L27" s="125">
        <v>1</v>
      </c>
      <c r="M27" s="158">
        <v>1</v>
      </c>
      <c r="N27" s="159">
        <v>1</v>
      </c>
      <c r="O27" s="126"/>
      <c r="P27" s="160"/>
      <c r="Q27" s="162"/>
      <c r="R27" s="125">
        <v>1</v>
      </c>
      <c r="S27" s="158">
        <v>1</v>
      </c>
      <c r="T27" s="159"/>
      <c r="U27" s="126"/>
      <c r="V27" s="160"/>
      <c r="W27" s="162"/>
      <c r="X27" s="125"/>
      <c r="Y27" s="158"/>
      <c r="Z27" s="159"/>
      <c r="AA27" s="126"/>
      <c r="AB27" s="160"/>
      <c r="AC27" s="162"/>
      <c r="AD27" s="125"/>
      <c r="AE27" s="158"/>
      <c r="AF27" s="159"/>
      <c r="AG27" s="126"/>
      <c r="AH27" s="160"/>
      <c r="AI27" s="162"/>
      <c r="AJ27" s="362"/>
      <c r="AK27" s="363"/>
      <c r="AL27" s="364"/>
      <c r="AM27" s="364"/>
      <c r="AN27" s="364"/>
      <c r="AO27" s="365"/>
      <c r="AP27" s="362"/>
      <c r="AQ27" s="363"/>
      <c r="AR27" s="364"/>
      <c r="AS27" s="364"/>
      <c r="AT27" s="364"/>
      <c r="AU27" s="365"/>
      <c r="AV27" s="362"/>
      <c r="AW27" s="363"/>
      <c r="AX27" s="364"/>
      <c r="AY27" s="364"/>
      <c r="AZ27" s="364"/>
      <c r="BA27" s="365"/>
      <c r="BB27" s="362"/>
      <c r="BC27" s="363"/>
      <c r="BD27" s="364"/>
      <c r="BE27" s="364"/>
      <c r="BF27" s="364"/>
      <c r="BG27" s="365"/>
      <c r="BH27" s="362"/>
      <c r="BI27" s="363"/>
      <c r="BJ27" s="364"/>
      <c r="BK27" s="364"/>
      <c r="BL27" s="364"/>
      <c r="BM27" s="365"/>
      <c r="BN27" s="362"/>
      <c r="BO27" s="363"/>
      <c r="BP27" s="364"/>
      <c r="BQ27" s="364"/>
      <c r="BR27" s="364"/>
      <c r="BS27" s="365"/>
      <c r="BT27" s="362"/>
      <c r="BU27" s="363"/>
      <c r="BV27" s="364"/>
      <c r="BW27" s="364"/>
      <c r="BX27" s="364"/>
      <c r="BY27" s="365"/>
      <c r="BZ27" s="133"/>
      <c r="CA27" s="134"/>
      <c r="CB27" s="165"/>
      <c r="CC27" s="170">
        <f t="shared" si="2"/>
        <v>3</v>
      </c>
      <c r="CD27" s="171">
        <f t="shared" si="3"/>
        <v>4</v>
      </c>
      <c r="CE27" s="171">
        <f t="shared" si="4"/>
        <v>1</v>
      </c>
      <c r="CF27" s="171">
        <f t="shared" si="5"/>
        <v>0</v>
      </c>
      <c r="CG27" s="171">
        <f t="shared" si="6"/>
        <v>0</v>
      </c>
      <c r="CH27" s="172">
        <f t="shared" si="7"/>
        <v>0</v>
      </c>
    </row>
    <row r="28" spans="1:91" s="1" customFormat="1" ht="24" customHeight="1" x14ac:dyDescent="0.2">
      <c r="A28" s="142" t="s">
        <v>345</v>
      </c>
      <c r="B28" s="141" t="s">
        <v>97</v>
      </c>
      <c r="C28" s="139" t="s">
        <v>346</v>
      </c>
      <c r="D28" s="141" t="s">
        <v>347</v>
      </c>
      <c r="E28" s="152" t="s">
        <v>294</v>
      </c>
      <c r="F28" s="125">
        <v>1</v>
      </c>
      <c r="G28" s="158">
        <v>2</v>
      </c>
      <c r="H28" s="159"/>
      <c r="I28" s="126"/>
      <c r="J28" s="160"/>
      <c r="K28" s="162"/>
      <c r="L28" s="125">
        <v>2</v>
      </c>
      <c r="M28" s="158">
        <v>1</v>
      </c>
      <c r="N28" s="159">
        <v>1</v>
      </c>
      <c r="O28" s="126"/>
      <c r="P28" s="160"/>
      <c r="Q28" s="162"/>
      <c r="R28" s="125"/>
      <c r="S28" s="158">
        <v>1</v>
      </c>
      <c r="T28" s="159"/>
      <c r="U28" s="126"/>
      <c r="V28" s="160"/>
      <c r="W28" s="162"/>
      <c r="X28" s="125">
        <v>1</v>
      </c>
      <c r="Y28" s="158">
        <v>2</v>
      </c>
      <c r="Z28" s="159"/>
      <c r="AA28" s="126"/>
      <c r="AB28" s="160"/>
      <c r="AC28" s="162"/>
      <c r="AD28" s="125"/>
      <c r="AE28" s="158"/>
      <c r="AF28" s="159"/>
      <c r="AG28" s="126"/>
      <c r="AH28" s="160"/>
      <c r="AI28" s="162"/>
      <c r="AJ28" s="125"/>
      <c r="AK28" s="158">
        <v>2</v>
      </c>
      <c r="AL28" s="159"/>
      <c r="AM28" s="126"/>
      <c r="AN28" s="160"/>
      <c r="AO28" s="162"/>
      <c r="AP28" s="125"/>
      <c r="AQ28" s="158"/>
      <c r="AR28" s="159"/>
      <c r="AS28" s="126"/>
      <c r="AT28" s="160"/>
      <c r="AU28" s="162"/>
      <c r="AV28" s="125"/>
      <c r="AW28" s="158"/>
      <c r="AX28" s="159"/>
      <c r="AY28" s="126"/>
      <c r="AZ28" s="160"/>
      <c r="BA28" s="162"/>
      <c r="BB28" s="125"/>
      <c r="BC28" s="158"/>
      <c r="BD28" s="159"/>
      <c r="BE28" s="126"/>
      <c r="BF28" s="160"/>
      <c r="BG28" s="162"/>
      <c r="BH28" s="125"/>
      <c r="BI28" s="158"/>
      <c r="BJ28" s="159"/>
      <c r="BK28" s="126"/>
      <c r="BL28" s="160"/>
      <c r="BM28" s="162"/>
      <c r="BN28" s="125"/>
      <c r="BO28" s="158"/>
      <c r="BP28" s="159"/>
      <c r="BQ28" s="126"/>
      <c r="BR28" s="160"/>
      <c r="BS28" s="162"/>
      <c r="BT28" s="125"/>
      <c r="BU28" s="158"/>
      <c r="BV28" s="159"/>
      <c r="BW28" s="126"/>
      <c r="BX28" s="160"/>
      <c r="BY28" s="162"/>
      <c r="BZ28" s="133"/>
      <c r="CA28" s="134"/>
      <c r="CB28" s="165"/>
      <c r="CC28" s="170">
        <f t="shared" si="2"/>
        <v>4</v>
      </c>
      <c r="CD28" s="171">
        <f t="shared" si="3"/>
        <v>8</v>
      </c>
      <c r="CE28" s="171">
        <f t="shared" si="4"/>
        <v>1</v>
      </c>
      <c r="CF28" s="171">
        <f t="shared" si="5"/>
        <v>0</v>
      </c>
      <c r="CG28" s="171">
        <f t="shared" si="6"/>
        <v>0</v>
      </c>
      <c r="CH28" s="172">
        <f t="shared" si="7"/>
        <v>0</v>
      </c>
    </row>
    <row r="29" spans="1:91" s="1" customFormat="1" ht="24" customHeight="1" x14ac:dyDescent="0.2">
      <c r="A29" s="142" t="s">
        <v>329</v>
      </c>
      <c r="B29" s="139" t="s">
        <v>348</v>
      </c>
      <c r="C29" s="139" t="s">
        <v>349</v>
      </c>
      <c r="D29" s="139" t="s">
        <v>350</v>
      </c>
      <c r="E29" s="152" t="s">
        <v>294</v>
      </c>
      <c r="F29" s="125"/>
      <c r="G29" s="158">
        <v>2</v>
      </c>
      <c r="H29" s="159"/>
      <c r="I29" s="126"/>
      <c r="J29" s="160"/>
      <c r="K29" s="162"/>
      <c r="L29" s="125"/>
      <c r="M29" s="158">
        <v>1</v>
      </c>
      <c r="N29" s="159">
        <v>1</v>
      </c>
      <c r="O29" s="126"/>
      <c r="P29" s="160"/>
      <c r="Q29" s="162"/>
      <c r="R29" s="125"/>
      <c r="S29" s="158">
        <v>1</v>
      </c>
      <c r="T29" s="159"/>
      <c r="U29" s="126"/>
      <c r="V29" s="160"/>
      <c r="W29" s="162"/>
      <c r="X29" s="125"/>
      <c r="Y29" s="158">
        <v>2</v>
      </c>
      <c r="Z29" s="159"/>
      <c r="AA29" s="126"/>
      <c r="AB29" s="160"/>
      <c r="AC29" s="162"/>
      <c r="AD29" s="125"/>
      <c r="AE29" s="158"/>
      <c r="AF29" s="159"/>
      <c r="AG29" s="126"/>
      <c r="AH29" s="160"/>
      <c r="AI29" s="162"/>
      <c r="AJ29" s="125"/>
      <c r="AK29" s="158">
        <v>2</v>
      </c>
      <c r="AL29" s="159"/>
      <c r="AM29" s="126"/>
      <c r="AN29" s="160"/>
      <c r="AO29" s="162"/>
      <c r="AP29" s="125"/>
      <c r="AQ29" s="158"/>
      <c r="AR29" s="159"/>
      <c r="AS29" s="126"/>
      <c r="AT29" s="160"/>
      <c r="AU29" s="162"/>
      <c r="AV29" s="125"/>
      <c r="AW29" s="158"/>
      <c r="AX29" s="159"/>
      <c r="AY29" s="126"/>
      <c r="AZ29" s="160"/>
      <c r="BA29" s="162"/>
      <c r="BB29" s="125"/>
      <c r="BC29" s="158"/>
      <c r="BD29" s="159"/>
      <c r="BE29" s="126"/>
      <c r="BF29" s="160"/>
      <c r="BG29" s="162"/>
      <c r="BH29" s="125"/>
      <c r="BI29" s="158"/>
      <c r="BJ29" s="159"/>
      <c r="BK29" s="126"/>
      <c r="BL29" s="160"/>
      <c r="BM29" s="162"/>
      <c r="BN29" s="125"/>
      <c r="BO29" s="158"/>
      <c r="BP29" s="159"/>
      <c r="BQ29" s="126"/>
      <c r="BR29" s="160"/>
      <c r="BS29" s="162"/>
      <c r="BT29" s="125"/>
      <c r="BU29" s="158"/>
      <c r="BV29" s="159"/>
      <c r="BW29" s="126"/>
      <c r="BX29" s="160"/>
      <c r="BY29" s="162"/>
      <c r="BZ29" s="133"/>
      <c r="CA29" s="134"/>
      <c r="CB29" s="165"/>
      <c r="CC29" s="170">
        <f t="shared" si="2"/>
        <v>0</v>
      </c>
      <c r="CD29" s="171">
        <f t="shared" si="3"/>
        <v>8</v>
      </c>
      <c r="CE29" s="171">
        <f t="shared" si="4"/>
        <v>1</v>
      </c>
      <c r="CF29" s="171">
        <f t="shared" si="5"/>
        <v>0</v>
      </c>
      <c r="CG29" s="171">
        <f t="shared" si="6"/>
        <v>0</v>
      </c>
      <c r="CH29" s="172">
        <f t="shared" si="7"/>
        <v>0</v>
      </c>
    </row>
    <row r="30" spans="1:91" s="1" customFormat="1" ht="24" customHeight="1" x14ac:dyDescent="0.2">
      <c r="A30" s="142" t="s">
        <v>329</v>
      </c>
      <c r="B30" s="139" t="s">
        <v>86</v>
      </c>
      <c r="C30" s="139" t="s">
        <v>351</v>
      </c>
      <c r="D30" s="139" t="s">
        <v>352</v>
      </c>
      <c r="E30" s="152" t="s">
        <v>302</v>
      </c>
      <c r="F30" s="125"/>
      <c r="G30" s="158">
        <v>2</v>
      </c>
      <c r="H30" s="159"/>
      <c r="I30" s="126"/>
      <c r="J30" s="160"/>
      <c r="K30" s="162"/>
      <c r="L30" s="125"/>
      <c r="M30" s="158">
        <v>1</v>
      </c>
      <c r="N30" s="159">
        <v>1</v>
      </c>
      <c r="O30" s="126"/>
      <c r="P30" s="160"/>
      <c r="Q30" s="162"/>
      <c r="R30" s="125"/>
      <c r="S30" s="158">
        <v>1</v>
      </c>
      <c r="T30" s="159"/>
      <c r="U30" s="126"/>
      <c r="V30" s="160"/>
      <c r="W30" s="162"/>
      <c r="X30" s="125"/>
      <c r="Y30" s="158">
        <v>2</v>
      </c>
      <c r="Z30" s="159"/>
      <c r="AA30" s="126"/>
      <c r="AB30" s="160"/>
      <c r="AC30" s="162"/>
      <c r="AD30" s="362"/>
      <c r="AE30" s="363"/>
      <c r="AF30" s="364"/>
      <c r="AG30" s="364"/>
      <c r="AH30" s="364"/>
      <c r="AI30" s="365"/>
      <c r="AJ30" s="362"/>
      <c r="AK30" s="363"/>
      <c r="AL30" s="364"/>
      <c r="AM30" s="364"/>
      <c r="AN30" s="364"/>
      <c r="AO30" s="365"/>
      <c r="AP30" s="362"/>
      <c r="AQ30" s="363"/>
      <c r="AR30" s="364"/>
      <c r="AS30" s="364"/>
      <c r="AT30" s="364"/>
      <c r="AU30" s="365"/>
      <c r="AV30" s="362"/>
      <c r="AW30" s="363"/>
      <c r="AX30" s="364"/>
      <c r="AY30" s="364"/>
      <c r="AZ30" s="364"/>
      <c r="BA30" s="365"/>
      <c r="BB30" s="362"/>
      <c r="BC30" s="363"/>
      <c r="BD30" s="364"/>
      <c r="BE30" s="364"/>
      <c r="BF30" s="364"/>
      <c r="BG30" s="365"/>
      <c r="BH30" s="362"/>
      <c r="BI30" s="363"/>
      <c r="BJ30" s="364"/>
      <c r="BK30" s="364"/>
      <c r="BL30" s="364"/>
      <c r="BM30" s="365"/>
      <c r="BN30" s="362"/>
      <c r="BO30" s="363"/>
      <c r="BP30" s="364"/>
      <c r="BQ30" s="364"/>
      <c r="BR30" s="364"/>
      <c r="BS30" s="365"/>
      <c r="BT30" s="362"/>
      <c r="BU30" s="363"/>
      <c r="BV30" s="364"/>
      <c r="BW30" s="364"/>
      <c r="BX30" s="364"/>
      <c r="BY30" s="365"/>
      <c r="BZ30" s="133"/>
      <c r="CA30" s="134"/>
      <c r="CB30" s="165"/>
      <c r="CC30" s="170">
        <f t="shared" si="2"/>
        <v>0</v>
      </c>
      <c r="CD30" s="171">
        <f t="shared" si="3"/>
        <v>6</v>
      </c>
      <c r="CE30" s="171">
        <f t="shared" si="4"/>
        <v>1</v>
      </c>
      <c r="CF30" s="171">
        <f t="shared" si="5"/>
        <v>0</v>
      </c>
      <c r="CG30" s="171">
        <f t="shared" si="6"/>
        <v>0</v>
      </c>
      <c r="CH30" s="172">
        <f t="shared" si="7"/>
        <v>0</v>
      </c>
    </row>
    <row r="31" spans="1:91" s="1" customFormat="1" ht="24" customHeight="1" x14ac:dyDescent="0.2">
      <c r="A31" s="176" t="s">
        <v>35</v>
      </c>
      <c r="B31" s="139" t="s">
        <v>33</v>
      </c>
      <c r="C31" s="139" t="s">
        <v>353</v>
      </c>
      <c r="D31" s="139" t="s">
        <v>354</v>
      </c>
      <c r="E31" s="152" t="s">
        <v>294</v>
      </c>
      <c r="F31" s="456"/>
      <c r="G31" s="457"/>
      <c r="H31" s="458"/>
      <c r="I31" s="458"/>
      <c r="J31" s="458"/>
      <c r="K31" s="459"/>
      <c r="L31" s="456"/>
      <c r="M31" s="457"/>
      <c r="N31" s="458"/>
      <c r="O31" s="458"/>
      <c r="P31" s="458"/>
      <c r="Q31" s="459"/>
      <c r="R31" s="456"/>
      <c r="S31" s="457"/>
      <c r="T31" s="458"/>
      <c r="U31" s="458"/>
      <c r="V31" s="458"/>
      <c r="W31" s="459"/>
      <c r="X31" s="456"/>
      <c r="Y31" s="457"/>
      <c r="Z31" s="458"/>
      <c r="AA31" s="458"/>
      <c r="AB31" s="458"/>
      <c r="AC31" s="459"/>
      <c r="AD31" s="362"/>
      <c r="AE31" s="363"/>
      <c r="AF31" s="364"/>
      <c r="AG31" s="364"/>
      <c r="AH31" s="364"/>
      <c r="AI31" s="365"/>
      <c r="AJ31" s="362"/>
      <c r="AK31" s="363"/>
      <c r="AL31" s="364"/>
      <c r="AM31" s="364"/>
      <c r="AN31" s="364"/>
      <c r="AO31" s="365"/>
      <c r="AP31" s="362"/>
      <c r="AQ31" s="363"/>
      <c r="AR31" s="364"/>
      <c r="AS31" s="364"/>
      <c r="AT31" s="364"/>
      <c r="AU31" s="365"/>
      <c r="AV31" s="362">
        <v>1</v>
      </c>
      <c r="AW31" s="363"/>
      <c r="AX31" s="364"/>
      <c r="AY31" s="364"/>
      <c r="AZ31" s="364"/>
      <c r="BA31" s="365"/>
      <c r="BB31" s="125"/>
      <c r="BC31" s="158"/>
      <c r="BD31" s="159"/>
      <c r="BE31" s="126"/>
      <c r="BF31" s="160"/>
      <c r="BG31" s="162"/>
      <c r="BH31" s="125"/>
      <c r="BI31" s="158"/>
      <c r="BJ31" s="159"/>
      <c r="BK31" s="126"/>
      <c r="BL31" s="160"/>
      <c r="BM31" s="162"/>
      <c r="BN31" s="125"/>
      <c r="BO31" s="158"/>
      <c r="BP31" s="159"/>
      <c r="BQ31" s="126"/>
      <c r="BR31" s="160"/>
      <c r="BS31" s="162"/>
      <c r="BT31" s="125">
        <v>1</v>
      </c>
      <c r="BU31" s="158">
        <v>1</v>
      </c>
      <c r="BV31" s="159"/>
      <c r="BW31" s="126"/>
      <c r="BX31" s="160"/>
      <c r="BY31" s="162"/>
      <c r="BZ31" s="133"/>
      <c r="CA31" s="134"/>
      <c r="CB31" s="165"/>
      <c r="CC31" s="170">
        <f t="shared" ref="CC31" si="9">SUM(F31,L31,R31,X31,AD31,AJ31,AP31,AV31,BB31,BH31,BN31,BT31)</f>
        <v>2</v>
      </c>
      <c r="CD31" s="171">
        <f t="shared" ref="CD31" si="10">SUM(G31,M31,S31,Y31,AE31,AK31,AQ31,AW31,BC31,BI31,BO31,BU31)</f>
        <v>1</v>
      </c>
      <c r="CE31" s="171">
        <f t="shared" ref="CE31" si="11">SUM(H31,N31,T31,Z31,AF31,AL31,AR31,AX31,BD31,BJ31,BP31,BV31)</f>
        <v>0</v>
      </c>
      <c r="CF31" s="171">
        <f t="shared" ref="CF31" si="12">SUM(I31,O31,U31,AA31,AG31,AM31,AS31,AY31,BE31,BK31,BQ31,BW31)</f>
        <v>0</v>
      </c>
      <c r="CG31" s="171">
        <f t="shared" ref="CG31" si="13">SUM(J31,P31,V31,AB31,AH31,AN31,AT31,AZ31,BF31,BL31,BR31,BX31)</f>
        <v>0</v>
      </c>
      <c r="CH31" s="172">
        <f t="shared" ref="CH31" si="14">SUM(K31,Q31,W31,AC31,AI31,AO31,AU31,BA31,BG31,BM31,BS31,BY31)</f>
        <v>0</v>
      </c>
    </row>
    <row r="32" spans="1:91" s="1" customFormat="1" ht="24" customHeight="1" x14ac:dyDescent="0.2">
      <c r="A32" s="239" t="s">
        <v>306</v>
      </c>
      <c r="B32" s="141" t="s">
        <v>306</v>
      </c>
      <c r="C32" s="139" t="s">
        <v>355</v>
      </c>
      <c r="D32" s="141" t="s">
        <v>356</v>
      </c>
      <c r="E32" s="152" t="s">
        <v>302</v>
      </c>
      <c r="F32" s="125"/>
      <c r="G32" s="158">
        <v>1</v>
      </c>
      <c r="H32" s="159"/>
      <c r="I32" s="126"/>
      <c r="J32" s="160"/>
      <c r="K32" s="162"/>
      <c r="L32" s="125"/>
      <c r="M32" s="158"/>
      <c r="N32" s="159"/>
      <c r="O32" s="126"/>
      <c r="P32" s="160"/>
      <c r="Q32" s="162"/>
      <c r="R32" s="125"/>
      <c r="S32" s="158"/>
      <c r="T32" s="159"/>
      <c r="U32" s="126"/>
      <c r="V32" s="160"/>
      <c r="W32" s="162"/>
      <c r="X32" s="125"/>
      <c r="Y32" s="158"/>
      <c r="Z32" s="159"/>
      <c r="AA32" s="126"/>
      <c r="AB32" s="160"/>
      <c r="AC32" s="162"/>
      <c r="AD32" s="125"/>
      <c r="AE32" s="158"/>
      <c r="AF32" s="159"/>
      <c r="AG32" s="126"/>
      <c r="AH32" s="160"/>
      <c r="AI32" s="162"/>
      <c r="AJ32" s="125"/>
      <c r="AK32" s="158"/>
      <c r="AL32" s="159"/>
      <c r="AM32" s="126"/>
      <c r="AN32" s="160"/>
      <c r="AO32" s="162"/>
      <c r="AP32" s="125"/>
      <c r="AQ32" s="158"/>
      <c r="AR32" s="159"/>
      <c r="AS32" s="126"/>
      <c r="AT32" s="160"/>
      <c r="AU32" s="162"/>
      <c r="AV32" s="125"/>
      <c r="AW32" s="158"/>
      <c r="AX32" s="159"/>
      <c r="AY32" s="126"/>
      <c r="AZ32" s="160"/>
      <c r="BA32" s="162"/>
      <c r="BB32" s="125"/>
      <c r="BC32" s="158"/>
      <c r="BD32" s="159"/>
      <c r="BE32" s="126"/>
      <c r="BF32" s="160"/>
      <c r="BG32" s="162"/>
      <c r="BH32" s="125"/>
      <c r="BI32" s="158"/>
      <c r="BJ32" s="159"/>
      <c r="BK32" s="126"/>
      <c r="BL32" s="160"/>
      <c r="BM32" s="162"/>
      <c r="BN32" s="125"/>
      <c r="BO32" s="158"/>
      <c r="BP32" s="159"/>
      <c r="BQ32" s="126"/>
      <c r="BR32" s="160"/>
      <c r="BS32" s="162"/>
      <c r="BT32" s="125"/>
      <c r="BU32" s="158"/>
      <c r="BV32" s="159"/>
      <c r="BW32" s="126"/>
      <c r="BX32" s="160"/>
      <c r="BY32" s="162"/>
      <c r="BZ32" s="133"/>
      <c r="CA32" s="134"/>
      <c r="CB32" s="165"/>
      <c r="CC32" s="170">
        <f t="shared" si="2"/>
        <v>0</v>
      </c>
      <c r="CD32" s="171">
        <f t="shared" si="3"/>
        <v>1</v>
      </c>
      <c r="CE32" s="171">
        <f t="shared" si="4"/>
        <v>0</v>
      </c>
      <c r="CF32" s="171">
        <f t="shared" si="5"/>
        <v>0</v>
      </c>
      <c r="CG32" s="171">
        <f t="shared" si="6"/>
        <v>0</v>
      </c>
      <c r="CH32" s="172">
        <f t="shared" si="7"/>
        <v>0</v>
      </c>
    </row>
    <row r="33" spans="1:86" s="1" customFormat="1" ht="24" customHeight="1" x14ac:dyDescent="0.2">
      <c r="A33" s="239" t="s">
        <v>306</v>
      </c>
      <c r="B33" s="141" t="s">
        <v>306</v>
      </c>
      <c r="C33" s="139" t="s">
        <v>357</v>
      </c>
      <c r="D33" s="141" t="s">
        <v>358</v>
      </c>
      <c r="E33" s="152" t="s">
        <v>294</v>
      </c>
      <c r="F33" s="125"/>
      <c r="G33" s="158">
        <v>1</v>
      </c>
      <c r="H33" s="159"/>
      <c r="I33" s="126"/>
      <c r="J33" s="160"/>
      <c r="K33" s="162"/>
      <c r="L33" s="125"/>
      <c r="M33" s="158"/>
      <c r="N33" s="159"/>
      <c r="O33" s="126"/>
      <c r="P33" s="160"/>
      <c r="Q33" s="162"/>
      <c r="R33" s="125"/>
      <c r="S33" s="158"/>
      <c r="T33" s="159"/>
      <c r="U33" s="126"/>
      <c r="V33" s="160"/>
      <c r="W33" s="162"/>
      <c r="X33" s="125"/>
      <c r="Y33" s="158"/>
      <c r="Z33" s="159"/>
      <c r="AA33" s="126"/>
      <c r="AB33" s="160"/>
      <c r="AC33" s="162"/>
      <c r="AD33" s="125"/>
      <c r="AE33" s="158"/>
      <c r="AF33" s="159"/>
      <c r="AG33" s="126"/>
      <c r="AH33" s="160"/>
      <c r="AI33" s="162"/>
      <c r="AJ33" s="125"/>
      <c r="AK33" s="158"/>
      <c r="AL33" s="159"/>
      <c r="AM33" s="126"/>
      <c r="AN33" s="160"/>
      <c r="AO33" s="162"/>
      <c r="AP33" s="125"/>
      <c r="AQ33" s="158"/>
      <c r="AR33" s="159"/>
      <c r="AS33" s="126"/>
      <c r="AT33" s="160"/>
      <c r="AU33" s="162"/>
      <c r="AV33" s="125"/>
      <c r="AW33" s="158"/>
      <c r="AX33" s="159"/>
      <c r="AY33" s="126"/>
      <c r="AZ33" s="160"/>
      <c r="BA33" s="162"/>
      <c r="BB33" s="125"/>
      <c r="BC33" s="158"/>
      <c r="BD33" s="159"/>
      <c r="BE33" s="126"/>
      <c r="BF33" s="160"/>
      <c r="BG33" s="162"/>
      <c r="BH33" s="125"/>
      <c r="BI33" s="158"/>
      <c r="BJ33" s="159"/>
      <c r="BK33" s="126"/>
      <c r="BL33" s="160"/>
      <c r="BM33" s="162"/>
      <c r="BN33" s="125"/>
      <c r="BO33" s="158"/>
      <c r="BP33" s="159"/>
      <c r="BQ33" s="126"/>
      <c r="BR33" s="160"/>
      <c r="BS33" s="162"/>
      <c r="BT33" s="125"/>
      <c r="BU33" s="158"/>
      <c r="BV33" s="159"/>
      <c r="BW33" s="126"/>
      <c r="BX33" s="160"/>
      <c r="BY33" s="162"/>
      <c r="BZ33" s="133"/>
      <c r="CA33" s="134"/>
      <c r="CB33" s="165"/>
      <c r="CC33" s="170">
        <f t="shared" si="2"/>
        <v>0</v>
      </c>
      <c r="CD33" s="171">
        <f t="shared" si="3"/>
        <v>1</v>
      </c>
      <c r="CE33" s="171">
        <f t="shared" si="4"/>
        <v>0</v>
      </c>
      <c r="CF33" s="171">
        <f t="shared" si="5"/>
        <v>0</v>
      </c>
      <c r="CG33" s="171">
        <f t="shared" si="6"/>
        <v>0</v>
      </c>
      <c r="CH33" s="172">
        <f t="shared" si="7"/>
        <v>0</v>
      </c>
    </row>
    <row r="34" spans="1:86" s="1" customFormat="1" ht="24" customHeight="1" x14ac:dyDescent="0.2">
      <c r="A34" s="142" t="s">
        <v>329</v>
      </c>
      <c r="B34" s="139" t="s">
        <v>86</v>
      </c>
      <c r="C34" s="139" t="s">
        <v>359</v>
      </c>
      <c r="D34" s="139" t="s">
        <v>360</v>
      </c>
      <c r="E34" s="152" t="s">
        <v>302</v>
      </c>
      <c r="F34" s="125"/>
      <c r="G34" s="158">
        <v>2</v>
      </c>
      <c r="H34" s="159"/>
      <c r="I34" s="126"/>
      <c r="J34" s="160">
        <v>1</v>
      </c>
      <c r="K34" s="162"/>
      <c r="L34" s="125"/>
      <c r="M34" s="158">
        <v>1</v>
      </c>
      <c r="N34" s="159">
        <v>1</v>
      </c>
      <c r="O34" s="126"/>
      <c r="P34" s="160"/>
      <c r="Q34" s="162"/>
      <c r="R34" s="125"/>
      <c r="S34" s="158">
        <v>1</v>
      </c>
      <c r="T34" s="159"/>
      <c r="U34" s="126"/>
      <c r="V34" s="160"/>
      <c r="W34" s="162"/>
      <c r="X34" s="125"/>
      <c r="Y34" s="158">
        <v>2</v>
      </c>
      <c r="Z34" s="159"/>
      <c r="AA34" s="126"/>
      <c r="AB34" s="160"/>
      <c r="AC34" s="162"/>
      <c r="AD34" s="125"/>
      <c r="AE34" s="158"/>
      <c r="AF34" s="159"/>
      <c r="AG34" s="126"/>
      <c r="AH34" s="160"/>
      <c r="AI34" s="162"/>
      <c r="AJ34" s="125"/>
      <c r="AK34" s="158">
        <v>2</v>
      </c>
      <c r="AL34" s="159"/>
      <c r="AM34" s="126"/>
      <c r="AN34" s="160"/>
      <c r="AO34" s="162"/>
      <c r="AP34" s="125"/>
      <c r="AQ34" s="158"/>
      <c r="AR34" s="159"/>
      <c r="AS34" s="126"/>
      <c r="AT34" s="160"/>
      <c r="AU34" s="162"/>
      <c r="AV34" s="125"/>
      <c r="AW34" s="158"/>
      <c r="AX34" s="159"/>
      <c r="AY34" s="126"/>
      <c r="AZ34" s="160"/>
      <c r="BA34" s="162"/>
      <c r="BB34" s="125"/>
      <c r="BC34" s="158"/>
      <c r="BD34" s="159"/>
      <c r="BE34" s="126"/>
      <c r="BF34" s="160"/>
      <c r="BG34" s="162"/>
      <c r="BH34" s="125"/>
      <c r="BI34" s="158"/>
      <c r="BJ34" s="159"/>
      <c r="BK34" s="126"/>
      <c r="BL34" s="160"/>
      <c r="BM34" s="162"/>
      <c r="BN34" s="125"/>
      <c r="BO34" s="158"/>
      <c r="BP34" s="159"/>
      <c r="BQ34" s="126"/>
      <c r="BR34" s="160"/>
      <c r="BS34" s="162"/>
      <c r="BT34" s="125"/>
      <c r="BU34" s="158"/>
      <c r="BV34" s="159"/>
      <c r="BW34" s="126"/>
      <c r="BX34" s="160"/>
      <c r="BY34" s="162"/>
      <c r="BZ34" s="133"/>
      <c r="CA34" s="134"/>
      <c r="CB34" s="165"/>
      <c r="CC34" s="170">
        <f t="shared" si="2"/>
        <v>0</v>
      </c>
      <c r="CD34" s="171">
        <f t="shared" si="3"/>
        <v>8</v>
      </c>
      <c r="CE34" s="171">
        <f t="shared" si="4"/>
        <v>1</v>
      </c>
      <c r="CF34" s="171">
        <f t="shared" si="5"/>
        <v>0</v>
      </c>
      <c r="CG34" s="171">
        <f t="shared" si="6"/>
        <v>1</v>
      </c>
      <c r="CH34" s="172">
        <f t="shared" si="7"/>
        <v>0</v>
      </c>
    </row>
    <row r="35" spans="1:86" s="1" customFormat="1" ht="24" customHeight="1" x14ac:dyDescent="0.2">
      <c r="A35" s="142" t="s">
        <v>345</v>
      </c>
      <c r="B35" s="139" t="s">
        <v>361</v>
      </c>
      <c r="C35" s="139" t="s">
        <v>362</v>
      </c>
      <c r="D35" s="139" t="s">
        <v>363</v>
      </c>
      <c r="E35" s="152" t="s">
        <v>361</v>
      </c>
      <c r="F35" s="125"/>
      <c r="G35" s="158"/>
      <c r="H35" s="159"/>
      <c r="I35" s="126"/>
      <c r="J35" s="160"/>
      <c r="K35" s="162"/>
      <c r="L35" s="125"/>
      <c r="M35" s="158"/>
      <c r="N35" s="159"/>
      <c r="O35" s="126"/>
      <c r="P35" s="160"/>
      <c r="Q35" s="162"/>
      <c r="R35" s="125"/>
      <c r="S35" s="158"/>
      <c r="T35" s="159"/>
      <c r="U35" s="126"/>
      <c r="V35" s="160"/>
      <c r="W35" s="162"/>
      <c r="X35" s="125"/>
      <c r="Y35" s="158"/>
      <c r="Z35" s="159"/>
      <c r="AA35" s="126"/>
      <c r="AB35" s="160"/>
      <c r="AC35" s="162"/>
      <c r="AD35" s="125"/>
      <c r="AE35" s="158"/>
      <c r="AF35" s="159"/>
      <c r="AG35" s="126"/>
      <c r="AH35" s="160"/>
      <c r="AI35" s="162"/>
      <c r="AJ35" s="125"/>
      <c r="AK35" s="158"/>
      <c r="AL35" s="159"/>
      <c r="AM35" s="126"/>
      <c r="AN35" s="160"/>
      <c r="AO35" s="162"/>
      <c r="AP35" s="125"/>
      <c r="AQ35" s="158"/>
      <c r="AR35" s="159"/>
      <c r="AS35" s="126"/>
      <c r="AT35" s="160"/>
      <c r="AU35" s="162"/>
      <c r="AV35" s="125"/>
      <c r="AW35" s="158"/>
      <c r="AX35" s="159"/>
      <c r="AY35" s="126"/>
      <c r="AZ35" s="160"/>
      <c r="BA35" s="162"/>
      <c r="BB35" s="125"/>
      <c r="BC35" s="158"/>
      <c r="BD35" s="159"/>
      <c r="BE35" s="126"/>
      <c r="BF35" s="160"/>
      <c r="BG35" s="162"/>
      <c r="BH35" s="125"/>
      <c r="BI35" s="158"/>
      <c r="BJ35" s="159"/>
      <c r="BK35" s="126"/>
      <c r="BL35" s="160"/>
      <c r="BM35" s="162"/>
      <c r="BN35" s="125"/>
      <c r="BO35" s="158"/>
      <c r="BP35" s="159"/>
      <c r="BQ35" s="126"/>
      <c r="BR35" s="160"/>
      <c r="BS35" s="162"/>
      <c r="BT35" s="125"/>
      <c r="BU35" s="158"/>
      <c r="BV35" s="159"/>
      <c r="BW35" s="126"/>
      <c r="BX35" s="160"/>
      <c r="BY35" s="162"/>
      <c r="BZ35" s="133"/>
      <c r="CA35" s="134"/>
      <c r="CB35" s="165"/>
      <c r="CC35" s="170">
        <f t="shared" si="2"/>
        <v>0</v>
      </c>
      <c r="CD35" s="171">
        <f t="shared" si="3"/>
        <v>0</v>
      </c>
      <c r="CE35" s="171">
        <f t="shared" si="4"/>
        <v>0</v>
      </c>
      <c r="CF35" s="171">
        <f t="shared" si="5"/>
        <v>0</v>
      </c>
      <c r="CG35" s="171">
        <f t="shared" si="6"/>
        <v>0</v>
      </c>
      <c r="CH35" s="172">
        <f t="shared" si="7"/>
        <v>0</v>
      </c>
    </row>
    <row r="36" spans="1:86" s="1" customFormat="1" ht="24" customHeight="1" x14ac:dyDescent="0.2">
      <c r="A36" s="238" t="s">
        <v>306</v>
      </c>
      <c r="B36" s="141" t="s">
        <v>306</v>
      </c>
      <c r="C36" s="139" t="s">
        <v>364</v>
      </c>
      <c r="D36" s="141" t="s">
        <v>365</v>
      </c>
      <c r="E36" s="152" t="s">
        <v>297</v>
      </c>
      <c r="F36" s="125"/>
      <c r="G36" s="158"/>
      <c r="H36" s="159"/>
      <c r="I36" s="126"/>
      <c r="J36" s="160"/>
      <c r="K36" s="162"/>
      <c r="L36" s="125"/>
      <c r="M36" s="158"/>
      <c r="N36" s="159"/>
      <c r="O36" s="126"/>
      <c r="P36" s="160"/>
      <c r="Q36" s="162"/>
      <c r="R36" s="125"/>
      <c r="S36" s="158"/>
      <c r="T36" s="159"/>
      <c r="U36" s="126"/>
      <c r="V36" s="160"/>
      <c r="W36" s="162"/>
      <c r="X36" s="125"/>
      <c r="Y36" s="158"/>
      <c r="Z36" s="159"/>
      <c r="AA36" s="126"/>
      <c r="AB36" s="160"/>
      <c r="AC36" s="162"/>
      <c r="AD36" s="125"/>
      <c r="AE36" s="158"/>
      <c r="AF36" s="159"/>
      <c r="AG36" s="126"/>
      <c r="AH36" s="160"/>
      <c r="AI36" s="162"/>
      <c r="AJ36" s="125"/>
      <c r="AK36" s="158"/>
      <c r="AL36" s="159"/>
      <c r="AM36" s="126"/>
      <c r="AN36" s="160"/>
      <c r="AO36" s="162"/>
      <c r="AP36" s="125"/>
      <c r="AQ36" s="158"/>
      <c r="AR36" s="159"/>
      <c r="AS36" s="126"/>
      <c r="AT36" s="160"/>
      <c r="AU36" s="162"/>
      <c r="AV36" s="125"/>
      <c r="AW36" s="158"/>
      <c r="AX36" s="159"/>
      <c r="AY36" s="126"/>
      <c r="AZ36" s="160"/>
      <c r="BA36" s="162"/>
      <c r="BB36" s="125"/>
      <c r="BC36" s="158"/>
      <c r="BD36" s="159"/>
      <c r="BE36" s="126"/>
      <c r="BF36" s="160"/>
      <c r="BG36" s="162"/>
      <c r="BH36" s="125"/>
      <c r="BI36" s="158"/>
      <c r="BJ36" s="159"/>
      <c r="BK36" s="126"/>
      <c r="BL36" s="160"/>
      <c r="BM36" s="162"/>
      <c r="BN36" s="125"/>
      <c r="BO36" s="158"/>
      <c r="BP36" s="159"/>
      <c r="BQ36" s="126"/>
      <c r="BR36" s="160"/>
      <c r="BS36" s="162"/>
      <c r="BT36" s="125"/>
      <c r="BU36" s="158"/>
      <c r="BV36" s="159"/>
      <c r="BW36" s="126"/>
      <c r="BX36" s="160"/>
      <c r="BY36" s="162"/>
      <c r="BZ36" s="133"/>
      <c r="CA36" s="134"/>
      <c r="CB36" s="165"/>
      <c r="CC36" s="170">
        <f t="shared" si="2"/>
        <v>0</v>
      </c>
      <c r="CD36" s="171">
        <f t="shared" si="3"/>
        <v>0</v>
      </c>
      <c r="CE36" s="171">
        <f t="shared" si="4"/>
        <v>0</v>
      </c>
      <c r="CF36" s="171">
        <f t="shared" si="5"/>
        <v>0</v>
      </c>
      <c r="CG36" s="171">
        <f t="shared" si="6"/>
        <v>0</v>
      </c>
      <c r="CH36" s="172">
        <f t="shared" si="7"/>
        <v>0</v>
      </c>
    </row>
    <row r="37" spans="1:86" s="1" customFormat="1" ht="24" customHeight="1" x14ac:dyDescent="0.2">
      <c r="A37" s="142" t="s">
        <v>329</v>
      </c>
      <c r="B37" s="139" t="s">
        <v>33</v>
      </c>
      <c r="C37" s="139" t="s">
        <v>366</v>
      </c>
      <c r="D37" s="139" t="s">
        <v>367</v>
      </c>
      <c r="E37" s="152" t="s">
        <v>302</v>
      </c>
      <c r="F37" s="125"/>
      <c r="G37" s="158">
        <v>1</v>
      </c>
      <c r="H37" s="159"/>
      <c r="I37" s="126"/>
      <c r="J37" s="160"/>
      <c r="K37" s="162"/>
      <c r="L37" s="366" t="s">
        <v>11</v>
      </c>
      <c r="M37" s="367" t="s">
        <v>326</v>
      </c>
      <c r="N37" s="367" t="s">
        <v>326</v>
      </c>
      <c r="O37" s="367" t="s">
        <v>326</v>
      </c>
      <c r="P37" s="367" t="s">
        <v>326</v>
      </c>
      <c r="Q37" s="368" t="s">
        <v>326</v>
      </c>
      <c r="R37" s="125"/>
      <c r="S37" s="158">
        <v>1</v>
      </c>
      <c r="T37" s="159"/>
      <c r="U37" s="126"/>
      <c r="V37" s="160"/>
      <c r="W37" s="162"/>
      <c r="X37" s="125"/>
      <c r="Y37" s="158">
        <v>2</v>
      </c>
      <c r="Z37" s="159"/>
      <c r="AA37" s="126"/>
      <c r="AB37" s="160"/>
      <c r="AC37" s="162"/>
      <c r="AD37" s="125"/>
      <c r="AE37" s="158"/>
      <c r="AF37" s="159"/>
      <c r="AG37" s="126"/>
      <c r="AH37" s="160"/>
      <c r="AI37" s="162"/>
      <c r="AJ37" s="125"/>
      <c r="AK37" s="158">
        <v>2</v>
      </c>
      <c r="AL37" s="159"/>
      <c r="AM37" s="126"/>
      <c r="AN37" s="160"/>
      <c r="AO37" s="162"/>
      <c r="AP37" s="125"/>
      <c r="AQ37" s="158"/>
      <c r="AR37" s="159"/>
      <c r="AS37" s="126"/>
      <c r="AT37" s="160"/>
      <c r="AU37" s="162"/>
      <c r="AV37" s="125"/>
      <c r="AW37" s="158"/>
      <c r="AX37" s="159"/>
      <c r="AY37" s="126"/>
      <c r="AZ37" s="160"/>
      <c r="BA37" s="162"/>
      <c r="BB37" s="125"/>
      <c r="BC37" s="158"/>
      <c r="BD37" s="159"/>
      <c r="BE37" s="126"/>
      <c r="BF37" s="160"/>
      <c r="BG37" s="162"/>
      <c r="BH37" s="125"/>
      <c r="BI37" s="158"/>
      <c r="BJ37" s="159"/>
      <c r="BK37" s="126"/>
      <c r="BL37" s="160"/>
      <c r="BM37" s="162"/>
      <c r="BN37" s="125"/>
      <c r="BO37" s="158"/>
      <c r="BP37" s="159"/>
      <c r="BQ37" s="126"/>
      <c r="BR37" s="160"/>
      <c r="BS37" s="162"/>
      <c r="BT37" s="125"/>
      <c r="BU37" s="158"/>
      <c r="BV37" s="159"/>
      <c r="BW37" s="126"/>
      <c r="BX37" s="160"/>
      <c r="BY37" s="162"/>
      <c r="BZ37" s="133"/>
      <c r="CA37" s="134"/>
      <c r="CB37" s="165"/>
      <c r="CC37" s="170">
        <f t="shared" si="2"/>
        <v>0</v>
      </c>
      <c r="CD37" s="171">
        <f t="shared" si="3"/>
        <v>6</v>
      </c>
      <c r="CE37" s="171">
        <f t="shared" si="4"/>
        <v>0</v>
      </c>
      <c r="CF37" s="171">
        <f t="shared" si="5"/>
        <v>0</v>
      </c>
      <c r="CG37" s="171">
        <f t="shared" si="6"/>
        <v>0</v>
      </c>
      <c r="CH37" s="172">
        <f t="shared" si="7"/>
        <v>0</v>
      </c>
    </row>
    <row r="38" spans="1:86" s="1" customFormat="1" ht="24" customHeight="1" x14ac:dyDescent="0.2">
      <c r="A38" s="141" t="s">
        <v>368</v>
      </c>
      <c r="B38" s="141" t="s">
        <v>33</v>
      </c>
      <c r="C38" s="139" t="s">
        <v>366</v>
      </c>
      <c r="D38" s="141" t="s">
        <v>369</v>
      </c>
      <c r="E38" s="152" t="s">
        <v>370</v>
      </c>
      <c r="F38" s="125"/>
      <c r="G38" s="158"/>
      <c r="H38" s="159"/>
      <c r="I38" s="126"/>
      <c r="J38" s="160"/>
      <c r="K38" s="162"/>
      <c r="L38" s="125"/>
      <c r="M38" s="158"/>
      <c r="N38" s="159"/>
      <c r="O38" s="126"/>
      <c r="P38" s="160"/>
      <c r="Q38" s="162"/>
      <c r="R38" s="125"/>
      <c r="S38" s="158"/>
      <c r="T38" s="159"/>
      <c r="U38" s="126"/>
      <c r="V38" s="160"/>
      <c r="W38" s="162"/>
      <c r="X38" s="125"/>
      <c r="Y38" s="158"/>
      <c r="Z38" s="159"/>
      <c r="AA38" s="126"/>
      <c r="AB38" s="160"/>
      <c r="AC38" s="162"/>
      <c r="AD38" s="125"/>
      <c r="AE38" s="158"/>
      <c r="AF38" s="159"/>
      <c r="AG38" s="126"/>
      <c r="AH38" s="160"/>
      <c r="AI38" s="162"/>
      <c r="AJ38" s="125"/>
      <c r="AK38" s="158"/>
      <c r="AL38" s="159"/>
      <c r="AM38" s="126"/>
      <c r="AN38" s="160"/>
      <c r="AO38" s="162"/>
      <c r="AP38" s="125"/>
      <c r="AQ38" s="158"/>
      <c r="AR38" s="159"/>
      <c r="AS38" s="126"/>
      <c r="AT38" s="160"/>
      <c r="AU38" s="162"/>
      <c r="AV38" s="125"/>
      <c r="AW38" s="158"/>
      <c r="AX38" s="159"/>
      <c r="AY38" s="126"/>
      <c r="AZ38" s="160"/>
      <c r="BA38" s="162"/>
      <c r="BB38" s="125"/>
      <c r="BC38" s="158"/>
      <c r="BD38" s="159"/>
      <c r="BE38" s="126"/>
      <c r="BF38" s="160"/>
      <c r="BG38" s="162"/>
      <c r="BH38" s="125"/>
      <c r="BI38" s="158"/>
      <c r="BJ38" s="159"/>
      <c r="BK38" s="126"/>
      <c r="BL38" s="160"/>
      <c r="BM38" s="162"/>
      <c r="BN38" s="125"/>
      <c r="BO38" s="158"/>
      <c r="BP38" s="159"/>
      <c r="BQ38" s="126"/>
      <c r="BR38" s="160"/>
      <c r="BS38" s="162"/>
      <c r="BT38" s="125"/>
      <c r="BU38" s="158"/>
      <c r="BV38" s="159"/>
      <c r="BW38" s="126"/>
      <c r="BX38" s="160"/>
      <c r="BY38" s="162"/>
      <c r="BZ38" s="133"/>
      <c r="CA38" s="134"/>
      <c r="CB38" s="165"/>
      <c r="CC38" s="170">
        <f t="shared" si="2"/>
        <v>0</v>
      </c>
      <c r="CD38" s="171">
        <f t="shared" si="3"/>
        <v>0</v>
      </c>
      <c r="CE38" s="171">
        <f t="shared" si="4"/>
        <v>0</v>
      </c>
      <c r="CF38" s="171">
        <f t="shared" si="5"/>
        <v>0</v>
      </c>
      <c r="CG38" s="171">
        <f t="shared" si="6"/>
        <v>0</v>
      </c>
      <c r="CH38" s="172">
        <f t="shared" si="7"/>
        <v>0</v>
      </c>
    </row>
    <row r="39" spans="1:86" s="1" customFormat="1" ht="24" customHeight="1" x14ac:dyDescent="0.2">
      <c r="A39" s="176" t="s">
        <v>35</v>
      </c>
      <c r="B39" s="141" t="s">
        <v>33</v>
      </c>
      <c r="C39" s="139" t="s">
        <v>371</v>
      </c>
      <c r="D39" s="139" t="s">
        <v>372</v>
      </c>
      <c r="E39" s="152" t="s">
        <v>302</v>
      </c>
      <c r="F39" s="125"/>
      <c r="G39" s="158"/>
      <c r="H39" s="159"/>
      <c r="I39" s="126"/>
      <c r="J39" s="160"/>
      <c r="K39" s="162"/>
      <c r="L39" s="125"/>
      <c r="M39" s="158"/>
      <c r="N39" s="159"/>
      <c r="O39" s="126"/>
      <c r="P39" s="160"/>
      <c r="Q39" s="162"/>
      <c r="R39" s="125"/>
      <c r="S39" s="158">
        <v>3</v>
      </c>
      <c r="T39" s="159"/>
      <c r="U39" s="126"/>
      <c r="V39" s="160"/>
      <c r="W39" s="162"/>
      <c r="X39" s="125"/>
      <c r="Y39" s="158"/>
      <c r="Z39" s="159"/>
      <c r="AA39" s="126"/>
      <c r="AB39" s="160"/>
      <c r="AC39" s="162"/>
      <c r="AD39" s="125"/>
      <c r="AE39" s="158"/>
      <c r="AF39" s="159"/>
      <c r="AG39" s="126"/>
      <c r="AH39" s="160"/>
      <c r="AI39" s="162"/>
      <c r="AJ39" s="125"/>
      <c r="AK39" s="158"/>
      <c r="AL39" s="159"/>
      <c r="AM39" s="126"/>
      <c r="AN39" s="160"/>
      <c r="AO39" s="162"/>
      <c r="AP39" s="125"/>
      <c r="AQ39" s="158">
        <v>1</v>
      </c>
      <c r="AR39" s="159"/>
      <c r="AS39" s="126"/>
      <c r="AT39" s="160"/>
      <c r="AU39" s="162"/>
      <c r="AV39" s="125"/>
      <c r="AW39" s="158">
        <v>1</v>
      </c>
      <c r="AX39" s="159"/>
      <c r="AY39" s="126"/>
      <c r="AZ39" s="160"/>
      <c r="BA39" s="162"/>
      <c r="BB39" s="125"/>
      <c r="BC39" s="158"/>
      <c r="BD39" s="159">
        <v>1</v>
      </c>
      <c r="BE39" s="126"/>
      <c r="BF39" s="160"/>
      <c r="BG39" s="162"/>
      <c r="BH39" s="125"/>
      <c r="BI39" s="158"/>
      <c r="BJ39" s="159"/>
      <c r="BK39" s="126"/>
      <c r="BL39" s="160"/>
      <c r="BM39" s="162"/>
      <c r="BN39" s="125"/>
      <c r="BO39" s="158"/>
      <c r="BP39" s="159"/>
      <c r="BQ39" s="126"/>
      <c r="BR39" s="160"/>
      <c r="BS39" s="162"/>
      <c r="BT39" s="125"/>
      <c r="BU39" s="158"/>
      <c r="BV39" s="159"/>
      <c r="BW39" s="126"/>
      <c r="BX39" s="160"/>
      <c r="BY39" s="162"/>
      <c r="BZ39" s="133"/>
      <c r="CA39" s="134"/>
      <c r="CB39" s="165"/>
      <c r="CC39" s="170">
        <f t="shared" ref="CC39:CH42" si="15">SUM(F39,L39,R39,X39,AD39,AJ39,AP39,AV39,BB39,BH39,BN39,BT39)</f>
        <v>0</v>
      </c>
      <c r="CD39" s="171">
        <f t="shared" si="15"/>
        <v>5</v>
      </c>
      <c r="CE39" s="171">
        <f t="shared" si="15"/>
        <v>1</v>
      </c>
      <c r="CF39" s="171">
        <f t="shared" si="15"/>
        <v>0</v>
      </c>
      <c r="CG39" s="171">
        <f t="shared" si="15"/>
        <v>0</v>
      </c>
      <c r="CH39" s="172">
        <f t="shared" si="15"/>
        <v>0</v>
      </c>
    </row>
    <row r="40" spans="1:86" s="1" customFormat="1" ht="24" customHeight="1" x14ac:dyDescent="0.2">
      <c r="A40" s="178" t="s">
        <v>51</v>
      </c>
      <c r="B40" s="141" t="s">
        <v>33</v>
      </c>
      <c r="C40" s="139" t="s">
        <v>373</v>
      </c>
      <c r="D40" s="141" t="s">
        <v>374</v>
      </c>
      <c r="E40" s="152" t="s">
        <v>294</v>
      </c>
      <c r="F40" s="125"/>
      <c r="G40" s="158">
        <v>1</v>
      </c>
      <c r="H40" s="159"/>
      <c r="I40" s="126"/>
      <c r="J40" s="160"/>
      <c r="K40" s="162"/>
      <c r="L40" s="125"/>
      <c r="M40" s="158">
        <v>1</v>
      </c>
      <c r="N40" s="159">
        <v>1</v>
      </c>
      <c r="O40" s="126"/>
      <c r="P40" s="160">
        <v>1</v>
      </c>
      <c r="Q40" s="162"/>
      <c r="R40" s="125"/>
      <c r="S40" s="158">
        <v>1</v>
      </c>
      <c r="T40" s="159">
        <v>1</v>
      </c>
      <c r="U40" s="126"/>
      <c r="V40" s="160"/>
      <c r="W40" s="162"/>
      <c r="X40" s="125"/>
      <c r="Y40" s="158">
        <v>3</v>
      </c>
      <c r="Z40" s="159">
        <v>1</v>
      </c>
      <c r="AA40" s="126"/>
      <c r="AB40" s="160"/>
      <c r="AC40" s="162"/>
      <c r="AD40" s="125">
        <v>1</v>
      </c>
      <c r="AE40" s="158">
        <v>2</v>
      </c>
      <c r="AF40" s="159">
        <v>1</v>
      </c>
      <c r="AG40" s="126"/>
      <c r="AH40" s="160"/>
      <c r="AI40" s="162"/>
      <c r="AJ40" s="125"/>
      <c r="AK40" s="158">
        <v>2</v>
      </c>
      <c r="AL40" s="159"/>
      <c r="AM40" s="126"/>
      <c r="AN40" s="160"/>
      <c r="AO40" s="162"/>
      <c r="AP40" s="125"/>
      <c r="AQ40" s="158">
        <v>1</v>
      </c>
      <c r="AR40" s="159"/>
      <c r="AS40" s="126"/>
      <c r="AT40" s="160"/>
      <c r="AU40" s="162"/>
      <c r="AV40" s="125"/>
      <c r="AW40" s="158">
        <v>1</v>
      </c>
      <c r="AX40" s="159"/>
      <c r="AY40" s="126"/>
      <c r="AZ40" s="160"/>
      <c r="BA40" s="162"/>
      <c r="BB40" s="125"/>
      <c r="BC40" s="158"/>
      <c r="BD40" s="159"/>
      <c r="BE40" s="126"/>
      <c r="BF40" s="160">
        <v>1</v>
      </c>
      <c r="BG40" s="162"/>
      <c r="BH40" s="125">
        <v>1</v>
      </c>
      <c r="BI40" s="158">
        <v>2</v>
      </c>
      <c r="BJ40" s="159"/>
      <c r="BK40" s="126"/>
      <c r="BL40" s="160"/>
      <c r="BM40" s="162"/>
      <c r="BN40" s="125">
        <v>1</v>
      </c>
      <c r="BO40" s="158">
        <v>1</v>
      </c>
      <c r="BP40" s="159">
        <v>1</v>
      </c>
      <c r="BQ40" s="126"/>
      <c r="BR40" s="160"/>
      <c r="BS40" s="162"/>
      <c r="BT40" s="125"/>
      <c r="BU40" s="158"/>
      <c r="BV40" s="159"/>
      <c r="BW40" s="126"/>
      <c r="BX40" s="160"/>
      <c r="BY40" s="162"/>
      <c r="BZ40" s="133"/>
      <c r="CA40" s="134"/>
      <c r="CB40" s="165"/>
      <c r="CC40" s="170">
        <f>SUM(F40,L40,R40,X40,AD40,AJ40,AP40,AV40,BB40,BH40,BN40,BT40)</f>
        <v>3</v>
      </c>
      <c r="CD40" s="171">
        <f>SUM(G40,M40,S40,Y40,AE40,AK40,AQ40,AW40,BC40,BI40,BO40,BU40)</f>
        <v>15</v>
      </c>
      <c r="CE40" s="171">
        <f t="shared" si="15"/>
        <v>5</v>
      </c>
      <c r="CF40" s="171">
        <f t="shared" si="15"/>
        <v>0</v>
      </c>
      <c r="CG40" s="171">
        <f t="shared" si="15"/>
        <v>2</v>
      </c>
      <c r="CH40" s="172">
        <f t="shared" si="15"/>
        <v>0</v>
      </c>
    </row>
    <row r="41" spans="1:86" s="1" customFormat="1" ht="24" customHeight="1" x14ac:dyDescent="0.2">
      <c r="A41" s="206" t="s">
        <v>148</v>
      </c>
      <c r="B41" s="141" t="s">
        <v>375</v>
      </c>
      <c r="C41" s="139" t="s">
        <v>376</v>
      </c>
      <c r="D41" s="141" t="s">
        <v>377</v>
      </c>
      <c r="E41" s="152" t="s">
        <v>294</v>
      </c>
      <c r="F41" s="125"/>
      <c r="G41" s="158"/>
      <c r="H41" s="159"/>
      <c r="I41" s="126"/>
      <c r="J41" s="160"/>
      <c r="K41" s="162"/>
      <c r="L41" s="125"/>
      <c r="M41" s="158"/>
      <c r="N41" s="159"/>
      <c r="O41" s="126"/>
      <c r="P41" s="160"/>
      <c r="Q41" s="162"/>
      <c r="R41" s="125"/>
      <c r="S41" s="158"/>
      <c r="T41" s="159"/>
      <c r="U41" s="126"/>
      <c r="V41" s="160"/>
      <c r="W41" s="162"/>
      <c r="X41" s="125"/>
      <c r="Y41" s="158"/>
      <c r="Z41" s="159"/>
      <c r="AA41" s="126"/>
      <c r="AB41" s="160"/>
      <c r="AC41" s="162"/>
      <c r="AD41" s="125"/>
      <c r="AE41" s="158"/>
      <c r="AF41" s="159"/>
      <c r="AG41" s="126"/>
      <c r="AH41" s="160"/>
      <c r="AI41" s="162"/>
      <c r="AJ41" s="125"/>
      <c r="AK41" s="158">
        <v>1</v>
      </c>
      <c r="AL41" s="159"/>
      <c r="AM41" s="126"/>
      <c r="AN41" s="160"/>
      <c r="AO41" s="162"/>
      <c r="AP41" s="125"/>
      <c r="AQ41" s="158">
        <v>1</v>
      </c>
      <c r="AR41" s="159">
        <v>1</v>
      </c>
      <c r="AS41" s="126"/>
      <c r="AT41" s="160"/>
      <c r="AU41" s="162"/>
      <c r="AV41" s="125"/>
      <c r="AW41" s="158">
        <v>1</v>
      </c>
      <c r="AX41" s="159"/>
      <c r="AY41" s="126"/>
      <c r="AZ41" s="160"/>
      <c r="BA41" s="162"/>
      <c r="BB41" s="125"/>
      <c r="BC41" s="158"/>
      <c r="BD41" s="159"/>
      <c r="BE41" s="126"/>
      <c r="BF41" s="160"/>
      <c r="BG41" s="162"/>
      <c r="BH41" s="125"/>
      <c r="BI41" s="158">
        <v>3</v>
      </c>
      <c r="BJ41" s="159"/>
      <c r="BK41" s="126"/>
      <c r="BL41" s="160"/>
      <c r="BM41" s="162"/>
      <c r="BN41" s="125"/>
      <c r="BO41" s="158"/>
      <c r="BP41" s="159">
        <v>1</v>
      </c>
      <c r="BQ41" s="126"/>
      <c r="BR41" s="160"/>
      <c r="BS41" s="162"/>
      <c r="BT41" s="125"/>
      <c r="BU41" s="158"/>
      <c r="BV41" s="159"/>
      <c r="BW41" s="126"/>
      <c r="BX41" s="160"/>
      <c r="BY41" s="162"/>
      <c r="BZ41" s="133"/>
      <c r="CA41" s="134"/>
      <c r="CB41" s="165"/>
      <c r="CC41" s="170">
        <f t="shared" ref="CC41:CH41" si="16">SUM(F41,L41,R41,X41,AD41,AJ41,AP41,AV41,BB41,BH41,BN41,BT41)</f>
        <v>0</v>
      </c>
      <c r="CD41" s="171">
        <f t="shared" si="16"/>
        <v>6</v>
      </c>
      <c r="CE41" s="171">
        <f t="shared" si="16"/>
        <v>2</v>
      </c>
      <c r="CF41" s="171">
        <f t="shared" si="16"/>
        <v>0</v>
      </c>
      <c r="CG41" s="171">
        <f t="shared" si="16"/>
        <v>0</v>
      </c>
      <c r="CH41" s="172">
        <f t="shared" si="16"/>
        <v>0</v>
      </c>
    </row>
    <row r="42" spans="1:86" s="1" customFormat="1" ht="24" customHeight="1" x14ac:dyDescent="0.2">
      <c r="A42" s="176" t="s">
        <v>35</v>
      </c>
      <c r="B42" s="141" t="s">
        <v>33</v>
      </c>
      <c r="C42" s="139" t="s">
        <v>378</v>
      </c>
      <c r="D42" s="139" t="s">
        <v>323</v>
      </c>
      <c r="E42" s="152" t="s">
        <v>294</v>
      </c>
      <c r="F42" s="125">
        <v>1</v>
      </c>
      <c r="G42" s="158">
        <v>1</v>
      </c>
      <c r="H42" s="159"/>
      <c r="I42" s="126"/>
      <c r="J42" s="160"/>
      <c r="K42" s="162"/>
      <c r="L42" s="125">
        <v>1</v>
      </c>
      <c r="M42" s="158">
        <v>1</v>
      </c>
      <c r="N42" s="159"/>
      <c r="O42" s="126"/>
      <c r="P42" s="160"/>
      <c r="Q42" s="162"/>
      <c r="R42" s="125">
        <v>1</v>
      </c>
      <c r="S42" s="158">
        <v>1</v>
      </c>
      <c r="T42" s="159">
        <v>1</v>
      </c>
      <c r="U42" s="126"/>
      <c r="V42" s="160"/>
      <c r="W42" s="162"/>
      <c r="X42" s="125">
        <v>1</v>
      </c>
      <c r="Y42" s="158">
        <v>1</v>
      </c>
      <c r="Z42" s="159"/>
      <c r="AA42" s="126"/>
      <c r="AB42" s="160"/>
      <c r="AC42" s="162"/>
      <c r="AD42" s="125"/>
      <c r="AE42" s="158"/>
      <c r="AF42" s="159"/>
      <c r="AG42" s="126"/>
      <c r="AH42" s="160"/>
      <c r="AI42" s="162"/>
      <c r="AJ42" s="125">
        <v>1</v>
      </c>
      <c r="AK42" s="158">
        <v>3</v>
      </c>
      <c r="AL42" s="159">
        <v>1</v>
      </c>
      <c r="AM42" s="126">
        <v>1</v>
      </c>
      <c r="AN42" s="160"/>
      <c r="AO42" s="162">
        <v>1</v>
      </c>
      <c r="AP42" s="125"/>
      <c r="AQ42" s="158">
        <v>1</v>
      </c>
      <c r="AR42" s="159">
        <v>1</v>
      </c>
      <c r="AS42" s="126"/>
      <c r="AT42" s="160">
        <v>1</v>
      </c>
      <c r="AU42" s="162"/>
      <c r="AV42" s="125"/>
      <c r="AW42" s="158"/>
      <c r="AX42" s="159"/>
      <c r="AY42" s="126"/>
      <c r="AZ42" s="160"/>
      <c r="BA42" s="162"/>
      <c r="BB42" s="125"/>
      <c r="BC42" s="158"/>
      <c r="BD42" s="159"/>
      <c r="BE42" s="126"/>
      <c r="BF42" s="160"/>
      <c r="BG42" s="162"/>
      <c r="BH42" s="125">
        <v>1</v>
      </c>
      <c r="BI42" s="158">
        <v>2</v>
      </c>
      <c r="BJ42" s="159"/>
      <c r="BK42" s="126">
        <v>1</v>
      </c>
      <c r="BL42" s="160">
        <v>1</v>
      </c>
      <c r="BM42" s="162"/>
      <c r="BN42" s="125">
        <v>1</v>
      </c>
      <c r="BO42" s="158">
        <v>1</v>
      </c>
      <c r="BP42" s="159">
        <v>1</v>
      </c>
      <c r="BQ42" s="126">
        <v>1</v>
      </c>
      <c r="BR42" s="160"/>
      <c r="BS42" s="162"/>
      <c r="BT42" s="125">
        <v>1</v>
      </c>
      <c r="BU42" s="158">
        <v>1</v>
      </c>
      <c r="BV42" s="159"/>
      <c r="BW42" s="126"/>
      <c r="BX42" s="160"/>
      <c r="BY42" s="162"/>
      <c r="BZ42" s="133"/>
      <c r="CA42" s="134"/>
      <c r="CB42" s="165"/>
      <c r="CC42" s="170">
        <f t="shared" si="15"/>
        <v>8</v>
      </c>
      <c r="CD42" s="171">
        <f t="shared" si="15"/>
        <v>12</v>
      </c>
      <c r="CE42" s="171">
        <f t="shared" si="15"/>
        <v>4</v>
      </c>
      <c r="CF42" s="171">
        <f t="shared" si="15"/>
        <v>3</v>
      </c>
      <c r="CG42" s="171">
        <f t="shared" si="15"/>
        <v>2</v>
      </c>
      <c r="CH42" s="172">
        <f t="shared" si="15"/>
        <v>1</v>
      </c>
    </row>
    <row r="43" spans="1:86" s="1" customFormat="1" ht="24" customHeight="1" x14ac:dyDescent="0.2">
      <c r="A43" s="206" t="s">
        <v>148</v>
      </c>
      <c r="B43" s="141" t="s">
        <v>148</v>
      </c>
      <c r="C43" s="139" t="s">
        <v>379</v>
      </c>
      <c r="D43" s="141" t="s">
        <v>380</v>
      </c>
      <c r="E43" s="152" t="s">
        <v>294</v>
      </c>
      <c r="F43" s="125"/>
      <c r="G43" s="158">
        <v>1</v>
      </c>
      <c r="H43" s="159"/>
      <c r="I43" s="126"/>
      <c r="J43" s="160"/>
      <c r="K43" s="162"/>
      <c r="L43" s="125"/>
      <c r="M43" s="158"/>
      <c r="N43" s="159"/>
      <c r="O43" s="126"/>
      <c r="P43" s="160"/>
      <c r="Q43" s="162"/>
      <c r="R43" s="125"/>
      <c r="S43" s="158">
        <v>1</v>
      </c>
      <c r="T43" s="159"/>
      <c r="U43" s="126"/>
      <c r="V43" s="160"/>
      <c r="W43" s="162"/>
      <c r="X43" s="125"/>
      <c r="Y43" s="158">
        <v>2</v>
      </c>
      <c r="Z43" s="159">
        <v>1</v>
      </c>
      <c r="AA43" s="126"/>
      <c r="AB43" s="160"/>
      <c r="AC43" s="162"/>
      <c r="AD43" s="125"/>
      <c r="AE43" s="158"/>
      <c r="AF43" s="159"/>
      <c r="AG43" s="126"/>
      <c r="AH43" s="160"/>
      <c r="AI43" s="162"/>
      <c r="AJ43" s="125"/>
      <c r="AK43" s="158">
        <v>1</v>
      </c>
      <c r="AL43" s="159"/>
      <c r="AM43" s="126"/>
      <c r="AN43" s="160"/>
      <c r="AO43" s="162"/>
      <c r="AP43" s="125"/>
      <c r="AQ43" s="158">
        <v>1</v>
      </c>
      <c r="AR43" s="159">
        <v>1</v>
      </c>
      <c r="AS43" s="126"/>
      <c r="AT43" s="160"/>
      <c r="AU43" s="162"/>
      <c r="AV43" s="125"/>
      <c r="AW43" s="158">
        <v>1</v>
      </c>
      <c r="AX43" s="159"/>
      <c r="AY43" s="126"/>
      <c r="AZ43" s="160"/>
      <c r="BA43" s="162"/>
      <c r="BB43" s="125"/>
      <c r="BC43" s="158">
        <v>3</v>
      </c>
      <c r="BD43" s="159"/>
      <c r="BE43" s="126"/>
      <c r="BF43" s="160"/>
      <c r="BG43" s="162"/>
      <c r="BH43" s="125"/>
      <c r="BI43" s="158">
        <v>2</v>
      </c>
      <c r="BJ43" s="159"/>
      <c r="BK43" s="126"/>
      <c r="BL43" s="160"/>
      <c r="BM43" s="162"/>
      <c r="BN43" s="125"/>
      <c r="BO43" s="158">
        <v>1</v>
      </c>
      <c r="BP43" s="159">
        <v>1</v>
      </c>
      <c r="BQ43" s="126"/>
      <c r="BR43" s="160"/>
      <c r="BS43" s="162"/>
      <c r="BT43" s="125"/>
      <c r="BU43" s="158"/>
      <c r="BV43" s="159"/>
      <c r="BW43" s="126"/>
      <c r="BX43" s="160"/>
      <c r="BY43" s="162"/>
      <c r="BZ43" s="133"/>
      <c r="CA43" s="134"/>
      <c r="CB43" s="165"/>
      <c r="CC43" s="170">
        <f t="shared" ref="CC43:CH43" si="17">SUM(F43,L43,R43,X43,AD43,AJ43,AP43,AV43,BB43,BH43,BN43,BT43)</f>
        <v>0</v>
      </c>
      <c r="CD43" s="171">
        <f t="shared" si="17"/>
        <v>13</v>
      </c>
      <c r="CE43" s="171">
        <f t="shared" si="17"/>
        <v>3</v>
      </c>
      <c r="CF43" s="171">
        <f t="shared" si="17"/>
        <v>0</v>
      </c>
      <c r="CG43" s="171">
        <f t="shared" si="17"/>
        <v>0</v>
      </c>
      <c r="CH43" s="172">
        <f t="shared" si="17"/>
        <v>0</v>
      </c>
    </row>
    <row r="44" spans="1:86" s="1" customFormat="1" ht="24" customHeight="1" x14ac:dyDescent="0.2">
      <c r="A44" s="177" t="s">
        <v>303</v>
      </c>
      <c r="B44" s="141" t="s">
        <v>33</v>
      </c>
      <c r="C44" s="139" t="s">
        <v>381</v>
      </c>
      <c r="D44" s="141" t="s">
        <v>382</v>
      </c>
      <c r="E44" s="152" t="s">
        <v>383</v>
      </c>
      <c r="F44" s="125"/>
      <c r="G44" s="158"/>
      <c r="H44" s="159"/>
      <c r="I44" s="126">
        <v>1</v>
      </c>
      <c r="J44" s="160"/>
      <c r="K44" s="162"/>
      <c r="L44" s="125"/>
      <c r="M44" s="158"/>
      <c r="N44" s="159"/>
      <c r="O44" s="126">
        <v>1</v>
      </c>
      <c r="P44" s="160"/>
      <c r="Q44" s="162"/>
      <c r="R44" s="125"/>
      <c r="S44" s="158"/>
      <c r="T44" s="159"/>
      <c r="U44" s="126">
        <v>1</v>
      </c>
      <c r="V44" s="160"/>
      <c r="W44" s="162"/>
      <c r="X44" s="125"/>
      <c r="Y44" s="158">
        <v>1</v>
      </c>
      <c r="Z44" s="159"/>
      <c r="AA44" s="126">
        <v>1</v>
      </c>
      <c r="AB44" s="160"/>
      <c r="AC44" s="162"/>
      <c r="AD44" s="125"/>
      <c r="AE44" s="158"/>
      <c r="AF44" s="159"/>
      <c r="AG44" s="126">
        <v>1</v>
      </c>
      <c r="AH44" s="160"/>
      <c r="AI44" s="162"/>
      <c r="AJ44" s="125"/>
      <c r="AK44" s="158"/>
      <c r="AL44" s="159"/>
      <c r="AM44" s="126">
        <v>1</v>
      </c>
      <c r="AN44" s="160"/>
      <c r="AO44" s="162"/>
      <c r="AP44" s="125"/>
      <c r="AQ44" s="158">
        <v>1</v>
      </c>
      <c r="AR44" s="159"/>
      <c r="AS44" s="126"/>
      <c r="AT44" s="160"/>
      <c r="AU44" s="162"/>
      <c r="AV44" s="125"/>
      <c r="AW44" s="158"/>
      <c r="AX44" s="159"/>
      <c r="AY44" s="126"/>
      <c r="AZ44" s="160"/>
      <c r="BA44" s="162"/>
      <c r="BB44" s="125"/>
      <c r="BC44" s="158"/>
      <c r="BD44" s="159"/>
      <c r="BE44" s="126">
        <v>1</v>
      </c>
      <c r="BF44" s="160"/>
      <c r="BG44" s="162"/>
      <c r="BH44" s="125"/>
      <c r="BI44" s="158"/>
      <c r="BJ44" s="159"/>
      <c r="BK44" s="126">
        <v>1</v>
      </c>
      <c r="BL44" s="160"/>
      <c r="BM44" s="162"/>
      <c r="BN44" s="125"/>
      <c r="BO44" s="158"/>
      <c r="BP44" s="159"/>
      <c r="BQ44" s="126">
        <v>1</v>
      </c>
      <c r="BR44" s="160"/>
      <c r="BS44" s="162"/>
      <c r="BT44" s="125"/>
      <c r="BU44" s="158"/>
      <c r="BV44" s="159"/>
      <c r="BW44" s="126">
        <v>1</v>
      </c>
      <c r="BX44" s="160"/>
      <c r="BY44" s="162"/>
      <c r="BZ44" s="133"/>
      <c r="CA44" s="134"/>
      <c r="CB44" s="165"/>
      <c r="CC44" s="170">
        <f t="shared" ref="CC44:CC54" si="18">SUM(F44,L44,R44,X44,AD44,AJ44,AP44,AV44,BB44,BH44,BN44,BT44)</f>
        <v>0</v>
      </c>
      <c r="CD44" s="171">
        <f t="shared" ref="CD44:CD54" si="19">SUM(G44,M44,S44,Y44,AE44,AK44,AQ44,AW44,BC44,BI44,BO44,BU44)</f>
        <v>2</v>
      </c>
      <c r="CE44" s="171">
        <f t="shared" ref="CE44:CE54" si="20">SUM(H44,N44,T44,Z44,AF44,AL44,AR44,AX44,BD44,BJ44,BP44,BV44)</f>
        <v>0</v>
      </c>
      <c r="CF44" s="171">
        <f>SUM(I44,O44,U44,AA44,AG44,AM44,AS44,AY44,BE44,BK44,BQ44,BW44)</f>
        <v>10</v>
      </c>
      <c r="CG44" s="171">
        <f t="shared" ref="CG44:CG54" si="21">SUM(J44,P44,V44,AB44,AH44,AN44,AT44,AZ44,BF44,BL44,BR44,BX44)</f>
        <v>0</v>
      </c>
      <c r="CH44" s="172">
        <f t="shared" ref="CH44:CH54" si="22">SUM(K44,Q44,W44,AC44,AI44,AO44,AU44,BA44,BG44,BM44,BS44,BY44)</f>
        <v>0</v>
      </c>
    </row>
    <row r="45" spans="1:86" s="1" customFormat="1" ht="24" customHeight="1" x14ac:dyDescent="0.2">
      <c r="A45" s="177" t="s">
        <v>303</v>
      </c>
      <c r="B45" s="141" t="s">
        <v>33</v>
      </c>
      <c r="C45" s="139" t="s">
        <v>384</v>
      </c>
      <c r="D45" s="179" t="s">
        <v>385</v>
      </c>
      <c r="E45" s="152" t="s">
        <v>302</v>
      </c>
      <c r="F45" s="125"/>
      <c r="G45" s="158">
        <v>1</v>
      </c>
      <c r="H45" s="159"/>
      <c r="I45" s="126"/>
      <c r="J45" s="160"/>
      <c r="K45" s="162"/>
      <c r="L45" s="125"/>
      <c r="M45" s="158">
        <v>1</v>
      </c>
      <c r="N45" s="159">
        <v>1</v>
      </c>
      <c r="O45" s="126"/>
      <c r="P45" s="160"/>
      <c r="Q45" s="162"/>
      <c r="R45" s="125"/>
      <c r="S45" s="158">
        <v>1</v>
      </c>
      <c r="T45" s="159">
        <v>1</v>
      </c>
      <c r="U45" s="126"/>
      <c r="V45" s="160"/>
      <c r="W45" s="162"/>
      <c r="X45" s="125"/>
      <c r="Y45" s="158"/>
      <c r="Z45" s="159"/>
      <c r="AA45" s="126"/>
      <c r="AB45" s="160"/>
      <c r="AC45" s="162"/>
      <c r="AD45" s="125"/>
      <c r="AE45" s="158">
        <v>2</v>
      </c>
      <c r="AF45" s="159">
        <v>2</v>
      </c>
      <c r="AG45" s="126"/>
      <c r="AH45" s="160"/>
      <c r="AI45" s="162"/>
      <c r="AJ45" s="125"/>
      <c r="AK45" s="158"/>
      <c r="AL45" s="159"/>
      <c r="AM45" s="126"/>
      <c r="AN45" s="160"/>
      <c r="AO45" s="162"/>
      <c r="AP45" s="125"/>
      <c r="AQ45" s="158">
        <v>1</v>
      </c>
      <c r="AR45" s="159">
        <v>1</v>
      </c>
      <c r="AS45" s="126"/>
      <c r="AT45" s="160"/>
      <c r="AU45" s="162"/>
      <c r="AV45" s="125"/>
      <c r="AW45" s="158"/>
      <c r="AX45" s="159"/>
      <c r="AY45" s="126"/>
      <c r="AZ45" s="160"/>
      <c r="BA45" s="162"/>
      <c r="BB45" s="125"/>
      <c r="BC45" s="158">
        <v>3</v>
      </c>
      <c r="BD45" s="159">
        <v>2</v>
      </c>
      <c r="BE45" s="126"/>
      <c r="BF45" s="160"/>
      <c r="BG45" s="162"/>
      <c r="BH45" s="125"/>
      <c r="BI45" s="158">
        <v>1</v>
      </c>
      <c r="BJ45" s="159"/>
      <c r="BK45" s="126"/>
      <c r="BL45" s="160"/>
      <c r="BM45" s="162"/>
      <c r="BN45" s="125"/>
      <c r="BO45" s="158">
        <v>1</v>
      </c>
      <c r="BP45" s="159">
        <v>1</v>
      </c>
      <c r="BQ45" s="126"/>
      <c r="BR45" s="160"/>
      <c r="BS45" s="162"/>
      <c r="BT45" s="125"/>
      <c r="BU45" s="158">
        <v>1</v>
      </c>
      <c r="BV45" s="159"/>
      <c r="BW45" s="126"/>
      <c r="BX45" s="160"/>
      <c r="BY45" s="162"/>
      <c r="BZ45" s="133"/>
      <c r="CA45" s="134"/>
      <c r="CB45" s="165"/>
      <c r="CC45" s="170">
        <f t="shared" si="18"/>
        <v>0</v>
      </c>
      <c r="CD45" s="171">
        <f t="shared" si="19"/>
        <v>12</v>
      </c>
      <c r="CE45" s="171">
        <f t="shared" si="20"/>
        <v>8</v>
      </c>
      <c r="CF45" s="171">
        <f t="shared" ref="CF45:CF54" si="23">SUM(I45,O45,U45,AA45,AG45,AM45,AS45,AY45,BE45,BK45,BQ45,BW45)</f>
        <v>0</v>
      </c>
      <c r="CG45" s="171">
        <f t="shared" si="21"/>
        <v>0</v>
      </c>
      <c r="CH45" s="172">
        <f t="shared" si="22"/>
        <v>0</v>
      </c>
    </row>
    <row r="46" spans="1:86" s="1" customFormat="1" ht="24" customHeight="1" x14ac:dyDescent="0.2">
      <c r="A46" s="238" t="s">
        <v>306</v>
      </c>
      <c r="B46" s="141" t="s">
        <v>306</v>
      </c>
      <c r="C46" s="233" t="s">
        <v>386</v>
      </c>
      <c r="D46" s="187" t="s">
        <v>387</v>
      </c>
      <c r="E46" s="152" t="s">
        <v>297</v>
      </c>
      <c r="F46" s="125"/>
      <c r="G46" s="158"/>
      <c r="H46" s="159"/>
      <c r="I46" s="126"/>
      <c r="J46" s="160"/>
      <c r="K46" s="162"/>
      <c r="L46" s="125"/>
      <c r="M46" s="158"/>
      <c r="N46" s="159"/>
      <c r="O46" s="126"/>
      <c r="P46" s="160"/>
      <c r="Q46" s="162"/>
      <c r="R46" s="125"/>
      <c r="S46" s="158"/>
      <c r="T46" s="159"/>
      <c r="U46" s="126"/>
      <c r="V46" s="160"/>
      <c r="W46" s="162"/>
      <c r="X46" s="125"/>
      <c r="Y46" s="158"/>
      <c r="Z46" s="159"/>
      <c r="AA46" s="126"/>
      <c r="AB46" s="160"/>
      <c r="AC46" s="162"/>
      <c r="AD46" s="125"/>
      <c r="AE46" s="158"/>
      <c r="AF46" s="159"/>
      <c r="AG46" s="126"/>
      <c r="AH46" s="160"/>
      <c r="AI46" s="162"/>
      <c r="AJ46" s="125"/>
      <c r="AK46" s="158"/>
      <c r="AL46" s="159"/>
      <c r="AM46" s="126"/>
      <c r="AN46" s="160"/>
      <c r="AO46" s="162"/>
      <c r="AP46" s="125"/>
      <c r="AQ46" s="158"/>
      <c r="AR46" s="159"/>
      <c r="AS46" s="126"/>
      <c r="AT46" s="160"/>
      <c r="AU46" s="162"/>
      <c r="AV46" s="125"/>
      <c r="AW46" s="158"/>
      <c r="AX46" s="159"/>
      <c r="AY46" s="126"/>
      <c r="AZ46" s="160"/>
      <c r="BA46" s="162"/>
      <c r="BB46" s="125"/>
      <c r="BC46" s="158"/>
      <c r="BD46" s="159"/>
      <c r="BE46" s="126"/>
      <c r="BF46" s="160"/>
      <c r="BG46" s="162"/>
      <c r="BH46" s="125"/>
      <c r="BI46" s="158"/>
      <c r="BJ46" s="159"/>
      <c r="BK46" s="126"/>
      <c r="BL46" s="160"/>
      <c r="BM46" s="162"/>
      <c r="BN46" s="125"/>
      <c r="BO46" s="158"/>
      <c r="BP46" s="159"/>
      <c r="BQ46" s="126"/>
      <c r="BR46" s="160"/>
      <c r="BS46" s="162"/>
      <c r="BT46" s="125"/>
      <c r="BU46" s="158"/>
      <c r="BV46" s="159"/>
      <c r="BW46" s="126"/>
      <c r="BX46" s="160"/>
      <c r="BY46" s="162"/>
      <c r="BZ46" s="190"/>
      <c r="CA46" s="192"/>
      <c r="CB46" s="194"/>
      <c r="CC46" s="170">
        <f t="shared" si="18"/>
        <v>0</v>
      </c>
      <c r="CD46" s="171">
        <f t="shared" si="19"/>
        <v>0</v>
      </c>
      <c r="CE46" s="171">
        <f t="shared" si="20"/>
        <v>0</v>
      </c>
      <c r="CF46" s="171">
        <f t="shared" si="23"/>
        <v>0</v>
      </c>
      <c r="CG46" s="171">
        <f t="shared" si="21"/>
        <v>0</v>
      </c>
      <c r="CH46" s="172">
        <f t="shared" si="22"/>
        <v>0</v>
      </c>
    </row>
    <row r="47" spans="1:86" s="1" customFormat="1" ht="24" customHeight="1" x14ac:dyDescent="0.2">
      <c r="A47" s="174" t="s">
        <v>290</v>
      </c>
      <c r="B47" s="141" t="s">
        <v>291</v>
      </c>
      <c r="C47" s="151" t="s">
        <v>388</v>
      </c>
      <c r="D47" s="141" t="s">
        <v>389</v>
      </c>
      <c r="E47" s="175" t="s">
        <v>302</v>
      </c>
      <c r="F47" s="125"/>
      <c r="G47" s="158"/>
      <c r="H47" s="159"/>
      <c r="I47" s="126"/>
      <c r="J47" s="160"/>
      <c r="K47" s="162"/>
      <c r="L47" s="125"/>
      <c r="M47" s="158">
        <v>1</v>
      </c>
      <c r="N47" s="159">
        <v>1</v>
      </c>
      <c r="O47" s="126"/>
      <c r="P47" s="160"/>
      <c r="Q47" s="162"/>
      <c r="R47" s="125"/>
      <c r="S47" s="158"/>
      <c r="T47" s="159"/>
      <c r="U47" s="126"/>
      <c r="V47" s="160"/>
      <c r="W47" s="162"/>
      <c r="X47" s="125"/>
      <c r="Y47" s="158"/>
      <c r="Z47" s="159"/>
      <c r="AA47" s="126"/>
      <c r="AB47" s="160"/>
      <c r="AC47" s="162"/>
      <c r="AD47" s="125"/>
      <c r="AE47" s="158"/>
      <c r="AF47" s="159"/>
      <c r="AG47" s="126"/>
      <c r="AH47" s="160"/>
      <c r="AI47" s="162"/>
      <c r="AJ47" s="125"/>
      <c r="AK47" s="158">
        <v>2</v>
      </c>
      <c r="AL47" s="159">
        <v>1</v>
      </c>
      <c r="AM47" s="126"/>
      <c r="AN47" s="160"/>
      <c r="AO47" s="162"/>
      <c r="AP47" s="125"/>
      <c r="AQ47" s="158"/>
      <c r="AR47" s="159"/>
      <c r="AS47" s="126"/>
      <c r="AT47" s="160"/>
      <c r="AU47" s="162"/>
      <c r="AV47" s="125"/>
      <c r="AW47" s="158">
        <v>2</v>
      </c>
      <c r="AX47" s="159"/>
      <c r="AY47" s="126"/>
      <c r="AZ47" s="160"/>
      <c r="BA47" s="162"/>
      <c r="BB47" s="125"/>
      <c r="BC47" s="158"/>
      <c r="BD47" s="159"/>
      <c r="BE47" s="126"/>
      <c r="BF47" s="160"/>
      <c r="BG47" s="162"/>
      <c r="BH47" s="125"/>
      <c r="BI47" s="158"/>
      <c r="BJ47" s="159"/>
      <c r="BK47" s="126"/>
      <c r="BL47" s="160"/>
      <c r="BM47" s="162"/>
      <c r="BN47" s="125"/>
      <c r="BO47" s="158">
        <v>1</v>
      </c>
      <c r="BP47" s="159">
        <v>1</v>
      </c>
      <c r="BQ47" s="126"/>
      <c r="BR47" s="160"/>
      <c r="BS47" s="162"/>
      <c r="BT47" s="125"/>
      <c r="BU47" s="158">
        <v>2</v>
      </c>
      <c r="BV47" s="159"/>
      <c r="BW47" s="126"/>
      <c r="BX47" s="160"/>
      <c r="BY47" s="162"/>
      <c r="BZ47" s="133"/>
      <c r="CA47" s="134"/>
      <c r="CB47" s="165"/>
      <c r="CC47" s="170">
        <f t="shared" si="18"/>
        <v>0</v>
      </c>
      <c r="CD47" s="171">
        <f t="shared" si="19"/>
        <v>8</v>
      </c>
      <c r="CE47" s="171">
        <f t="shared" si="20"/>
        <v>3</v>
      </c>
      <c r="CF47" s="171">
        <f t="shared" si="23"/>
        <v>0</v>
      </c>
      <c r="CG47" s="171">
        <f t="shared" si="21"/>
        <v>0</v>
      </c>
      <c r="CH47" s="172">
        <f t="shared" si="22"/>
        <v>0</v>
      </c>
    </row>
    <row r="48" spans="1:86" s="1" customFormat="1" ht="24" customHeight="1" x14ac:dyDescent="0.2">
      <c r="A48" s="238" t="s">
        <v>306</v>
      </c>
      <c r="B48" s="141" t="s">
        <v>306</v>
      </c>
      <c r="C48" s="151" t="s">
        <v>390</v>
      </c>
      <c r="D48" s="141" t="s">
        <v>391</v>
      </c>
      <c r="E48" s="152" t="s">
        <v>289</v>
      </c>
      <c r="F48" s="125"/>
      <c r="G48" s="158">
        <v>1</v>
      </c>
      <c r="H48" s="159"/>
      <c r="I48" s="126"/>
      <c r="J48" s="160"/>
      <c r="K48" s="162"/>
      <c r="L48" s="125"/>
      <c r="M48" s="158"/>
      <c r="N48" s="159"/>
      <c r="O48" s="126"/>
      <c r="P48" s="160"/>
      <c r="Q48" s="162"/>
      <c r="R48" s="125"/>
      <c r="S48" s="158"/>
      <c r="T48" s="159"/>
      <c r="U48" s="126"/>
      <c r="V48" s="160"/>
      <c r="W48" s="162"/>
      <c r="X48" s="125"/>
      <c r="Y48" s="158"/>
      <c r="Z48" s="159"/>
      <c r="AA48" s="126"/>
      <c r="AB48" s="160"/>
      <c r="AC48" s="162"/>
      <c r="AD48" s="125"/>
      <c r="AE48" s="158"/>
      <c r="AF48" s="159"/>
      <c r="AG48" s="126"/>
      <c r="AH48" s="160"/>
      <c r="AI48" s="162"/>
      <c r="AJ48" s="125"/>
      <c r="AK48" s="158"/>
      <c r="AL48" s="159"/>
      <c r="AM48" s="126"/>
      <c r="AN48" s="160"/>
      <c r="AO48" s="162"/>
      <c r="AP48" s="125"/>
      <c r="AQ48" s="158"/>
      <c r="AR48" s="159"/>
      <c r="AS48" s="126"/>
      <c r="AT48" s="160"/>
      <c r="AU48" s="162"/>
      <c r="AV48" s="125"/>
      <c r="AW48" s="158"/>
      <c r="AX48" s="159"/>
      <c r="AY48" s="126"/>
      <c r="AZ48" s="160"/>
      <c r="BA48" s="162"/>
      <c r="BB48" s="125"/>
      <c r="BC48" s="158"/>
      <c r="BD48" s="159"/>
      <c r="BE48" s="126"/>
      <c r="BF48" s="160"/>
      <c r="BG48" s="162"/>
      <c r="BH48" s="125"/>
      <c r="BI48" s="158"/>
      <c r="BJ48" s="159"/>
      <c r="BK48" s="126"/>
      <c r="BL48" s="160"/>
      <c r="BM48" s="162"/>
      <c r="BN48" s="125"/>
      <c r="BO48" s="158"/>
      <c r="BP48" s="159"/>
      <c r="BQ48" s="126"/>
      <c r="BR48" s="160"/>
      <c r="BS48" s="162"/>
      <c r="BT48" s="125"/>
      <c r="BU48" s="158"/>
      <c r="BV48" s="159"/>
      <c r="BW48" s="126"/>
      <c r="BX48" s="160"/>
      <c r="BY48" s="162"/>
      <c r="BZ48" s="133"/>
      <c r="CA48" s="134"/>
      <c r="CB48" s="165"/>
      <c r="CC48" s="170">
        <f t="shared" si="18"/>
        <v>0</v>
      </c>
      <c r="CD48" s="171">
        <f t="shared" si="19"/>
        <v>1</v>
      </c>
      <c r="CE48" s="171">
        <f t="shared" si="20"/>
        <v>0</v>
      </c>
      <c r="CF48" s="171">
        <f t="shared" si="23"/>
        <v>0</v>
      </c>
      <c r="CG48" s="171">
        <f t="shared" si="21"/>
        <v>0</v>
      </c>
      <c r="CH48" s="172">
        <f t="shared" si="22"/>
        <v>0</v>
      </c>
    </row>
    <row r="49" spans="1:86" s="1" customFormat="1" ht="24" customHeight="1" x14ac:dyDescent="0.2">
      <c r="A49" s="178" t="s">
        <v>51</v>
      </c>
      <c r="B49" s="141" t="s">
        <v>33</v>
      </c>
      <c r="C49" s="141" t="s">
        <v>392</v>
      </c>
      <c r="D49" s="180" t="s">
        <v>393</v>
      </c>
      <c r="E49" s="152" t="s">
        <v>302</v>
      </c>
      <c r="F49" s="125"/>
      <c r="G49" s="158">
        <v>1</v>
      </c>
      <c r="H49" s="159"/>
      <c r="I49" s="126"/>
      <c r="J49" s="160"/>
      <c r="K49" s="162"/>
      <c r="L49" s="125"/>
      <c r="M49" s="158">
        <v>1</v>
      </c>
      <c r="N49" s="159"/>
      <c r="O49" s="126"/>
      <c r="P49" s="160"/>
      <c r="Q49" s="162"/>
      <c r="R49" s="125">
        <v>1</v>
      </c>
      <c r="S49" s="158"/>
      <c r="T49" s="159">
        <v>1</v>
      </c>
      <c r="U49" s="126"/>
      <c r="V49" s="160"/>
      <c r="W49" s="162"/>
      <c r="X49" s="125">
        <v>1</v>
      </c>
      <c r="Y49" s="158"/>
      <c r="Z49" s="159">
        <v>1</v>
      </c>
      <c r="AA49" s="126"/>
      <c r="AB49" s="160"/>
      <c r="AC49" s="162"/>
      <c r="AD49" s="125"/>
      <c r="AE49" s="158"/>
      <c r="AF49" s="159">
        <v>1</v>
      </c>
      <c r="AG49" s="126"/>
      <c r="AH49" s="160"/>
      <c r="AI49" s="162"/>
      <c r="AJ49" s="125"/>
      <c r="AK49" s="158">
        <v>2</v>
      </c>
      <c r="AL49" s="159">
        <v>1</v>
      </c>
      <c r="AM49" s="126"/>
      <c r="AN49" s="160"/>
      <c r="AO49" s="162"/>
      <c r="AP49" s="125">
        <v>1</v>
      </c>
      <c r="AQ49" s="158">
        <v>1</v>
      </c>
      <c r="AR49" s="159"/>
      <c r="AS49" s="126"/>
      <c r="AT49" s="160"/>
      <c r="AU49" s="162"/>
      <c r="AV49" s="125"/>
      <c r="AW49" s="158"/>
      <c r="AX49" s="159"/>
      <c r="AY49" s="126"/>
      <c r="AZ49" s="160"/>
      <c r="BA49" s="162"/>
      <c r="BB49" s="125">
        <v>1</v>
      </c>
      <c r="BC49" s="158"/>
      <c r="BD49" s="159">
        <v>1</v>
      </c>
      <c r="BE49" s="126"/>
      <c r="BF49" s="160">
        <v>1</v>
      </c>
      <c r="BG49" s="162"/>
      <c r="BH49" s="125">
        <v>2</v>
      </c>
      <c r="BI49" s="158">
        <v>3</v>
      </c>
      <c r="BJ49" s="159"/>
      <c r="BK49" s="126"/>
      <c r="BL49" s="160"/>
      <c r="BM49" s="162"/>
      <c r="BN49" s="125"/>
      <c r="BO49" s="158"/>
      <c r="BP49" s="159"/>
      <c r="BQ49" s="126"/>
      <c r="BR49" s="160"/>
      <c r="BS49" s="162"/>
      <c r="BT49" s="125"/>
      <c r="BU49" s="158"/>
      <c r="BV49" s="159"/>
      <c r="BW49" s="126"/>
      <c r="BX49" s="160"/>
      <c r="BY49" s="162"/>
      <c r="BZ49" s="133"/>
      <c r="CA49" s="134"/>
      <c r="CB49" s="165"/>
      <c r="CC49" s="170">
        <f t="shared" si="18"/>
        <v>6</v>
      </c>
      <c r="CD49" s="171">
        <f t="shared" si="19"/>
        <v>8</v>
      </c>
      <c r="CE49" s="171">
        <f t="shared" si="20"/>
        <v>5</v>
      </c>
      <c r="CF49" s="171">
        <f t="shared" si="23"/>
        <v>0</v>
      </c>
      <c r="CG49" s="171">
        <f t="shared" si="21"/>
        <v>1</v>
      </c>
      <c r="CH49" s="172">
        <f t="shared" si="22"/>
        <v>0</v>
      </c>
    </row>
    <row r="50" spans="1:86" s="1" customFormat="1" ht="24" customHeight="1" x14ac:dyDescent="0.2">
      <c r="A50" s="177" t="s">
        <v>124</v>
      </c>
      <c r="B50" s="141" t="s">
        <v>33</v>
      </c>
      <c r="C50" s="139" t="s">
        <v>394</v>
      </c>
      <c r="D50" s="141" t="s">
        <v>395</v>
      </c>
      <c r="E50" s="152" t="s">
        <v>342</v>
      </c>
      <c r="F50" s="125"/>
      <c r="G50" s="158"/>
      <c r="H50" s="159"/>
      <c r="I50" s="126"/>
      <c r="J50" s="160"/>
      <c r="K50" s="162"/>
      <c r="L50" s="125"/>
      <c r="M50" s="158"/>
      <c r="N50" s="159"/>
      <c r="O50" s="126"/>
      <c r="P50" s="160"/>
      <c r="Q50" s="162"/>
      <c r="R50" s="125"/>
      <c r="S50" s="158"/>
      <c r="T50" s="159"/>
      <c r="U50" s="126"/>
      <c r="V50" s="160"/>
      <c r="W50" s="162"/>
      <c r="X50" s="125"/>
      <c r="Y50" s="158"/>
      <c r="Z50" s="159"/>
      <c r="AA50" s="126"/>
      <c r="AB50" s="160"/>
      <c r="AC50" s="162"/>
      <c r="AD50" s="125"/>
      <c r="AE50" s="158"/>
      <c r="AF50" s="159"/>
      <c r="AG50" s="126"/>
      <c r="AH50" s="160"/>
      <c r="AI50" s="162"/>
      <c r="AJ50" s="125"/>
      <c r="AK50" s="158"/>
      <c r="AL50" s="159"/>
      <c r="AM50" s="126"/>
      <c r="AN50" s="160"/>
      <c r="AO50" s="162"/>
      <c r="AP50" s="125"/>
      <c r="AQ50" s="158"/>
      <c r="AR50" s="159"/>
      <c r="AS50" s="126"/>
      <c r="AT50" s="160"/>
      <c r="AU50" s="162"/>
      <c r="AV50" s="125"/>
      <c r="AW50" s="158"/>
      <c r="AX50" s="159"/>
      <c r="AY50" s="126"/>
      <c r="AZ50" s="160"/>
      <c r="BA50" s="162"/>
      <c r="BB50" s="125"/>
      <c r="BC50" s="158"/>
      <c r="BD50" s="159"/>
      <c r="BE50" s="126"/>
      <c r="BF50" s="160"/>
      <c r="BG50" s="162"/>
      <c r="BH50" s="125"/>
      <c r="BI50" s="158"/>
      <c r="BJ50" s="159"/>
      <c r="BK50" s="126"/>
      <c r="BL50" s="160"/>
      <c r="BM50" s="162"/>
      <c r="BN50" s="125"/>
      <c r="BO50" s="158"/>
      <c r="BP50" s="159"/>
      <c r="BQ50" s="126"/>
      <c r="BR50" s="160"/>
      <c r="BS50" s="162"/>
      <c r="BT50" s="125"/>
      <c r="BU50" s="158"/>
      <c r="BV50" s="159"/>
      <c r="BW50" s="126"/>
      <c r="BX50" s="160"/>
      <c r="BY50" s="162"/>
      <c r="BZ50" s="133"/>
      <c r="CA50" s="136"/>
      <c r="CB50" s="165"/>
      <c r="CC50" s="170">
        <f t="shared" si="18"/>
        <v>0</v>
      </c>
      <c r="CD50" s="171">
        <f t="shared" si="19"/>
        <v>0</v>
      </c>
      <c r="CE50" s="171">
        <f t="shared" si="20"/>
        <v>0</v>
      </c>
      <c r="CF50" s="171">
        <f t="shared" si="23"/>
        <v>0</v>
      </c>
      <c r="CG50" s="171">
        <f t="shared" si="21"/>
        <v>0</v>
      </c>
      <c r="CH50" s="172">
        <f t="shared" si="22"/>
        <v>0</v>
      </c>
    </row>
    <row r="51" spans="1:86" s="1" customFormat="1" ht="24" customHeight="1" x14ac:dyDescent="0.2">
      <c r="A51" s="174" t="s">
        <v>290</v>
      </c>
      <c r="B51" s="141" t="s">
        <v>291</v>
      </c>
      <c r="C51" s="181" t="s">
        <v>396</v>
      </c>
      <c r="D51" s="179" t="s">
        <v>328</v>
      </c>
      <c r="E51" s="175" t="s">
        <v>302</v>
      </c>
      <c r="F51" s="125">
        <v>1</v>
      </c>
      <c r="G51" s="158">
        <v>1</v>
      </c>
      <c r="H51" s="159"/>
      <c r="I51" s="126"/>
      <c r="J51" s="160"/>
      <c r="K51" s="162"/>
      <c r="L51" s="125"/>
      <c r="M51" s="158"/>
      <c r="N51" s="159">
        <v>1</v>
      </c>
      <c r="O51" s="126"/>
      <c r="P51" s="160"/>
      <c r="Q51" s="162"/>
      <c r="R51" s="125"/>
      <c r="S51" s="158"/>
      <c r="T51" s="159"/>
      <c r="U51" s="126"/>
      <c r="V51" s="160"/>
      <c r="W51" s="162"/>
      <c r="X51" s="125"/>
      <c r="Y51" s="158">
        <v>1</v>
      </c>
      <c r="Z51" s="159"/>
      <c r="AA51" s="126"/>
      <c r="AB51" s="160"/>
      <c r="AC51" s="162"/>
      <c r="AD51" s="125"/>
      <c r="AE51" s="158">
        <v>2</v>
      </c>
      <c r="AF51" s="159"/>
      <c r="AG51" s="126"/>
      <c r="AH51" s="160"/>
      <c r="AI51" s="162"/>
      <c r="AJ51" s="125"/>
      <c r="AK51" s="158">
        <v>2</v>
      </c>
      <c r="AL51" s="159">
        <v>1</v>
      </c>
      <c r="AM51" s="126"/>
      <c r="AN51" s="160"/>
      <c r="AO51" s="162"/>
      <c r="AP51" s="125"/>
      <c r="AQ51" s="158">
        <v>1</v>
      </c>
      <c r="AR51" s="159">
        <v>1</v>
      </c>
      <c r="AS51" s="126"/>
      <c r="AT51" s="160"/>
      <c r="AU51" s="162"/>
      <c r="AV51" s="125"/>
      <c r="AW51" s="158"/>
      <c r="AX51" s="159">
        <v>1</v>
      </c>
      <c r="AY51" s="126"/>
      <c r="AZ51" s="160"/>
      <c r="BA51" s="162"/>
      <c r="BB51" s="125">
        <v>1</v>
      </c>
      <c r="BC51" s="158">
        <v>2</v>
      </c>
      <c r="BD51" s="159"/>
      <c r="BE51" s="126"/>
      <c r="BF51" s="160"/>
      <c r="BG51" s="162"/>
      <c r="BH51" s="125"/>
      <c r="BI51" s="158">
        <v>2</v>
      </c>
      <c r="BJ51" s="159"/>
      <c r="BK51" s="126"/>
      <c r="BL51" s="160"/>
      <c r="BM51" s="162"/>
      <c r="BN51" s="125">
        <v>1</v>
      </c>
      <c r="BO51" s="158">
        <v>2</v>
      </c>
      <c r="BP51" s="159">
        <v>1</v>
      </c>
      <c r="BQ51" s="126"/>
      <c r="BR51" s="160"/>
      <c r="BS51" s="162"/>
      <c r="BT51" s="125"/>
      <c r="BU51" s="158">
        <v>1</v>
      </c>
      <c r="BV51" s="159"/>
      <c r="BW51" s="126"/>
      <c r="BX51" s="160"/>
      <c r="BY51" s="162"/>
      <c r="BZ51" s="133"/>
      <c r="CA51" s="136"/>
      <c r="CB51" s="165"/>
      <c r="CC51" s="170">
        <f t="shared" si="18"/>
        <v>3</v>
      </c>
      <c r="CD51" s="171">
        <f t="shared" si="19"/>
        <v>14</v>
      </c>
      <c r="CE51" s="171">
        <f t="shared" si="20"/>
        <v>5</v>
      </c>
      <c r="CF51" s="171">
        <f t="shared" si="23"/>
        <v>0</v>
      </c>
      <c r="CG51" s="171">
        <f t="shared" si="21"/>
        <v>0</v>
      </c>
      <c r="CH51" s="172">
        <f t="shared" si="22"/>
        <v>0</v>
      </c>
    </row>
    <row r="52" spans="1:86" s="1" customFormat="1" ht="24" customHeight="1" x14ac:dyDescent="0.2">
      <c r="A52" s="174" t="s">
        <v>397</v>
      </c>
      <c r="B52" s="141" t="s">
        <v>291</v>
      </c>
      <c r="C52" s="139" t="s">
        <v>398</v>
      </c>
      <c r="D52" s="141" t="s">
        <v>337</v>
      </c>
      <c r="E52" s="152" t="s">
        <v>302</v>
      </c>
      <c r="F52" s="125"/>
      <c r="G52" s="158">
        <v>1</v>
      </c>
      <c r="H52" s="159"/>
      <c r="I52" s="126"/>
      <c r="J52" s="160"/>
      <c r="K52" s="162"/>
      <c r="L52" s="125"/>
      <c r="M52" s="158">
        <v>1</v>
      </c>
      <c r="N52" s="159">
        <v>1</v>
      </c>
      <c r="O52" s="126"/>
      <c r="P52" s="160"/>
      <c r="Q52" s="162"/>
      <c r="R52" s="125"/>
      <c r="S52" s="158">
        <v>1</v>
      </c>
      <c r="T52" s="159">
        <v>1</v>
      </c>
      <c r="U52" s="126"/>
      <c r="V52" s="160"/>
      <c r="W52" s="162"/>
      <c r="X52" s="125"/>
      <c r="Y52" s="158">
        <v>1</v>
      </c>
      <c r="Z52" s="159">
        <v>1</v>
      </c>
      <c r="AA52" s="126"/>
      <c r="AB52" s="160"/>
      <c r="AC52" s="162"/>
      <c r="AD52" s="125"/>
      <c r="AE52" s="158">
        <v>1</v>
      </c>
      <c r="AF52" s="159">
        <v>1</v>
      </c>
      <c r="AG52" s="126">
        <v>1</v>
      </c>
      <c r="AH52" s="160"/>
      <c r="AI52" s="162"/>
      <c r="AJ52" s="125"/>
      <c r="AK52" s="158">
        <v>2</v>
      </c>
      <c r="AL52" s="159"/>
      <c r="AM52" s="126"/>
      <c r="AN52" s="160"/>
      <c r="AO52" s="162"/>
      <c r="AP52" s="125"/>
      <c r="AQ52" s="158">
        <v>1</v>
      </c>
      <c r="AR52" s="159"/>
      <c r="AS52" s="126"/>
      <c r="AT52" s="160"/>
      <c r="AU52" s="162"/>
      <c r="AV52" s="125"/>
      <c r="AW52" s="158"/>
      <c r="AX52" s="159"/>
      <c r="AY52" s="126"/>
      <c r="AZ52" s="160"/>
      <c r="BA52" s="162"/>
      <c r="BB52" s="125"/>
      <c r="BC52" s="158"/>
      <c r="BD52" s="159"/>
      <c r="BE52" s="126"/>
      <c r="BF52" s="160"/>
      <c r="BG52" s="162"/>
      <c r="BH52" s="125"/>
      <c r="BI52" s="158"/>
      <c r="BJ52" s="159"/>
      <c r="BK52" s="126"/>
      <c r="BL52" s="160"/>
      <c r="BM52" s="162"/>
      <c r="BN52" s="125"/>
      <c r="BO52" s="158"/>
      <c r="BP52" s="159"/>
      <c r="BQ52" s="126"/>
      <c r="BR52" s="160"/>
      <c r="BS52" s="162"/>
      <c r="BT52" s="125"/>
      <c r="BU52" s="158"/>
      <c r="BV52" s="159"/>
      <c r="BW52" s="126"/>
      <c r="BX52" s="160"/>
      <c r="BY52" s="162"/>
      <c r="BZ52" s="133"/>
      <c r="CA52" s="134"/>
      <c r="CB52" s="165"/>
      <c r="CC52" s="170">
        <f t="shared" si="18"/>
        <v>0</v>
      </c>
      <c r="CD52" s="171">
        <f t="shared" si="19"/>
        <v>8</v>
      </c>
      <c r="CE52" s="171">
        <f t="shared" si="20"/>
        <v>4</v>
      </c>
      <c r="CF52" s="171">
        <f t="shared" si="23"/>
        <v>1</v>
      </c>
      <c r="CG52" s="171">
        <f t="shared" si="21"/>
        <v>0</v>
      </c>
      <c r="CH52" s="172">
        <f t="shared" si="22"/>
        <v>0</v>
      </c>
    </row>
    <row r="53" spans="1:86" s="1" customFormat="1" ht="24" customHeight="1" x14ac:dyDescent="0.2">
      <c r="A53" s="178" t="s">
        <v>51</v>
      </c>
      <c r="B53" s="141" t="s">
        <v>33</v>
      </c>
      <c r="C53" s="139" t="s">
        <v>399</v>
      </c>
      <c r="D53" s="141" t="s">
        <v>400</v>
      </c>
      <c r="E53" s="152" t="s">
        <v>297</v>
      </c>
      <c r="F53" s="125"/>
      <c r="G53" s="158">
        <v>1</v>
      </c>
      <c r="H53" s="159"/>
      <c r="I53" s="126">
        <v>1</v>
      </c>
      <c r="J53" s="160"/>
      <c r="K53" s="162"/>
      <c r="L53" s="125"/>
      <c r="M53" s="158"/>
      <c r="N53" s="159"/>
      <c r="O53" s="126">
        <v>1</v>
      </c>
      <c r="P53" s="160"/>
      <c r="Q53" s="162"/>
      <c r="R53" s="125"/>
      <c r="S53" s="158"/>
      <c r="T53" s="159"/>
      <c r="U53" s="126"/>
      <c r="V53" s="160"/>
      <c r="W53" s="162"/>
      <c r="X53" s="125"/>
      <c r="Y53" s="158"/>
      <c r="Z53" s="159"/>
      <c r="AA53" s="126">
        <v>2</v>
      </c>
      <c r="AB53" s="160"/>
      <c r="AC53" s="162"/>
      <c r="AD53" s="125"/>
      <c r="AE53" s="158"/>
      <c r="AF53" s="159"/>
      <c r="AG53" s="126">
        <v>2</v>
      </c>
      <c r="AH53" s="160"/>
      <c r="AI53" s="162"/>
      <c r="AJ53" s="125"/>
      <c r="AK53" s="158"/>
      <c r="AL53" s="159"/>
      <c r="AM53" s="126">
        <v>1</v>
      </c>
      <c r="AN53" s="160"/>
      <c r="AO53" s="162"/>
      <c r="AP53" s="125"/>
      <c r="AQ53" s="158"/>
      <c r="AR53" s="159"/>
      <c r="AS53" s="126">
        <v>2</v>
      </c>
      <c r="AT53" s="160"/>
      <c r="AU53" s="162"/>
      <c r="AV53" s="125"/>
      <c r="AW53" s="158"/>
      <c r="AX53" s="159"/>
      <c r="AY53" s="126">
        <v>1</v>
      </c>
      <c r="AZ53" s="160"/>
      <c r="BA53" s="162"/>
      <c r="BB53" s="125"/>
      <c r="BC53" s="158"/>
      <c r="BD53" s="159"/>
      <c r="BE53" s="126"/>
      <c r="BF53" s="160"/>
      <c r="BG53" s="162"/>
      <c r="BH53" s="125"/>
      <c r="BI53" s="158"/>
      <c r="BJ53" s="159"/>
      <c r="BK53" s="126">
        <v>1</v>
      </c>
      <c r="BL53" s="160"/>
      <c r="BM53" s="162"/>
      <c r="BN53" s="125">
        <v>1</v>
      </c>
      <c r="BO53" s="158">
        <v>1</v>
      </c>
      <c r="BP53" s="159"/>
      <c r="BQ53" s="126"/>
      <c r="BR53" s="160"/>
      <c r="BS53" s="162"/>
      <c r="BT53" s="125"/>
      <c r="BU53" s="158"/>
      <c r="BV53" s="159"/>
      <c r="BW53" s="126">
        <v>1</v>
      </c>
      <c r="BX53" s="160"/>
      <c r="BY53" s="162"/>
      <c r="BZ53" s="133"/>
      <c r="CA53" s="136"/>
      <c r="CB53" s="165"/>
      <c r="CC53" s="170">
        <f t="shared" si="18"/>
        <v>1</v>
      </c>
      <c r="CD53" s="171">
        <f t="shared" si="19"/>
        <v>2</v>
      </c>
      <c r="CE53" s="171">
        <f t="shared" si="20"/>
        <v>0</v>
      </c>
      <c r="CF53" s="171">
        <f t="shared" si="23"/>
        <v>12</v>
      </c>
      <c r="CG53" s="171">
        <f t="shared" si="21"/>
        <v>0</v>
      </c>
      <c r="CH53" s="172">
        <f t="shared" si="22"/>
        <v>0</v>
      </c>
    </row>
    <row r="54" spans="1:86" s="1" customFormat="1" ht="24" customHeight="1" x14ac:dyDescent="0.2">
      <c r="A54" s="239" t="s">
        <v>306</v>
      </c>
      <c r="B54" s="141" t="s">
        <v>306</v>
      </c>
      <c r="C54" s="139" t="s">
        <v>401</v>
      </c>
      <c r="D54" s="141" t="s">
        <v>402</v>
      </c>
      <c r="E54" s="152" t="s">
        <v>294</v>
      </c>
      <c r="F54" s="125"/>
      <c r="G54" s="158">
        <v>1</v>
      </c>
      <c r="H54" s="159"/>
      <c r="I54" s="126"/>
      <c r="J54" s="160"/>
      <c r="K54" s="162"/>
      <c r="L54" s="125"/>
      <c r="M54" s="158"/>
      <c r="N54" s="159"/>
      <c r="O54" s="126"/>
      <c r="P54" s="160"/>
      <c r="Q54" s="162"/>
      <c r="R54" s="125"/>
      <c r="S54" s="158"/>
      <c r="T54" s="159"/>
      <c r="U54" s="126"/>
      <c r="V54" s="160"/>
      <c r="W54" s="162"/>
      <c r="X54" s="125"/>
      <c r="Y54" s="158"/>
      <c r="Z54" s="159"/>
      <c r="AA54" s="126"/>
      <c r="AB54" s="160"/>
      <c r="AC54" s="162"/>
      <c r="AD54" s="125"/>
      <c r="AE54" s="158"/>
      <c r="AF54" s="159"/>
      <c r="AG54" s="126"/>
      <c r="AH54" s="160"/>
      <c r="AI54" s="162"/>
      <c r="AJ54" s="125"/>
      <c r="AK54" s="158"/>
      <c r="AL54" s="159"/>
      <c r="AM54" s="126"/>
      <c r="AN54" s="160"/>
      <c r="AO54" s="162"/>
      <c r="AP54" s="125"/>
      <c r="AQ54" s="158"/>
      <c r="AR54" s="159"/>
      <c r="AS54" s="126"/>
      <c r="AT54" s="160"/>
      <c r="AU54" s="162"/>
      <c r="AV54" s="125"/>
      <c r="AW54" s="158"/>
      <c r="AX54" s="159"/>
      <c r="AY54" s="126"/>
      <c r="AZ54" s="160"/>
      <c r="BA54" s="162"/>
      <c r="BB54" s="125"/>
      <c r="BC54" s="158"/>
      <c r="BD54" s="159"/>
      <c r="BE54" s="126"/>
      <c r="BF54" s="160"/>
      <c r="BG54" s="162"/>
      <c r="BH54" s="125"/>
      <c r="BI54" s="158"/>
      <c r="BJ54" s="159"/>
      <c r="BK54" s="126"/>
      <c r="BL54" s="160"/>
      <c r="BM54" s="162"/>
      <c r="BN54" s="125"/>
      <c r="BO54" s="158"/>
      <c r="BP54" s="159"/>
      <c r="BQ54" s="126"/>
      <c r="BR54" s="160"/>
      <c r="BS54" s="162"/>
      <c r="BT54" s="125"/>
      <c r="BU54" s="158"/>
      <c r="BV54" s="159"/>
      <c r="BW54" s="126"/>
      <c r="BX54" s="160"/>
      <c r="BY54" s="162"/>
      <c r="BZ54" s="133"/>
      <c r="CA54" s="134"/>
      <c r="CB54" s="165"/>
      <c r="CC54" s="170">
        <f t="shared" si="18"/>
        <v>0</v>
      </c>
      <c r="CD54" s="171">
        <f t="shared" si="19"/>
        <v>1</v>
      </c>
      <c r="CE54" s="171">
        <f t="shared" si="20"/>
        <v>0</v>
      </c>
      <c r="CF54" s="171">
        <f t="shared" si="23"/>
        <v>0</v>
      </c>
      <c r="CG54" s="171">
        <f t="shared" si="21"/>
        <v>0</v>
      </c>
      <c r="CH54" s="172">
        <f t="shared" si="22"/>
        <v>0</v>
      </c>
    </row>
    <row r="55" spans="1:86" s="1" customFormat="1" ht="24" customHeight="1" x14ac:dyDescent="0.2">
      <c r="A55" s="239" t="s">
        <v>306</v>
      </c>
      <c r="B55" s="141" t="s">
        <v>306</v>
      </c>
      <c r="C55" s="139" t="s">
        <v>403</v>
      </c>
      <c r="D55" s="141" t="s">
        <v>404</v>
      </c>
      <c r="E55" s="182" t="s">
        <v>294</v>
      </c>
      <c r="F55" s="125"/>
      <c r="G55" s="158">
        <v>1</v>
      </c>
      <c r="H55" s="159"/>
      <c r="I55" s="126"/>
      <c r="J55" s="160"/>
      <c r="K55" s="162"/>
      <c r="L55" s="125"/>
      <c r="M55" s="158"/>
      <c r="N55" s="159"/>
      <c r="O55" s="126"/>
      <c r="P55" s="160"/>
      <c r="Q55" s="162"/>
      <c r="R55" s="125"/>
      <c r="S55" s="158"/>
      <c r="T55" s="159"/>
      <c r="U55" s="126"/>
      <c r="V55" s="160"/>
      <c r="W55" s="162"/>
      <c r="X55" s="125"/>
      <c r="Y55" s="158"/>
      <c r="Z55" s="159"/>
      <c r="AA55" s="126"/>
      <c r="AB55" s="160"/>
      <c r="AC55" s="162"/>
      <c r="AD55" s="125"/>
      <c r="AE55" s="158"/>
      <c r="AF55" s="159"/>
      <c r="AG55" s="126"/>
      <c r="AH55" s="160"/>
      <c r="AI55" s="162"/>
      <c r="AJ55" s="125"/>
      <c r="AK55" s="158"/>
      <c r="AL55" s="159"/>
      <c r="AM55" s="126"/>
      <c r="AN55" s="160"/>
      <c r="AO55" s="162"/>
      <c r="AP55" s="125"/>
      <c r="AQ55" s="158"/>
      <c r="AR55" s="159"/>
      <c r="AS55" s="126"/>
      <c r="AT55" s="160"/>
      <c r="AU55" s="162"/>
      <c r="AV55" s="125"/>
      <c r="AW55" s="158"/>
      <c r="AX55" s="159"/>
      <c r="AY55" s="126"/>
      <c r="AZ55" s="160"/>
      <c r="BA55" s="162"/>
      <c r="BB55" s="125"/>
      <c r="BC55" s="158"/>
      <c r="BD55" s="159"/>
      <c r="BE55" s="126"/>
      <c r="BF55" s="160"/>
      <c r="BG55" s="162"/>
      <c r="BH55" s="125"/>
      <c r="BI55" s="158"/>
      <c r="BJ55" s="159"/>
      <c r="BK55" s="126"/>
      <c r="BL55" s="160"/>
      <c r="BM55" s="162"/>
      <c r="BN55" s="125"/>
      <c r="BO55" s="158"/>
      <c r="BP55" s="159"/>
      <c r="BQ55" s="126"/>
      <c r="BR55" s="160"/>
      <c r="BS55" s="162"/>
      <c r="BT55" s="125"/>
      <c r="BU55" s="158"/>
      <c r="BV55" s="159"/>
      <c r="BW55" s="126"/>
      <c r="BX55" s="160"/>
      <c r="BY55" s="162"/>
      <c r="BZ55" s="133"/>
      <c r="CA55" s="134"/>
      <c r="CB55" s="165"/>
      <c r="CC55" s="170">
        <f t="shared" ref="CC55:CC76" si="24">SUM(F55,L55,R55,X55,AD55,AJ55,AP55,AV55,BB55,BH55,BN55,BT55)</f>
        <v>0</v>
      </c>
      <c r="CD55" s="171">
        <f t="shared" ref="CD55:CD76" si="25">SUM(G55,M55,S55,Y55,AE55,AK55,AQ55,AW55,BC55,BI55,BO55,BU55)</f>
        <v>1</v>
      </c>
      <c r="CE55" s="171">
        <f t="shared" ref="CE55:CE76" si="26">SUM(H55,N55,T55,Z55,AF55,AL55,AR55,AX55,BD55,BJ55,BP55,BV55)</f>
        <v>0</v>
      </c>
      <c r="CF55" s="171">
        <f t="shared" ref="CF55:CF76" si="27">SUM(I55,O55,U55,AA55,AG55,AM55,AS55,AY55,BE55,BK55,BQ55,BW55)</f>
        <v>0</v>
      </c>
      <c r="CG55" s="171">
        <f t="shared" ref="CG55:CG76" si="28">SUM(J55,P55,V55,AB55,AH55,AN55,AT55,AZ55,BF55,BL55,BR55,BX55)</f>
        <v>0</v>
      </c>
      <c r="CH55" s="172">
        <f t="shared" ref="CH55:CH76" si="29">SUM(K55,Q55,W55,AC55,AI55,AO55,AU55,BA55,BG55,BM55,BS55,BY55)</f>
        <v>0</v>
      </c>
    </row>
    <row r="56" spans="1:86" s="1" customFormat="1" ht="24" customHeight="1" x14ac:dyDescent="0.2">
      <c r="A56" s="142" t="s">
        <v>329</v>
      </c>
      <c r="B56" s="141" t="s">
        <v>86</v>
      </c>
      <c r="C56" s="139" t="s">
        <v>405</v>
      </c>
      <c r="D56" s="152" t="s">
        <v>406</v>
      </c>
      <c r="E56" s="381" t="s">
        <v>407</v>
      </c>
      <c r="F56" s="380">
        <v>1</v>
      </c>
      <c r="G56" s="158">
        <v>2</v>
      </c>
      <c r="H56" s="159"/>
      <c r="I56" s="126"/>
      <c r="J56" s="160"/>
      <c r="K56" s="162"/>
      <c r="L56" s="125">
        <v>1</v>
      </c>
      <c r="M56" s="158">
        <v>1</v>
      </c>
      <c r="N56" s="159">
        <v>1</v>
      </c>
      <c r="O56" s="126"/>
      <c r="P56" s="160"/>
      <c r="Q56" s="162"/>
      <c r="R56" s="125">
        <v>1</v>
      </c>
      <c r="S56" s="158">
        <v>1</v>
      </c>
      <c r="T56" s="159"/>
      <c r="U56" s="126">
        <v>1</v>
      </c>
      <c r="V56" s="160"/>
      <c r="W56" s="162"/>
      <c r="X56" s="125">
        <v>1</v>
      </c>
      <c r="Y56" s="158">
        <v>2</v>
      </c>
      <c r="Z56" s="159"/>
      <c r="AA56" s="126"/>
      <c r="AB56" s="160"/>
      <c r="AC56" s="162"/>
      <c r="AD56" s="125"/>
      <c r="AE56" s="158"/>
      <c r="AF56" s="159"/>
      <c r="AG56" s="126"/>
      <c r="AH56" s="160"/>
      <c r="AI56" s="162"/>
      <c r="AJ56" s="125">
        <v>1</v>
      </c>
      <c r="AK56" s="158">
        <v>2</v>
      </c>
      <c r="AL56" s="159"/>
      <c r="AM56" s="126"/>
      <c r="AN56" s="160"/>
      <c r="AO56" s="162"/>
      <c r="AP56" s="125"/>
      <c r="AQ56" s="158"/>
      <c r="AR56" s="159"/>
      <c r="AS56" s="126">
        <v>1</v>
      </c>
      <c r="AT56" s="160"/>
      <c r="AU56" s="162"/>
      <c r="AV56" s="125"/>
      <c r="AW56" s="158"/>
      <c r="AX56" s="159"/>
      <c r="AY56" s="126"/>
      <c r="AZ56" s="160"/>
      <c r="BA56" s="162"/>
      <c r="BB56" s="125"/>
      <c r="BC56" s="158"/>
      <c r="BD56" s="159"/>
      <c r="BE56" s="126"/>
      <c r="BF56" s="160"/>
      <c r="BG56" s="162"/>
      <c r="BH56" s="125"/>
      <c r="BI56" s="158"/>
      <c r="BJ56" s="159"/>
      <c r="BK56" s="126"/>
      <c r="BL56" s="160"/>
      <c r="BM56" s="162"/>
      <c r="BN56" s="125"/>
      <c r="BO56" s="158"/>
      <c r="BP56" s="159"/>
      <c r="BQ56" s="126"/>
      <c r="BR56" s="160"/>
      <c r="BS56" s="162"/>
      <c r="BT56" s="125"/>
      <c r="BU56" s="158"/>
      <c r="BV56" s="159"/>
      <c r="BW56" s="126"/>
      <c r="BX56" s="160"/>
      <c r="BY56" s="162"/>
      <c r="BZ56" s="133"/>
      <c r="CA56" s="134"/>
      <c r="CB56" s="165"/>
      <c r="CC56" s="170">
        <f t="shared" si="24"/>
        <v>5</v>
      </c>
      <c r="CD56" s="171">
        <f t="shared" si="25"/>
        <v>8</v>
      </c>
      <c r="CE56" s="171">
        <f t="shared" si="26"/>
        <v>1</v>
      </c>
      <c r="CF56" s="171">
        <f t="shared" si="27"/>
        <v>2</v>
      </c>
      <c r="CG56" s="171">
        <f t="shared" si="28"/>
        <v>0</v>
      </c>
      <c r="CH56" s="172">
        <f t="shared" si="29"/>
        <v>0</v>
      </c>
    </row>
    <row r="57" spans="1:86" s="1" customFormat="1" ht="24" customHeight="1" x14ac:dyDescent="0.2">
      <c r="A57" s="142" t="s">
        <v>329</v>
      </c>
      <c r="B57" s="139" t="s">
        <v>33</v>
      </c>
      <c r="C57" s="139" t="s">
        <v>408</v>
      </c>
      <c r="D57" s="139" t="s">
        <v>409</v>
      </c>
      <c r="E57" s="290" t="s">
        <v>302</v>
      </c>
      <c r="F57" s="125">
        <v>1</v>
      </c>
      <c r="G57" s="158">
        <v>2</v>
      </c>
      <c r="H57" s="159"/>
      <c r="I57" s="126"/>
      <c r="J57" s="160"/>
      <c r="K57" s="162"/>
      <c r="L57" s="125"/>
      <c r="M57" s="158">
        <v>1</v>
      </c>
      <c r="N57" s="159">
        <v>1</v>
      </c>
      <c r="O57" s="126"/>
      <c r="P57" s="160"/>
      <c r="Q57" s="162"/>
      <c r="R57" s="125">
        <v>1</v>
      </c>
      <c r="S57" s="158">
        <v>1</v>
      </c>
      <c r="T57" s="159"/>
      <c r="U57" s="126"/>
      <c r="V57" s="160"/>
      <c r="W57" s="162"/>
      <c r="X57" s="125">
        <v>1</v>
      </c>
      <c r="Y57" s="158">
        <v>2</v>
      </c>
      <c r="Z57" s="159"/>
      <c r="AA57" s="126"/>
      <c r="AB57" s="160"/>
      <c r="AC57" s="162"/>
      <c r="AD57" s="125"/>
      <c r="AE57" s="158"/>
      <c r="AF57" s="159"/>
      <c r="AG57" s="126"/>
      <c r="AH57" s="160"/>
      <c r="AI57" s="162"/>
      <c r="AJ57" s="125">
        <v>1</v>
      </c>
      <c r="AK57" s="158">
        <v>2</v>
      </c>
      <c r="AL57" s="159"/>
      <c r="AM57" s="126"/>
      <c r="AN57" s="160"/>
      <c r="AO57" s="162"/>
      <c r="AP57" s="125"/>
      <c r="AQ57" s="158"/>
      <c r="AR57" s="159"/>
      <c r="AS57" s="126"/>
      <c r="AT57" s="160"/>
      <c r="AU57" s="162"/>
      <c r="AV57" s="125"/>
      <c r="AW57" s="158"/>
      <c r="AX57" s="159"/>
      <c r="AY57" s="126"/>
      <c r="AZ57" s="160"/>
      <c r="BA57" s="162"/>
      <c r="BB57" s="125"/>
      <c r="BC57" s="158"/>
      <c r="BD57" s="159"/>
      <c r="BE57" s="126"/>
      <c r="BF57" s="160"/>
      <c r="BG57" s="162"/>
      <c r="BH57" s="125"/>
      <c r="BI57" s="158"/>
      <c r="BJ57" s="159"/>
      <c r="BK57" s="126"/>
      <c r="BL57" s="160"/>
      <c r="BM57" s="162"/>
      <c r="BN57" s="125"/>
      <c r="BO57" s="158"/>
      <c r="BP57" s="159"/>
      <c r="BQ57" s="126"/>
      <c r="BR57" s="160"/>
      <c r="BS57" s="162"/>
      <c r="BT57" s="125"/>
      <c r="BU57" s="158"/>
      <c r="BV57" s="159"/>
      <c r="BW57" s="126"/>
      <c r="BX57" s="160"/>
      <c r="BY57" s="162"/>
      <c r="BZ57" s="133"/>
      <c r="CA57" s="134"/>
      <c r="CB57" s="165"/>
      <c r="CC57" s="170">
        <f t="shared" si="24"/>
        <v>4</v>
      </c>
      <c r="CD57" s="171">
        <f t="shared" si="25"/>
        <v>8</v>
      </c>
      <c r="CE57" s="171">
        <f t="shared" si="26"/>
        <v>1</v>
      </c>
      <c r="CF57" s="171">
        <f t="shared" si="27"/>
        <v>0</v>
      </c>
      <c r="CG57" s="171">
        <f t="shared" si="28"/>
        <v>0</v>
      </c>
      <c r="CH57" s="172">
        <f t="shared" si="29"/>
        <v>0</v>
      </c>
    </row>
    <row r="58" spans="1:86" s="1" customFormat="1" ht="24" customHeight="1" x14ac:dyDescent="0.2">
      <c r="A58" s="176" t="s">
        <v>35</v>
      </c>
      <c r="B58" s="141" t="s">
        <v>33</v>
      </c>
      <c r="C58" s="139" t="s">
        <v>410</v>
      </c>
      <c r="D58" s="139" t="s">
        <v>411</v>
      </c>
      <c r="E58" s="152" t="s">
        <v>294</v>
      </c>
      <c r="F58" s="125">
        <v>1</v>
      </c>
      <c r="G58" s="158">
        <v>1</v>
      </c>
      <c r="H58" s="159"/>
      <c r="I58" s="126"/>
      <c r="J58" s="160"/>
      <c r="K58" s="162"/>
      <c r="L58" s="125"/>
      <c r="M58" s="158"/>
      <c r="N58" s="159"/>
      <c r="O58" s="126"/>
      <c r="P58" s="160"/>
      <c r="Q58" s="162"/>
      <c r="R58" s="125">
        <v>1</v>
      </c>
      <c r="S58" s="158">
        <v>1</v>
      </c>
      <c r="T58" s="159">
        <v>1</v>
      </c>
      <c r="U58" s="126"/>
      <c r="V58" s="160"/>
      <c r="W58" s="162"/>
      <c r="X58" s="125"/>
      <c r="Y58" s="158"/>
      <c r="Z58" s="159"/>
      <c r="AA58" s="126"/>
      <c r="AB58" s="160"/>
      <c r="AC58" s="162"/>
      <c r="AD58" s="125">
        <v>2</v>
      </c>
      <c r="AE58" s="158">
        <v>2</v>
      </c>
      <c r="AF58" s="159"/>
      <c r="AG58" s="126"/>
      <c r="AH58" s="160"/>
      <c r="AI58" s="162"/>
      <c r="AJ58" s="125"/>
      <c r="AK58" s="158">
        <v>2</v>
      </c>
      <c r="AL58" s="159"/>
      <c r="AM58" s="126"/>
      <c r="AN58" s="160"/>
      <c r="AO58" s="162"/>
      <c r="AP58" s="125"/>
      <c r="AQ58" s="158">
        <v>1</v>
      </c>
      <c r="AR58" s="159"/>
      <c r="AS58" s="126"/>
      <c r="AT58" s="160">
        <v>1</v>
      </c>
      <c r="AU58" s="162"/>
      <c r="AV58" s="125">
        <v>1</v>
      </c>
      <c r="AW58" s="158">
        <v>1</v>
      </c>
      <c r="AX58" s="159"/>
      <c r="AY58" s="126"/>
      <c r="AZ58" s="160"/>
      <c r="BA58" s="162"/>
      <c r="BB58" s="125">
        <v>3</v>
      </c>
      <c r="BC58" s="158">
        <v>4</v>
      </c>
      <c r="BD58" s="159"/>
      <c r="BE58" s="126"/>
      <c r="BF58" s="160"/>
      <c r="BG58" s="162"/>
      <c r="BH58" s="125">
        <v>1</v>
      </c>
      <c r="BI58" s="158">
        <v>2</v>
      </c>
      <c r="BJ58" s="159"/>
      <c r="BK58" s="126"/>
      <c r="BL58" s="160">
        <v>1</v>
      </c>
      <c r="BM58" s="162"/>
      <c r="BN58" s="125">
        <v>2</v>
      </c>
      <c r="BO58" s="158">
        <v>2</v>
      </c>
      <c r="BP58" s="159">
        <v>1</v>
      </c>
      <c r="BQ58" s="126"/>
      <c r="BR58" s="160"/>
      <c r="BS58" s="162"/>
      <c r="BT58" s="125"/>
      <c r="BU58" s="158"/>
      <c r="BV58" s="159"/>
      <c r="BW58" s="126"/>
      <c r="BX58" s="160"/>
      <c r="BY58" s="162"/>
      <c r="BZ58" s="133"/>
      <c r="CA58" s="134"/>
      <c r="CB58" s="165"/>
      <c r="CC58" s="170">
        <f t="shared" si="24"/>
        <v>11</v>
      </c>
      <c r="CD58" s="171">
        <f t="shared" si="25"/>
        <v>16</v>
      </c>
      <c r="CE58" s="171">
        <f t="shared" si="26"/>
        <v>2</v>
      </c>
      <c r="CF58" s="171">
        <f t="shared" si="27"/>
        <v>0</v>
      </c>
      <c r="CG58" s="171">
        <f t="shared" si="28"/>
        <v>2</v>
      </c>
      <c r="CH58" s="172">
        <f t="shared" si="29"/>
        <v>0</v>
      </c>
    </row>
    <row r="59" spans="1:86" s="1" customFormat="1" ht="24" customHeight="1" x14ac:dyDescent="0.2">
      <c r="A59" s="142" t="s">
        <v>329</v>
      </c>
      <c r="B59" s="139" t="s">
        <v>33</v>
      </c>
      <c r="C59" s="139" t="s">
        <v>412</v>
      </c>
      <c r="D59" s="139" t="s">
        <v>413</v>
      </c>
      <c r="E59" s="151" t="s">
        <v>302</v>
      </c>
      <c r="F59" s="125"/>
      <c r="G59" s="158">
        <v>2</v>
      </c>
      <c r="H59" s="159"/>
      <c r="I59" s="126"/>
      <c r="J59" s="160"/>
      <c r="K59" s="162"/>
      <c r="L59" s="125"/>
      <c r="M59" s="158">
        <v>1</v>
      </c>
      <c r="N59" s="159">
        <v>1</v>
      </c>
      <c r="O59" s="126"/>
      <c r="P59" s="160"/>
      <c r="Q59" s="162"/>
      <c r="R59" s="125"/>
      <c r="S59" s="158">
        <v>1</v>
      </c>
      <c r="T59" s="159"/>
      <c r="U59" s="126"/>
      <c r="V59" s="160"/>
      <c r="W59" s="162"/>
      <c r="X59" s="125"/>
      <c r="Y59" s="158">
        <v>2</v>
      </c>
      <c r="Z59" s="159"/>
      <c r="AA59" s="126"/>
      <c r="AB59" s="160"/>
      <c r="AC59" s="162"/>
      <c r="AD59" s="125"/>
      <c r="AE59" s="158"/>
      <c r="AF59" s="159"/>
      <c r="AG59" s="126"/>
      <c r="AH59" s="160"/>
      <c r="AI59" s="162"/>
      <c r="AJ59" s="125"/>
      <c r="AK59" s="158">
        <v>2</v>
      </c>
      <c r="AL59" s="159"/>
      <c r="AM59" s="126"/>
      <c r="AN59" s="160"/>
      <c r="AO59" s="162"/>
      <c r="AP59" s="125"/>
      <c r="AQ59" s="158"/>
      <c r="AR59" s="159"/>
      <c r="AS59" s="126"/>
      <c r="AT59" s="160"/>
      <c r="AU59" s="162"/>
      <c r="AV59" s="125"/>
      <c r="AW59" s="158"/>
      <c r="AX59" s="159"/>
      <c r="AY59" s="126"/>
      <c r="AZ59" s="160"/>
      <c r="BA59" s="162"/>
      <c r="BB59" s="125"/>
      <c r="BC59" s="158"/>
      <c r="BD59" s="159"/>
      <c r="BE59" s="126"/>
      <c r="BF59" s="160"/>
      <c r="BG59" s="162"/>
      <c r="BH59" s="125"/>
      <c r="BI59" s="158"/>
      <c r="BJ59" s="159"/>
      <c r="BK59" s="126"/>
      <c r="BL59" s="160"/>
      <c r="BM59" s="162"/>
      <c r="BN59" s="125"/>
      <c r="BO59" s="158"/>
      <c r="BP59" s="159"/>
      <c r="BQ59" s="126"/>
      <c r="BR59" s="160"/>
      <c r="BS59" s="162"/>
      <c r="BT59" s="125"/>
      <c r="BU59" s="158"/>
      <c r="BV59" s="159"/>
      <c r="BW59" s="126"/>
      <c r="BX59" s="160"/>
      <c r="BY59" s="162"/>
      <c r="BZ59" s="133"/>
      <c r="CA59" s="134"/>
      <c r="CB59" s="165"/>
      <c r="CC59" s="170">
        <f t="shared" si="24"/>
        <v>0</v>
      </c>
      <c r="CD59" s="171">
        <f t="shared" si="25"/>
        <v>8</v>
      </c>
      <c r="CE59" s="171">
        <f t="shared" si="26"/>
        <v>1</v>
      </c>
      <c r="CF59" s="171">
        <f t="shared" si="27"/>
        <v>0</v>
      </c>
      <c r="CG59" s="171">
        <f t="shared" si="28"/>
        <v>0</v>
      </c>
      <c r="CH59" s="172">
        <f t="shared" si="29"/>
        <v>0</v>
      </c>
    </row>
    <row r="60" spans="1:86" s="1" customFormat="1" ht="24" customHeight="1" x14ac:dyDescent="0.2">
      <c r="A60" s="176" t="s">
        <v>35</v>
      </c>
      <c r="B60" s="141" t="s">
        <v>33</v>
      </c>
      <c r="C60" s="139" t="s">
        <v>414</v>
      </c>
      <c r="D60" s="141" t="s">
        <v>415</v>
      </c>
      <c r="E60" s="152" t="s">
        <v>342</v>
      </c>
      <c r="F60" s="125"/>
      <c r="G60" s="158"/>
      <c r="H60" s="159"/>
      <c r="I60" s="126"/>
      <c r="J60" s="160"/>
      <c r="K60" s="162"/>
      <c r="L60" s="125"/>
      <c r="M60" s="158"/>
      <c r="N60" s="159"/>
      <c r="O60" s="126"/>
      <c r="P60" s="160"/>
      <c r="Q60" s="162"/>
      <c r="R60" s="125"/>
      <c r="S60" s="158"/>
      <c r="T60" s="159"/>
      <c r="U60" s="126"/>
      <c r="V60" s="160"/>
      <c r="W60" s="162"/>
      <c r="X60" s="125"/>
      <c r="Y60" s="158"/>
      <c r="Z60" s="159"/>
      <c r="AA60" s="126"/>
      <c r="AB60" s="160"/>
      <c r="AC60" s="162"/>
      <c r="AD60" s="362"/>
      <c r="AE60" s="363"/>
      <c r="AF60" s="364"/>
      <c r="AG60" s="364"/>
      <c r="AH60" s="364"/>
      <c r="AI60" s="365"/>
      <c r="AJ60" s="125"/>
      <c r="AK60" s="158">
        <v>1</v>
      </c>
      <c r="AL60" s="159">
        <v>1</v>
      </c>
      <c r="AM60" s="126"/>
      <c r="AN60" s="160"/>
      <c r="AO60" s="162"/>
      <c r="AP60" s="125"/>
      <c r="AQ60" s="158"/>
      <c r="AR60" s="159"/>
      <c r="AS60" s="126"/>
      <c r="AT60" s="160"/>
      <c r="AU60" s="162"/>
      <c r="AV60" s="125"/>
      <c r="AW60" s="158"/>
      <c r="AX60" s="159"/>
      <c r="AY60" s="126"/>
      <c r="AZ60" s="160"/>
      <c r="BA60" s="162"/>
      <c r="BB60" s="125"/>
      <c r="BC60" s="158"/>
      <c r="BD60" s="159"/>
      <c r="BE60" s="126"/>
      <c r="BF60" s="160"/>
      <c r="BG60" s="162"/>
      <c r="BH60" s="125"/>
      <c r="BI60" s="158"/>
      <c r="BJ60" s="159"/>
      <c r="BK60" s="126"/>
      <c r="BL60" s="160"/>
      <c r="BM60" s="162"/>
      <c r="BN60" s="125"/>
      <c r="BO60" s="158"/>
      <c r="BP60" s="159"/>
      <c r="BQ60" s="126"/>
      <c r="BR60" s="160"/>
      <c r="BS60" s="162"/>
      <c r="BT60" s="125"/>
      <c r="BU60" s="158"/>
      <c r="BV60" s="159"/>
      <c r="BW60" s="126"/>
      <c r="BX60" s="160"/>
      <c r="BY60" s="162"/>
      <c r="BZ60" s="133"/>
      <c r="CA60" s="134"/>
      <c r="CB60" s="165"/>
      <c r="CC60" s="170">
        <f t="shared" si="24"/>
        <v>0</v>
      </c>
      <c r="CD60" s="171">
        <f t="shared" si="25"/>
        <v>1</v>
      </c>
      <c r="CE60" s="171">
        <f t="shared" si="26"/>
        <v>1</v>
      </c>
      <c r="CF60" s="171">
        <f t="shared" si="27"/>
        <v>0</v>
      </c>
      <c r="CG60" s="171">
        <f t="shared" si="28"/>
        <v>0</v>
      </c>
      <c r="CH60" s="172">
        <f t="shared" si="29"/>
        <v>0</v>
      </c>
    </row>
    <row r="61" spans="1:86" s="1" customFormat="1" ht="24" customHeight="1" x14ac:dyDescent="0.2">
      <c r="A61" s="239" t="s">
        <v>306</v>
      </c>
      <c r="B61" s="141" t="s">
        <v>306</v>
      </c>
      <c r="C61" s="141" t="s">
        <v>416</v>
      </c>
      <c r="D61" s="141" t="s">
        <v>417</v>
      </c>
      <c r="E61" s="151" t="s">
        <v>418</v>
      </c>
      <c r="F61" s="125"/>
      <c r="G61" s="158"/>
      <c r="H61" s="159"/>
      <c r="I61" s="126"/>
      <c r="J61" s="160"/>
      <c r="K61" s="162"/>
      <c r="L61" s="125"/>
      <c r="M61" s="158"/>
      <c r="N61" s="159"/>
      <c r="O61" s="126"/>
      <c r="P61" s="160"/>
      <c r="Q61" s="162"/>
      <c r="R61" s="125"/>
      <c r="S61" s="158"/>
      <c r="T61" s="159"/>
      <c r="U61" s="126"/>
      <c r="V61" s="160"/>
      <c r="W61" s="162"/>
      <c r="X61" s="125"/>
      <c r="Y61" s="158"/>
      <c r="Z61" s="159"/>
      <c r="AA61" s="126"/>
      <c r="AB61" s="160"/>
      <c r="AC61" s="162"/>
      <c r="AD61" s="125"/>
      <c r="AE61" s="158"/>
      <c r="AF61" s="159"/>
      <c r="AG61" s="126"/>
      <c r="AH61" s="160"/>
      <c r="AI61" s="162"/>
      <c r="AJ61" s="125"/>
      <c r="AK61" s="158"/>
      <c r="AL61" s="159"/>
      <c r="AM61" s="126"/>
      <c r="AN61" s="160"/>
      <c r="AO61" s="162"/>
      <c r="AP61" s="125"/>
      <c r="AQ61" s="158"/>
      <c r="AR61" s="159"/>
      <c r="AS61" s="126"/>
      <c r="AT61" s="160"/>
      <c r="AU61" s="162"/>
      <c r="AV61" s="125"/>
      <c r="AW61" s="158"/>
      <c r="AX61" s="159"/>
      <c r="AY61" s="126"/>
      <c r="AZ61" s="160"/>
      <c r="BA61" s="162"/>
      <c r="BB61" s="125"/>
      <c r="BC61" s="158"/>
      <c r="BD61" s="159"/>
      <c r="BE61" s="126"/>
      <c r="BF61" s="160"/>
      <c r="BG61" s="162"/>
      <c r="BH61" s="125"/>
      <c r="BI61" s="158"/>
      <c r="BJ61" s="159"/>
      <c r="BK61" s="126"/>
      <c r="BL61" s="160"/>
      <c r="BM61" s="162"/>
      <c r="BN61" s="125"/>
      <c r="BO61" s="158"/>
      <c r="BP61" s="159"/>
      <c r="BQ61" s="126"/>
      <c r="BR61" s="160"/>
      <c r="BS61" s="162"/>
      <c r="BT61" s="125"/>
      <c r="BU61" s="158"/>
      <c r="BV61" s="159"/>
      <c r="BW61" s="126"/>
      <c r="BX61" s="160"/>
      <c r="BY61" s="162"/>
      <c r="BZ61" s="133"/>
      <c r="CA61" s="134"/>
      <c r="CB61" s="165"/>
      <c r="CC61" s="170">
        <f t="shared" si="24"/>
        <v>0</v>
      </c>
      <c r="CD61" s="171">
        <f t="shared" si="25"/>
        <v>0</v>
      </c>
      <c r="CE61" s="171">
        <f t="shared" si="26"/>
        <v>0</v>
      </c>
      <c r="CF61" s="171">
        <f t="shared" si="27"/>
        <v>0</v>
      </c>
      <c r="CG61" s="171">
        <f t="shared" si="28"/>
        <v>0</v>
      </c>
      <c r="CH61" s="172">
        <f t="shared" si="29"/>
        <v>0</v>
      </c>
    </row>
    <row r="62" spans="1:86" s="1" customFormat="1" ht="24" customHeight="1" x14ac:dyDescent="0.2">
      <c r="A62" s="176" t="s">
        <v>35</v>
      </c>
      <c r="B62" s="141" t="s">
        <v>33</v>
      </c>
      <c r="C62" s="139" t="s">
        <v>419</v>
      </c>
      <c r="D62" s="139" t="s">
        <v>411</v>
      </c>
      <c r="E62" s="152" t="s">
        <v>294</v>
      </c>
      <c r="F62" s="125"/>
      <c r="G62" s="158">
        <v>1</v>
      </c>
      <c r="H62" s="159"/>
      <c r="I62" s="126"/>
      <c r="J62" s="160"/>
      <c r="K62" s="162"/>
      <c r="L62" s="125"/>
      <c r="M62" s="158">
        <v>1</v>
      </c>
      <c r="N62" s="159"/>
      <c r="O62" s="126"/>
      <c r="P62" s="160"/>
      <c r="Q62" s="162"/>
      <c r="R62" s="125"/>
      <c r="S62" s="158">
        <v>1</v>
      </c>
      <c r="T62" s="159">
        <v>1</v>
      </c>
      <c r="U62" s="126"/>
      <c r="V62" s="160"/>
      <c r="W62" s="162"/>
      <c r="X62" s="125"/>
      <c r="Y62" s="158"/>
      <c r="Z62" s="159"/>
      <c r="AA62" s="126"/>
      <c r="AB62" s="160"/>
      <c r="AC62" s="162"/>
      <c r="AD62" s="125"/>
      <c r="AE62" s="158">
        <v>2</v>
      </c>
      <c r="AF62" s="159">
        <v>1</v>
      </c>
      <c r="AG62" s="126"/>
      <c r="AH62" s="160"/>
      <c r="AI62" s="162"/>
      <c r="AJ62" s="125"/>
      <c r="AK62" s="158">
        <v>3</v>
      </c>
      <c r="AL62" s="159"/>
      <c r="AM62" s="126"/>
      <c r="AN62" s="160"/>
      <c r="AO62" s="162"/>
      <c r="AP62" s="125"/>
      <c r="AQ62" s="158">
        <v>1</v>
      </c>
      <c r="AR62" s="159">
        <v>1</v>
      </c>
      <c r="AS62" s="126"/>
      <c r="AT62" s="160"/>
      <c r="AU62" s="162"/>
      <c r="AV62" s="125"/>
      <c r="AW62" s="158"/>
      <c r="AX62" s="159"/>
      <c r="AY62" s="126"/>
      <c r="AZ62" s="160"/>
      <c r="BA62" s="162"/>
      <c r="BB62" s="125"/>
      <c r="BC62" s="158">
        <v>1</v>
      </c>
      <c r="BD62" s="159"/>
      <c r="BE62" s="126"/>
      <c r="BF62" s="160"/>
      <c r="BG62" s="162"/>
      <c r="BH62" s="125"/>
      <c r="BI62" s="158">
        <v>1</v>
      </c>
      <c r="BJ62" s="159"/>
      <c r="BK62" s="126"/>
      <c r="BL62" s="160"/>
      <c r="BM62" s="162"/>
      <c r="BN62" s="125">
        <v>1</v>
      </c>
      <c r="BO62" s="158">
        <v>1</v>
      </c>
      <c r="BP62" s="159"/>
      <c r="BQ62" s="126"/>
      <c r="BR62" s="160"/>
      <c r="BS62" s="162"/>
      <c r="BT62" s="125">
        <v>1</v>
      </c>
      <c r="BU62" s="158">
        <v>1</v>
      </c>
      <c r="BV62" s="159"/>
      <c r="BW62" s="126"/>
      <c r="BX62" s="160"/>
      <c r="BY62" s="162"/>
      <c r="BZ62" s="133"/>
      <c r="CA62" s="136"/>
      <c r="CB62" s="165"/>
      <c r="CC62" s="170">
        <f t="shared" si="24"/>
        <v>2</v>
      </c>
      <c r="CD62" s="171">
        <f t="shared" si="25"/>
        <v>13</v>
      </c>
      <c r="CE62" s="171">
        <f t="shared" si="26"/>
        <v>3</v>
      </c>
      <c r="CF62" s="171">
        <f t="shared" si="27"/>
        <v>0</v>
      </c>
      <c r="CG62" s="171">
        <f t="shared" si="28"/>
        <v>0</v>
      </c>
      <c r="CH62" s="172">
        <f t="shared" si="29"/>
        <v>0</v>
      </c>
    </row>
    <row r="63" spans="1:86" s="1" customFormat="1" ht="24" customHeight="1" x14ac:dyDescent="0.2">
      <c r="A63" s="239" t="s">
        <v>306</v>
      </c>
      <c r="B63" s="141" t="s">
        <v>306</v>
      </c>
      <c r="C63" s="146" t="s">
        <v>420</v>
      </c>
      <c r="D63" s="180" t="s">
        <v>421</v>
      </c>
      <c r="E63" s="152" t="s">
        <v>302</v>
      </c>
      <c r="F63" s="125"/>
      <c r="G63" s="158">
        <v>1</v>
      </c>
      <c r="H63" s="159"/>
      <c r="I63" s="126"/>
      <c r="J63" s="160"/>
      <c r="K63" s="162"/>
      <c r="L63" s="125"/>
      <c r="M63" s="158"/>
      <c r="N63" s="159"/>
      <c r="O63" s="126"/>
      <c r="P63" s="160"/>
      <c r="Q63" s="162"/>
      <c r="R63" s="125"/>
      <c r="S63" s="158"/>
      <c r="T63" s="159"/>
      <c r="U63" s="126"/>
      <c r="V63" s="160"/>
      <c r="W63" s="162"/>
      <c r="X63" s="125"/>
      <c r="Y63" s="158"/>
      <c r="Z63" s="159"/>
      <c r="AA63" s="126"/>
      <c r="AB63" s="160"/>
      <c r="AC63" s="162"/>
      <c r="AD63" s="125"/>
      <c r="AE63" s="158"/>
      <c r="AF63" s="159"/>
      <c r="AG63" s="126"/>
      <c r="AH63" s="160"/>
      <c r="AI63" s="162"/>
      <c r="AJ63" s="125"/>
      <c r="AK63" s="158"/>
      <c r="AL63" s="159"/>
      <c r="AM63" s="126"/>
      <c r="AN63" s="160"/>
      <c r="AO63" s="162"/>
      <c r="AP63" s="125"/>
      <c r="AQ63" s="158"/>
      <c r="AR63" s="159"/>
      <c r="AS63" s="126"/>
      <c r="AT63" s="160"/>
      <c r="AU63" s="162"/>
      <c r="AV63" s="125"/>
      <c r="AW63" s="158"/>
      <c r="AX63" s="159"/>
      <c r="AY63" s="126"/>
      <c r="AZ63" s="160"/>
      <c r="BA63" s="162"/>
      <c r="BB63" s="125"/>
      <c r="BC63" s="158"/>
      <c r="BD63" s="159"/>
      <c r="BE63" s="126"/>
      <c r="BF63" s="160"/>
      <c r="BG63" s="162"/>
      <c r="BH63" s="125"/>
      <c r="BI63" s="158"/>
      <c r="BJ63" s="159"/>
      <c r="BK63" s="126"/>
      <c r="BL63" s="160"/>
      <c r="BM63" s="162"/>
      <c r="BN63" s="125"/>
      <c r="BO63" s="158"/>
      <c r="BP63" s="159"/>
      <c r="BQ63" s="126"/>
      <c r="BR63" s="160"/>
      <c r="BS63" s="162"/>
      <c r="BT63" s="125"/>
      <c r="BU63" s="158"/>
      <c r="BV63" s="159"/>
      <c r="BW63" s="126"/>
      <c r="BX63" s="160"/>
      <c r="BY63" s="162"/>
      <c r="BZ63" s="133"/>
      <c r="CA63" s="134"/>
      <c r="CB63" s="165"/>
      <c r="CC63" s="170">
        <f t="shared" si="24"/>
        <v>0</v>
      </c>
      <c r="CD63" s="171">
        <f t="shared" si="25"/>
        <v>1</v>
      </c>
      <c r="CE63" s="171">
        <f t="shared" si="26"/>
        <v>0</v>
      </c>
      <c r="CF63" s="171">
        <f t="shared" si="27"/>
        <v>0</v>
      </c>
      <c r="CG63" s="171">
        <f t="shared" si="28"/>
        <v>0</v>
      </c>
      <c r="CH63" s="172">
        <f t="shared" si="29"/>
        <v>0</v>
      </c>
    </row>
    <row r="64" spans="1:86" s="1" customFormat="1" ht="24" customHeight="1" x14ac:dyDescent="0.2">
      <c r="A64" s="176" t="s">
        <v>35</v>
      </c>
      <c r="B64" s="141" t="s">
        <v>33</v>
      </c>
      <c r="C64" s="139" t="s">
        <v>422</v>
      </c>
      <c r="D64" s="139" t="s">
        <v>423</v>
      </c>
      <c r="E64" s="152" t="s">
        <v>302</v>
      </c>
      <c r="F64" s="125"/>
      <c r="G64" s="158">
        <v>1</v>
      </c>
      <c r="H64" s="159"/>
      <c r="I64" s="126"/>
      <c r="J64" s="160"/>
      <c r="K64" s="162"/>
      <c r="L64" s="125"/>
      <c r="M64" s="158"/>
      <c r="N64" s="159"/>
      <c r="O64" s="126"/>
      <c r="P64" s="160"/>
      <c r="Q64" s="162"/>
      <c r="R64" s="125"/>
      <c r="S64" s="158">
        <v>1</v>
      </c>
      <c r="T64" s="159">
        <v>1</v>
      </c>
      <c r="U64" s="126"/>
      <c r="V64" s="160"/>
      <c r="W64" s="162"/>
      <c r="X64" s="125"/>
      <c r="Y64" s="158">
        <v>1</v>
      </c>
      <c r="Z64" s="159">
        <v>1</v>
      </c>
      <c r="AA64" s="126"/>
      <c r="AB64" s="160"/>
      <c r="AC64" s="162"/>
      <c r="AD64" s="125"/>
      <c r="AE64" s="158"/>
      <c r="AF64" s="159"/>
      <c r="AG64" s="126"/>
      <c r="AH64" s="160"/>
      <c r="AI64" s="162"/>
      <c r="AJ64" s="125"/>
      <c r="AK64" s="158">
        <v>3</v>
      </c>
      <c r="AL64" s="159"/>
      <c r="AM64" s="126"/>
      <c r="AN64" s="160"/>
      <c r="AO64" s="162"/>
      <c r="AP64" s="125">
        <v>1</v>
      </c>
      <c r="AQ64" s="158">
        <v>1</v>
      </c>
      <c r="AR64" s="159">
        <v>1</v>
      </c>
      <c r="AS64" s="126"/>
      <c r="AT64" s="160"/>
      <c r="AU64" s="162"/>
      <c r="AV64" s="125">
        <v>1</v>
      </c>
      <c r="AW64" s="158">
        <v>2</v>
      </c>
      <c r="AX64" s="159">
        <v>1</v>
      </c>
      <c r="AY64" s="126"/>
      <c r="AZ64" s="160"/>
      <c r="BA64" s="162"/>
      <c r="BB64" s="125"/>
      <c r="BC64" s="158">
        <v>1</v>
      </c>
      <c r="BD64" s="159"/>
      <c r="BE64" s="126"/>
      <c r="BF64" s="160"/>
      <c r="BG64" s="162"/>
      <c r="BH64" s="125">
        <v>2</v>
      </c>
      <c r="BI64" s="158">
        <v>3</v>
      </c>
      <c r="BJ64" s="159"/>
      <c r="BK64" s="126"/>
      <c r="BL64" s="160">
        <v>1</v>
      </c>
      <c r="BM64" s="162"/>
      <c r="BN64" s="125">
        <v>1</v>
      </c>
      <c r="BO64" s="158">
        <v>1</v>
      </c>
      <c r="BP64" s="159"/>
      <c r="BQ64" s="126"/>
      <c r="BR64" s="160"/>
      <c r="BS64" s="162"/>
      <c r="BT64" s="125">
        <v>1</v>
      </c>
      <c r="BU64" s="158">
        <v>1</v>
      </c>
      <c r="BV64" s="159">
        <v>1</v>
      </c>
      <c r="BW64" s="126"/>
      <c r="BX64" s="160"/>
      <c r="BY64" s="162"/>
      <c r="BZ64" s="133"/>
      <c r="CA64" s="136"/>
      <c r="CB64" s="165"/>
      <c r="CC64" s="170">
        <f t="shared" si="24"/>
        <v>6</v>
      </c>
      <c r="CD64" s="171">
        <f t="shared" si="25"/>
        <v>15</v>
      </c>
      <c r="CE64" s="171">
        <f t="shared" si="26"/>
        <v>5</v>
      </c>
      <c r="CF64" s="171">
        <f t="shared" si="27"/>
        <v>0</v>
      </c>
      <c r="CG64" s="171">
        <f t="shared" si="28"/>
        <v>1</v>
      </c>
      <c r="CH64" s="172">
        <f t="shared" si="29"/>
        <v>0</v>
      </c>
    </row>
    <row r="65" spans="1:86" s="1" customFormat="1" ht="24" customHeight="1" x14ac:dyDescent="0.2">
      <c r="A65" s="176" t="s">
        <v>35</v>
      </c>
      <c r="B65" s="141" t="s">
        <v>33</v>
      </c>
      <c r="C65" s="139" t="s">
        <v>422</v>
      </c>
      <c r="D65" s="139" t="s">
        <v>424</v>
      </c>
      <c r="E65" s="287" t="s">
        <v>302</v>
      </c>
      <c r="F65" s="125"/>
      <c r="G65" s="158">
        <v>1</v>
      </c>
      <c r="H65" s="159"/>
      <c r="I65" s="126"/>
      <c r="J65" s="160"/>
      <c r="K65" s="162"/>
      <c r="L65" s="125"/>
      <c r="M65" s="158"/>
      <c r="N65" s="159"/>
      <c r="O65" s="126"/>
      <c r="P65" s="160"/>
      <c r="Q65" s="162"/>
      <c r="R65" s="125"/>
      <c r="S65" s="158">
        <v>1</v>
      </c>
      <c r="T65" s="159"/>
      <c r="U65" s="126"/>
      <c r="V65" s="160"/>
      <c r="W65" s="162"/>
      <c r="X65" s="125"/>
      <c r="Y65" s="158">
        <v>2</v>
      </c>
      <c r="Z65" s="159">
        <v>1</v>
      </c>
      <c r="AA65" s="126"/>
      <c r="AB65" s="160"/>
      <c r="AC65" s="162"/>
      <c r="AD65" s="125"/>
      <c r="AE65" s="158">
        <v>1</v>
      </c>
      <c r="AF65" s="159">
        <v>1</v>
      </c>
      <c r="AG65" s="126"/>
      <c r="AH65" s="160"/>
      <c r="AI65" s="162"/>
      <c r="AJ65" s="125"/>
      <c r="AK65" s="158">
        <v>2</v>
      </c>
      <c r="AL65" s="159">
        <v>1</v>
      </c>
      <c r="AM65" s="126"/>
      <c r="AN65" s="160"/>
      <c r="AO65" s="162"/>
      <c r="AP65" s="125"/>
      <c r="AQ65" s="158">
        <v>1</v>
      </c>
      <c r="AR65" s="159">
        <v>1</v>
      </c>
      <c r="AS65" s="126"/>
      <c r="AT65" s="160"/>
      <c r="AU65" s="162"/>
      <c r="AV65" s="125"/>
      <c r="AW65" s="158">
        <v>3</v>
      </c>
      <c r="AX65" s="159"/>
      <c r="AY65" s="126"/>
      <c r="AZ65" s="160"/>
      <c r="BA65" s="162"/>
      <c r="BB65" s="125"/>
      <c r="BC65" s="158">
        <v>1</v>
      </c>
      <c r="BD65" s="159"/>
      <c r="BE65" s="126"/>
      <c r="BF65" s="160"/>
      <c r="BG65" s="162"/>
      <c r="BH65" s="125"/>
      <c r="BI65" s="158">
        <v>3</v>
      </c>
      <c r="BJ65" s="159">
        <v>1</v>
      </c>
      <c r="BK65" s="126"/>
      <c r="BL65" s="160"/>
      <c r="BM65" s="162"/>
      <c r="BN65" s="125"/>
      <c r="BO65" s="158"/>
      <c r="BP65" s="159">
        <v>1</v>
      </c>
      <c r="BQ65" s="126"/>
      <c r="BR65" s="160"/>
      <c r="BS65" s="162"/>
      <c r="BT65" s="125"/>
      <c r="BU65" s="158"/>
      <c r="BV65" s="159"/>
      <c r="BW65" s="126"/>
      <c r="BX65" s="160"/>
      <c r="BY65" s="162"/>
      <c r="BZ65" s="133"/>
      <c r="CA65" s="136"/>
      <c r="CB65" s="165"/>
      <c r="CC65" s="170">
        <f t="shared" si="24"/>
        <v>0</v>
      </c>
      <c r="CD65" s="171">
        <f t="shared" si="25"/>
        <v>15</v>
      </c>
      <c r="CE65" s="171">
        <f t="shared" si="26"/>
        <v>6</v>
      </c>
      <c r="CF65" s="171">
        <f t="shared" si="27"/>
        <v>0</v>
      </c>
      <c r="CG65" s="171">
        <f t="shared" si="28"/>
        <v>0</v>
      </c>
      <c r="CH65" s="172">
        <f t="shared" si="29"/>
        <v>0</v>
      </c>
    </row>
    <row r="66" spans="1:86" s="1" customFormat="1" ht="24" customHeight="1" x14ac:dyDescent="0.2">
      <c r="A66" s="142" t="s">
        <v>329</v>
      </c>
      <c r="B66" s="139" t="s">
        <v>33</v>
      </c>
      <c r="C66" s="139" t="s">
        <v>425</v>
      </c>
      <c r="D66" s="152" t="s">
        <v>426</v>
      </c>
      <c r="E66" s="184" t="s">
        <v>407</v>
      </c>
      <c r="F66" s="380">
        <v>1</v>
      </c>
      <c r="G66" s="158">
        <v>2</v>
      </c>
      <c r="H66" s="159"/>
      <c r="I66" s="126"/>
      <c r="J66" s="160"/>
      <c r="K66" s="162"/>
      <c r="L66" s="125">
        <v>1</v>
      </c>
      <c r="M66" s="158">
        <v>1</v>
      </c>
      <c r="N66" s="159">
        <v>1</v>
      </c>
      <c r="O66" s="126"/>
      <c r="P66" s="160"/>
      <c r="Q66" s="162"/>
      <c r="R66" s="125"/>
      <c r="S66" s="158">
        <v>1</v>
      </c>
      <c r="T66" s="159"/>
      <c r="U66" s="126"/>
      <c r="V66" s="160"/>
      <c r="W66" s="162"/>
      <c r="X66" s="125"/>
      <c r="Y66" s="158"/>
      <c r="Z66" s="159"/>
      <c r="AA66" s="126"/>
      <c r="AB66" s="160"/>
      <c r="AC66" s="162"/>
      <c r="AD66" s="125"/>
      <c r="AE66" s="158"/>
      <c r="AF66" s="159"/>
      <c r="AG66" s="126"/>
      <c r="AH66" s="160"/>
      <c r="AI66" s="162"/>
      <c r="AJ66" s="125">
        <v>1</v>
      </c>
      <c r="AK66" s="158">
        <v>2</v>
      </c>
      <c r="AL66" s="159"/>
      <c r="AM66" s="126"/>
      <c r="AN66" s="160"/>
      <c r="AO66" s="162"/>
      <c r="AP66" s="125"/>
      <c r="AQ66" s="158"/>
      <c r="AR66" s="159"/>
      <c r="AS66" s="126"/>
      <c r="AT66" s="160"/>
      <c r="AU66" s="162"/>
      <c r="AV66" s="125"/>
      <c r="AW66" s="158"/>
      <c r="AX66" s="159"/>
      <c r="AY66" s="126"/>
      <c r="AZ66" s="160"/>
      <c r="BA66" s="162"/>
      <c r="BB66" s="125"/>
      <c r="BC66" s="158"/>
      <c r="BD66" s="159"/>
      <c r="BE66" s="126"/>
      <c r="BF66" s="160"/>
      <c r="BG66" s="162"/>
      <c r="BH66" s="125"/>
      <c r="BI66" s="158"/>
      <c r="BJ66" s="159"/>
      <c r="BK66" s="126"/>
      <c r="BL66" s="160"/>
      <c r="BM66" s="162"/>
      <c r="BN66" s="125"/>
      <c r="BO66" s="158"/>
      <c r="BP66" s="159"/>
      <c r="BQ66" s="126"/>
      <c r="BR66" s="160"/>
      <c r="BS66" s="162"/>
      <c r="BT66" s="125"/>
      <c r="BU66" s="158"/>
      <c r="BV66" s="159"/>
      <c r="BW66" s="126"/>
      <c r="BX66" s="160"/>
      <c r="BY66" s="162"/>
      <c r="BZ66" s="133"/>
      <c r="CA66" s="136"/>
      <c r="CB66" s="165"/>
      <c r="CC66" s="170">
        <f t="shared" si="24"/>
        <v>3</v>
      </c>
      <c r="CD66" s="171">
        <f t="shared" si="25"/>
        <v>6</v>
      </c>
      <c r="CE66" s="171">
        <f t="shared" si="26"/>
        <v>1</v>
      </c>
      <c r="CF66" s="171">
        <f t="shared" si="27"/>
        <v>0</v>
      </c>
      <c r="CG66" s="171">
        <f t="shared" si="28"/>
        <v>0</v>
      </c>
      <c r="CH66" s="172">
        <f t="shared" si="29"/>
        <v>0</v>
      </c>
    </row>
    <row r="67" spans="1:86" s="1" customFormat="1" ht="24" customHeight="1" x14ac:dyDescent="0.2">
      <c r="A67" s="142" t="s">
        <v>345</v>
      </c>
      <c r="B67" s="141" t="s">
        <v>33</v>
      </c>
      <c r="C67" s="139" t="s">
        <v>427</v>
      </c>
      <c r="D67" s="141" t="s">
        <v>428</v>
      </c>
      <c r="E67" s="184" t="s">
        <v>289</v>
      </c>
      <c r="F67" s="125"/>
      <c r="G67" s="158"/>
      <c r="H67" s="159"/>
      <c r="I67" s="126">
        <v>1</v>
      </c>
      <c r="J67" s="160"/>
      <c r="K67" s="162"/>
      <c r="L67" s="125"/>
      <c r="M67" s="158"/>
      <c r="N67" s="159"/>
      <c r="O67" s="126"/>
      <c r="P67" s="160"/>
      <c r="Q67" s="162"/>
      <c r="R67" s="125"/>
      <c r="S67" s="158"/>
      <c r="T67" s="159"/>
      <c r="U67" s="126"/>
      <c r="V67" s="160"/>
      <c r="W67" s="162"/>
      <c r="X67" s="125"/>
      <c r="Y67" s="158"/>
      <c r="Z67" s="159"/>
      <c r="AA67" s="126"/>
      <c r="AB67" s="160"/>
      <c r="AC67" s="162"/>
      <c r="AD67" s="125"/>
      <c r="AE67" s="158"/>
      <c r="AF67" s="159"/>
      <c r="AG67" s="126"/>
      <c r="AH67" s="160"/>
      <c r="AI67" s="162"/>
      <c r="AJ67" s="125"/>
      <c r="AK67" s="158"/>
      <c r="AL67" s="159"/>
      <c r="AM67" s="126"/>
      <c r="AN67" s="160"/>
      <c r="AO67" s="162"/>
      <c r="AP67" s="125"/>
      <c r="AQ67" s="158"/>
      <c r="AR67" s="159"/>
      <c r="AS67" s="126"/>
      <c r="AT67" s="160"/>
      <c r="AU67" s="162"/>
      <c r="AV67" s="125"/>
      <c r="AW67" s="158"/>
      <c r="AX67" s="159"/>
      <c r="AY67" s="126"/>
      <c r="AZ67" s="160"/>
      <c r="BA67" s="162"/>
      <c r="BB67" s="125"/>
      <c r="BC67" s="158"/>
      <c r="BD67" s="159"/>
      <c r="BE67" s="126"/>
      <c r="BF67" s="160"/>
      <c r="BG67" s="162"/>
      <c r="BH67" s="125"/>
      <c r="BI67" s="158"/>
      <c r="BJ67" s="159"/>
      <c r="BK67" s="126"/>
      <c r="BL67" s="160"/>
      <c r="BM67" s="162"/>
      <c r="BN67" s="125"/>
      <c r="BO67" s="158"/>
      <c r="BP67" s="159"/>
      <c r="BQ67" s="126"/>
      <c r="BR67" s="160"/>
      <c r="BS67" s="162"/>
      <c r="BT67" s="125"/>
      <c r="BU67" s="158"/>
      <c r="BV67" s="159"/>
      <c r="BW67" s="126"/>
      <c r="BX67" s="160"/>
      <c r="BY67" s="162"/>
      <c r="BZ67" s="133"/>
      <c r="CA67" s="134"/>
      <c r="CB67" s="165"/>
      <c r="CC67" s="170">
        <f t="shared" si="24"/>
        <v>0</v>
      </c>
      <c r="CD67" s="171">
        <f t="shared" si="25"/>
        <v>0</v>
      </c>
      <c r="CE67" s="171">
        <f t="shared" si="26"/>
        <v>0</v>
      </c>
      <c r="CF67" s="171">
        <f t="shared" si="27"/>
        <v>1</v>
      </c>
      <c r="CG67" s="171">
        <f t="shared" si="28"/>
        <v>0</v>
      </c>
      <c r="CH67" s="172">
        <f t="shared" si="29"/>
        <v>0</v>
      </c>
    </row>
    <row r="68" spans="1:86" s="1" customFormat="1" ht="24" customHeight="1" x14ac:dyDescent="0.2">
      <c r="A68" s="176" t="s">
        <v>35</v>
      </c>
      <c r="B68" s="141" t="s">
        <v>33</v>
      </c>
      <c r="C68" s="151" t="s">
        <v>429</v>
      </c>
      <c r="D68" s="139" t="s">
        <v>430</v>
      </c>
      <c r="E68" s="175" t="s">
        <v>294</v>
      </c>
      <c r="F68" s="125"/>
      <c r="G68" s="158"/>
      <c r="H68" s="159"/>
      <c r="I68" s="126"/>
      <c r="J68" s="160"/>
      <c r="K68" s="162"/>
      <c r="L68" s="125"/>
      <c r="M68" s="158">
        <v>1</v>
      </c>
      <c r="N68" s="159"/>
      <c r="O68" s="126"/>
      <c r="P68" s="160"/>
      <c r="Q68" s="162"/>
      <c r="R68" s="125">
        <v>1</v>
      </c>
      <c r="S68" s="158">
        <v>4</v>
      </c>
      <c r="T68" s="159"/>
      <c r="U68" s="126"/>
      <c r="V68" s="160"/>
      <c r="W68" s="162"/>
      <c r="X68" s="125"/>
      <c r="Y68" s="158">
        <v>1</v>
      </c>
      <c r="Z68" s="159"/>
      <c r="AA68" s="126"/>
      <c r="AB68" s="160"/>
      <c r="AC68" s="162"/>
      <c r="AD68" s="125"/>
      <c r="AE68" s="158"/>
      <c r="AF68" s="159"/>
      <c r="AG68" s="126"/>
      <c r="AH68" s="160"/>
      <c r="AI68" s="162"/>
      <c r="AJ68" s="125"/>
      <c r="AK68" s="158">
        <v>2</v>
      </c>
      <c r="AL68" s="159">
        <v>1</v>
      </c>
      <c r="AM68" s="126"/>
      <c r="AN68" s="160"/>
      <c r="AO68" s="162"/>
      <c r="AP68" s="125"/>
      <c r="AQ68" s="158">
        <v>2</v>
      </c>
      <c r="AR68" s="159"/>
      <c r="AS68" s="126"/>
      <c r="AT68" s="160"/>
      <c r="AU68" s="162"/>
      <c r="AV68" s="125"/>
      <c r="AW68" s="158">
        <v>4</v>
      </c>
      <c r="AX68" s="159">
        <v>1</v>
      </c>
      <c r="AY68" s="126"/>
      <c r="AZ68" s="160"/>
      <c r="BA68" s="162"/>
      <c r="BB68" s="125"/>
      <c r="BC68" s="158"/>
      <c r="BD68" s="159"/>
      <c r="BE68" s="126"/>
      <c r="BF68" s="160"/>
      <c r="BG68" s="162"/>
      <c r="BH68" s="125">
        <v>1</v>
      </c>
      <c r="BI68" s="158">
        <v>1</v>
      </c>
      <c r="BJ68" s="159"/>
      <c r="BK68" s="126"/>
      <c r="BL68" s="160"/>
      <c r="BM68" s="162"/>
      <c r="BN68" s="125"/>
      <c r="BO68" s="158">
        <v>1</v>
      </c>
      <c r="BP68" s="159"/>
      <c r="BQ68" s="126"/>
      <c r="BR68" s="160">
        <v>1</v>
      </c>
      <c r="BS68" s="162"/>
      <c r="BT68" s="125">
        <v>1</v>
      </c>
      <c r="BU68" s="158">
        <v>5</v>
      </c>
      <c r="BV68" s="159"/>
      <c r="BW68" s="126"/>
      <c r="BX68" s="160"/>
      <c r="BY68" s="162"/>
      <c r="BZ68" s="133"/>
      <c r="CA68" s="134"/>
      <c r="CB68" s="165"/>
      <c r="CC68" s="170">
        <f t="shared" si="24"/>
        <v>3</v>
      </c>
      <c r="CD68" s="171">
        <f t="shared" si="25"/>
        <v>21</v>
      </c>
      <c r="CE68" s="171">
        <f t="shared" si="26"/>
        <v>2</v>
      </c>
      <c r="CF68" s="171">
        <f t="shared" si="27"/>
        <v>0</v>
      </c>
      <c r="CG68" s="171">
        <f t="shared" si="28"/>
        <v>1</v>
      </c>
      <c r="CH68" s="172">
        <f t="shared" si="29"/>
        <v>0</v>
      </c>
    </row>
    <row r="69" spans="1:86" s="1" customFormat="1" ht="24" customHeight="1" x14ac:dyDescent="0.2">
      <c r="A69" s="178" t="s">
        <v>51</v>
      </c>
      <c r="B69" s="141" t="s">
        <v>33</v>
      </c>
      <c r="C69" s="146" t="s">
        <v>431</v>
      </c>
      <c r="D69" s="180" t="s">
        <v>432</v>
      </c>
      <c r="E69" s="152" t="s">
        <v>294</v>
      </c>
      <c r="F69" s="125"/>
      <c r="G69" s="158"/>
      <c r="H69" s="159"/>
      <c r="I69" s="126"/>
      <c r="J69" s="160"/>
      <c r="K69" s="162"/>
      <c r="L69" s="125"/>
      <c r="M69" s="158"/>
      <c r="N69" s="159"/>
      <c r="O69" s="126"/>
      <c r="P69" s="160"/>
      <c r="Q69" s="162"/>
      <c r="R69" s="125">
        <v>1</v>
      </c>
      <c r="S69" s="158"/>
      <c r="T69" s="159">
        <v>1</v>
      </c>
      <c r="U69" s="126"/>
      <c r="V69" s="160"/>
      <c r="W69" s="162"/>
      <c r="X69" s="125"/>
      <c r="Y69" s="158"/>
      <c r="Z69" s="159"/>
      <c r="AA69" s="126"/>
      <c r="AB69" s="160"/>
      <c r="AC69" s="162"/>
      <c r="AD69" s="125"/>
      <c r="AE69" s="158"/>
      <c r="AF69" s="159"/>
      <c r="AG69" s="126"/>
      <c r="AH69" s="160"/>
      <c r="AI69" s="162"/>
      <c r="AJ69" s="125"/>
      <c r="AK69" s="158">
        <v>1</v>
      </c>
      <c r="AL69" s="159"/>
      <c r="AM69" s="126"/>
      <c r="AN69" s="160"/>
      <c r="AO69" s="162"/>
      <c r="AP69" s="125"/>
      <c r="AQ69" s="158">
        <v>1</v>
      </c>
      <c r="AR69" s="159"/>
      <c r="AS69" s="126">
        <v>1</v>
      </c>
      <c r="AT69" s="160"/>
      <c r="AU69" s="162"/>
      <c r="AV69" s="125"/>
      <c r="AW69" s="158"/>
      <c r="AX69" s="159"/>
      <c r="AY69" s="126"/>
      <c r="AZ69" s="160"/>
      <c r="BA69" s="162"/>
      <c r="BB69" s="125"/>
      <c r="BC69" s="158"/>
      <c r="BD69" s="159"/>
      <c r="BE69" s="126"/>
      <c r="BF69" s="160"/>
      <c r="BG69" s="162"/>
      <c r="BH69" s="125"/>
      <c r="BI69" s="158"/>
      <c r="BJ69" s="159"/>
      <c r="BK69" s="126"/>
      <c r="BL69" s="160"/>
      <c r="BM69" s="162"/>
      <c r="BN69" s="125">
        <v>1</v>
      </c>
      <c r="BO69" s="158">
        <v>1</v>
      </c>
      <c r="BP69" s="159"/>
      <c r="BQ69" s="126"/>
      <c r="BR69" s="160"/>
      <c r="BS69" s="162"/>
      <c r="BT69" s="125"/>
      <c r="BU69" s="158"/>
      <c r="BV69" s="159"/>
      <c r="BW69" s="126"/>
      <c r="BX69" s="160"/>
      <c r="BY69" s="162"/>
      <c r="BZ69" s="133"/>
      <c r="CA69" s="134"/>
      <c r="CB69" s="165"/>
      <c r="CC69" s="170">
        <f t="shared" si="24"/>
        <v>2</v>
      </c>
      <c r="CD69" s="171">
        <f t="shared" si="25"/>
        <v>3</v>
      </c>
      <c r="CE69" s="171">
        <f t="shared" si="26"/>
        <v>1</v>
      </c>
      <c r="CF69" s="171">
        <f t="shared" si="27"/>
        <v>1</v>
      </c>
      <c r="CG69" s="171">
        <f t="shared" si="28"/>
        <v>0</v>
      </c>
      <c r="CH69" s="172">
        <f t="shared" si="29"/>
        <v>0</v>
      </c>
    </row>
    <row r="70" spans="1:86" s="1" customFormat="1" ht="24" customHeight="1" x14ac:dyDescent="0.2">
      <c r="A70" s="142" t="s">
        <v>329</v>
      </c>
      <c r="B70" s="139" t="s">
        <v>33</v>
      </c>
      <c r="C70" s="139" t="s">
        <v>433</v>
      </c>
      <c r="D70" s="139" t="s">
        <v>434</v>
      </c>
      <c r="E70" s="151" t="s">
        <v>297</v>
      </c>
      <c r="F70" s="125"/>
      <c r="G70" s="158"/>
      <c r="H70" s="159"/>
      <c r="I70" s="126"/>
      <c r="J70" s="160"/>
      <c r="K70" s="162"/>
      <c r="L70" s="125"/>
      <c r="M70" s="158">
        <v>1</v>
      </c>
      <c r="N70" s="159">
        <v>1</v>
      </c>
      <c r="O70" s="126">
        <v>1</v>
      </c>
      <c r="P70" s="160"/>
      <c r="Q70" s="162"/>
      <c r="R70" s="125"/>
      <c r="S70" s="158"/>
      <c r="T70" s="159"/>
      <c r="U70" s="126"/>
      <c r="V70" s="160"/>
      <c r="W70" s="162"/>
      <c r="X70" s="125"/>
      <c r="Y70" s="158"/>
      <c r="Z70" s="159"/>
      <c r="AA70" s="126"/>
      <c r="AB70" s="160"/>
      <c r="AC70" s="162"/>
      <c r="AD70" s="125"/>
      <c r="AE70" s="158"/>
      <c r="AF70" s="159"/>
      <c r="AG70" s="126"/>
      <c r="AH70" s="160"/>
      <c r="AI70" s="162"/>
      <c r="AJ70" s="125"/>
      <c r="AK70" s="158"/>
      <c r="AL70" s="159"/>
      <c r="AM70" s="126"/>
      <c r="AN70" s="160"/>
      <c r="AO70" s="162"/>
      <c r="AP70" s="125"/>
      <c r="AQ70" s="158"/>
      <c r="AR70" s="159"/>
      <c r="AS70" s="126">
        <v>1</v>
      </c>
      <c r="AT70" s="160"/>
      <c r="AU70" s="162"/>
      <c r="AV70" s="125"/>
      <c r="AW70" s="158"/>
      <c r="AX70" s="159"/>
      <c r="AY70" s="126"/>
      <c r="AZ70" s="160"/>
      <c r="BA70" s="162"/>
      <c r="BB70" s="125"/>
      <c r="BC70" s="158"/>
      <c r="BD70" s="159"/>
      <c r="BE70" s="126"/>
      <c r="BF70" s="160"/>
      <c r="BG70" s="162"/>
      <c r="BH70" s="125"/>
      <c r="BI70" s="158"/>
      <c r="BJ70" s="159"/>
      <c r="BK70" s="126"/>
      <c r="BL70" s="160"/>
      <c r="BM70" s="162"/>
      <c r="BN70" s="125"/>
      <c r="BO70" s="158"/>
      <c r="BP70" s="159"/>
      <c r="BQ70" s="126"/>
      <c r="BR70" s="160"/>
      <c r="BS70" s="162"/>
      <c r="BT70" s="125"/>
      <c r="BU70" s="158"/>
      <c r="BV70" s="159"/>
      <c r="BW70" s="126"/>
      <c r="BX70" s="160"/>
      <c r="BY70" s="162"/>
      <c r="BZ70" s="133"/>
      <c r="CA70" s="134"/>
      <c r="CB70" s="165"/>
      <c r="CC70" s="170">
        <f t="shared" si="24"/>
        <v>0</v>
      </c>
      <c r="CD70" s="171">
        <f t="shared" si="25"/>
        <v>1</v>
      </c>
      <c r="CE70" s="171">
        <f t="shared" si="26"/>
        <v>1</v>
      </c>
      <c r="CF70" s="171">
        <f t="shared" si="27"/>
        <v>2</v>
      </c>
      <c r="CG70" s="171">
        <f t="shared" si="28"/>
        <v>0</v>
      </c>
      <c r="CH70" s="172">
        <f t="shared" si="29"/>
        <v>0</v>
      </c>
    </row>
    <row r="71" spans="1:86" s="1" customFormat="1" ht="24" customHeight="1" x14ac:dyDescent="0.2">
      <c r="A71" s="176" t="s">
        <v>35</v>
      </c>
      <c r="B71" s="141" t="s">
        <v>33</v>
      </c>
      <c r="C71" s="139" t="s">
        <v>435</v>
      </c>
      <c r="D71" s="139" t="s">
        <v>344</v>
      </c>
      <c r="E71" s="152" t="s">
        <v>294</v>
      </c>
      <c r="F71" s="125"/>
      <c r="G71" s="158">
        <v>2</v>
      </c>
      <c r="H71" s="159"/>
      <c r="I71" s="126"/>
      <c r="J71" s="160"/>
      <c r="K71" s="162"/>
      <c r="L71" s="125"/>
      <c r="M71" s="158">
        <v>1</v>
      </c>
      <c r="N71" s="159">
        <v>1</v>
      </c>
      <c r="O71" s="126"/>
      <c r="P71" s="160"/>
      <c r="Q71" s="162"/>
      <c r="R71" s="125"/>
      <c r="S71" s="158">
        <v>2</v>
      </c>
      <c r="T71" s="159"/>
      <c r="U71" s="126"/>
      <c r="V71" s="160"/>
      <c r="W71" s="162"/>
      <c r="X71" s="125"/>
      <c r="Y71" s="158">
        <v>1</v>
      </c>
      <c r="Z71" s="159"/>
      <c r="AA71" s="126"/>
      <c r="AB71" s="160"/>
      <c r="AC71" s="162"/>
      <c r="AD71" s="125"/>
      <c r="AE71" s="158">
        <v>1</v>
      </c>
      <c r="AF71" s="159"/>
      <c r="AG71" s="126"/>
      <c r="AH71" s="160"/>
      <c r="AI71" s="162"/>
      <c r="AJ71" s="125"/>
      <c r="AK71" s="158">
        <v>2</v>
      </c>
      <c r="AL71" s="159">
        <v>2</v>
      </c>
      <c r="AM71" s="126"/>
      <c r="AN71" s="160"/>
      <c r="AO71" s="162"/>
      <c r="AP71" s="125"/>
      <c r="AQ71" s="158">
        <v>2</v>
      </c>
      <c r="AR71" s="159"/>
      <c r="AS71" s="126"/>
      <c r="AT71" s="160"/>
      <c r="AU71" s="162"/>
      <c r="AV71" s="125">
        <v>1</v>
      </c>
      <c r="AW71" s="158">
        <v>1</v>
      </c>
      <c r="AX71" s="159"/>
      <c r="AY71" s="126">
        <v>1</v>
      </c>
      <c r="AZ71" s="160"/>
      <c r="BA71" s="162"/>
      <c r="BB71" s="125"/>
      <c r="BC71" s="158"/>
      <c r="BD71" s="159"/>
      <c r="BE71" s="126"/>
      <c r="BF71" s="160"/>
      <c r="BG71" s="162"/>
      <c r="BH71" s="125"/>
      <c r="BI71" s="158">
        <v>1</v>
      </c>
      <c r="BJ71" s="159"/>
      <c r="BK71" s="126"/>
      <c r="BL71" s="160"/>
      <c r="BM71" s="162"/>
      <c r="BN71" s="125"/>
      <c r="BO71" s="158"/>
      <c r="BP71" s="159"/>
      <c r="BQ71" s="126"/>
      <c r="BR71" s="160"/>
      <c r="BS71" s="162"/>
      <c r="BT71" s="125">
        <v>1</v>
      </c>
      <c r="BU71" s="158">
        <v>1</v>
      </c>
      <c r="BV71" s="159"/>
      <c r="BW71" s="126"/>
      <c r="BX71" s="160"/>
      <c r="BY71" s="162"/>
      <c r="BZ71" s="133"/>
      <c r="CA71" s="134"/>
      <c r="CB71" s="165"/>
      <c r="CC71" s="170">
        <f t="shared" si="24"/>
        <v>2</v>
      </c>
      <c r="CD71" s="171">
        <f t="shared" si="25"/>
        <v>14</v>
      </c>
      <c r="CE71" s="171">
        <f t="shared" si="26"/>
        <v>3</v>
      </c>
      <c r="CF71" s="171">
        <f t="shared" si="27"/>
        <v>1</v>
      </c>
      <c r="CG71" s="171">
        <f t="shared" si="28"/>
        <v>0</v>
      </c>
      <c r="CH71" s="172">
        <f t="shared" si="29"/>
        <v>0</v>
      </c>
    </row>
    <row r="72" spans="1:86" s="34" customFormat="1" ht="24" customHeight="1" x14ac:dyDescent="0.2">
      <c r="A72" s="176" t="s">
        <v>35</v>
      </c>
      <c r="B72" s="141" t="s">
        <v>33</v>
      </c>
      <c r="C72" s="151" t="s">
        <v>436</v>
      </c>
      <c r="D72" s="141" t="s">
        <v>335</v>
      </c>
      <c r="E72" s="152" t="s">
        <v>297</v>
      </c>
      <c r="F72" s="125"/>
      <c r="G72" s="158">
        <v>1</v>
      </c>
      <c r="H72" s="159"/>
      <c r="I72" s="126"/>
      <c r="J72" s="160"/>
      <c r="K72" s="162"/>
      <c r="L72" s="125"/>
      <c r="M72" s="158">
        <v>1</v>
      </c>
      <c r="N72" s="159"/>
      <c r="O72" s="126"/>
      <c r="P72" s="160"/>
      <c r="Q72" s="162"/>
      <c r="R72" s="125"/>
      <c r="S72" s="158"/>
      <c r="T72" s="159"/>
      <c r="U72" s="126"/>
      <c r="V72" s="160"/>
      <c r="W72" s="162"/>
      <c r="X72" s="125"/>
      <c r="Y72" s="158"/>
      <c r="Z72" s="159"/>
      <c r="AA72" s="126">
        <v>1</v>
      </c>
      <c r="AB72" s="160"/>
      <c r="AC72" s="162"/>
      <c r="AD72" s="125"/>
      <c r="AE72" s="158">
        <v>1</v>
      </c>
      <c r="AF72" s="159">
        <v>1</v>
      </c>
      <c r="AG72" s="126"/>
      <c r="AH72" s="160"/>
      <c r="AI72" s="162"/>
      <c r="AJ72" s="125"/>
      <c r="AK72" s="158">
        <v>1</v>
      </c>
      <c r="AL72" s="159">
        <v>1</v>
      </c>
      <c r="AM72" s="126"/>
      <c r="AN72" s="160"/>
      <c r="AO72" s="162"/>
      <c r="AP72" s="125">
        <v>1</v>
      </c>
      <c r="AQ72" s="158">
        <v>1</v>
      </c>
      <c r="AR72" s="159"/>
      <c r="AS72" s="126">
        <v>1</v>
      </c>
      <c r="AT72" s="160"/>
      <c r="AU72" s="162"/>
      <c r="AV72" s="125"/>
      <c r="AW72" s="158"/>
      <c r="AX72" s="159"/>
      <c r="AY72" s="126">
        <v>1</v>
      </c>
      <c r="AZ72" s="160"/>
      <c r="BA72" s="162"/>
      <c r="BB72" s="125"/>
      <c r="BC72" s="158">
        <v>1</v>
      </c>
      <c r="BD72" s="159"/>
      <c r="BE72" s="126">
        <v>1</v>
      </c>
      <c r="BF72" s="160"/>
      <c r="BG72" s="162"/>
      <c r="BH72" s="125"/>
      <c r="BI72" s="158">
        <v>1</v>
      </c>
      <c r="BJ72" s="159">
        <v>1</v>
      </c>
      <c r="BK72" s="126">
        <v>6</v>
      </c>
      <c r="BL72" s="160"/>
      <c r="BM72" s="162"/>
      <c r="BN72" s="125">
        <v>1</v>
      </c>
      <c r="BO72" s="158">
        <v>1</v>
      </c>
      <c r="BP72" s="159"/>
      <c r="BQ72" s="126"/>
      <c r="BR72" s="160"/>
      <c r="BS72" s="162"/>
      <c r="BT72" s="125">
        <v>1</v>
      </c>
      <c r="BU72" s="158">
        <v>1</v>
      </c>
      <c r="BV72" s="159"/>
      <c r="BW72" s="126"/>
      <c r="BX72" s="160"/>
      <c r="BY72" s="162"/>
      <c r="BZ72" s="133"/>
      <c r="CA72" s="134"/>
      <c r="CB72" s="165"/>
      <c r="CC72" s="170">
        <f t="shared" si="24"/>
        <v>3</v>
      </c>
      <c r="CD72" s="171">
        <f t="shared" si="25"/>
        <v>9</v>
      </c>
      <c r="CE72" s="171">
        <f t="shared" si="26"/>
        <v>3</v>
      </c>
      <c r="CF72" s="171">
        <f t="shared" si="27"/>
        <v>10</v>
      </c>
      <c r="CG72" s="171">
        <f t="shared" si="28"/>
        <v>0</v>
      </c>
      <c r="CH72" s="172">
        <f t="shared" si="29"/>
        <v>0</v>
      </c>
    </row>
    <row r="73" spans="1:86" s="1" customFormat="1" ht="24" customHeight="1" x14ac:dyDescent="0.2">
      <c r="A73" s="239" t="s">
        <v>306</v>
      </c>
      <c r="B73" s="141" t="s">
        <v>306</v>
      </c>
      <c r="C73" s="145" t="s">
        <v>437</v>
      </c>
      <c r="D73" s="141" t="s">
        <v>311</v>
      </c>
      <c r="E73" s="152" t="s">
        <v>297</v>
      </c>
      <c r="F73" s="125"/>
      <c r="G73" s="158"/>
      <c r="H73" s="159"/>
      <c r="I73" s="126"/>
      <c r="J73" s="160"/>
      <c r="K73" s="162"/>
      <c r="L73" s="125"/>
      <c r="M73" s="158"/>
      <c r="N73" s="159"/>
      <c r="O73" s="126"/>
      <c r="P73" s="160"/>
      <c r="Q73" s="162"/>
      <c r="R73" s="125"/>
      <c r="S73" s="158"/>
      <c r="T73" s="159"/>
      <c r="U73" s="126"/>
      <c r="V73" s="160"/>
      <c r="W73" s="162"/>
      <c r="X73" s="125"/>
      <c r="Y73" s="158"/>
      <c r="Z73" s="159"/>
      <c r="AA73" s="126"/>
      <c r="AB73" s="160"/>
      <c r="AC73" s="162"/>
      <c r="AD73" s="125"/>
      <c r="AE73" s="158"/>
      <c r="AF73" s="159"/>
      <c r="AG73" s="126"/>
      <c r="AH73" s="160"/>
      <c r="AI73" s="162"/>
      <c r="AJ73" s="125"/>
      <c r="AK73" s="158"/>
      <c r="AL73" s="159"/>
      <c r="AM73" s="126"/>
      <c r="AN73" s="160"/>
      <c r="AO73" s="162"/>
      <c r="AP73" s="125"/>
      <c r="AQ73" s="158"/>
      <c r="AR73" s="159"/>
      <c r="AS73" s="126"/>
      <c r="AT73" s="160"/>
      <c r="AU73" s="162"/>
      <c r="AV73" s="125"/>
      <c r="AW73" s="158"/>
      <c r="AX73" s="159"/>
      <c r="AY73" s="126"/>
      <c r="AZ73" s="160"/>
      <c r="BA73" s="162"/>
      <c r="BB73" s="125"/>
      <c r="BC73" s="158"/>
      <c r="BD73" s="159"/>
      <c r="BE73" s="126"/>
      <c r="BF73" s="160"/>
      <c r="BG73" s="162"/>
      <c r="BH73" s="125"/>
      <c r="BI73" s="158"/>
      <c r="BJ73" s="159"/>
      <c r="BK73" s="126"/>
      <c r="BL73" s="160"/>
      <c r="BM73" s="162"/>
      <c r="BN73" s="125"/>
      <c r="BO73" s="158"/>
      <c r="BP73" s="159"/>
      <c r="BQ73" s="126"/>
      <c r="BR73" s="160"/>
      <c r="BS73" s="162"/>
      <c r="BT73" s="125"/>
      <c r="BU73" s="158"/>
      <c r="BV73" s="159"/>
      <c r="BW73" s="126"/>
      <c r="BX73" s="160"/>
      <c r="BY73" s="162"/>
      <c r="BZ73" s="133"/>
      <c r="CA73" s="134"/>
      <c r="CB73" s="165"/>
      <c r="CC73" s="170">
        <f t="shared" si="24"/>
        <v>0</v>
      </c>
      <c r="CD73" s="171">
        <f t="shared" si="25"/>
        <v>0</v>
      </c>
      <c r="CE73" s="171">
        <f t="shared" si="26"/>
        <v>0</v>
      </c>
      <c r="CF73" s="171">
        <f t="shared" si="27"/>
        <v>0</v>
      </c>
      <c r="CG73" s="171">
        <f t="shared" si="28"/>
        <v>0</v>
      </c>
      <c r="CH73" s="172">
        <f t="shared" si="29"/>
        <v>0</v>
      </c>
    </row>
    <row r="74" spans="1:86" s="34" customFormat="1" ht="24" customHeight="1" x14ac:dyDescent="0.2">
      <c r="A74" s="142" t="s">
        <v>329</v>
      </c>
      <c r="B74" s="139" t="s">
        <v>33</v>
      </c>
      <c r="C74" s="151" t="s">
        <v>438</v>
      </c>
      <c r="D74" s="141" t="s">
        <v>439</v>
      </c>
      <c r="E74" s="152" t="s">
        <v>302</v>
      </c>
      <c r="F74" s="125">
        <v>1</v>
      </c>
      <c r="G74" s="158">
        <v>2</v>
      </c>
      <c r="H74" s="159"/>
      <c r="I74" s="126"/>
      <c r="J74" s="160">
        <v>1</v>
      </c>
      <c r="K74" s="162"/>
      <c r="L74" s="125"/>
      <c r="M74" s="158">
        <v>1</v>
      </c>
      <c r="N74" s="159">
        <v>1</v>
      </c>
      <c r="O74" s="126"/>
      <c r="P74" s="160"/>
      <c r="Q74" s="162"/>
      <c r="R74" s="125">
        <v>1</v>
      </c>
      <c r="S74" s="158">
        <v>1</v>
      </c>
      <c r="T74" s="159"/>
      <c r="U74" s="126"/>
      <c r="V74" s="160"/>
      <c r="W74" s="162"/>
      <c r="X74" s="125">
        <v>2</v>
      </c>
      <c r="Y74" s="158">
        <v>2</v>
      </c>
      <c r="Z74" s="159"/>
      <c r="AA74" s="126"/>
      <c r="AB74" s="160"/>
      <c r="AC74" s="162"/>
      <c r="AD74" s="125"/>
      <c r="AE74" s="158"/>
      <c r="AF74" s="159"/>
      <c r="AG74" s="126"/>
      <c r="AH74" s="160"/>
      <c r="AI74" s="162"/>
      <c r="AJ74" s="125"/>
      <c r="AK74" s="158">
        <v>2</v>
      </c>
      <c r="AL74" s="159"/>
      <c r="AM74" s="126"/>
      <c r="AN74" s="160"/>
      <c r="AO74" s="162"/>
      <c r="AP74" s="125"/>
      <c r="AQ74" s="158"/>
      <c r="AR74" s="159"/>
      <c r="AS74" s="126"/>
      <c r="AT74" s="160"/>
      <c r="AU74" s="162"/>
      <c r="AV74" s="125"/>
      <c r="AW74" s="158"/>
      <c r="AX74" s="159"/>
      <c r="AY74" s="126"/>
      <c r="AZ74" s="160"/>
      <c r="BA74" s="162"/>
      <c r="BB74" s="125"/>
      <c r="BC74" s="158"/>
      <c r="BD74" s="159"/>
      <c r="BE74" s="126"/>
      <c r="BF74" s="160"/>
      <c r="BG74" s="162"/>
      <c r="BH74" s="125"/>
      <c r="BI74" s="158"/>
      <c r="BJ74" s="159"/>
      <c r="BK74" s="126"/>
      <c r="BL74" s="160"/>
      <c r="BM74" s="162"/>
      <c r="BN74" s="125"/>
      <c r="BO74" s="158"/>
      <c r="BP74" s="159"/>
      <c r="BQ74" s="126"/>
      <c r="BR74" s="160"/>
      <c r="BS74" s="162"/>
      <c r="BT74" s="125"/>
      <c r="BU74" s="158"/>
      <c r="BV74" s="159"/>
      <c r="BW74" s="126"/>
      <c r="BX74" s="160"/>
      <c r="BY74" s="162"/>
      <c r="BZ74" s="133"/>
      <c r="CA74" s="134"/>
      <c r="CB74" s="165"/>
      <c r="CC74" s="170">
        <f t="shared" si="24"/>
        <v>4</v>
      </c>
      <c r="CD74" s="171">
        <f t="shared" si="25"/>
        <v>8</v>
      </c>
      <c r="CE74" s="171">
        <f t="shared" si="26"/>
        <v>1</v>
      </c>
      <c r="CF74" s="171">
        <f t="shared" si="27"/>
        <v>0</v>
      </c>
      <c r="CG74" s="171">
        <f t="shared" si="28"/>
        <v>1</v>
      </c>
      <c r="CH74" s="172">
        <f t="shared" si="29"/>
        <v>0</v>
      </c>
    </row>
    <row r="75" spans="1:86" s="34" customFormat="1" ht="24" customHeight="1" x14ac:dyDescent="0.2">
      <c r="A75" s="174" t="s">
        <v>290</v>
      </c>
      <c r="B75" s="141" t="s">
        <v>291</v>
      </c>
      <c r="C75" s="151" t="s">
        <v>440</v>
      </c>
      <c r="D75" s="141" t="s">
        <v>441</v>
      </c>
      <c r="E75" s="152" t="s">
        <v>342</v>
      </c>
      <c r="F75" s="125"/>
      <c r="G75" s="158"/>
      <c r="H75" s="159"/>
      <c r="I75" s="126"/>
      <c r="J75" s="160"/>
      <c r="K75" s="162"/>
      <c r="L75" s="125"/>
      <c r="M75" s="158"/>
      <c r="N75" s="159"/>
      <c r="O75" s="126"/>
      <c r="P75" s="160"/>
      <c r="Q75" s="162"/>
      <c r="R75" s="125"/>
      <c r="S75" s="158"/>
      <c r="T75" s="159"/>
      <c r="U75" s="126"/>
      <c r="V75" s="160"/>
      <c r="W75" s="162"/>
      <c r="X75" s="125"/>
      <c r="Y75" s="158"/>
      <c r="Z75" s="159"/>
      <c r="AA75" s="126"/>
      <c r="AB75" s="160"/>
      <c r="AC75" s="162"/>
      <c r="AD75" s="125"/>
      <c r="AE75" s="158"/>
      <c r="AF75" s="159"/>
      <c r="AG75" s="126"/>
      <c r="AH75" s="160"/>
      <c r="AI75" s="162"/>
      <c r="AJ75" s="125"/>
      <c r="AK75" s="158"/>
      <c r="AL75" s="159"/>
      <c r="AM75" s="126"/>
      <c r="AN75" s="160"/>
      <c r="AO75" s="162"/>
      <c r="AP75" s="125"/>
      <c r="AQ75" s="158"/>
      <c r="AR75" s="159"/>
      <c r="AS75" s="126"/>
      <c r="AT75" s="160"/>
      <c r="AU75" s="162"/>
      <c r="AV75" s="125"/>
      <c r="AW75" s="158"/>
      <c r="AX75" s="159"/>
      <c r="AY75" s="126"/>
      <c r="AZ75" s="160"/>
      <c r="BA75" s="162"/>
      <c r="BB75" s="125"/>
      <c r="BC75" s="158"/>
      <c r="BD75" s="159"/>
      <c r="BE75" s="126"/>
      <c r="BF75" s="160"/>
      <c r="BG75" s="162"/>
      <c r="BH75" s="125"/>
      <c r="BI75" s="158"/>
      <c r="BJ75" s="159"/>
      <c r="BK75" s="126"/>
      <c r="BL75" s="160"/>
      <c r="BM75" s="162"/>
      <c r="BN75" s="125"/>
      <c r="BO75" s="158"/>
      <c r="BP75" s="159"/>
      <c r="BQ75" s="126"/>
      <c r="BR75" s="160"/>
      <c r="BS75" s="162"/>
      <c r="BT75" s="125"/>
      <c r="BU75" s="158"/>
      <c r="BV75" s="159"/>
      <c r="BW75" s="126"/>
      <c r="BX75" s="160"/>
      <c r="BY75" s="162"/>
      <c r="BZ75" s="133"/>
      <c r="CA75" s="134"/>
      <c r="CB75" s="165"/>
      <c r="CC75" s="170">
        <f t="shared" si="24"/>
        <v>0</v>
      </c>
      <c r="CD75" s="171">
        <f t="shared" si="25"/>
        <v>0</v>
      </c>
      <c r="CE75" s="171">
        <f t="shared" si="26"/>
        <v>0</v>
      </c>
      <c r="CF75" s="171">
        <f t="shared" si="27"/>
        <v>0</v>
      </c>
      <c r="CG75" s="171">
        <f t="shared" si="28"/>
        <v>0</v>
      </c>
      <c r="CH75" s="172">
        <f t="shared" si="29"/>
        <v>0</v>
      </c>
    </row>
    <row r="76" spans="1:86" s="34" customFormat="1" ht="24" customHeight="1" x14ac:dyDescent="0.2">
      <c r="A76" s="239" t="s">
        <v>306</v>
      </c>
      <c r="B76" s="141" t="s">
        <v>306</v>
      </c>
      <c r="C76" s="145" t="s">
        <v>442</v>
      </c>
      <c r="D76" s="183" t="s">
        <v>443</v>
      </c>
      <c r="E76" s="152" t="s">
        <v>294</v>
      </c>
      <c r="F76" s="125"/>
      <c r="G76" s="158"/>
      <c r="H76" s="159"/>
      <c r="I76" s="126"/>
      <c r="J76" s="160"/>
      <c r="K76" s="162"/>
      <c r="L76" s="125"/>
      <c r="M76" s="158"/>
      <c r="N76" s="159"/>
      <c r="O76" s="126"/>
      <c r="P76" s="160"/>
      <c r="Q76" s="162"/>
      <c r="R76" s="125"/>
      <c r="S76" s="158"/>
      <c r="T76" s="159"/>
      <c r="U76" s="126"/>
      <c r="V76" s="160"/>
      <c r="W76" s="162"/>
      <c r="X76" s="125"/>
      <c r="Y76" s="158"/>
      <c r="Z76" s="159"/>
      <c r="AA76" s="126"/>
      <c r="AB76" s="160"/>
      <c r="AC76" s="162"/>
      <c r="AD76" s="125"/>
      <c r="AE76" s="158"/>
      <c r="AF76" s="159"/>
      <c r="AG76" s="126"/>
      <c r="AH76" s="160"/>
      <c r="AI76" s="162"/>
      <c r="AJ76" s="125"/>
      <c r="AK76" s="158"/>
      <c r="AL76" s="159"/>
      <c r="AM76" s="126"/>
      <c r="AN76" s="160"/>
      <c r="AO76" s="162"/>
      <c r="AP76" s="125"/>
      <c r="AQ76" s="158"/>
      <c r="AR76" s="159"/>
      <c r="AS76" s="126"/>
      <c r="AT76" s="160"/>
      <c r="AU76" s="162"/>
      <c r="AV76" s="125"/>
      <c r="AW76" s="158"/>
      <c r="AX76" s="159"/>
      <c r="AY76" s="126"/>
      <c r="AZ76" s="160"/>
      <c r="BA76" s="162"/>
      <c r="BB76" s="125"/>
      <c r="BC76" s="158"/>
      <c r="BD76" s="159"/>
      <c r="BE76" s="126"/>
      <c r="BF76" s="160"/>
      <c r="BG76" s="162"/>
      <c r="BH76" s="125"/>
      <c r="BI76" s="158"/>
      <c r="BJ76" s="159"/>
      <c r="BK76" s="126"/>
      <c r="BL76" s="160"/>
      <c r="BM76" s="162"/>
      <c r="BN76" s="125"/>
      <c r="BO76" s="158"/>
      <c r="BP76" s="159"/>
      <c r="BQ76" s="126"/>
      <c r="BR76" s="160"/>
      <c r="BS76" s="162"/>
      <c r="BT76" s="125"/>
      <c r="BU76" s="158"/>
      <c r="BV76" s="159"/>
      <c r="BW76" s="126"/>
      <c r="BX76" s="160"/>
      <c r="BY76" s="162"/>
      <c r="BZ76" s="133"/>
      <c r="CA76" s="134"/>
      <c r="CB76" s="165"/>
      <c r="CC76" s="170">
        <f t="shared" si="24"/>
        <v>0</v>
      </c>
      <c r="CD76" s="171">
        <f t="shared" si="25"/>
        <v>0</v>
      </c>
      <c r="CE76" s="171">
        <f t="shared" si="26"/>
        <v>0</v>
      </c>
      <c r="CF76" s="171">
        <f t="shared" si="27"/>
        <v>0</v>
      </c>
      <c r="CG76" s="171">
        <f t="shared" si="28"/>
        <v>0</v>
      </c>
      <c r="CH76" s="172">
        <f t="shared" si="29"/>
        <v>0</v>
      </c>
    </row>
    <row r="77" spans="1:86" s="1" customFormat="1" ht="24" customHeight="1" x14ac:dyDescent="0.2">
      <c r="A77" s="174" t="s">
        <v>290</v>
      </c>
      <c r="B77" s="141" t="s">
        <v>291</v>
      </c>
      <c r="C77" s="189" t="s">
        <v>444</v>
      </c>
      <c r="D77" s="141" t="s">
        <v>439</v>
      </c>
      <c r="E77" s="152" t="s">
        <v>302</v>
      </c>
      <c r="F77" s="125"/>
      <c r="G77" s="158">
        <v>1</v>
      </c>
      <c r="H77" s="159"/>
      <c r="I77" s="126"/>
      <c r="J77" s="160"/>
      <c r="K77" s="162"/>
      <c r="L77" s="125"/>
      <c r="M77" s="158"/>
      <c r="N77" s="159"/>
      <c r="O77" s="126"/>
      <c r="P77" s="160"/>
      <c r="Q77" s="162"/>
      <c r="R77" s="125"/>
      <c r="S77" s="158">
        <v>1</v>
      </c>
      <c r="T77" s="159">
        <v>1</v>
      </c>
      <c r="U77" s="126"/>
      <c r="V77" s="160"/>
      <c r="W77" s="162"/>
      <c r="X77" s="125"/>
      <c r="Y77" s="158">
        <v>1</v>
      </c>
      <c r="Z77" s="159">
        <v>1</v>
      </c>
      <c r="AA77" s="126"/>
      <c r="AB77" s="160"/>
      <c r="AC77" s="162"/>
      <c r="AD77" s="125"/>
      <c r="AE77" s="158">
        <v>1</v>
      </c>
      <c r="AF77" s="159">
        <v>1</v>
      </c>
      <c r="AG77" s="126"/>
      <c r="AH77" s="160"/>
      <c r="AI77" s="162"/>
      <c r="AJ77" s="125">
        <v>1</v>
      </c>
      <c r="AK77" s="158">
        <v>2</v>
      </c>
      <c r="AL77" s="159"/>
      <c r="AM77" s="126"/>
      <c r="AN77" s="160"/>
      <c r="AO77" s="162"/>
      <c r="AP77" s="125"/>
      <c r="AQ77" s="158">
        <v>1</v>
      </c>
      <c r="AR77" s="159">
        <v>1</v>
      </c>
      <c r="AS77" s="126"/>
      <c r="AT77" s="160"/>
      <c r="AU77" s="162"/>
      <c r="AV77" s="125"/>
      <c r="AW77" s="158">
        <v>2</v>
      </c>
      <c r="AX77" s="159"/>
      <c r="AY77" s="126"/>
      <c r="AZ77" s="160"/>
      <c r="BA77" s="162"/>
      <c r="BB77" s="125"/>
      <c r="BC77" s="158">
        <v>1</v>
      </c>
      <c r="BD77" s="159"/>
      <c r="BE77" s="126"/>
      <c r="BF77" s="160"/>
      <c r="BG77" s="162"/>
      <c r="BH77" s="125"/>
      <c r="BI77" s="158">
        <v>2</v>
      </c>
      <c r="BJ77" s="159"/>
      <c r="BK77" s="126"/>
      <c r="BL77" s="160"/>
      <c r="BM77" s="162"/>
      <c r="BN77" s="125">
        <v>1</v>
      </c>
      <c r="BO77" s="158">
        <v>2</v>
      </c>
      <c r="BP77" s="159">
        <v>1</v>
      </c>
      <c r="BQ77" s="126"/>
      <c r="BR77" s="160"/>
      <c r="BS77" s="162"/>
      <c r="BT77" s="125"/>
      <c r="BU77" s="158">
        <v>1</v>
      </c>
      <c r="BV77" s="159"/>
      <c r="BW77" s="126"/>
      <c r="BX77" s="160"/>
      <c r="BY77" s="162"/>
      <c r="BZ77" s="133"/>
      <c r="CA77" s="134"/>
      <c r="CB77" s="165"/>
      <c r="CC77" s="170">
        <f t="shared" ref="CC77:CC79" si="30">SUM(F77,L77,R77,X77,AD77,AJ77,AP77,AV77,BB77,BH77,BN77,BT77)</f>
        <v>2</v>
      </c>
      <c r="CD77" s="171">
        <f t="shared" ref="CD77:CD79" si="31">SUM(G77,M77,S77,Y77,AE77,AK77,AQ77,AW77,BC77,BI77,BO77,BU77)</f>
        <v>15</v>
      </c>
      <c r="CE77" s="171">
        <f t="shared" ref="CE77:CE79" si="32">SUM(H77,N77,T77,Z77,AF77,AL77,AR77,AX77,BD77,BJ77,BP77,BV77)</f>
        <v>5</v>
      </c>
      <c r="CF77" s="171">
        <f t="shared" ref="CF77:CF79" si="33">SUM(I77,O77,U77,AA77,AG77,AM77,AS77,AY77,BE77,BK77,BQ77,BW77)</f>
        <v>0</v>
      </c>
      <c r="CG77" s="171">
        <f t="shared" ref="CG77:CG79" si="34">SUM(J77,P77,V77,AB77,AH77,AN77,AT77,AZ77,BF77,BL77,BR77,BX77)</f>
        <v>0</v>
      </c>
      <c r="CH77" s="172">
        <f t="shared" ref="CH77:CH79" si="35">SUM(K77,Q77,W77,AC77,AI77,AO77,AU77,BA77,BG77,BM77,BS77,BY77)</f>
        <v>0</v>
      </c>
    </row>
    <row r="78" spans="1:86" s="1" customFormat="1" ht="24" customHeight="1" x14ac:dyDescent="0.2">
      <c r="A78" s="174" t="s">
        <v>290</v>
      </c>
      <c r="B78" s="141" t="s">
        <v>291</v>
      </c>
      <c r="C78" s="139" t="s">
        <v>445</v>
      </c>
      <c r="D78" s="141" t="s">
        <v>446</v>
      </c>
      <c r="E78" s="152" t="s">
        <v>383</v>
      </c>
      <c r="F78" s="125"/>
      <c r="G78" s="158"/>
      <c r="H78" s="159"/>
      <c r="I78" s="126"/>
      <c r="J78" s="160"/>
      <c r="K78" s="162"/>
      <c r="L78" s="125"/>
      <c r="M78" s="158"/>
      <c r="N78" s="159"/>
      <c r="O78" s="126"/>
      <c r="P78" s="160"/>
      <c r="Q78" s="162"/>
      <c r="R78" s="125"/>
      <c r="S78" s="158"/>
      <c r="T78" s="159"/>
      <c r="U78" s="126">
        <v>1</v>
      </c>
      <c r="V78" s="160"/>
      <c r="W78" s="162"/>
      <c r="X78" s="125"/>
      <c r="Y78" s="158"/>
      <c r="Z78" s="159"/>
      <c r="AA78" s="126"/>
      <c r="AB78" s="160"/>
      <c r="AC78" s="162"/>
      <c r="AD78" s="125"/>
      <c r="AE78" s="158"/>
      <c r="AF78" s="159"/>
      <c r="AG78" s="126"/>
      <c r="AH78" s="160"/>
      <c r="AI78" s="162"/>
      <c r="AJ78" s="125"/>
      <c r="AK78" s="158"/>
      <c r="AL78" s="159"/>
      <c r="AM78" s="126"/>
      <c r="AN78" s="160"/>
      <c r="AO78" s="162"/>
      <c r="AP78" s="125"/>
      <c r="AQ78" s="158"/>
      <c r="AR78" s="159"/>
      <c r="AS78" s="126"/>
      <c r="AT78" s="160"/>
      <c r="AU78" s="162"/>
      <c r="AV78" s="125"/>
      <c r="AW78" s="158"/>
      <c r="AX78" s="159"/>
      <c r="AY78" s="126"/>
      <c r="AZ78" s="160"/>
      <c r="BA78" s="162"/>
      <c r="BB78" s="125"/>
      <c r="BC78" s="158"/>
      <c r="BD78" s="159"/>
      <c r="BE78" s="126">
        <v>1</v>
      </c>
      <c r="BF78" s="160"/>
      <c r="BG78" s="162"/>
      <c r="BH78" s="125"/>
      <c r="BI78" s="158"/>
      <c r="BJ78" s="159"/>
      <c r="BK78" s="126"/>
      <c r="BL78" s="160"/>
      <c r="BM78" s="162"/>
      <c r="BN78" s="125"/>
      <c r="BO78" s="158"/>
      <c r="BP78" s="159"/>
      <c r="BQ78" s="126"/>
      <c r="BR78" s="160"/>
      <c r="BS78" s="162"/>
      <c r="BT78" s="125"/>
      <c r="BU78" s="158"/>
      <c r="BV78" s="159"/>
      <c r="BW78" s="126"/>
      <c r="BX78" s="160"/>
      <c r="BY78" s="162"/>
      <c r="BZ78" s="133"/>
      <c r="CA78" s="134"/>
      <c r="CB78" s="165"/>
      <c r="CC78" s="170">
        <f t="shared" si="30"/>
        <v>0</v>
      </c>
      <c r="CD78" s="171">
        <f t="shared" si="31"/>
        <v>0</v>
      </c>
      <c r="CE78" s="171">
        <f t="shared" si="32"/>
        <v>0</v>
      </c>
      <c r="CF78" s="171">
        <f t="shared" si="33"/>
        <v>2</v>
      </c>
      <c r="CG78" s="171">
        <f t="shared" si="34"/>
        <v>0</v>
      </c>
      <c r="CH78" s="172">
        <f t="shared" si="35"/>
        <v>0</v>
      </c>
    </row>
    <row r="79" spans="1:86" s="1" customFormat="1" ht="24" customHeight="1" x14ac:dyDescent="0.2">
      <c r="A79" s="238" t="s">
        <v>306</v>
      </c>
      <c r="B79" s="141" t="s">
        <v>306</v>
      </c>
      <c r="C79" s="139" t="s">
        <v>447</v>
      </c>
      <c r="D79" s="141" t="s">
        <v>448</v>
      </c>
      <c r="E79" s="152" t="s">
        <v>289</v>
      </c>
      <c r="F79" s="125"/>
      <c r="G79" s="158">
        <v>1</v>
      </c>
      <c r="H79" s="159"/>
      <c r="I79" s="126"/>
      <c r="J79" s="160"/>
      <c r="K79" s="162"/>
      <c r="L79" s="125"/>
      <c r="M79" s="158"/>
      <c r="N79" s="159"/>
      <c r="O79" s="126"/>
      <c r="P79" s="160"/>
      <c r="Q79" s="162"/>
      <c r="R79" s="125"/>
      <c r="S79" s="158"/>
      <c r="T79" s="159"/>
      <c r="U79" s="126"/>
      <c r="V79" s="160"/>
      <c r="W79" s="162"/>
      <c r="X79" s="125"/>
      <c r="Y79" s="158"/>
      <c r="Z79" s="159"/>
      <c r="AA79" s="126"/>
      <c r="AB79" s="160"/>
      <c r="AC79" s="162"/>
      <c r="AD79" s="125"/>
      <c r="AE79" s="158"/>
      <c r="AF79" s="159"/>
      <c r="AG79" s="126"/>
      <c r="AH79" s="160"/>
      <c r="AI79" s="162"/>
      <c r="AJ79" s="125"/>
      <c r="AK79" s="158"/>
      <c r="AL79" s="159"/>
      <c r="AM79" s="126"/>
      <c r="AN79" s="160"/>
      <c r="AO79" s="162"/>
      <c r="AP79" s="125"/>
      <c r="AQ79" s="158"/>
      <c r="AR79" s="159"/>
      <c r="AS79" s="126"/>
      <c r="AT79" s="160"/>
      <c r="AU79" s="162"/>
      <c r="AV79" s="125"/>
      <c r="AW79" s="158"/>
      <c r="AX79" s="159"/>
      <c r="AY79" s="126"/>
      <c r="AZ79" s="160"/>
      <c r="BA79" s="162"/>
      <c r="BB79" s="125"/>
      <c r="BC79" s="158"/>
      <c r="BD79" s="159"/>
      <c r="BE79" s="126"/>
      <c r="BF79" s="160"/>
      <c r="BG79" s="162"/>
      <c r="BH79" s="125"/>
      <c r="BI79" s="158"/>
      <c r="BJ79" s="159"/>
      <c r="BK79" s="126"/>
      <c r="BL79" s="160"/>
      <c r="BM79" s="162"/>
      <c r="BN79" s="125"/>
      <c r="BO79" s="158"/>
      <c r="BP79" s="159"/>
      <c r="BQ79" s="126"/>
      <c r="BR79" s="160"/>
      <c r="BS79" s="162"/>
      <c r="BT79" s="125"/>
      <c r="BU79" s="158"/>
      <c r="BV79" s="159"/>
      <c r="BW79" s="126"/>
      <c r="BX79" s="160"/>
      <c r="BY79" s="162"/>
      <c r="BZ79" s="133"/>
      <c r="CA79" s="134"/>
      <c r="CB79" s="165"/>
      <c r="CC79" s="170">
        <f t="shared" si="30"/>
        <v>0</v>
      </c>
      <c r="CD79" s="171">
        <f t="shared" si="31"/>
        <v>1</v>
      </c>
      <c r="CE79" s="171">
        <f t="shared" si="32"/>
        <v>0</v>
      </c>
      <c r="CF79" s="171">
        <f t="shared" si="33"/>
        <v>0</v>
      </c>
      <c r="CG79" s="171">
        <f t="shared" si="34"/>
        <v>0</v>
      </c>
      <c r="CH79" s="172">
        <f t="shared" si="35"/>
        <v>0</v>
      </c>
    </row>
    <row r="80" spans="1:86" s="1" customFormat="1" ht="24" customHeight="1" x14ac:dyDescent="0.2">
      <c r="A80" s="178" t="s">
        <v>51</v>
      </c>
      <c r="B80" s="139" t="s">
        <v>33</v>
      </c>
      <c r="C80" s="139" t="s">
        <v>449</v>
      </c>
      <c r="D80" s="141" t="s">
        <v>450</v>
      </c>
      <c r="E80" s="152" t="s">
        <v>297</v>
      </c>
      <c r="F80" s="362"/>
      <c r="G80" s="363"/>
      <c r="H80" s="364"/>
      <c r="I80" s="364"/>
      <c r="J80" s="364"/>
      <c r="K80" s="365"/>
      <c r="L80" s="362"/>
      <c r="M80" s="363"/>
      <c r="N80" s="364"/>
      <c r="O80" s="364"/>
      <c r="P80" s="364"/>
      <c r="Q80" s="365"/>
      <c r="R80" s="362"/>
      <c r="S80" s="363"/>
      <c r="T80" s="364"/>
      <c r="U80" s="364"/>
      <c r="V80" s="364"/>
      <c r="W80" s="365"/>
      <c r="X80" s="362"/>
      <c r="Y80" s="363"/>
      <c r="Z80" s="364"/>
      <c r="AA80" s="364"/>
      <c r="AB80" s="364"/>
      <c r="AC80" s="365"/>
      <c r="AD80" s="362"/>
      <c r="AE80" s="363"/>
      <c r="AF80" s="364"/>
      <c r="AG80" s="364"/>
      <c r="AH80" s="364"/>
      <c r="AI80" s="365"/>
      <c r="AJ80" s="125"/>
      <c r="AK80" s="158"/>
      <c r="AL80" s="159"/>
      <c r="AM80" s="126"/>
      <c r="AN80" s="160"/>
      <c r="AO80" s="162"/>
      <c r="AP80" s="125"/>
      <c r="AQ80" s="158">
        <v>1</v>
      </c>
      <c r="AR80" s="159">
        <v>1</v>
      </c>
      <c r="AS80" s="126"/>
      <c r="AT80" s="160"/>
      <c r="AU80" s="162"/>
      <c r="AV80" s="125"/>
      <c r="AW80" s="158"/>
      <c r="AX80" s="159"/>
      <c r="AY80" s="126">
        <v>1</v>
      </c>
      <c r="AZ80" s="160"/>
      <c r="BA80" s="162"/>
      <c r="BB80" s="125"/>
      <c r="BC80" s="158">
        <v>1</v>
      </c>
      <c r="BD80" s="159"/>
      <c r="BE80" s="126"/>
      <c r="BF80" s="160"/>
      <c r="BG80" s="162"/>
      <c r="BH80" s="125"/>
      <c r="BI80" s="158"/>
      <c r="BJ80" s="159"/>
      <c r="BK80" s="126">
        <v>1</v>
      </c>
      <c r="BL80" s="160"/>
      <c r="BM80" s="162"/>
      <c r="BN80" s="125"/>
      <c r="BO80" s="158"/>
      <c r="BP80" s="159"/>
      <c r="BQ80" s="126"/>
      <c r="BR80" s="160"/>
      <c r="BS80" s="162"/>
      <c r="BT80" s="504"/>
      <c r="BU80" s="505"/>
      <c r="BV80" s="506"/>
      <c r="BW80" s="506"/>
      <c r="BX80" s="506"/>
      <c r="BY80" s="507"/>
      <c r="BZ80" s="133"/>
      <c r="CA80" s="134"/>
      <c r="CB80" s="165"/>
      <c r="CC80" s="170">
        <f t="shared" ref="CC80:CC99" si="36">SUM(F80,L80,R80,X80,AD80,AJ80,AP80,AV80,BB80,BH80,BN80,BT80)</f>
        <v>0</v>
      </c>
      <c r="CD80" s="171">
        <f t="shared" ref="CD80:CD99" si="37">SUM(G80,M80,S80,Y80,AE80,AK80,AQ80,AW80,BC80,BI80,BO80,BU80)</f>
        <v>2</v>
      </c>
      <c r="CE80" s="171">
        <f t="shared" ref="CE80:CE99" si="38">SUM(H80,N80,T80,Z80,AF80,AL80,AR80,AX80,BD80,BJ80,BP80,BV80)</f>
        <v>1</v>
      </c>
      <c r="CF80" s="171">
        <f t="shared" ref="CF80:CF99" si="39">SUM(I80,O80,U80,AA80,AG80,AM80,AS80,AY80,BE80,BK80,BQ80,BW80)</f>
        <v>2</v>
      </c>
      <c r="CG80" s="171">
        <f t="shared" ref="CG80:CG99" si="40">SUM(J80,P80,V80,AB80,AH80,AN80,AT80,AZ80,BF80,BL80,BR80,BX80)</f>
        <v>0</v>
      </c>
      <c r="CH80" s="172">
        <f t="shared" ref="CH80:CH99" si="41">SUM(K80,Q80,W80,AC80,AI80,AO80,AU80,BA80,BG80,BM80,BS80,BY80)</f>
        <v>0</v>
      </c>
    </row>
    <row r="81" spans="1:86" s="1" customFormat="1" ht="24" customHeight="1" x14ac:dyDescent="0.2">
      <c r="A81" s="176" t="s">
        <v>35</v>
      </c>
      <c r="B81" s="139" t="s">
        <v>33</v>
      </c>
      <c r="C81" s="139" t="s">
        <v>1670</v>
      </c>
      <c r="D81" s="141" t="s">
        <v>328</v>
      </c>
      <c r="E81" s="152" t="s">
        <v>407</v>
      </c>
      <c r="F81" s="362"/>
      <c r="G81" s="363"/>
      <c r="H81" s="364"/>
      <c r="I81" s="364"/>
      <c r="J81" s="364"/>
      <c r="K81" s="365"/>
      <c r="L81" s="362"/>
      <c r="M81" s="363"/>
      <c r="N81" s="364"/>
      <c r="O81" s="364"/>
      <c r="P81" s="364"/>
      <c r="Q81" s="365"/>
      <c r="R81" s="362"/>
      <c r="S81" s="363"/>
      <c r="T81" s="364"/>
      <c r="U81" s="364"/>
      <c r="V81" s="364"/>
      <c r="W81" s="365"/>
      <c r="X81" s="362"/>
      <c r="Y81" s="363"/>
      <c r="Z81" s="364"/>
      <c r="AA81" s="364"/>
      <c r="AB81" s="364"/>
      <c r="AC81" s="365"/>
      <c r="AD81" s="362"/>
      <c r="AE81" s="363"/>
      <c r="AF81" s="364"/>
      <c r="AG81" s="364"/>
      <c r="AH81" s="364"/>
      <c r="AI81" s="365"/>
      <c r="AJ81" s="504"/>
      <c r="AK81" s="505"/>
      <c r="AL81" s="506"/>
      <c r="AM81" s="506"/>
      <c r="AN81" s="506"/>
      <c r="AO81" s="507"/>
      <c r="AP81" s="504"/>
      <c r="AQ81" s="505"/>
      <c r="AR81" s="506"/>
      <c r="AS81" s="506"/>
      <c r="AT81" s="506"/>
      <c r="AU81" s="507"/>
      <c r="AV81" s="504"/>
      <c r="AW81" s="505"/>
      <c r="AX81" s="506"/>
      <c r="AY81" s="506"/>
      <c r="AZ81" s="506"/>
      <c r="BA81" s="507"/>
      <c r="BB81" s="504"/>
      <c r="BC81" s="505"/>
      <c r="BD81" s="506"/>
      <c r="BE81" s="506"/>
      <c r="BF81" s="506"/>
      <c r="BG81" s="507"/>
      <c r="BH81" s="504"/>
      <c r="BI81" s="505"/>
      <c r="BJ81" s="506"/>
      <c r="BK81" s="506"/>
      <c r="BL81" s="506"/>
      <c r="BM81" s="507"/>
      <c r="BN81" s="504"/>
      <c r="BO81" s="505"/>
      <c r="BP81" s="506"/>
      <c r="BQ81" s="506"/>
      <c r="BR81" s="506"/>
      <c r="BS81" s="507"/>
      <c r="BT81" s="504">
        <v>1</v>
      </c>
      <c r="BU81" s="505">
        <v>1</v>
      </c>
      <c r="BV81" s="506"/>
      <c r="BW81" s="506"/>
      <c r="BX81" s="506"/>
      <c r="BY81" s="507"/>
      <c r="BZ81" s="133"/>
      <c r="CA81" s="134"/>
      <c r="CB81" s="165"/>
      <c r="CC81" s="170">
        <f t="shared" ref="CC81:CH81" si="42">SUM(F81,L81,R81,X81,AD81,AJ81,AP81,AV81,BB81,BH81,BN81,BT81)</f>
        <v>1</v>
      </c>
      <c r="CD81" s="171">
        <f t="shared" si="42"/>
        <v>1</v>
      </c>
      <c r="CE81" s="171">
        <f t="shared" si="42"/>
        <v>0</v>
      </c>
      <c r="CF81" s="171">
        <f t="shared" si="42"/>
        <v>0</v>
      </c>
      <c r="CG81" s="171">
        <f t="shared" si="42"/>
        <v>0</v>
      </c>
      <c r="CH81" s="172">
        <f t="shared" si="42"/>
        <v>0</v>
      </c>
    </row>
    <row r="82" spans="1:86" s="34" customFormat="1" ht="24" customHeight="1" x14ac:dyDescent="0.2">
      <c r="A82" s="176" t="s">
        <v>35</v>
      </c>
      <c r="B82" s="139" t="s">
        <v>33</v>
      </c>
      <c r="C82" s="139" t="s">
        <v>451</v>
      </c>
      <c r="D82" s="141" t="s">
        <v>452</v>
      </c>
      <c r="E82" s="152" t="s">
        <v>289</v>
      </c>
      <c r="F82" s="362"/>
      <c r="G82" s="363"/>
      <c r="H82" s="364"/>
      <c r="I82" s="364">
        <v>1</v>
      </c>
      <c r="J82" s="364">
        <v>2</v>
      </c>
      <c r="K82" s="365"/>
      <c r="L82" s="362"/>
      <c r="M82" s="363"/>
      <c r="N82" s="364"/>
      <c r="O82" s="364"/>
      <c r="P82" s="364"/>
      <c r="Q82" s="365"/>
      <c r="R82" s="362"/>
      <c r="S82" s="363"/>
      <c r="T82" s="364"/>
      <c r="U82" s="364"/>
      <c r="V82" s="364"/>
      <c r="W82" s="365"/>
      <c r="X82" s="362"/>
      <c r="Y82" s="363"/>
      <c r="Z82" s="364"/>
      <c r="AA82" s="364"/>
      <c r="AB82" s="364"/>
      <c r="AC82" s="365"/>
      <c r="AD82" s="125"/>
      <c r="AE82" s="158"/>
      <c r="AF82" s="159"/>
      <c r="AG82" s="126"/>
      <c r="AH82" s="160"/>
      <c r="AI82" s="162"/>
      <c r="AJ82" s="125"/>
      <c r="AK82" s="158"/>
      <c r="AL82" s="159"/>
      <c r="AM82" s="126"/>
      <c r="AN82" s="160"/>
      <c r="AO82" s="162"/>
      <c r="AP82" s="125"/>
      <c r="AQ82" s="158"/>
      <c r="AR82" s="159"/>
      <c r="AS82" s="126"/>
      <c r="AT82" s="160"/>
      <c r="AU82" s="162"/>
      <c r="AV82" s="125"/>
      <c r="AW82" s="158">
        <v>1</v>
      </c>
      <c r="AX82" s="159">
        <v>1</v>
      </c>
      <c r="AY82" s="126"/>
      <c r="AZ82" s="160"/>
      <c r="BA82" s="162"/>
      <c r="BB82" s="125"/>
      <c r="BC82" s="158"/>
      <c r="BD82" s="159"/>
      <c r="BE82" s="126"/>
      <c r="BF82" s="160"/>
      <c r="BG82" s="162"/>
      <c r="BH82" s="125"/>
      <c r="BI82" s="158"/>
      <c r="BJ82" s="159"/>
      <c r="BK82" s="126"/>
      <c r="BL82" s="160"/>
      <c r="BM82" s="162"/>
      <c r="BN82" s="125"/>
      <c r="BO82" s="158"/>
      <c r="BP82" s="159"/>
      <c r="BQ82" s="126"/>
      <c r="BR82" s="160"/>
      <c r="BS82" s="162"/>
      <c r="BT82" s="125"/>
      <c r="BU82" s="158"/>
      <c r="BV82" s="159"/>
      <c r="BW82" s="126"/>
      <c r="BX82" s="160"/>
      <c r="BY82" s="162"/>
      <c r="BZ82" s="133"/>
      <c r="CA82" s="134"/>
      <c r="CB82" s="165"/>
      <c r="CC82" s="170">
        <f t="shared" si="36"/>
        <v>0</v>
      </c>
      <c r="CD82" s="171">
        <f t="shared" si="37"/>
        <v>1</v>
      </c>
      <c r="CE82" s="171">
        <f t="shared" si="38"/>
        <v>1</v>
      </c>
      <c r="CF82" s="171">
        <f t="shared" si="39"/>
        <v>1</v>
      </c>
      <c r="CG82" s="171">
        <f t="shared" si="40"/>
        <v>2</v>
      </c>
      <c r="CH82" s="172">
        <f t="shared" si="41"/>
        <v>0</v>
      </c>
    </row>
    <row r="83" spans="1:86" s="34" customFormat="1" ht="24" customHeight="1" x14ac:dyDescent="0.2">
      <c r="A83" s="142" t="s">
        <v>329</v>
      </c>
      <c r="B83" s="139" t="s">
        <v>33</v>
      </c>
      <c r="C83" s="146" t="s">
        <v>453</v>
      </c>
      <c r="D83" s="180" t="s">
        <v>454</v>
      </c>
      <c r="E83" s="184" t="s">
        <v>294</v>
      </c>
      <c r="F83" s="125"/>
      <c r="G83" s="158">
        <v>2</v>
      </c>
      <c r="H83" s="159"/>
      <c r="I83" s="126"/>
      <c r="J83" s="160"/>
      <c r="K83" s="162"/>
      <c r="L83" s="125">
        <v>1</v>
      </c>
      <c r="M83" s="158">
        <v>1</v>
      </c>
      <c r="N83" s="159">
        <v>1</v>
      </c>
      <c r="O83" s="126"/>
      <c r="P83" s="160"/>
      <c r="Q83" s="162"/>
      <c r="R83" s="125"/>
      <c r="S83" s="158">
        <v>1</v>
      </c>
      <c r="T83" s="159"/>
      <c r="U83" s="126"/>
      <c r="V83" s="160"/>
      <c r="W83" s="162"/>
      <c r="X83" s="125"/>
      <c r="Y83" s="158">
        <v>2</v>
      </c>
      <c r="Z83" s="159"/>
      <c r="AA83" s="126"/>
      <c r="AB83" s="160"/>
      <c r="AC83" s="162"/>
      <c r="AD83" s="125"/>
      <c r="AE83" s="158"/>
      <c r="AF83" s="159"/>
      <c r="AG83" s="126"/>
      <c r="AH83" s="160"/>
      <c r="AI83" s="162"/>
      <c r="AJ83" s="125"/>
      <c r="AK83" s="158">
        <v>2</v>
      </c>
      <c r="AL83" s="159"/>
      <c r="AM83" s="126"/>
      <c r="AN83" s="160"/>
      <c r="AO83" s="162"/>
      <c r="AP83" s="125"/>
      <c r="AQ83" s="158"/>
      <c r="AR83" s="159"/>
      <c r="AS83" s="126"/>
      <c r="AT83" s="160"/>
      <c r="AU83" s="162"/>
      <c r="AV83" s="125"/>
      <c r="AW83" s="158"/>
      <c r="AX83" s="159"/>
      <c r="AY83" s="126"/>
      <c r="AZ83" s="160"/>
      <c r="BA83" s="162"/>
      <c r="BB83" s="125"/>
      <c r="BC83" s="158"/>
      <c r="BD83" s="159"/>
      <c r="BE83" s="126"/>
      <c r="BF83" s="160"/>
      <c r="BG83" s="162"/>
      <c r="BH83" s="125"/>
      <c r="BI83" s="158"/>
      <c r="BJ83" s="159"/>
      <c r="BK83" s="126"/>
      <c r="BL83" s="160"/>
      <c r="BM83" s="162"/>
      <c r="BN83" s="125"/>
      <c r="BO83" s="158"/>
      <c r="BP83" s="159"/>
      <c r="BQ83" s="126"/>
      <c r="BR83" s="160"/>
      <c r="BS83" s="162"/>
      <c r="BT83" s="125"/>
      <c r="BU83" s="158"/>
      <c r="BV83" s="159"/>
      <c r="BW83" s="126"/>
      <c r="BX83" s="160"/>
      <c r="BY83" s="162"/>
      <c r="BZ83" s="133"/>
      <c r="CA83" s="134"/>
      <c r="CB83" s="165"/>
      <c r="CC83" s="170">
        <f t="shared" si="36"/>
        <v>1</v>
      </c>
      <c r="CD83" s="171">
        <f t="shared" si="37"/>
        <v>8</v>
      </c>
      <c r="CE83" s="171">
        <f t="shared" si="38"/>
        <v>1</v>
      </c>
      <c r="CF83" s="171">
        <f t="shared" si="39"/>
        <v>0</v>
      </c>
      <c r="CG83" s="171">
        <f t="shared" si="40"/>
        <v>0</v>
      </c>
      <c r="CH83" s="172">
        <f t="shared" si="41"/>
        <v>0</v>
      </c>
    </row>
    <row r="84" spans="1:86" s="34" customFormat="1" ht="24" customHeight="1" x14ac:dyDescent="0.2">
      <c r="A84" s="142" t="s">
        <v>329</v>
      </c>
      <c r="B84" s="139" t="s">
        <v>97</v>
      </c>
      <c r="C84" s="146" t="s">
        <v>455</v>
      </c>
      <c r="D84" s="180" t="s">
        <v>456</v>
      </c>
      <c r="E84" s="151" t="s">
        <v>297</v>
      </c>
      <c r="F84" s="125"/>
      <c r="G84" s="158"/>
      <c r="H84" s="159"/>
      <c r="I84" s="126">
        <v>1</v>
      </c>
      <c r="J84" s="160"/>
      <c r="K84" s="162"/>
      <c r="L84" s="125"/>
      <c r="M84" s="158"/>
      <c r="N84" s="159"/>
      <c r="O84" s="126">
        <v>1</v>
      </c>
      <c r="P84" s="160"/>
      <c r="Q84" s="162"/>
      <c r="R84" s="125"/>
      <c r="S84" s="158"/>
      <c r="T84" s="159"/>
      <c r="U84" s="126"/>
      <c r="V84" s="160"/>
      <c r="W84" s="162"/>
      <c r="X84" s="125"/>
      <c r="Y84" s="158"/>
      <c r="Z84" s="159"/>
      <c r="AA84" s="126"/>
      <c r="AB84" s="160"/>
      <c r="AC84" s="162"/>
      <c r="AD84" s="125"/>
      <c r="AE84" s="158"/>
      <c r="AF84" s="159"/>
      <c r="AG84" s="126"/>
      <c r="AH84" s="160"/>
      <c r="AI84" s="162"/>
      <c r="AJ84" s="125"/>
      <c r="AK84" s="158"/>
      <c r="AL84" s="159"/>
      <c r="AM84" s="126"/>
      <c r="AN84" s="160"/>
      <c r="AO84" s="162"/>
      <c r="AP84" s="125"/>
      <c r="AQ84" s="158"/>
      <c r="AR84" s="159"/>
      <c r="AS84" s="126"/>
      <c r="AT84" s="160"/>
      <c r="AU84" s="162"/>
      <c r="AV84" s="125"/>
      <c r="AW84" s="158"/>
      <c r="AX84" s="159"/>
      <c r="AY84" s="126"/>
      <c r="AZ84" s="160"/>
      <c r="BA84" s="162"/>
      <c r="BB84" s="125"/>
      <c r="BC84" s="158"/>
      <c r="BD84" s="159"/>
      <c r="BE84" s="126"/>
      <c r="BF84" s="160"/>
      <c r="BG84" s="162"/>
      <c r="BH84" s="125"/>
      <c r="BI84" s="158"/>
      <c r="BJ84" s="159"/>
      <c r="BK84" s="126"/>
      <c r="BL84" s="160"/>
      <c r="BM84" s="162"/>
      <c r="BN84" s="125"/>
      <c r="BO84" s="158"/>
      <c r="BP84" s="159"/>
      <c r="BQ84" s="126"/>
      <c r="BR84" s="160"/>
      <c r="BS84" s="162"/>
      <c r="BT84" s="125"/>
      <c r="BU84" s="158"/>
      <c r="BV84" s="159"/>
      <c r="BW84" s="126"/>
      <c r="BX84" s="160"/>
      <c r="BY84" s="162"/>
      <c r="BZ84" s="133"/>
      <c r="CA84" s="134"/>
      <c r="CB84" s="165"/>
      <c r="CC84" s="170">
        <f t="shared" si="36"/>
        <v>0</v>
      </c>
      <c r="CD84" s="171">
        <f t="shared" si="37"/>
        <v>0</v>
      </c>
      <c r="CE84" s="171">
        <f t="shared" si="38"/>
        <v>0</v>
      </c>
      <c r="CF84" s="171">
        <f t="shared" si="39"/>
        <v>2</v>
      </c>
      <c r="CG84" s="171">
        <f t="shared" si="40"/>
        <v>0</v>
      </c>
      <c r="CH84" s="172">
        <f t="shared" si="41"/>
        <v>0</v>
      </c>
    </row>
    <row r="85" spans="1:86" s="34" customFormat="1" ht="24" customHeight="1" x14ac:dyDescent="0.2">
      <c r="A85" s="142" t="s">
        <v>329</v>
      </c>
      <c r="B85" s="139" t="s">
        <v>86</v>
      </c>
      <c r="C85" s="146" t="s">
        <v>457</v>
      </c>
      <c r="D85" s="180" t="s">
        <v>458</v>
      </c>
      <c r="E85" s="184" t="s">
        <v>302</v>
      </c>
      <c r="F85" s="125"/>
      <c r="G85" s="158">
        <v>2</v>
      </c>
      <c r="H85" s="159"/>
      <c r="I85" s="126"/>
      <c r="J85" s="160"/>
      <c r="K85" s="162"/>
      <c r="L85" s="125"/>
      <c r="M85" s="158">
        <v>1</v>
      </c>
      <c r="N85" s="159">
        <v>1</v>
      </c>
      <c r="O85" s="126"/>
      <c r="P85" s="160"/>
      <c r="Q85" s="162"/>
      <c r="R85" s="125"/>
      <c r="S85" s="158">
        <v>1</v>
      </c>
      <c r="T85" s="159"/>
      <c r="U85" s="126"/>
      <c r="V85" s="160"/>
      <c r="W85" s="162"/>
      <c r="X85" s="366" t="s">
        <v>11</v>
      </c>
      <c r="Y85" s="367" t="s">
        <v>326</v>
      </c>
      <c r="Z85" s="367" t="s">
        <v>326</v>
      </c>
      <c r="AA85" s="367" t="s">
        <v>326</v>
      </c>
      <c r="AB85" s="367" t="s">
        <v>326</v>
      </c>
      <c r="AC85" s="368" t="s">
        <v>326</v>
      </c>
      <c r="AD85" s="125"/>
      <c r="AE85" s="158"/>
      <c r="AF85" s="159"/>
      <c r="AG85" s="126"/>
      <c r="AH85" s="160"/>
      <c r="AI85" s="162"/>
      <c r="AJ85" s="125"/>
      <c r="AK85" s="158">
        <v>2</v>
      </c>
      <c r="AL85" s="159"/>
      <c r="AM85" s="126"/>
      <c r="AN85" s="160"/>
      <c r="AO85" s="162"/>
      <c r="AP85" s="125"/>
      <c r="AQ85" s="158"/>
      <c r="AR85" s="159"/>
      <c r="AS85" s="126"/>
      <c r="AT85" s="160"/>
      <c r="AU85" s="162"/>
      <c r="AV85" s="125"/>
      <c r="AW85" s="158"/>
      <c r="AX85" s="159"/>
      <c r="AY85" s="126"/>
      <c r="AZ85" s="160"/>
      <c r="BA85" s="162"/>
      <c r="BB85" s="125"/>
      <c r="BC85" s="158"/>
      <c r="BD85" s="159"/>
      <c r="BE85" s="126"/>
      <c r="BF85" s="160"/>
      <c r="BG85" s="162"/>
      <c r="BH85" s="125"/>
      <c r="BI85" s="158"/>
      <c r="BJ85" s="159"/>
      <c r="BK85" s="126"/>
      <c r="BL85" s="160"/>
      <c r="BM85" s="162"/>
      <c r="BN85" s="125"/>
      <c r="BO85" s="158"/>
      <c r="BP85" s="159"/>
      <c r="BQ85" s="126"/>
      <c r="BR85" s="160"/>
      <c r="BS85" s="162"/>
      <c r="BT85" s="125"/>
      <c r="BU85" s="158"/>
      <c r="BV85" s="159"/>
      <c r="BW85" s="126"/>
      <c r="BX85" s="160"/>
      <c r="BY85" s="162"/>
      <c r="BZ85" s="133"/>
      <c r="CA85" s="134"/>
      <c r="CB85" s="165"/>
      <c r="CC85" s="170">
        <f t="shared" si="36"/>
        <v>0</v>
      </c>
      <c r="CD85" s="171">
        <f t="shared" si="37"/>
        <v>6</v>
      </c>
      <c r="CE85" s="171">
        <f t="shared" si="38"/>
        <v>1</v>
      </c>
      <c r="CF85" s="171">
        <f t="shared" si="39"/>
        <v>0</v>
      </c>
      <c r="CG85" s="171">
        <f t="shared" si="40"/>
        <v>0</v>
      </c>
      <c r="CH85" s="172">
        <f t="shared" si="41"/>
        <v>0</v>
      </c>
    </row>
    <row r="86" spans="1:86" s="1" customFormat="1" ht="24" customHeight="1" x14ac:dyDescent="0.2">
      <c r="A86" s="176" t="s">
        <v>35</v>
      </c>
      <c r="B86" s="141" t="s">
        <v>33</v>
      </c>
      <c r="C86" s="139" t="s">
        <v>459</v>
      </c>
      <c r="D86" s="141" t="s">
        <v>409</v>
      </c>
      <c r="E86" s="182" t="s">
        <v>297</v>
      </c>
      <c r="F86" s="125"/>
      <c r="G86" s="158">
        <v>1</v>
      </c>
      <c r="H86" s="159"/>
      <c r="I86" s="126"/>
      <c r="J86" s="160"/>
      <c r="K86" s="162"/>
      <c r="L86" s="125"/>
      <c r="M86" s="158"/>
      <c r="N86" s="159"/>
      <c r="O86" s="126">
        <v>1</v>
      </c>
      <c r="P86" s="160"/>
      <c r="Q86" s="162"/>
      <c r="R86" s="125"/>
      <c r="S86" s="158"/>
      <c r="T86" s="159"/>
      <c r="U86" s="126"/>
      <c r="V86" s="160"/>
      <c r="W86" s="162"/>
      <c r="X86" s="125"/>
      <c r="Y86" s="158"/>
      <c r="Z86" s="159"/>
      <c r="AA86" s="126"/>
      <c r="AB86" s="160"/>
      <c r="AC86" s="162"/>
      <c r="AD86" s="125">
        <v>2</v>
      </c>
      <c r="AE86" s="158">
        <v>1</v>
      </c>
      <c r="AF86" s="159">
        <v>1</v>
      </c>
      <c r="AG86" s="126"/>
      <c r="AH86" s="160"/>
      <c r="AI86" s="162"/>
      <c r="AJ86" s="125"/>
      <c r="AK86" s="158">
        <v>3</v>
      </c>
      <c r="AL86" s="159">
        <v>1</v>
      </c>
      <c r="AM86" s="126"/>
      <c r="AN86" s="160"/>
      <c r="AO86" s="162"/>
      <c r="AP86" s="125"/>
      <c r="AQ86" s="158"/>
      <c r="AR86" s="159"/>
      <c r="AS86" s="126"/>
      <c r="AT86" s="160"/>
      <c r="AU86" s="162"/>
      <c r="AV86" s="125"/>
      <c r="AW86" s="158"/>
      <c r="AX86" s="159"/>
      <c r="AY86" s="126"/>
      <c r="AZ86" s="160"/>
      <c r="BA86" s="162"/>
      <c r="BB86" s="125"/>
      <c r="BC86" s="158"/>
      <c r="BD86" s="159"/>
      <c r="BE86" s="126">
        <v>1</v>
      </c>
      <c r="BF86" s="160"/>
      <c r="BG86" s="162"/>
      <c r="BH86" s="125"/>
      <c r="BI86" s="158">
        <v>2</v>
      </c>
      <c r="BJ86" s="159"/>
      <c r="BK86" s="126"/>
      <c r="BL86" s="160"/>
      <c r="BM86" s="162"/>
      <c r="BN86" s="125"/>
      <c r="BO86" s="158"/>
      <c r="BP86" s="159"/>
      <c r="BQ86" s="126"/>
      <c r="BR86" s="160"/>
      <c r="BS86" s="162"/>
      <c r="BT86" s="125"/>
      <c r="BU86" s="158"/>
      <c r="BV86" s="159"/>
      <c r="BW86" s="126"/>
      <c r="BX86" s="160"/>
      <c r="BY86" s="162"/>
      <c r="BZ86" s="140"/>
      <c r="CA86" s="134"/>
      <c r="CB86" s="165"/>
      <c r="CC86" s="170">
        <f t="shared" si="36"/>
        <v>2</v>
      </c>
      <c r="CD86" s="171">
        <f t="shared" si="37"/>
        <v>7</v>
      </c>
      <c r="CE86" s="171">
        <f t="shared" si="38"/>
        <v>2</v>
      </c>
      <c r="CF86" s="171">
        <f t="shared" si="39"/>
        <v>2</v>
      </c>
      <c r="CG86" s="171">
        <f t="shared" si="40"/>
        <v>0</v>
      </c>
      <c r="CH86" s="172">
        <f t="shared" si="41"/>
        <v>0</v>
      </c>
    </row>
    <row r="87" spans="1:86" s="1" customFormat="1" ht="24" customHeight="1" x14ac:dyDescent="0.2">
      <c r="A87" s="239" t="s">
        <v>306</v>
      </c>
      <c r="B87" s="141" t="s">
        <v>306</v>
      </c>
      <c r="C87" s="139" t="s">
        <v>460</v>
      </c>
      <c r="D87" s="152" t="s">
        <v>441</v>
      </c>
      <c r="E87" s="202" t="s">
        <v>302</v>
      </c>
      <c r="F87" s="125"/>
      <c r="G87" s="158">
        <v>1</v>
      </c>
      <c r="H87" s="159"/>
      <c r="I87" s="126"/>
      <c r="J87" s="160"/>
      <c r="K87" s="162"/>
      <c r="L87" s="125"/>
      <c r="M87" s="158"/>
      <c r="N87" s="159"/>
      <c r="O87" s="126"/>
      <c r="P87" s="160"/>
      <c r="Q87" s="162"/>
      <c r="R87" s="125"/>
      <c r="S87" s="158"/>
      <c r="T87" s="159"/>
      <c r="U87" s="126"/>
      <c r="V87" s="160"/>
      <c r="W87" s="162"/>
      <c r="X87" s="125"/>
      <c r="Y87" s="158"/>
      <c r="Z87" s="159"/>
      <c r="AA87" s="126"/>
      <c r="AB87" s="160"/>
      <c r="AC87" s="162"/>
      <c r="AD87" s="125"/>
      <c r="AE87" s="158"/>
      <c r="AF87" s="159"/>
      <c r="AG87" s="126"/>
      <c r="AH87" s="160"/>
      <c r="AI87" s="162"/>
      <c r="AJ87" s="125"/>
      <c r="AK87" s="158"/>
      <c r="AL87" s="159"/>
      <c r="AM87" s="126"/>
      <c r="AN87" s="160"/>
      <c r="AO87" s="162"/>
      <c r="AP87" s="125"/>
      <c r="AQ87" s="158"/>
      <c r="AR87" s="159"/>
      <c r="AS87" s="126"/>
      <c r="AT87" s="160"/>
      <c r="AU87" s="162"/>
      <c r="AV87" s="125"/>
      <c r="AW87" s="158"/>
      <c r="AX87" s="159"/>
      <c r="AY87" s="126"/>
      <c r="AZ87" s="160"/>
      <c r="BA87" s="162"/>
      <c r="BB87" s="125"/>
      <c r="BC87" s="158"/>
      <c r="BD87" s="159"/>
      <c r="BE87" s="126"/>
      <c r="BF87" s="160"/>
      <c r="BG87" s="162"/>
      <c r="BH87" s="125"/>
      <c r="BI87" s="158"/>
      <c r="BJ87" s="159"/>
      <c r="BK87" s="126"/>
      <c r="BL87" s="160"/>
      <c r="BM87" s="162"/>
      <c r="BN87" s="125"/>
      <c r="BO87" s="158"/>
      <c r="BP87" s="159"/>
      <c r="BQ87" s="126"/>
      <c r="BR87" s="160"/>
      <c r="BS87" s="162"/>
      <c r="BT87" s="125"/>
      <c r="BU87" s="158"/>
      <c r="BV87" s="159"/>
      <c r="BW87" s="126"/>
      <c r="BX87" s="160"/>
      <c r="BY87" s="162"/>
      <c r="BZ87" s="140"/>
      <c r="CA87" s="134"/>
      <c r="CB87" s="165"/>
      <c r="CC87" s="170">
        <f t="shared" si="36"/>
        <v>0</v>
      </c>
      <c r="CD87" s="171">
        <f t="shared" si="37"/>
        <v>1</v>
      </c>
      <c r="CE87" s="171">
        <f t="shared" si="38"/>
        <v>0</v>
      </c>
      <c r="CF87" s="171">
        <f t="shared" si="39"/>
        <v>0</v>
      </c>
      <c r="CG87" s="171">
        <f t="shared" si="40"/>
        <v>0</v>
      </c>
      <c r="CH87" s="172">
        <f t="shared" si="41"/>
        <v>0</v>
      </c>
    </row>
    <row r="88" spans="1:86" s="1" customFormat="1" ht="24" customHeight="1" x14ac:dyDescent="0.2">
      <c r="A88" s="178" t="s">
        <v>51</v>
      </c>
      <c r="B88" s="141" t="s">
        <v>33</v>
      </c>
      <c r="C88" s="139" t="s">
        <v>461</v>
      </c>
      <c r="D88" s="141" t="s">
        <v>462</v>
      </c>
      <c r="E88" s="287" t="s">
        <v>289</v>
      </c>
      <c r="F88" s="362"/>
      <c r="G88" s="363">
        <v>1</v>
      </c>
      <c r="H88" s="364"/>
      <c r="I88" s="364"/>
      <c r="J88" s="364"/>
      <c r="K88" s="365"/>
      <c r="L88" s="362"/>
      <c r="M88" s="363"/>
      <c r="N88" s="364"/>
      <c r="O88" s="364"/>
      <c r="P88" s="364"/>
      <c r="Q88" s="365"/>
      <c r="R88" s="362"/>
      <c r="S88" s="363"/>
      <c r="T88" s="364"/>
      <c r="U88" s="364"/>
      <c r="V88" s="364"/>
      <c r="W88" s="365"/>
      <c r="X88" s="362"/>
      <c r="Y88" s="363"/>
      <c r="Z88" s="364"/>
      <c r="AA88" s="364"/>
      <c r="AB88" s="364"/>
      <c r="AC88" s="365"/>
      <c r="AD88" s="362"/>
      <c r="AE88" s="363"/>
      <c r="AF88" s="364"/>
      <c r="AG88" s="364"/>
      <c r="AH88" s="364"/>
      <c r="AI88" s="365"/>
      <c r="AJ88" s="362"/>
      <c r="AK88" s="363"/>
      <c r="AL88" s="364"/>
      <c r="AM88" s="364"/>
      <c r="AN88" s="364"/>
      <c r="AO88" s="365"/>
      <c r="AP88" s="125"/>
      <c r="AQ88" s="158"/>
      <c r="AR88" s="159"/>
      <c r="AS88" s="126"/>
      <c r="AT88" s="160"/>
      <c r="AU88" s="162"/>
      <c r="AV88" s="125"/>
      <c r="AW88" s="158"/>
      <c r="AX88" s="159"/>
      <c r="AY88" s="126"/>
      <c r="AZ88" s="160"/>
      <c r="BA88" s="162"/>
      <c r="BB88" s="125"/>
      <c r="BC88" s="158"/>
      <c r="BD88" s="159"/>
      <c r="BE88" s="126"/>
      <c r="BF88" s="160"/>
      <c r="BG88" s="162"/>
      <c r="BH88" s="125"/>
      <c r="BI88" s="158"/>
      <c r="BJ88" s="159"/>
      <c r="BK88" s="126"/>
      <c r="BL88" s="160"/>
      <c r="BM88" s="162"/>
      <c r="BN88" s="125"/>
      <c r="BO88" s="158"/>
      <c r="BP88" s="159"/>
      <c r="BQ88" s="126"/>
      <c r="BR88" s="160"/>
      <c r="BS88" s="162"/>
      <c r="BT88" s="125"/>
      <c r="BU88" s="158"/>
      <c r="BV88" s="159"/>
      <c r="BW88" s="126"/>
      <c r="BX88" s="160"/>
      <c r="BY88" s="162"/>
      <c r="BZ88" s="133"/>
      <c r="CA88" s="134"/>
      <c r="CB88" s="165"/>
      <c r="CC88" s="170">
        <f t="shared" si="36"/>
        <v>0</v>
      </c>
      <c r="CD88" s="171">
        <f t="shared" si="37"/>
        <v>1</v>
      </c>
      <c r="CE88" s="171">
        <f t="shared" si="38"/>
        <v>0</v>
      </c>
      <c r="CF88" s="171">
        <f t="shared" si="39"/>
        <v>0</v>
      </c>
      <c r="CG88" s="171">
        <f t="shared" si="40"/>
        <v>0</v>
      </c>
      <c r="CH88" s="172">
        <f t="shared" si="41"/>
        <v>0</v>
      </c>
    </row>
    <row r="89" spans="1:86" s="1" customFormat="1" ht="24" customHeight="1" x14ac:dyDescent="0.2">
      <c r="A89" s="176" t="s">
        <v>35</v>
      </c>
      <c r="B89" s="141" t="s">
        <v>33</v>
      </c>
      <c r="C89" s="460" t="s">
        <v>463</v>
      </c>
      <c r="D89" s="461" t="s">
        <v>337</v>
      </c>
      <c r="E89" s="287" t="s">
        <v>302</v>
      </c>
      <c r="F89" s="362"/>
      <c r="G89" s="363"/>
      <c r="H89" s="364"/>
      <c r="I89" s="364"/>
      <c r="J89" s="364"/>
      <c r="K89" s="365"/>
      <c r="L89" s="362"/>
      <c r="M89" s="363"/>
      <c r="N89" s="364"/>
      <c r="O89" s="364"/>
      <c r="P89" s="364"/>
      <c r="Q89" s="365"/>
      <c r="R89" s="362"/>
      <c r="S89" s="363"/>
      <c r="T89" s="364"/>
      <c r="U89" s="364"/>
      <c r="V89" s="364"/>
      <c r="W89" s="365"/>
      <c r="X89" s="362"/>
      <c r="Y89" s="363"/>
      <c r="Z89" s="364"/>
      <c r="AA89" s="364"/>
      <c r="AB89" s="364"/>
      <c r="AC89" s="365"/>
      <c r="AD89" s="125"/>
      <c r="AE89" s="158">
        <v>1</v>
      </c>
      <c r="AF89" s="159">
        <v>1</v>
      </c>
      <c r="AG89" s="126"/>
      <c r="AH89" s="160"/>
      <c r="AI89" s="162"/>
      <c r="AJ89" s="125"/>
      <c r="AK89" s="158"/>
      <c r="AL89" s="159"/>
      <c r="AM89" s="126"/>
      <c r="AN89" s="160"/>
      <c r="AO89" s="162"/>
      <c r="AP89" s="362"/>
      <c r="AQ89" s="363"/>
      <c r="AR89" s="364"/>
      <c r="AS89" s="364"/>
      <c r="AT89" s="364"/>
      <c r="AU89" s="365"/>
      <c r="AV89" s="362"/>
      <c r="AW89" s="363"/>
      <c r="AX89" s="364"/>
      <c r="AY89" s="364"/>
      <c r="AZ89" s="364"/>
      <c r="BA89" s="365"/>
      <c r="BB89" s="362"/>
      <c r="BC89" s="363"/>
      <c r="BD89" s="364"/>
      <c r="BE89" s="364"/>
      <c r="BF89" s="364"/>
      <c r="BG89" s="365"/>
      <c r="BH89" s="362"/>
      <c r="BI89" s="363"/>
      <c r="BJ89" s="364"/>
      <c r="BK89" s="364"/>
      <c r="BL89" s="364"/>
      <c r="BM89" s="365"/>
      <c r="BN89" s="362"/>
      <c r="BO89" s="363"/>
      <c r="BP89" s="364"/>
      <c r="BQ89" s="364"/>
      <c r="BR89" s="364"/>
      <c r="BS89" s="365"/>
      <c r="BT89" s="362"/>
      <c r="BU89" s="363"/>
      <c r="BV89" s="364"/>
      <c r="BW89" s="364"/>
      <c r="BX89" s="364"/>
      <c r="BY89" s="365"/>
      <c r="BZ89" s="133"/>
      <c r="CA89" s="134"/>
      <c r="CB89" s="165"/>
      <c r="CC89" s="170">
        <f t="shared" si="36"/>
        <v>0</v>
      </c>
      <c r="CD89" s="171">
        <f t="shared" si="37"/>
        <v>1</v>
      </c>
      <c r="CE89" s="171">
        <f t="shared" si="38"/>
        <v>1</v>
      </c>
      <c r="CF89" s="171">
        <f t="shared" si="39"/>
        <v>0</v>
      </c>
      <c r="CG89" s="171">
        <f t="shared" si="40"/>
        <v>0</v>
      </c>
      <c r="CH89" s="172">
        <f t="shared" si="41"/>
        <v>0</v>
      </c>
    </row>
    <row r="90" spans="1:86" s="1" customFormat="1" ht="24" customHeight="1" x14ac:dyDescent="0.2">
      <c r="A90" s="177" t="s">
        <v>303</v>
      </c>
      <c r="B90" s="141" t="s">
        <v>33</v>
      </c>
      <c r="C90" s="146" t="s">
        <v>464</v>
      </c>
      <c r="D90" s="146" t="s">
        <v>465</v>
      </c>
      <c r="E90" s="152" t="s">
        <v>294</v>
      </c>
      <c r="F90" s="125">
        <v>2</v>
      </c>
      <c r="G90" s="158">
        <v>1</v>
      </c>
      <c r="H90" s="159"/>
      <c r="I90" s="126"/>
      <c r="J90" s="160"/>
      <c r="K90" s="162"/>
      <c r="L90" s="125"/>
      <c r="M90" s="158"/>
      <c r="N90" s="159"/>
      <c r="O90" s="126"/>
      <c r="P90" s="160"/>
      <c r="Q90" s="162"/>
      <c r="R90" s="125"/>
      <c r="S90" s="158"/>
      <c r="T90" s="159"/>
      <c r="U90" s="126"/>
      <c r="V90" s="160"/>
      <c r="W90" s="162"/>
      <c r="X90" s="125"/>
      <c r="Y90" s="158"/>
      <c r="Z90" s="159"/>
      <c r="AA90" s="126"/>
      <c r="AB90" s="160"/>
      <c r="AC90" s="162"/>
      <c r="AD90" s="125"/>
      <c r="AE90" s="158"/>
      <c r="AF90" s="159"/>
      <c r="AG90" s="126"/>
      <c r="AH90" s="160"/>
      <c r="AI90" s="162"/>
      <c r="AJ90" s="125"/>
      <c r="AK90" s="158"/>
      <c r="AL90" s="159"/>
      <c r="AM90" s="126"/>
      <c r="AN90" s="160"/>
      <c r="AO90" s="162"/>
      <c r="AP90" s="125"/>
      <c r="AQ90" s="158">
        <v>1</v>
      </c>
      <c r="AR90" s="159"/>
      <c r="AS90" s="126"/>
      <c r="AT90" s="160"/>
      <c r="AU90" s="162"/>
      <c r="AV90" s="125"/>
      <c r="AW90" s="158"/>
      <c r="AX90" s="159"/>
      <c r="AY90" s="126"/>
      <c r="AZ90" s="160"/>
      <c r="BA90" s="162"/>
      <c r="BB90" s="125"/>
      <c r="BC90" s="158"/>
      <c r="BD90" s="159"/>
      <c r="BE90" s="126"/>
      <c r="BF90" s="160"/>
      <c r="BG90" s="162"/>
      <c r="BH90" s="125"/>
      <c r="BI90" s="158"/>
      <c r="BJ90" s="159"/>
      <c r="BK90" s="126"/>
      <c r="BL90" s="160"/>
      <c r="BM90" s="162"/>
      <c r="BN90" s="125"/>
      <c r="BO90" s="158"/>
      <c r="BP90" s="159"/>
      <c r="BQ90" s="126"/>
      <c r="BR90" s="160"/>
      <c r="BS90" s="162"/>
      <c r="BT90" s="125"/>
      <c r="BU90" s="158"/>
      <c r="BV90" s="159"/>
      <c r="BW90" s="126"/>
      <c r="BX90" s="160"/>
      <c r="BY90" s="162"/>
      <c r="BZ90" s="133"/>
      <c r="CA90" s="134"/>
      <c r="CB90" s="165"/>
      <c r="CC90" s="170">
        <f t="shared" si="36"/>
        <v>2</v>
      </c>
      <c r="CD90" s="171">
        <f t="shared" si="37"/>
        <v>2</v>
      </c>
      <c r="CE90" s="171">
        <f t="shared" si="38"/>
        <v>0</v>
      </c>
      <c r="CF90" s="171">
        <f t="shared" si="39"/>
        <v>0</v>
      </c>
      <c r="CG90" s="171">
        <f t="shared" si="40"/>
        <v>0</v>
      </c>
      <c r="CH90" s="172">
        <f t="shared" si="41"/>
        <v>0</v>
      </c>
    </row>
    <row r="91" spans="1:86" s="1" customFormat="1" ht="24" customHeight="1" x14ac:dyDescent="0.2">
      <c r="A91" s="239" t="s">
        <v>306</v>
      </c>
      <c r="B91" s="139" t="s">
        <v>306</v>
      </c>
      <c r="C91" s="139" t="s">
        <v>464</v>
      </c>
      <c r="D91" s="141" t="s">
        <v>466</v>
      </c>
      <c r="E91" s="152" t="s">
        <v>302</v>
      </c>
      <c r="F91" s="125"/>
      <c r="G91" s="158">
        <v>1</v>
      </c>
      <c r="H91" s="159"/>
      <c r="I91" s="126"/>
      <c r="J91" s="160"/>
      <c r="K91" s="162"/>
      <c r="L91" s="125"/>
      <c r="M91" s="158"/>
      <c r="N91" s="159"/>
      <c r="O91" s="126"/>
      <c r="P91" s="160"/>
      <c r="Q91" s="162"/>
      <c r="R91" s="125"/>
      <c r="S91" s="158"/>
      <c r="T91" s="159"/>
      <c r="U91" s="126"/>
      <c r="V91" s="160"/>
      <c r="W91" s="162"/>
      <c r="X91" s="125"/>
      <c r="Y91" s="158"/>
      <c r="Z91" s="159"/>
      <c r="AA91" s="126"/>
      <c r="AB91" s="160"/>
      <c r="AC91" s="162"/>
      <c r="AD91" s="125"/>
      <c r="AE91" s="158"/>
      <c r="AF91" s="159"/>
      <c r="AG91" s="126"/>
      <c r="AH91" s="160"/>
      <c r="AI91" s="162"/>
      <c r="AJ91" s="125"/>
      <c r="AK91" s="158"/>
      <c r="AL91" s="159"/>
      <c r="AM91" s="126"/>
      <c r="AN91" s="160"/>
      <c r="AO91" s="162"/>
      <c r="AP91" s="125"/>
      <c r="AQ91" s="158"/>
      <c r="AR91" s="159"/>
      <c r="AS91" s="126"/>
      <c r="AT91" s="160"/>
      <c r="AU91" s="162"/>
      <c r="AV91" s="125"/>
      <c r="AW91" s="158"/>
      <c r="AX91" s="159"/>
      <c r="AY91" s="126"/>
      <c r="AZ91" s="160"/>
      <c r="BA91" s="162"/>
      <c r="BB91" s="125"/>
      <c r="BC91" s="158"/>
      <c r="BD91" s="159"/>
      <c r="BE91" s="126"/>
      <c r="BF91" s="160"/>
      <c r="BG91" s="162"/>
      <c r="BH91" s="125"/>
      <c r="BI91" s="158"/>
      <c r="BJ91" s="159"/>
      <c r="BK91" s="126"/>
      <c r="BL91" s="160"/>
      <c r="BM91" s="162"/>
      <c r="BN91" s="125"/>
      <c r="BO91" s="158"/>
      <c r="BP91" s="159"/>
      <c r="BQ91" s="126"/>
      <c r="BR91" s="160"/>
      <c r="BS91" s="162"/>
      <c r="BT91" s="125"/>
      <c r="BU91" s="158"/>
      <c r="BV91" s="159"/>
      <c r="BW91" s="126"/>
      <c r="BX91" s="160"/>
      <c r="BY91" s="162"/>
      <c r="BZ91" s="190"/>
      <c r="CA91" s="192"/>
      <c r="CB91" s="194"/>
      <c r="CC91" s="170">
        <f t="shared" si="36"/>
        <v>0</v>
      </c>
      <c r="CD91" s="171">
        <f t="shared" si="37"/>
        <v>1</v>
      </c>
      <c r="CE91" s="171">
        <f t="shared" si="38"/>
        <v>0</v>
      </c>
      <c r="CF91" s="171">
        <f t="shared" si="39"/>
        <v>0</v>
      </c>
      <c r="CG91" s="171">
        <f t="shared" si="40"/>
        <v>0</v>
      </c>
      <c r="CH91" s="172">
        <f t="shared" si="41"/>
        <v>0</v>
      </c>
    </row>
    <row r="92" spans="1:86" s="1" customFormat="1" ht="24" customHeight="1" x14ac:dyDescent="0.2">
      <c r="A92" s="238" t="s">
        <v>306</v>
      </c>
      <c r="B92" s="141" t="s">
        <v>306</v>
      </c>
      <c r="C92" s="146" t="s">
        <v>467</v>
      </c>
      <c r="D92" s="180" t="s">
        <v>468</v>
      </c>
      <c r="E92" s="152" t="s">
        <v>289</v>
      </c>
      <c r="F92" s="125"/>
      <c r="G92" s="158">
        <v>1</v>
      </c>
      <c r="H92" s="159"/>
      <c r="I92" s="126"/>
      <c r="J92" s="160"/>
      <c r="K92" s="162"/>
      <c r="L92" s="125"/>
      <c r="M92" s="158"/>
      <c r="N92" s="159"/>
      <c r="O92" s="126"/>
      <c r="P92" s="160"/>
      <c r="Q92" s="162"/>
      <c r="R92" s="125"/>
      <c r="S92" s="158"/>
      <c r="T92" s="159"/>
      <c r="U92" s="126"/>
      <c r="V92" s="160"/>
      <c r="W92" s="162"/>
      <c r="X92" s="125"/>
      <c r="Y92" s="158"/>
      <c r="Z92" s="159"/>
      <c r="AA92" s="126"/>
      <c r="AB92" s="160"/>
      <c r="AC92" s="162"/>
      <c r="AD92" s="125"/>
      <c r="AE92" s="158"/>
      <c r="AF92" s="159"/>
      <c r="AG92" s="126"/>
      <c r="AH92" s="160"/>
      <c r="AI92" s="162"/>
      <c r="AJ92" s="125"/>
      <c r="AK92" s="158"/>
      <c r="AL92" s="159"/>
      <c r="AM92" s="126"/>
      <c r="AN92" s="160"/>
      <c r="AO92" s="162"/>
      <c r="AP92" s="125"/>
      <c r="AQ92" s="158"/>
      <c r="AR92" s="159"/>
      <c r="AS92" s="126"/>
      <c r="AT92" s="160"/>
      <c r="AU92" s="162"/>
      <c r="AV92" s="125"/>
      <c r="AW92" s="158"/>
      <c r="AX92" s="159"/>
      <c r="AY92" s="126"/>
      <c r="AZ92" s="160"/>
      <c r="BA92" s="162"/>
      <c r="BB92" s="125"/>
      <c r="BC92" s="158"/>
      <c r="BD92" s="159"/>
      <c r="BE92" s="126"/>
      <c r="BF92" s="160"/>
      <c r="BG92" s="162"/>
      <c r="BH92" s="125"/>
      <c r="BI92" s="158"/>
      <c r="BJ92" s="159"/>
      <c r="BK92" s="126"/>
      <c r="BL92" s="160"/>
      <c r="BM92" s="162"/>
      <c r="BN92" s="125"/>
      <c r="BO92" s="158"/>
      <c r="BP92" s="159"/>
      <c r="BQ92" s="126"/>
      <c r="BR92" s="160"/>
      <c r="BS92" s="162"/>
      <c r="BT92" s="125"/>
      <c r="BU92" s="158"/>
      <c r="BV92" s="159"/>
      <c r="BW92" s="126"/>
      <c r="BX92" s="160"/>
      <c r="BY92" s="162"/>
      <c r="BZ92" s="133"/>
      <c r="CA92" s="134"/>
      <c r="CB92" s="165"/>
      <c r="CC92" s="170">
        <f t="shared" si="36"/>
        <v>0</v>
      </c>
      <c r="CD92" s="171">
        <f t="shared" si="37"/>
        <v>1</v>
      </c>
      <c r="CE92" s="171">
        <f t="shared" si="38"/>
        <v>0</v>
      </c>
      <c r="CF92" s="171">
        <f t="shared" si="39"/>
        <v>0</v>
      </c>
      <c r="CG92" s="171">
        <f t="shared" si="40"/>
        <v>0</v>
      </c>
      <c r="CH92" s="172">
        <f t="shared" si="41"/>
        <v>0</v>
      </c>
    </row>
    <row r="93" spans="1:86" s="1" customFormat="1" ht="24" customHeight="1" x14ac:dyDescent="0.2">
      <c r="A93" s="176" t="s">
        <v>35</v>
      </c>
      <c r="B93" s="141" t="s">
        <v>469</v>
      </c>
      <c r="C93" s="146" t="s">
        <v>470</v>
      </c>
      <c r="D93" s="146" t="s">
        <v>471</v>
      </c>
      <c r="E93" s="152" t="s">
        <v>302</v>
      </c>
      <c r="F93" s="125"/>
      <c r="G93" s="158">
        <v>1</v>
      </c>
      <c r="H93" s="159"/>
      <c r="I93" s="126"/>
      <c r="J93" s="160"/>
      <c r="K93" s="162">
        <v>1</v>
      </c>
      <c r="L93" s="125">
        <v>1</v>
      </c>
      <c r="M93" s="158">
        <v>1</v>
      </c>
      <c r="N93" s="159">
        <v>1</v>
      </c>
      <c r="O93" s="126">
        <v>1</v>
      </c>
      <c r="P93" s="160">
        <v>1</v>
      </c>
      <c r="Q93" s="162"/>
      <c r="R93" s="125"/>
      <c r="S93" s="158">
        <v>1</v>
      </c>
      <c r="T93" s="159">
        <v>1</v>
      </c>
      <c r="U93" s="126"/>
      <c r="V93" s="160"/>
      <c r="W93" s="162"/>
      <c r="X93" s="125">
        <v>1</v>
      </c>
      <c r="Y93" s="158">
        <v>2</v>
      </c>
      <c r="Z93" s="159">
        <v>2</v>
      </c>
      <c r="AA93" s="126"/>
      <c r="AB93" s="160"/>
      <c r="AC93" s="162"/>
      <c r="AD93" s="125"/>
      <c r="AE93" s="158"/>
      <c r="AF93" s="159"/>
      <c r="AG93" s="126"/>
      <c r="AH93" s="160"/>
      <c r="AI93" s="162"/>
      <c r="AJ93" s="125"/>
      <c r="AK93" s="158">
        <v>2</v>
      </c>
      <c r="AL93" s="159"/>
      <c r="AM93" s="126"/>
      <c r="AN93" s="160"/>
      <c r="AO93" s="162"/>
      <c r="AP93" s="125">
        <v>1</v>
      </c>
      <c r="AQ93" s="158">
        <v>1</v>
      </c>
      <c r="AR93" s="159"/>
      <c r="AS93" s="126"/>
      <c r="AT93" s="160"/>
      <c r="AU93" s="162"/>
      <c r="AV93" s="125"/>
      <c r="AW93" s="158"/>
      <c r="AX93" s="159"/>
      <c r="AY93" s="126"/>
      <c r="AZ93" s="160"/>
      <c r="BA93" s="162"/>
      <c r="BB93" s="125"/>
      <c r="BC93" s="158">
        <v>2</v>
      </c>
      <c r="BD93" s="159"/>
      <c r="BE93" s="126"/>
      <c r="BF93" s="160"/>
      <c r="BG93" s="162"/>
      <c r="BH93" s="125"/>
      <c r="BI93" s="158"/>
      <c r="BJ93" s="159"/>
      <c r="BK93" s="126"/>
      <c r="BL93" s="160"/>
      <c r="BM93" s="162"/>
      <c r="BN93" s="125"/>
      <c r="BO93" s="158"/>
      <c r="BP93" s="159"/>
      <c r="BQ93" s="126"/>
      <c r="BR93" s="160"/>
      <c r="BS93" s="162"/>
      <c r="BT93" s="125"/>
      <c r="BU93" s="158"/>
      <c r="BV93" s="159"/>
      <c r="BW93" s="126"/>
      <c r="BX93" s="160"/>
      <c r="BY93" s="162"/>
      <c r="BZ93" s="133"/>
      <c r="CA93" s="134"/>
      <c r="CB93" s="165"/>
      <c r="CC93" s="170">
        <f t="shared" si="36"/>
        <v>3</v>
      </c>
      <c r="CD93" s="171">
        <f t="shared" si="37"/>
        <v>10</v>
      </c>
      <c r="CE93" s="171">
        <f t="shared" si="38"/>
        <v>4</v>
      </c>
      <c r="CF93" s="171">
        <f t="shared" si="39"/>
        <v>1</v>
      </c>
      <c r="CG93" s="171">
        <f t="shared" si="40"/>
        <v>1</v>
      </c>
      <c r="CH93" s="172">
        <f t="shared" si="41"/>
        <v>1</v>
      </c>
    </row>
    <row r="94" spans="1:86" s="1" customFormat="1" ht="24" customHeight="1" x14ac:dyDescent="0.2">
      <c r="A94" s="142" t="s">
        <v>329</v>
      </c>
      <c r="B94" s="141" t="s">
        <v>86</v>
      </c>
      <c r="C94" s="146" t="s">
        <v>472</v>
      </c>
      <c r="D94" s="180" t="s">
        <v>335</v>
      </c>
      <c r="E94" s="152" t="s">
        <v>294</v>
      </c>
      <c r="F94" s="125"/>
      <c r="G94" s="158">
        <v>2</v>
      </c>
      <c r="H94" s="159"/>
      <c r="I94" s="126"/>
      <c r="J94" s="160"/>
      <c r="K94" s="162"/>
      <c r="L94" s="125"/>
      <c r="M94" s="158">
        <v>1</v>
      </c>
      <c r="N94" s="159">
        <v>1</v>
      </c>
      <c r="O94" s="126"/>
      <c r="P94" s="160"/>
      <c r="Q94" s="162"/>
      <c r="R94" s="125"/>
      <c r="S94" s="158">
        <v>1</v>
      </c>
      <c r="T94" s="159"/>
      <c r="U94" s="126"/>
      <c r="V94" s="160"/>
      <c r="W94" s="162"/>
      <c r="X94" s="125"/>
      <c r="Y94" s="158">
        <v>2</v>
      </c>
      <c r="Z94" s="159"/>
      <c r="AA94" s="126"/>
      <c r="AB94" s="160"/>
      <c r="AC94" s="162"/>
      <c r="AD94" s="125"/>
      <c r="AE94" s="158"/>
      <c r="AF94" s="159"/>
      <c r="AG94" s="126"/>
      <c r="AH94" s="160"/>
      <c r="AI94" s="162"/>
      <c r="AJ94" s="125"/>
      <c r="AK94" s="158">
        <v>2</v>
      </c>
      <c r="AL94" s="159"/>
      <c r="AM94" s="126"/>
      <c r="AN94" s="160"/>
      <c r="AO94" s="162"/>
      <c r="AP94" s="125"/>
      <c r="AQ94" s="158"/>
      <c r="AR94" s="159"/>
      <c r="AS94" s="126"/>
      <c r="AT94" s="160"/>
      <c r="AU94" s="162"/>
      <c r="AV94" s="125"/>
      <c r="AW94" s="158"/>
      <c r="AX94" s="159"/>
      <c r="AY94" s="126"/>
      <c r="AZ94" s="160"/>
      <c r="BA94" s="162"/>
      <c r="BB94" s="125"/>
      <c r="BC94" s="158"/>
      <c r="BD94" s="159"/>
      <c r="BE94" s="126"/>
      <c r="BF94" s="160"/>
      <c r="BG94" s="162"/>
      <c r="BH94" s="125"/>
      <c r="BI94" s="158"/>
      <c r="BJ94" s="159"/>
      <c r="BK94" s="126"/>
      <c r="BL94" s="160"/>
      <c r="BM94" s="162"/>
      <c r="BN94" s="125"/>
      <c r="BO94" s="158"/>
      <c r="BP94" s="159"/>
      <c r="BQ94" s="126"/>
      <c r="BR94" s="160"/>
      <c r="BS94" s="162"/>
      <c r="BT94" s="125"/>
      <c r="BU94" s="158"/>
      <c r="BV94" s="159"/>
      <c r="BW94" s="126"/>
      <c r="BX94" s="160"/>
      <c r="BY94" s="162"/>
      <c r="BZ94" s="133"/>
      <c r="CA94" s="134"/>
      <c r="CB94" s="165"/>
      <c r="CC94" s="170">
        <f t="shared" si="36"/>
        <v>0</v>
      </c>
      <c r="CD94" s="171">
        <f t="shared" si="37"/>
        <v>8</v>
      </c>
      <c r="CE94" s="171">
        <f t="shared" si="38"/>
        <v>1</v>
      </c>
      <c r="CF94" s="171">
        <f t="shared" si="39"/>
        <v>0</v>
      </c>
      <c r="CG94" s="171">
        <f t="shared" si="40"/>
        <v>0</v>
      </c>
      <c r="CH94" s="172">
        <f t="shared" si="41"/>
        <v>0</v>
      </c>
    </row>
    <row r="95" spans="1:86" s="1" customFormat="1" ht="24" customHeight="1" x14ac:dyDescent="0.2">
      <c r="A95" s="142" t="s">
        <v>329</v>
      </c>
      <c r="B95" s="139" t="s">
        <v>33</v>
      </c>
      <c r="C95" s="139" t="s">
        <v>473</v>
      </c>
      <c r="D95" s="139" t="s">
        <v>474</v>
      </c>
      <c r="E95" s="151" t="s">
        <v>297</v>
      </c>
      <c r="F95" s="125"/>
      <c r="G95" s="158">
        <v>2</v>
      </c>
      <c r="H95" s="159"/>
      <c r="I95" s="126"/>
      <c r="J95" s="160"/>
      <c r="K95" s="162"/>
      <c r="L95" s="125"/>
      <c r="M95" s="158">
        <v>1</v>
      </c>
      <c r="N95" s="159">
        <v>1</v>
      </c>
      <c r="O95" s="126"/>
      <c r="P95" s="160"/>
      <c r="Q95" s="162"/>
      <c r="R95" s="125"/>
      <c r="S95" s="158">
        <v>1</v>
      </c>
      <c r="T95" s="159">
        <v>1</v>
      </c>
      <c r="U95" s="126"/>
      <c r="V95" s="160"/>
      <c r="W95" s="162"/>
      <c r="X95" s="125"/>
      <c r="Y95" s="158">
        <v>2</v>
      </c>
      <c r="Z95" s="159"/>
      <c r="AA95" s="126"/>
      <c r="AB95" s="160"/>
      <c r="AC95" s="162"/>
      <c r="AD95" s="125"/>
      <c r="AE95" s="158"/>
      <c r="AF95" s="159"/>
      <c r="AG95" s="126"/>
      <c r="AH95" s="160"/>
      <c r="AI95" s="162"/>
      <c r="AJ95" s="125"/>
      <c r="AK95" s="158"/>
      <c r="AL95" s="159"/>
      <c r="AM95" s="126"/>
      <c r="AN95" s="160"/>
      <c r="AO95" s="162"/>
      <c r="AP95" s="125"/>
      <c r="AQ95" s="158"/>
      <c r="AR95" s="159"/>
      <c r="AS95" s="126"/>
      <c r="AT95" s="160"/>
      <c r="AU95" s="162"/>
      <c r="AV95" s="125"/>
      <c r="AW95" s="158"/>
      <c r="AX95" s="159"/>
      <c r="AY95" s="126"/>
      <c r="AZ95" s="160"/>
      <c r="BA95" s="162"/>
      <c r="BB95" s="125"/>
      <c r="BC95" s="158"/>
      <c r="BD95" s="159"/>
      <c r="BE95" s="126"/>
      <c r="BF95" s="160"/>
      <c r="BG95" s="162"/>
      <c r="BH95" s="125"/>
      <c r="BI95" s="158"/>
      <c r="BJ95" s="159"/>
      <c r="BK95" s="126"/>
      <c r="BL95" s="160"/>
      <c r="BM95" s="162"/>
      <c r="BN95" s="125"/>
      <c r="BO95" s="158"/>
      <c r="BP95" s="159"/>
      <c r="BQ95" s="126"/>
      <c r="BR95" s="160"/>
      <c r="BS95" s="162"/>
      <c r="BT95" s="125"/>
      <c r="BU95" s="158"/>
      <c r="BV95" s="159"/>
      <c r="BW95" s="126"/>
      <c r="BX95" s="160"/>
      <c r="BY95" s="162"/>
      <c r="BZ95" s="133"/>
      <c r="CA95" s="134"/>
      <c r="CB95" s="165"/>
      <c r="CC95" s="170">
        <f t="shared" si="36"/>
        <v>0</v>
      </c>
      <c r="CD95" s="171">
        <f t="shared" si="37"/>
        <v>6</v>
      </c>
      <c r="CE95" s="171">
        <f t="shared" si="38"/>
        <v>2</v>
      </c>
      <c r="CF95" s="171">
        <f t="shared" si="39"/>
        <v>0</v>
      </c>
      <c r="CG95" s="171">
        <f t="shared" si="40"/>
        <v>0</v>
      </c>
      <c r="CH95" s="172">
        <f t="shared" si="41"/>
        <v>0</v>
      </c>
    </row>
    <row r="96" spans="1:86" s="1" customFormat="1" ht="24" customHeight="1" x14ac:dyDescent="0.2">
      <c r="A96" s="238" t="s">
        <v>306</v>
      </c>
      <c r="B96" s="141" t="s">
        <v>306</v>
      </c>
      <c r="C96" s="139" t="s">
        <v>475</v>
      </c>
      <c r="D96" s="152" t="s">
        <v>441</v>
      </c>
      <c r="E96" s="152" t="s">
        <v>297</v>
      </c>
      <c r="F96" s="125"/>
      <c r="G96" s="158">
        <v>1</v>
      </c>
      <c r="H96" s="159"/>
      <c r="I96" s="126"/>
      <c r="J96" s="160"/>
      <c r="K96" s="162"/>
      <c r="L96" s="125"/>
      <c r="M96" s="158"/>
      <c r="N96" s="159"/>
      <c r="O96" s="126"/>
      <c r="P96" s="160"/>
      <c r="Q96" s="162"/>
      <c r="R96" s="125"/>
      <c r="S96" s="158"/>
      <c r="T96" s="159"/>
      <c r="U96" s="126"/>
      <c r="V96" s="160"/>
      <c r="W96" s="162"/>
      <c r="X96" s="125"/>
      <c r="Y96" s="158"/>
      <c r="Z96" s="159"/>
      <c r="AA96" s="126"/>
      <c r="AB96" s="160"/>
      <c r="AC96" s="162"/>
      <c r="AD96" s="125"/>
      <c r="AE96" s="158"/>
      <c r="AF96" s="159"/>
      <c r="AG96" s="126"/>
      <c r="AH96" s="160"/>
      <c r="AI96" s="162"/>
      <c r="AJ96" s="125"/>
      <c r="AK96" s="158"/>
      <c r="AL96" s="159"/>
      <c r="AM96" s="126"/>
      <c r="AN96" s="160"/>
      <c r="AO96" s="162"/>
      <c r="AP96" s="125"/>
      <c r="AQ96" s="158"/>
      <c r="AR96" s="159"/>
      <c r="AS96" s="126"/>
      <c r="AT96" s="160"/>
      <c r="AU96" s="162"/>
      <c r="AV96" s="125"/>
      <c r="AW96" s="158"/>
      <c r="AX96" s="159"/>
      <c r="AY96" s="126"/>
      <c r="AZ96" s="160"/>
      <c r="BA96" s="162"/>
      <c r="BB96" s="125"/>
      <c r="BC96" s="158"/>
      <c r="BD96" s="159"/>
      <c r="BE96" s="126"/>
      <c r="BF96" s="160"/>
      <c r="BG96" s="162"/>
      <c r="BH96" s="125"/>
      <c r="BI96" s="158"/>
      <c r="BJ96" s="159"/>
      <c r="BK96" s="126"/>
      <c r="BL96" s="160"/>
      <c r="BM96" s="162"/>
      <c r="BN96" s="125"/>
      <c r="BO96" s="158"/>
      <c r="BP96" s="159"/>
      <c r="BQ96" s="126"/>
      <c r="BR96" s="160"/>
      <c r="BS96" s="162"/>
      <c r="BT96" s="125"/>
      <c r="BU96" s="158"/>
      <c r="BV96" s="159"/>
      <c r="BW96" s="126"/>
      <c r="BX96" s="160"/>
      <c r="BY96" s="162"/>
      <c r="BZ96" s="140"/>
      <c r="CA96" s="134"/>
      <c r="CB96" s="165"/>
      <c r="CC96" s="170">
        <f t="shared" si="36"/>
        <v>0</v>
      </c>
      <c r="CD96" s="171">
        <f t="shared" si="37"/>
        <v>1</v>
      </c>
      <c r="CE96" s="171">
        <f t="shared" si="38"/>
        <v>0</v>
      </c>
      <c r="CF96" s="171">
        <f t="shared" si="39"/>
        <v>0</v>
      </c>
      <c r="CG96" s="171">
        <f t="shared" si="40"/>
        <v>0</v>
      </c>
      <c r="CH96" s="172">
        <f t="shared" si="41"/>
        <v>0</v>
      </c>
    </row>
    <row r="97" spans="1:86" s="1" customFormat="1" ht="24" customHeight="1" x14ac:dyDescent="0.2">
      <c r="A97" s="177" t="s">
        <v>124</v>
      </c>
      <c r="B97" s="141" t="s">
        <v>469</v>
      </c>
      <c r="C97" s="139" t="s">
        <v>476</v>
      </c>
      <c r="D97" s="141" t="s">
        <v>477</v>
      </c>
      <c r="E97" s="152" t="s">
        <v>297</v>
      </c>
      <c r="F97" s="125"/>
      <c r="G97" s="158">
        <v>1</v>
      </c>
      <c r="H97" s="159"/>
      <c r="I97" s="126">
        <v>1</v>
      </c>
      <c r="J97" s="160"/>
      <c r="K97" s="162"/>
      <c r="L97" s="125"/>
      <c r="M97" s="158"/>
      <c r="N97" s="159"/>
      <c r="O97" s="126">
        <v>1</v>
      </c>
      <c r="P97" s="160"/>
      <c r="Q97" s="162"/>
      <c r="R97" s="125"/>
      <c r="S97" s="158"/>
      <c r="T97" s="159"/>
      <c r="U97" s="126">
        <v>1</v>
      </c>
      <c r="V97" s="160"/>
      <c r="W97" s="162"/>
      <c r="X97" s="125"/>
      <c r="Y97" s="158"/>
      <c r="Z97" s="159"/>
      <c r="AA97" s="126">
        <v>1</v>
      </c>
      <c r="AB97" s="160"/>
      <c r="AC97" s="162"/>
      <c r="AD97" s="125"/>
      <c r="AE97" s="158"/>
      <c r="AF97" s="159"/>
      <c r="AG97" s="126">
        <v>1</v>
      </c>
      <c r="AH97" s="160"/>
      <c r="AI97" s="162"/>
      <c r="AJ97" s="125"/>
      <c r="AK97" s="158"/>
      <c r="AL97" s="159"/>
      <c r="AM97" s="126"/>
      <c r="AN97" s="160"/>
      <c r="AO97" s="162"/>
      <c r="AP97" s="125"/>
      <c r="AQ97" s="158"/>
      <c r="AR97" s="159"/>
      <c r="AS97" s="126"/>
      <c r="AT97" s="160"/>
      <c r="AU97" s="162"/>
      <c r="AV97" s="125"/>
      <c r="AW97" s="158"/>
      <c r="AX97" s="159"/>
      <c r="AY97" s="126"/>
      <c r="AZ97" s="160"/>
      <c r="BA97" s="162"/>
      <c r="BB97" s="125"/>
      <c r="BC97" s="158"/>
      <c r="BD97" s="159"/>
      <c r="BE97" s="126">
        <v>1</v>
      </c>
      <c r="BF97" s="160"/>
      <c r="BG97" s="162"/>
      <c r="BH97" s="125"/>
      <c r="BI97" s="158"/>
      <c r="BJ97" s="159"/>
      <c r="BK97" s="126">
        <v>1</v>
      </c>
      <c r="BL97" s="160"/>
      <c r="BM97" s="162"/>
      <c r="BN97" s="125"/>
      <c r="BO97" s="158"/>
      <c r="BP97" s="159"/>
      <c r="BQ97" s="126"/>
      <c r="BR97" s="160"/>
      <c r="BS97" s="162"/>
      <c r="BT97" s="125"/>
      <c r="BU97" s="158"/>
      <c r="BV97" s="159"/>
      <c r="BW97" s="126"/>
      <c r="BX97" s="160"/>
      <c r="BY97" s="162"/>
      <c r="BZ97" s="133"/>
      <c r="CA97" s="134"/>
      <c r="CB97" s="165"/>
      <c r="CC97" s="170">
        <f t="shared" si="36"/>
        <v>0</v>
      </c>
      <c r="CD97" s="171">
        <f t="shared" si="37"/>
        <v>1</v>
      </c>
      <c r="CE97" s="171">
        <f t="shared" si="38"/>
        <v>0</v>
      </c>
      <c r="CF97" s="171">
        <f t="shared" si="39"/>
        <v>7</v>
      </c>
      <c r="CG97" s="171">
        <f t="shared" si="40"/>
        <v>0</v>
      </c>
      <c r="CH97" s="172">
        <f t="shared" si="41"/>
        <v>0</v>
      </c>
    </row>
    <row r="98" spans="1:86" s="1" customFormat="1" ht="24" customHeight="1" x14ac:dyDescent="0.2">
      <c r="A98" s="206" t="s">
        <v>148</v>
      </c>
      <c r="B98" s="141" t="s">
        <v>148</v>
      </c>
      <c r="C98" s="146" t="s">
        <v>478</v>
      </c>
      <c r="D98" s="180" t="s">
        <v>406</v>
      </c>
      <c r="E98" s="175" t="s">
        <v>297</v>
      </c>
      <c r="F98" s="125"/>
      <c r="G98" s="158"/>
      <c r="H98" s="159"/>
      <c r="I98" s="126"/>
      <c r="J98" s="160"/>
      <c r="K98" s="162"/>
      <c r="L98" s="125"/>
      <c r="M98" s="158"/>
      <c r="N98" s="159"/>
      <c r="O98" s="126">
        <v>1</v>
      </c>
      <c r="P98" s="160"/>
      <c r="Q98" s="162"/>
      <c r="R98" s="125"/>
      <c r="S98" s="158"/>
      <c r="T98" s="159"/>
      <c r="U98" s="126"/>
      <c r="V98" s="160"/>
      <c r="W98" s="162"/>
      <c r="X98" s="125"/>
      <c r="Y98" s="158"/>
      <c r="Z98" s="159"/>
      <c r="AA98" s="126"/>
      <c r="AB98" s="160"/>
      <c r="AC98" s="162"/>
      <c r="AD98" s="125"/>
      <c r="AE98" s="158"/>
      <c r="AF98" s="159"/>
      <c r="AG98" s="126"/>
      <c r="AH98" s="160"/>
      <c r="AI98" s="162"/>
      <c r="AJ98" s="125"/>
      <c r="AK98" s="158"/>
      <c r="AL98" s="159"/>
      <c r="AM98" s="126"/>
      <c r="AN98" s="160"/>
      <c r="AO98" s="162"/>
      <c r="AP98" s="125"/>
      <c r="AQ98" s="158"/>
      <c r="AR98" s="159"/>
      <c r="AS98" s="126"/>
      <c r="AT98" s="160"/>
      <c r="AU98" s="162"/>
      <c r="AV98" s="125"/>
      <c r="AW98" s="158"/>
      <c r="AX98" s="159"/>
      <c r="AY98" s="126"/>
      <c r="AZ98" s="160"/>
      <c r="BA98" s="162"/>
      <c r="BB98" s="125"/>
      <c r="BC98" s="158"/>
      <c r="BD98" s="159"/>
      <c r="BE98" s="126"/>
      <c r="BF98" s="160"/>
      <c r="BG98" s="162"/>
      <c r="BH98" s="125"/>
      <c r="BI98" s="158"/>
      <c r="BJ98" s="159"/>
      <c r="BK98" s="126"/>
      <c r="BL98" s="160"/>
      <c r="BM98" s="162"/>
      <c r="BN98" s="125"/>
      <c r="BO98" s="158"/>
      <c r="BP98" s="159"/>
      <c r="BQ98" s="126"/>
      <c r="BR98" s="160"/>
      <c r="BS98" s="162"/>
      <c r="BT98" s="125"/>
      <c r="BU98" s="158"/>
      <c r="BV98" s="159"/>
      <c r="BW98" s="126"/>
      <c r="BX98" s="160"/>
      <c r="BY98" s="162"/>
      <c r="BZ98" s="133"/>
      <c r="CA98" s="134"/>
      <c r="CB98" s="165"/>
      <c r="CC98" s="170">
        <f t="shared" si="36"/>
        <v>0</v>
      </c>
      <c r="CD98" s="171">
        <f t="shared" si="37"/>
        <v>0</v>
      </c>
      <c r="CE98" s="171">
        <f t="shared" si="38"/>
        <v>0</v>
      </c>
      <c r="CF98" s="171">
        <f t="shared" si="39"/>
        <v>1</v>
      </c>
      <c r="CG98" s="171">
        <f t="shared" si="40"/>
        <v>0</v>
      </c>
      <c r="CH98" s="172">
        <f t="shared" si="41"/>
        <v>0</v>
      </c>
    </row>
    <row r="99" spans="1:86" s="1" customFormat="1" ht="24" customHeight="1" x14ac:dyDescent="0.2">
      <c r="A99" s="174" t="s">
        <v>290</v>
      </c>
      <c r="B99" s="141" t="s">
        <v>291</v>
      </c>
      <c r="C99" s="139" t="s">
        <v>479</v>
      </c>
      <c r="D99" s="141" t="s">
        <v>480</v>
      </c>
      <c r="E99" s="152" t="s">
        <v>297</v>
      </c>
      <c r="F99" s="125"/>
      <c r="G99" s="158"/>
      <c r="H99" s="159"/>
      <c r="I99" s="126">
        <v>1</v>
      </c>
      <c r="J99" s="160"/>
      <c r="K99" s="162"/>
      <c r="L99" s="125"/>
      <c r="M99" s="158"/>
      <c r="N99" s="159"/>
      <c r="O99" s="126"/>
      <c r="P99" s="160"/>
      <c r="Q99" s="162"/>
      <c r="R99" s="125"/>
      <c r="S99" s="158"/>
      <c r="T99" s="159"/>
      <c r="U99" s="126"/>
      <c r="V99" s="160"/>
      <c r="W99" s="162"/>
      <c r="X99" s="125"/>
      <c r="Y99" s="158"/>
      <c r="Z99" s="159"/>
      <c r="AA99" s="126"/>
      <c r="AB99" s="160"/>
      <c r="AC99" s="162"/>
      <c r="AD99" s="125"/>
      <c r="AE99" s="158"/>
      <c r="AF99" s="159"/>
      <c r="AG99" s="126">
        <v>1</v>
      </c>
      <c r="AH99" s="160"/>
      <c r="AI99" s="162"/>
      <c r="AJ99" s="125"/>
      <c r="AK99" s="158"/>
      <c r="AL99" s="159"/>
      <c r="AM99" s="126"/>
      <c r="AN99" s="160"/>
      <c r="AO99" s="162"/>
      <c r="AP99" s="125"/>
      <c r="AQ99" s="158"/>
      <c r="AR99" s="159"/>
      <c r="AS99" s="126"/>
      <c r="AT99" s="160"/>
      <c r="AU99" s="162"/>
      <c r="AV99" s="125"/>
      <c r="AW99" s="158"/>
      <c r="AX99" s="159"/>
      <c r="AY99" s="126">
        <v>1</v>
      </c>
      <c r="AZ99" s="160"/>
      <c r="BA99" s="162"/>
      <c r="BB99" s="125"/>
      <c r="BC99" s="158"/>
      <c r="BD99" s="159"/>
      <c r="BE99" s="126"/>
      <c r="BF99" s="160"/>
      <c r="BG99" s="162"/>
      <c r="BH99" s="125"/>
      <c r="BI99" s="158"/>
      <c r="BJ99" s="159"/>
      <c r="BK99" s="126"/>
      <c r="BL99" s="160"/>
      <c r="BM99" s="162"/>
      <c r="BN99" s="125"/>
      <c r="BO99" s="158"/>
      <c r="BP99" s="159"/>
      <c r="BQ99" s="126">
        <v>1</v>
      </c>
      <c r="BR99" s="160"/>
      <c r="BS99" s="162"/>
      <c r="BT99" s="125"/>
      <c r="BU99" s="158"/>
      <c r="BV99" s="159"/>
      <c r="BW99" s="126"/>
      <c r="BX99" s="160"/>
      <c r="BY99" s="162"/>
      <c r="BZ99" s="133"/>
      <c r="CA99" s="134"/>
      <c r="CB99" s="165"/>
      <c r="CC99" s="170">
        <f t="shared" si="36"/>
        <v>0</v>
      </c>
      <c r="CD99" s="171">
        <f t="shared" si="37"/>
        <v>0</v>
      </c>
      <c r="CE99" s="171">
        <f t="shared" si="38"/>
        <v>0</v>
      </c>
      <c r="CF99" s="171">
        <f t="shared" si="39"/>
        <v>4</v>
      </c>
      <c r="CG99" s="171">
        <f t="shared" si="40"/>
        <v>0</v>
      </c>
      <c r="CH99" s="172">
        <f t="shared" si="41"/>
        <v>0</v>
      </c>
    </row>
    <row r="100" spans="1:86" s="1" customFormat="1" ht="24" customHeight="1" x14ac:dyDescent="0.2">
      <c r="A100" s="176" t="s">
        <v>35</v>
      </c>
      <c r="B100" s="141" t="s">
        <v>33</v>
      </c>
      <c r="C100" s="139" t="s">
        <v>481</v>
      </c>
      <c r="D100" s="141" t="s">
        <v>335</v>
      </c>
      <c r="E100" s="152" t="s">
        <v>289</v>
      </c>
      <c r="F100" s="125"/>
      <c r="G100" s="158"/>
      <c r="H100" s="159"/>
      <c r="I100" s="126"/>
      <c r="J100" s="160"/>
      <c r="K100" s="162"/>
      <c r="L100" s="125"/>
      <c r="M100" s="158"/>
      <c r="N100" s="159"/>
      <c r="O100" s="126"/>
      <c r="P100" s="160"/>
      <c r="Q100" s="162"/>
      <c r="R100" s="125"/>
      <c r="S100" s="158"/>
      <c r="T100" s="159"/>
      <c r="U100" s="126"/>
      <c r="V100" s="160"/>
      <c r="W100" s="162"/>
      <c r="X100" s="125"/>
      <c r="Y100" s="158"/>
      <c r="Z100" s="159"/>
      <c r="AA100" s="126"/>
      <c r="AB100" s="160"/>
      <c r="AC100" s="162"/>
      <c r="AD100" s="125"/>
      <c r="AE100" s="158"/>
      <c r="AF100" s="159"/>
      <c r="AG100" s="126"/>
      <c r="AH100" s="160"/>
      <c r="AI100" s="162"/>
      <c r="AJ100" s="125"/>
      <c r="AK100" s="158"/>
      <c r="AL100" s="159"/>
      <c r="AM100" s="126"/>
      <c r="AN100" s="160"/>
      <c r="AO100" s="162"/>
      <c r="AP100" s="125"/>
      <c r="AQ100" s="158"/>
      <c r="AR100" s="159"/>
      <c r="AS100" s="126"/>
      <c r="AT100" s="160"/>
      <c r="AU100" s="162"/>
      <c r="AV100" s="125"/>
      <c r="AW100" s="158"/>
      <c r="AX100" s="159"/>
      <c r="AY100" s="126"/>
      <c r="AZ100" s="160"/>
      <c r="BA100" s="162"/>
      <c r="BB100" s="125"/>
      <c r="BC100" s="158"/>
      <c r="BD100" s="159"/>
      <c r="BE100" s="126"/>
      <c r="BF100" s="160"/>
      <c r="BG100" s="162"/>
      <c r="BH100" s="125"/>
      <c r="BI100" s="158"/>
      <c r="BJ100" s="159"/>
      <c r="BK100" s="126"/>
      <c r="BL100" s="160"/>
      <c r="BM100" s="162"/>
      <c r="BN100" s="125"/>
      <c r="BO100" s="158"/>
      <c r="BP100" s="159"/>
      <c r="BQ100" s="126"/>
      <c r="BR100" s="160"/>
      <c r="BS100" s="162"/>
      <c r="BT100" s="125"/>
      <c r="BU100" s="158"/>
      <c r="BV100" s="159"/>
      <c r="BW100" s="126"/>
      <c r="BX100" s="160"/>
      <c r="BY100" s="162"/>
      <c r="BZ100" s="133"/>
      <c r="CA100" s="134"/>
      <c r="CB100" s="165"/>
      <c r="CC100" s="170">
        <f t="shared" ref="CC100:CC127" si="43">SUM(F100,L100,R100,X100,AD100,AJ100,AP100,AV100,BB100,BH100,BN100,BT100)</f>
        <v>0</v>
      </c>
      <c r="CD100" s="171">
        <f t="shared" ref="CD100:CD127" si="44">SUM(G100,M100,S100,Y100,AE100,AK100,AQ100,AW100,BC100,BI100,BO100,BU100)</f>
        <v>0</v>
      </c>
      <c r="CE100" s="171">
        <f t="shared" ref="CE100:CE127" si="45">SUM(H100,N100,T100,Z100,AF100,AL100,AR100,AX100,BD100,BJ100,BP100,BV100)</f>
        <v>0</v>
      </c>
      <c r="CF100" s="171">
        <f t="shared" ref="CF100:CF127" si="46">SUM(I100,O100,U100,AA100,AG100,AM100,AS100,AY100,BE100,BK100,BQ100,BW100)</f>
        <v>0</v>
      </c>
      <c r="CG100" s="171">
        <f t="shared" ref="CG100:CG127" si="47">SUM(J100,P100,V100,AB100,AH100,AN100,AT100,AZ100,BF100,BL100,BR100,BX100)</f>
        <v>0</v>
      </c>
      <c r="CH100" s="172">
        <f t="shared" ref="CH100:CH127" si="48">SUM(K100,Q100,W100,AC100,AI100,AO100,AU100,BA100,BG100,BM100,BS100,BY100)</f>
        <v>0</v>
      </c>
    </row>
    <row r="101" spans="1:86" s="1" customFormat="1" ht="24" customHeight="1" x14ac:dyDescent="0.2">
      <c r="A101" s="177" t="s">
        <v>124</v>
      </c>
      <c r="B101" s="141" t="s">
        <v>291</v>
      </c>
      <c r="C101" s="139" t="s">
        <v>482</v>
      </c>
      <c r="D101" s="141" t="s">
        <v>483</v>
      </c>
      <c r="E101" s="152" t="s">
        <v>297</v>
      </c>
      <c r="F101" s="125"/>
      <c r="G101" s="158"/>
      <c r="H101" s="159"/>
      <c r="I101" s="126">
        <v>1</v>
      </c>
      <c r="J101" s="160"/>
      <c r="K101" s="162"/>
      <c r="L101" s="125"/>
      <c r="M101" s="158"/>
      <c r="N101" s="159"/>
      <c r="O101" s="126">
        <v>2</v>
      </c>
      <c r="P101" s="160"/>
      <c r="Q101" s="162"/>
      <c r="R101" s="125"/>
      <c r="S101" s="158"/>
      <c r="T101" s="159"/>
      <c r="U101" s="126">
        <v>1</v>
      </c>
      <c r="V101" s="160"/>
      <c r="W101" s="162"/>
      <c r="X101" s="125"/>
      <c r="Y101" s="158"/>
      <c r="Z101" s="159"/>
      <c r="AA101" s="126"/>
      <c r="AB101" s="160"/>
      <c r="AC101" s="162"/>
      <c r="AD101" s="125"/>
      <c r="AE101" s="158"/>
      <c r="AF101" s="159"/>
      <c r="AG101" s="126"/>
      <c r="AH101" s="160"/>
      <c r="AI101" s="162"/>
      <c r="AJ101" s="125"/>
      <c r="AK101" s="158"/>
      <c r="AL101" s="159"/>
      <c r="AM101" s="126">
        <v>1</v>
      </c>
      <c r="AN101" s="160"/>
      <c r="AO101" s="162"/>
      <c r="AP101" s="125"/>
      <c r="AQ101" s="158"/>
      <c r="AR101" s="159"/>
      <c r="AS101" s="126"/>
      <c r="AT101" s="160"/>
      <c r="AU101" s="162"/>
      <c r="AV101" s="125"/>
      <c r="AW101" s="158"/>
      <c r="AX101" s="159"/>
      <c r="AY101" s="126"/>
      <c r="AZ101" s="160"/>
      <c r="BA101" s="162"/>
      <c r="BB101" s="125"/>
      <c r="BC101" s="158"/>
      <c r="BD101" s="159"/>
      <c r="BE101" s="126"/>
      <c r="BF101" s="160"/>
      <c r="BG101" s="162"/>
      <c r="BH101" s="125"/>
      <c r="BI101" s="158"/>
      <c r="BJ101" s="159"/>
      <c r="BK101" s="126">
        <v>1</v>
      </c>
      <c r="BL101" s="160"/>
      <c r="BM101" s="162"/>
      <c r="BN101" s="125"/>
      <c r="BO101" s="158"/>
      <c r="BP101" s="159"/>
      <c r="BQ101" s="126">
        <v>1</v>
      </c>
      <c r="BR101" s="160"/>
      <c r="BS101" s="162"/>
      <c r="BT101" s="125"/>
      <c r="BU101" s="158"/>
      <c r="BV101" s="159"/>
      <c r="BW101" s="126"/>
      <c r="BX101" s="160"/>
      <c r="BY101" s="162"/>
      <c r="BZ101" s="133"/>
      <c r="CA101" s="134"/>
      <c r="CB101" s="165"/>
      <c r="CC101" s="170">
        <f t="shared" si="43"/>
        <v>0</v>
      </c>
      <c r="CD101" s="171">
        <f t="shared" si="44"/>
        <v>0</v>
      </c>
      <c r="CE101" s="171">
        <f t="shared" si="45"/>
        <v>0</v>
      </c>
      <c r="CF101" s="171">
        <f t="shared" si="46"/>
        <v>7</v>
      </c>
      <c r="CG101" s="171">
        <f t="shared" si="47"/>
        <v>0</v>
      </c>
      <c r="CH101" s="172">
        <f t="shared" si="48"/>
        <v>0</v>
      </c>
    </row>
    <row r="102" spans="1:86" s="1" customFormat="1" ht="24" customHeight="1" x14ac:dyDescent="0.2">
      <c r="A102" s="238" t="s">
        <v>306</v>
      </c>
      <c r="B102" s="141" t="s">
        <v>306</v>
      </c>
      <c r="C102" s="139" t="s">
        <v>484</v>
      </c>
      <c r="D102" s="141" t="s">
        <v>485</v>
      </c>
      <c r="E102" s="152" t="s">
        <v>297</v>
      </c>
      <c r="F102" s="125"/>
      <c r="G102" s="158"/>
      <c r="H102" s="159"/>
      <c r="I102" s="126"/>
      <c r="J102" s="160"/>
      <c r="K102" s="162"/>
      <c r="L102" s="125"/>
      <c r="M102" s="158"/>
      <c r="N102" s="159"/>
      <c r="O102" s="126"/>
      <c r="P102" s="160"/>
      <c r="Q102" s="162"/>
      <c r="R102" s="125"/>
      <c r="S102" s="158"/>
      <c r="T102" s="159"/>
      <c r="U102" s="126"/>
      <c r="V102" s="160"/>
      <c r="W102" s="162"/>
      <c r="X102" s="125"/>
      <c r="Y102" s="158"/>
      <c r="Z102" s="159"/>
      <c r="AA102" s="126"/>
      <c r="AB102" s="160"/>
      <c r="AC102" s="162"/>
      <c r="AD102" s="125"/>
      <c r="AE102" s="158"/>
      <c r="AF102" s="159"/>
      <c r="AG102" s="126"/>
      <c r="AH102" s="160"/>
      <c r="AI102" s="162"/>
      <c r="AJ102" s="125"/>
      <c r="AK102" s="158"/>
      <c r="AL102" s="159"/>
      <c r="AM102" s="126"/>
      <c r="AN102" s="160"/>
      <c r="AO102" s="162"/>
      <c r="AP102" s="125"/>
      <c r="AQ102" s="158"/>
      <c r="AR102" s="159"/>
      <c r="AS102" s="126"/>
      <c r="AT102" s="160"/>
      <c r="AU102" s="162"/>
      <c r="AV102" s="125"/>
      <c r="AW102" s="158"/>
      <c r="AX102" s="159"/>
      <c r="AY102" s="126"/>
      <c r="AZ102" s="160"/>
      <c r="BA102" s="162"/>
      <c r="BB102" s="125"/>
      <c r="BC102" s="158"/>
      <c r="BD102" s="159"/>
      <c r="BE102" s="126"/>
      <c r="BF102" s="160"/>
      <c r="BG102" s="162"/>
      <c r="BH102" s="125"/>
      <c r="BI102" s="158"/>
      <c r="BJ102" s="159"/>
      <c r="BK102" s="126"/>
      <c r="BL102" s="160"/>
      <c r="BM102" s="162"/>
      <c r="BN102" s="125"/>
      <c r="BO102" s="158"/>
      <c r="BP102" s="159"/>
      <c r="BQ102" s="126"/>
      <c r="BR102" s="160"/>
      <c r="BS102" s="162"/>
      <c r="BT102" s="125"/>
      <c r="BU102" s="158"/>
      <c r="BV102" s="159"/>
      <c r="BW102" s="126"/>
      <c r="BX102" s="160"/>
      <c r="BY102" s="162"/>
      <c r="BZ102" s="133"/>
      <c r="CA102" s="134"/>
      <c r="CB102" s="165"/>
      <c r="CC102" s="170">
        <f t="shared" si="43"/>
        <v>0</v>
      </c>
      <c r="CD102" s="171">
        <f t="shared" si="44"/>
        <v>0</v>
      </c>
      <c r="CE102" s="171">
        <f t="shared" si="45"/>
        <v>0</v>
      </c>
      <c r="CF102" s="171">
        <f t="shared" si="46"/>
        <v>0</v>
      </c>
      <c r="CG102" s="171">
        <f t="shared" si="47"/>
        <v>0</v>
      </c>
      <c r="CH102" s="172">
        <f t="shared" si="48"/>
        <v>0</v>
      </c>
    </row>
    <row r="103" spans="1:86" s="1" customFormat="1" ht="24" customHeight="1" x14ac:dyDescent="0.2">
      <c r="A103" s="142" t="s">
        <v>329</v>
      </c>
      <c r="B103" s="139" t="s">
        <v>33</v>
      </c>
      <c r="C103" s="139" t="s">
        <v>486</v>
      </c>
      <c r="D103" s="139" t="s">
        <v>487</v>
      </c>
      <c r="E103" s="152" t="s">
        <v>418</v>
      </c>
      <c r="F103" s="125"/>
      <c r="G103" s="158"/>
      <c r="H103" s="159"/>
      <c r="I103" s="126">
        <v>1</v>
      </c>
      <c r="J103" s="160"/>
      <c r="K103" s="162"/>
      <c r="L103" s="125"/>
      <c r="M103" s="158"/>
      <c r="N103" s="159"/>
      <c r="O103" s="126">
        <v>1</v>
      </c>
      <c r="P103" s="160"/>
      <c r="Q103" s="162"/>
      <c r="R103" s="125"/>
      <c r="S103" s="158"/>
      <c r="T103" s="159"/>
      <c r="U103" s="126">
        <v>1</v>
      </c>
      <c r="V103" s="160"/>
      <c r="W103" s="162"/>
      <c r="X103" s="125"/>
      <c r="Y103" s="158"/>
      <c r="Z103" s="159"/>
      <c r="AA103" s="126">
        <v>1</v>
      </c>
      <c r="AB103" s="160"/>
      <c r="AC103" s="162"/>
      <c r="AD103" s="125"/>
      <c r="AE103" s="158"/>
      <c r="AF103" s="159"/>
      <c r="AG103" s="126"/>
      <c r="AH103" s="160"/>
      <c r="AI103" s="162"/>
      <c r="AJ103" s="125"/>
      <c r="AK103" s="158"/>
      <c r="AL103" s="159"/>
      <c r="AM103" s="126"/>
      <c r="AN103" s="160"/>
      <c r="AO103" s="162"/>
      <c r="AP103" s="125"/>
      <c r="AQ103" s="158"/>
      <c r="AR103" s="159"/>
      <c r="AS103" s="126">
        <v>1</v>
      </c>
      <c r="AT103" s="160"/>
      <c r="AU103" s="162"/>
      <c r="AV103" s="125"/>
      <c r="AW103" s="158"/>
      <c r="AX103" s="159"/>
      <c r="AY103" s="126"/>
      <c r="AZ103" s="160"/>
      <c r="BA103" s="162"/>
      <c r="BB103" s="125"/>
      <c r="BC103" s="158"/>
      <c r="BD103" s="159"/>
      <c r="BE103" s="126"/>
      <c r="BF103" s="160"/>
      <c r="BG103" s="162"/>
      <c r="BH103" s="125"/>
      <c r="BI103" s="158"/>
      <c r="BJ103" s="159"/>
      <c r="BK103" s="126"/>
      <c r="BL103" s="160"/>
      <c r="BM103" s="162"/>
      <c r="BN103" s="125"/>
      <c r="BO103" s="158"/>
      <c r="BP103" s="159"/>
      <c r="BQ103" s="126"/>
      <c r="BR103" s="160"/>
      <c r="BS103" s="162"/>
      <c r="BT103" s="125"/>
      <c r="BU103" s="158"/>
      <c r="BV103" s="159"/>
      <c r="BW103" s="126"/>
      <c r="BX103" s="160"/>
      <c r="BY103" s="162"/>
      <c r="BZ103" s="133"/>
      <c r="CA103" s="134"/>
      <c r="CB103" s="165"/>
      <c r="CC103" s="170">
        <f t="shared" si="43"/>
        <v>0</v>
      </c>
      <c r="CD103" s="171">
        <f t="shared" si="44"/>
        <v>0</v>
      </c>
      <c r="CE103" s="171">
        <f t="shared" si="45"/>
        <v>0</v>
      </c>
      <c r="CF103" s="171">
        <f t="shared" si="46"/>
        <v>5</v>
      </c>
      <c r="CG103" s="171">
        <f t="shared" si="47"/>
        <v>0</v>
      </c>
      <c r="CH103" s="172">
        <f t="shared" si="48"/>
        <v>0</v>
      </c>
    </row>
    <row r="104" spans="1:86" s="1" customFormat="1" ht="24" customHeight="1" x14ac:dyDescent="0.2">
      <c r="A104" s="238" t="s">
        <v>306</v>
      </c>
      <c r="B104" s="141" t="s">
        <v>306</v>
      </c>
      <c r="C104" s="139" t="s">
        <v>488</v>
      </c>
      <c r="D104" s="139" t="s">
        <v>489</v>
      </c>
      <c r="E104" s="152" t="s">
        <v>297</v>
      </c>
      <c r="F104" s="125"/>
      <c r="G104" s="158">
        <v>1</v>
      </c>
      <c r="H104" s="159"/>
      <c r="I104" s="126"/>
      <c r="J104" s="160"/>
      <c r="K104" s="162"/>
      <c r="L104" s="125"/>
      <c r="M104" s="158"/>
      <c r="N104" s="159"/>
      <c r="O104" s="126"/>
      <c r="P104" s="160"/>
      <c r="Q104" s="162"/>
      <c r="R104" s="125"/>
      <c r="S104" s="158"/>
      <c r="T104" s="159"/>
      <c r="U104" s="126"/>
      <c r="V104" s="160"/>
      <c r="W104" s="162"/>
      <c r="X104" s="125"/>
      <c r="Y104" s="158"/>
      <c r="Z104" s="159"/>
      <c r="AA104" s="126"/>
      <c r="AB104" s="160"/>
      <c r="AC104" s="162"/>
      <c r="AD104" s="125"/>
      <c r="AE104" s="158"/>
      <c r="AF104" s="159"/>
      <c r="AG104" s="126"/>
      <c r="AH104" s="160"/>
      <c r="AI104" s="162"/>
      <c r="AJ104" s="125"/>
      <c r="AK104" s="158"/>
      <c r="AL104" s="159"/>
      <c r="AM104" s="126"/>
      <c r="AN104" s="160"/>
      <c r="AO104" s="162"/>
      <c r="AP104" s="125"/>
      <c r="AQ104" s="158"/>
      <c r="AR104" s="159"/>
      <c r="AS104" s="126"/>
      <c r="AT104" s="160"/>
      <c r="AU104" s="162"/>
      <c r="AV104" s="125"/>
      <c r="AW104" s="158"/>
      <c r="AX104" s="159"/>
      <c r="AY104" s="126"/>
      <c r="AZ104" s="160"/>
      <c r="BA104" s="162"/>
      <c r="BB104" s="125"/>
      <c r="BC104" s="158"/>
      <c r="BD104" s="159"/>
      <c r="BE104" s="126"/>
      <c r="BF104" s="160"/>
      <c r="BG104" s="162"/>
      <c r="BH104" s="125"/>
      <c r="BI104" s="158"/>
      <c r="BJ104" s="159"/>
      <c r="BK104" s="126"/>
      <c r="BL104" s="160"/>
      <c r="BM104" s="162"/>
      <c r="BN104" s="125"/>
      <c r="BO104" s="158"/>
      <c r="BP104" s="159"/>
      <c r="BQ104" s="126"/>
      <c r="BR104" s="160"/>
      <c r="BS104" s="162"/>
      <c r="BT104" s="125"/>
      <c r="BU104" s="158"/>
      <c r="BV104" s="159"/>
      <c r="BW104" s="126"/>
      <c r="BX104" s="160"/>
      <c r="BY104" s="162"/>
      <c r="BZ104" s="191"/>
      <c r="CA104" s="193"/>
      <c r="CB104" s="195"/>
      <c r="CC104" s="170">
        <f t="shared" si="43"/>
        <v>0</v>
      </c>
      <c r="CD104" s="171">
        <f t="shared" si="44"/>
        <v>1</v>
      </c>
      <c r="CE104" s="171">
        <f t="shared" si="45"/>
        <v>0</v>
      </c>
      <c r="CF104" s="171">
        <f t="shared" si="46"/>
        <v>0</v>
      </c>
      <c r="CG104" s="171">
        <f t="shared" si="47"/>
        <v>0</v>
      </c>
      <c r="CH104" s="172">
        <f t="shared" si="48"/>
        <v>0</v>
      </c>
    </row>
    <row r="105" spans="1:86" s="1" customFormat="1" ht="24" customHeight="1" x14ac:dyDescent="0.2">
      <c r="A105" s="142" t="s">
        <v>345</v>
      </c>
      <c r="B105" s="141" t="s">
        <v>33</v>
      </c>
      <c r="C105" s="139" t="s">
        <v>490</v>
      </c>
      <c r="D105" s="139" t="s">
        <v>491</v>
      </c>
      <c r="E105" s="152" t="s">
        <v>294</v>
      </c>
      <c r="F105" s="125"/>
      <c r="G105" s="158">
        <v>2</v>
      </c>
      <c r="H105" s="159"/>
      <c r="I105" s="126"/>
      <c r="J105" s="160"/>
      <c r="K105" s="162"/>
      <c r="L105" s="125"/>
      <c r="M105" s="158">
        <v>1</v>
      </c>
      <c r="N105" s="159">
        <v>1</v>
      </c>
      <c r="O105" s="126"/>
      <c r="P105" s="160"/>
      <c r="Q105" s="162"/>
      <c r="R105" s="125"/>
      <c r="S105" s="158">
        <v>1</v>
      </c>
      <c r="T105" s="159"/>
      <c r="U105" s="126"/>
      <c r="V105" s="160"/>
      <c r="W105" s="162"/>
      <c r="X105" s="125"/>
      <c r="Y105" s="158">
        <v>2</v>
      </c>
      <c r="Z105" s="159"/>
      <c r="AA105" s="126"/>
      <c r="AB105" s="160"/>
      <c r="AC105" s="162"/>
      <c r="AD105" s="125"/>
      <c r="AE105" s="158"/>
      <c r="AF105" s="159"/>
      <c r="AG105" s="126"/>
      <c r="AH105" s="160"/>
      <c r="AI105" s="162"/>
      <c r="AJ105" s="125"/>
      <c r="AK105" s="158">
        <v>2</v>
      </c>
      <c r="AL105" s="159"/>
      <c r="AM105" s="126"/>
      <c r="AN105" s="160"/>
      <c r="AO105" s="162"/>
      <c r="AP105" s="125"/>
      <c r="AQ105" s="158"/>
      <c r="AR105" s="159"/>
      <c r="AS105" s="126"/>
      <c r="AT105" s="160"/>
      <c r="AU105" s="162"/>
      <c r="AV105" s="125"/>
      <c r="AW105" s="158"/>
      <c r="AX105" s="159"/>
      <c r="AY105" s="126"/>
      <c r="AZ105" s="160"/>
      <c r="BA105" s="162"/>
      <c r="BB105" s="125"/>
      <c r="BC105" s="158"/>
      <c r="BD105" s="159"/>
      <c r="BE105" s="126"/>
      <c r="BF105" s="160"/>
      <c r="BG105" s="162"/>
      <c r="BH105" s="125"/>
      <c r="BI105" s="158"/>
      <c r="BJ105" s="159"/>
      <c r="BK105" s="126"/>
      <c r="BL105" s="160"/>
      <c r="BM105" s="162"/>
      <c r="BN105" s="125"/>
      <c r="BO105" s="158"/>
      <c r="BP105" s="159"/>
      <c r="BQ105" s="126"/>
      <c r="BR105" s="160"/>
      <c r="BS105" s="162"/>
      <c r="BT105" s="125"/>
      <c r="BU105" s="158"/>
      <c r="BV105" s="159"/>
      <c r="BW105" s="126"/>
      <c r="BX105" s="160"/>
      <c r="BY105" s="162"/>
      <c r="BZ105" s="191"/>
      <c r="CA105" s="193"/>
      <c r="CB105" s="165"/>
      <c r="CC105" s="170">
        <f t="shared" si="43"/>
        <v>0</v>
      </c>
      <c r="CD105" s="171">
        <f t="shared" si="44"/>
        <v>8</v>
      </c>
      <c r="CE105" s="171">
        <f t="shared" si="45"/>
        <v>1</v>
      </c>
      <c r="CF105" s="171">
        <f t="shared" si="46"/>
        <v>0</v>
      </c>
      <c r="CG105" s="171">
        <f t="shared" si="47"/>
        <v>0</v>
      </c>
      <c r="CH105" s="172">
        <f t="shared" si="48"/>
        <v>0</v>
      </c>
    </row>
    <row r="106" spans="1:86" s="1" customFormat="1" ht="24" customHeight="1" x14ac:dyDescent="0.2">
      <c r="A106" s="174" t="s">
        <v>290</v>
      </c>
      <c r="B106" s="141" t="s">
        <v>291</v>
      </c>
      <c r="C106" s="139" t="s">
        <v>492</v>
      </c>
      <c r="D106" s="139" t="s">
        <v>465</v>
      </c>
      <c r="E106" s="152" t="s">
        <v>302</v>
      </c>
      <c r="F106" s="125"/>
      <c r="G106" s="158">
        <v>1</v>
      </c>
      <c r="H106" s="159"/>
      <c r="I106" s="126"/>
      <c r="J106" s="160"/>
      <c r="K106" s="162"/>
      <c r="L106" s="125"/>
      <c r="M106" s="158"/>
      <c r="N106" s="159"/>
      <c r="O106" s="126"/>
      <c r="P106" s="160"/>
      <c r="Q106" s="162"/>
      <c r="R106" s="125"/>
      <c r="S106" s="158"/>
      <c r="T106" s="159"/>
      <c r="U106" s="126">
        <v>1</v>
      </c>
      <c r="V106" s="160"/>
      <c r="W106" s="162"/>
      <c r="X106" s="125"/>
      <c r="Y106" s="158"/>
      <c r="Z106" s="159">
        <v>1</v>
      </c>
      <c r="AA106" s="126"/>
      <c r="AB106" s="160"/>
      <c r="AC106" s="162"/>
      <c r="AD106" s="125"/>
      <c r="AE106" s="158"/>
      <c r="AF106" s="159"/>
      <c r="AG106" s="126"/>
      <c r="AH106" s="160"/>
      <c r="AI106" s="162"/>
      <c r="AJ106" s="125"/>
      <c r="AK106" s="158">
        <v>2</v>
      </c>
      <c r="AL106" s="159">
        <v>1</v>
      </c>
      <c r="AM106" s="126"/>
      <c r="AN106" s="160"/>
      <c r="AO106" s="162"/>
      <c r="AP106" s="125"/>
      <c r="AQ106" s="158"/>
      <c r="AR106" s="159"/>
      <c r="AS106" s="126"/>
      <c r="AT106" s="160"/>
      <c r="AU106" s="162"/>
      <c r="AV106" s="125"/>
      <c r="AW106" s="158">
        <v>1</v>
      </c>
      <c r="AX106" s="159"/>
      <c r="AY106" s="126"/>
      <c r="AZ106" s="160"/>
      <c r="BA106" s="162"/>
      <c r="BB106" s="125">
        <v>1</v>
      </c>
      <c r="BC106" s="158">
        <v>1</v>
      </c>
      <c r="BD106" s="159">
        <v>1</v>
      </c>
      <c r="BE106" s="126"/>
      <c r="BF106" s="160"/>
      <c r="BG106" s="162"/>
      <c r="BH106" s="125"/>
      <c r="BI106" s="158"/>
      <c r="BJ106" s="159"/>
      <c r="BK106" s="126"/>
      <c r="BL106" s="160"/>
      <c r="BM106" s="162"/>
      <c r="BN106" s="125"/>
      <c r="BO106" s="158">
        <v>1</v>
      </c>
      <c r="BP106" s="159">
        <v>1</v>
      </c>
      <c r="BQ106" s="126"/>
      <c r="BR106" s="160"/>
      <c r="BS106" s="162"/>
      <c r="BT106" s="125"/>
      <c r="BU106" s="158"/>
      <c r="BV106" s="159"/>
      <c r="BW106" s="126"/>
      <c r="BX106" s="160"/>
      <c r="BY106" s="162"/>
      <c r="BZ106" s="133"/>
      <c r="CA106" s="134"/>
      <c r="CB106" s="165"/>
      <c r="CC106" s="170">
        <f t="shared" si="43"/>
        <v>1</v>
      </c>
      <c r="CD106" s="171">
        <f t="shared" si="44"/>
        <v>6</v>
      </c>
      <c r="CE106" s="171">
        <f t="shared" si="45"/>
        <v>4</v>
      </c>
      <c r="CF106" s="171">
        <f t="shared" si="46"/>
        <v>1</v>
      </c>
      <c r="CG106" s="171">
        <f t="shared" si="47"/>
        <v>0</v>
      </c>
      <c r="CH106" s="172">
        <f t="shared" si="48"/>
        <v>0</v>
      </c>
    </row>
    <row r="107" spans="1:86" s="1" customFormat="1" ht="24" customHeight="1" x14ac:dyDescent="0.2">
      <c r="A107" s="176" t="s">
        <v>35</v>
      </c>
      <c r="B107" s="141" t="s">
        <v>33</v>
      </c>
      <c r="C107" s="139" t="s">
        <v>493</v>
      </c>
      <c r="D107" s="139" t="s">
        <v>471</v>
      </c>
      <c r="E107" s="152" t="s">
        <v>294</v>
      </c>
      <c r="F107" s="125"/>
      <c r="G107" s="158">
        <v>1</v>
      </c>
      <c r="H107" s="159"/>
      <c r="I107" s="126"/>
      <c r="J107" s="160"/>
      <c r="K107" s="162"/>
      <c r="L107" s="125"/>
      <c r="M107" s="158">
        <v>1</v>
      </c>
      <c r="N107" s="159"/>
      <c r="O107" s="126"/>
      <c r="P107" s="160"/>
      <c r="Q107" s="162"/>
      <c r="R107" s="125"/>
      <c r="S107" s="158">
        <v>1</v>
      </c>
      <c r="T107" s="159"/>
      <c r="U107" s="126"/>
      <c r="V107" s="160"/>
      <c r="W107" s="162"/>
      <c r="X107" s="125"/>
      <c r="Y107" s="158">
        <v>1</v>
      </c>
      <c r="Z107" s="159"/>
      <c r="AA107" s="126"/>
      <c r="AB107" s="160"/>
      <c r="AC107" s="162"/>
      <c r="AD107" s="125"/>
      <c r="AE107" s="158">
        <v>1</v>
      </c>
      <c r="AF107" s="159"/>
      <c r="AG107" s="126"/>
      <c r="AH107" s="160"/>
      <c r="AI107" s="162"/>
      <c r="AJ107" s="125"/>
      <c r="AK107" s="158">
        <v>1</v>
      </c>
      <c r="AL107" s="159"/>
      <c r="AM107" s="126"/>
      <c r="AN107" s="160"/>
      <c r="AO107" s="162"/>
      <c r="AP107" s="125">
        <v>1</v>
      </c>
      <c r="AQ107" s="158">
        <v>1</v>
      </c>
      <c r="AR107" s="159"/>
      <c r="AS107" s="126"/>
      <c r="AT107" s="160"/>
      <c r="AU107" s="162"/>
      <c r="AV107" s="125"/>
      <c r="AW107" s="158">
        <v>1</v>
      </c>
      <c r="AX107" s="159"/>
      <c r="AY107" s="126"/>
      <c r="AZ107" s="160"/>
      <c r="BA107" s="162"/>
      <c r="BB107" s="125"/>
      <c r="BC107" s="158">
        <v>1</v>
      </c>
      <c r="BD107" s="159"/>
      <c r="BE107" s="126"/>
      <c r="BF107" s="160"/>
      <c r="BG107" s="162"/>
      <c r="BH107" s="125"/>
      <c r="BI107" s="158"/>
      <c r="BJ107" s="159"/>
      <c r="BK107" s="126"/>
      <c r="BL107" s="160"/>
      <c r="BM107" s="162"/>
      <c r="BN107" s="125">
        <v>1</v>
      </c>
      <c r="BO107" s="158">
        <v>1</v>
      </c>
      <c r="BP107" s="159"/>
      <c r="BQ107" s="126"/>
      <c r="BR107" s="160"/>
      <c r="BS107" s="162"/>
      <c r="BT107" s="125">
        <v>1</v>
      </c>
      <c r="BU107" s="158">
        <v>1</v>
      </c>
      <c r="BV107" s="159"/>
      <c r="BW107" s="126"/>
      <c r="BX107" s="160"/>
      <c r="BY107" s="162"/>
      <c r="BZ107" s="133"/>
      <c r="CA107" s="134"/>
      <c r="CB107" s="165"/>
      <c r="CC107" s="170">
        <f t="shared" si="43"/>
        <v>3</v>
      </c>
      <c r="CD107" s="171">
        <f>SUM(G107,M107,S107,Y107,AE107,AK107,AQ107,AW107,BC107,BI107,BO107,BU107)</f>
        <v>11</v>
      </c>
      <c r="CE107" s="171">
        <f t="shared" si="45"/>
        <v>0</v>
      </c>
      <c r="CF107" s="171">
        <f t="shared" si="46"/>
        <v>0</v>
      </c>
      <c r="CG107" s="171">
        <f t="shared" si="47"/>
        <v>0</v>
      </c>
      <c r="CH107" s="172">
        <f t="shared" si="48"/>
        <v>0</v>
      </c>
    </row>
    <row r="108" spans="1:86" s="1" customFormat="1" ht="24" customHeight="1" x14ac:dyDescent="0.2">
      <c r="A108" s="176" t="s">
        <v>35</v>
      </c>
      <c r="B108" s="141" t="s">
        <v>33</v>
      </c>
      <c r="C108" s="139" t="s">
        <v>494</v>
      </c>
      <c r="D108" s="139" t="s">
        <v>495</v>
      </c>
      <c r="E108" s="152" t="s">
        <v>294</v>
      </c>
      <c r="F108" s="125">
        <v>1</v>
      </c>
      <c r="G108" s="158">
        <v>1</v>
      </c>
      <c r="H108" s="159"/>
      <c r="I108" s="126"/>
      <c r="J108" s="160"/>
      <c r="K108" s="162"/>
      <c r="L108" s="125">
        <v>1</v>
      </c>
      <c r="M108" s="158">
        <v>2</v>
      </c>
      <c r="N108" s="159"/>
      <c r="O108" s="126"/>
      <c r="P108" s="160"/>
      <c r="Q108" s="162"/>
      <c r="R108" s="125"/>
      <c r="S108" s="158">
        <v>1</v>
      </c>
      <c r="T108" s="159">
        <v>1</v>
      </c>
      <c r="U108" s="126"/>
      <c r="V108" s="160"/>
      <c r="W108" s="162"/>
      <c r="X108" s="125"/>
      <c r="Y108" s="158">
        <v>1</v>
      </c>
      <c r="Z108" s="159">
        <v>1</v>
      </c>
      <c r="AA108" s="126"/>
      <c r="AB108" s="160"/>
      <c r="AC108" s="162"/>
      <c r="AD108" s="125">
        <v>2</v>
      </c>
      <c r="AE108" s="158">
        <v>1</v>
      </c>
      <c r="AF108" s="159">
        <v>1</v>
      </c>
      <c r="AG108" s="126"/>
      <c r="AH108" s="160"/>
      <c r="AI108" s="162">
        <v>2</v>
      </c>
      <c r="AJ108" s="125">
        <v>1</v>
      </c>
      <c r="AK108" s="158">
        <v>5</v>
      </c>
      <c r="AL108" s="159">
        <v>1</v>
      </c>
      <c r="AM108" s="126"/>
      <c r="AN108" s="160"/>
      <c r="AO108" s="162"/>
      <c r="AP108" s="125">
        <v>1</v>
      </c>
      <c r="AQ108" s="158">
        <v>1</v>
      </c>
      <c r="AR108" s="159"/>
      <c r="AS108" s="126"/>
      <c r="AT108" s="160"/>
      <c r="AU108" s="162"/>
      <c r="AV108" s="125"/>
      <c r="AW108" s="158"/>
      <c r="AX108" s="159"/>
      <c r="AY108" s="126"/>
      <c r="AZ108" s="160"/>
      <c r="BA108" s="162"/>
      <c r="BB108" s="125"/>
      <c r="BC108" s="158">
        <v>1</v>
      </c>
      <c r="BD108" s="159"/>
      <c r="BE108" s="126"/>
      <c r="BF108" s="160"/>
      <c r="BG108" s="162"/>
      <c r="BH108" s="125"/>
      <c r="BI108" s="158">
        <v>1</v>
      </c>
      <c r="BJ108" s="159">
        <v>1</v>
      </c>
      <c r="BK108" s="126"/>
      <c r="BL108" s="160"/>
      <c r="BM108" s="162"/>
      <c r="BN108" s="125"/>
      <c r="BO108" s="158"/>
      <c r="BP108" s="159"/>
      <c r="BQ108" s="126"/>
      <c r="BR108" s="160"/>
      <c r="BS108" s="162"/>
      <c r="BT108" s="125"/>
      <c r="BU108" s="158">
        <v>2</v>
      </c>
      <c r="BV108" s="159"/>
      <c r="BW108" s="126">
        <v>1</v>
      </c>
      <c r="BX108" s="160"/>
      <c r="BY108" s="162"/>
      <c r="BZ108" s="133"/>
      <c r="CA108" s="134"/>
      <c r="CB108" s="165"/>
      <c r="CC108" s="170">
        <f t="shared" si="43"/>
        <v>6</v>
      </c>
      <c r="CD108" s="171">
        <f>SUM(G108,M108,S108,Y108,AE108,AK108,AQ108,AW108,BC108,BI108,BO108,BU108)</f>
        <v>16</v>
      </c>
      <c r="CE108" s="171">
        <f t="shared" si="45"/>
        <v>5</v>
      </c>
      <c r="CF108" s="171">
        <f t="shared" si="46"/>
        <v>1</v>
      </c>
      <c r="CG108" s="171">
        <f t="shared" si="47"/>
        <v>0</v>
      </c>
      <c r="CH108" s="172">
        <f t="shared" si="48"/>
        <v>2</v>
      </c>
    </row>
    <row r="109" spans="1:86" s="1" customFormat="1" ht="24" customHeight="1" x14ac:dyDescent="0.2">
      <c r="A109" s="176" t="s">
        <v>35</v>
      </c>
      <c r="B109" s="141" t="s">
        <v>33</v>
      </c>
      <c r="C109" s="139" t="s">
        <v>496</v>
      </c>
      <c r="D109" s="139" t="s">
        <v>497</v>
      </c>
      <c r="E109" s="152" t="s">
        <v>302</v>
      </c>
      <c r="F109" s="125"/>
      <c r="G109" s="158"/>
      <c r="H109" s="159"/>
      <c r="I109" s="126"/>
      <c r="J109" s="160"/>
      <c r="K109" s="162"/>
      <c r="L109" s="125"/>
      <c r="M109" s="158"/>
      <c r="N109" s="159"/>
      <c r="O109" s="126"/>
      <c r="P109" s="160"/>
      <c r="Q109" s="162"/>
      <c r="R109" s="125"/>
      <c r="S109" s="158"/>
      <c r="T109" s="159"/>
      <c r="U109" s="126"/>
      <c r="V109" s="160"/>
      <c r="W109" s="162"/>
      <c r="X109" s="125"/>
      <c r="Y109" s="158"/>
      <c r="Z109" s="159"/>
      <c r="AA109" s="126"/>
      <c r="AB109" s="160"/>
      <c r="AC109" s="162"/>
      <c r="AD109" s="125"/>
      <c r="AE109" s="158"/>
      <c r="AF109" s="159"/>
      <c r="AG109" s="126"/>
      <c r="AH109" s="160"/>
      <c r="AI109" s="162"/>
      <c r="AJ109" s="125"/>
      <c r="AK109" s="158"/>
      <c r="AL109" s="159"/>
      <c r="AM109" s="126"/>
      <c r="AN109" s="160"/>
      <c r="AO109" s="162"/>
      <c r="AP109" s="125"/>
      <c r="AQ109" s="158"/>
      <c r="AR109" s="159"/>
      <c r="AS109" s="126"/>
      <c r="AT109" s="160"/>
      <c r="AU109" s="162"/>
      <c r="AV109" s="125"/>
      <c r="AW109" s="158"/>
      <c r="AX109" s="159"/>
      <c r="AY109" s="126"/>
      <c r="AZ109" s="160"/>
      <c r="BA109" s="162"/>
      <c r="BB109" s="125"/>
      <c r="BC109" s="158"/>
      <c r="BD109" s="159"/>
      <c r="BE109" s="126"/>
      <c r="BF109" s="160"/>
      <c r="BG109" s="162"/>
      <c r="BH109" s="125"/>
      <c r="BI109" s="158"/>
      <c r="BJ109" s="159"/>
      <c r="BK109" s="126"/>
      <c r="BL109" s="160"/>
      <c r="BM109" s="162"/>
      <c r="BN109" s="125">
        <v>2</v>
      </c>
      <c r="BO109" s="158">
        <v>2</v>
      </c>
      <c r="BP109" s="159">
        <v>1</v>
      </c>
      <c r="BQ109" s="126"/>
      <c r="BR109" s="160"/>
      <c r="BS109" s="162"/>
      <c r="BT109" s="125"/>
      <c r="BU109" s="158"/>
      <c r="BV109" s="159"/>
      <c r="BW109" s="126"/>
      <c r="BX109" s="160"/>
      <c r="BY109" s="162"/>
      <c r="BZ109" s="133"/>
      <c r="CA109" s="134"/>
      <c r="CB109" s="165"/>
      <c r="CC109" s="170">
        <f>SUM(F109,L109,R109,X109,AD109,AJ109,AP109,AV109,BB109,BH109,BN109,BT109)</f>
        <v>2</v>
      </c>
      <c r="CD109" s="171">
        <f>SUM(G109,M109,S109,Y109,AE109,AK109,AQ109,AW109,BC109,BI109,BO109,BU109)</f>
        <v>2</v>
      </c>
      <c r="CE109" s="171">
        <f t="shared" ref="CE109:CH110" si="49">SUM(H109,N109,T109,Z109,AF109,AL109,AR109,AX109,BD109,BJ109,BP109,BV109)</f>
        <v>1</v>
      </c>
      <c r="CF109" s="171">
        <f t="shared" si="49"/>
        <v>0</v>
      </c>
      <c r="CG109" s="171">
        <f t="shared" si="49"/>
        <v>0</v>
      </c>
      <c r="CH109" s="172">
        <f t="shared" si="49"/>
        <v>0</v>
      </c>
    </row>
    <row r="110" spans="1:86" s="1" customFormat="1" ht="24" customHeight="1" x14ac:dyDescent="0.2">
      <c r="A110" s="176" t="s">
        <v>35</v>
      </c>
      <c r="B110" s="141" t="s">
        <v>33</v>
      </c>
      <c r="C110" s="139" t="s">
        <v>498</v>
      </c>
      <c r="D110" s="141" t="s">
        <v>499</v>
      </c>
      <c r="E110" s="152" t="s">
        <v>289</v>
      </c>
      <c r="F110" s="456"/>
      <c r="G110" s="457"/>
      <c r="H110" s="458"/>
      <c r="I110" s="458"/>
      <c r="J110" s="458"/>
      <c r="K110" s="459"/>
      <c r="L110" s="456"/>
      <c r="M110" s="457"/>
      <c r="N110" s="458"/>
      <c r="O110" s="458"/>
      <c r="P110" s="458"/>
      <c r="Q110" s="459"/>
      <c r="R110" s="456"/>
      <c r="S110" s="457"/>
      <c r="T110" s="458"/>
      <c r="U110" s="458"/>
      <c r="V110" s="458"/>
      <c r="W110" s="459"/>
      <c r="X110" s="456"/>
      <c r="Y110" s="457"/>
      <c r="Z110" s="458"/>
      <c r="AA110" s="458"/>
      <c r="AB110" s="458"/>
      <c r="AC110" s="459"/>
      <c r="AD110" s="456"/>
      <c r="AE110" s="457"/>
      <c r="AF110" s="458"/>
      <c r="AG110" s="458"/>
      <c r="AH110" s="458"/>
      <c r="AI110" s="459"/>
      <c r="AJ110" s="456"/>
      <c r="AK110" s="457"/>
      <c r="AL110" s="458"/>
      <c r="AM110" s="458"/>
      <c r="AN110" s="458"/>
      <c r="AO110" s="459"/>
      <c r="AP110" s="456"/>
      <c r="AQ110" s="457"/>
      <c r="AR110" s="458"/>
      <c r="AS110" s="458"/>
      <c r="AT110" s="458"/>
      <c r="AU110" s="459"/>
      <c r="AV110" s="456"/>
      <c r="AW110" s="457"/>
      <c r="AX110" s="458"/>
      <c r="AY110" s="458"/>
      <c r="AZ110" s="458"/>
      <c r="BA110" s="459"/>
      <c r="BB110" s="456"/>
      <c r="BC110" s="457"/>
      <c r="BD110" s="458"/>
      <c r="BE110" s="458"/>
      <c r="BF110" s="458"/>
      <c r="BG110" s="459"/>
      <c r="BH110" s="125"/>
      <c r="BI110" s="158">
        <v>1</v>
      </c>
      <c r="BJ110" s="159">
        <v>1</v>
      </c>
      <c r="BK110" s="126"/>
      <c r="BL110" s="160"/>
      <c r="BM110" s="162"/>
      <c r="BN110" s="125">
        <v>1</v>
      </c>
      <c r="BO110" s="158">
        <v>1</v>
      </c>
      <c r="BP110" s="159"/>
      <c r="BQ110" s="126"/>
      <c r="BR110" s="160"/>
      <c r="BS110" s="162"/>
      <c r="BT110" s="125">
        <v>2</v>
      </c>
      <c r="BU110" s="158">
        <v>3</v>
      </c>
      <c r="BV110" s="159"/>
      <c r="BW110" s="126">
        <v>1</v>
      </c>
      <c r="BX110" s="160"/>
      <c r="BY110" s="162"/>
      <c r="BZ110" s="133"/>
      <c r="CA110" s="134"/>
      <c r="CB110" s="165"/>
      <c r="CC110" s="170">
        <f>SUM(F110,L110,R110,X110,AD110,AJ110,AP110,AV110,BB110,BH110,BN110,BT110)</f>
        <v>3</v>
      </c>
      <c r="CD110" s="171">
        <f>SUM(G110,M110,S110,Y110,AE110,AK110,AQ110,AW110,BC110,BI110,BO110,BU110)</f>
        <v>5</v>
      </c>
      <c r="CE110" s="171">
        <f t="shared" si="49"/>
        <v>1</v>
      </c>
      <c r="CF110" s="171">
        <f t="shared" si="49"/>
        <v>1</v>
      </c>
      <c r="CG110" s="171">
        <f t="shared" si="49"/>
        <v>0</v>
      </c>
      <c r="CH110" s="172">
        <f t="shared" si="49"/>
        <v>0</v>
      </c>
    </row>
    <row r="111" spans="1:86" s="1" customFormat="1" ht="24" customHeight="1" x14ac:dyDescent="0.2">
      <c r="A111" s="141" t="s">
        <v>500</v>
      </c>
      <c r="B111" s="141" t="s">
        <v>501</v>
      </c>
      <c r="C111" s="139" t="s">
        <v>502</v>
      </c>
      <c r="D111" s="141" t="s">
        <v>503</v>
      </c>
      <c r="E111" s="152" t="s">
        <v>504</v>
      </c>
      <c r="F111" s="125"/>
      <c r="G111" s="158"/>
      <c r="H111" s="159"/>
      <c r="I111" s="126"/>
      <c r="J111" s="160"/>
      <c r="K111" s="162"/>
      <c r="L111" s="125"/>
      <c r="M111" s="158"/>
      <c r="N111" s="159"/>
      <c r="O111" s="126"/>
      <c r="P111" s="160"/>
      <c r="Q111" s="162"/>
      <c r="R111" s="125"/>
      <c r="S111" s="158"/>
      <c r="T111" s="159"/>
      <c r="U111" s="126"/>
      <c r="V111" s="160"/>
      <c r="W111" s="162"/>
      <c r="X111" s="125"/>
      <c r="Y111" s="158"/>
      <c r="Z111" s="159"/>
      <c r="AA111" s="126"/>
      <c r="AB111" s="160"/>
      <c r="AC111" s="162"/>
      <c r="AD111" s="125"/>
      <c r="AE111" s="158"/>
      <c r="AF111" s="159"/>
      <c r="AG111" s="126"/>
      <c r="AH111" s="160"/>
      <c r="AI111" s="162"/>
      <c r="AJ111" s="125"/>
      <c r="AK111" s="158"/>
      <c r="AL111" s="159"/>
      <c r="AM111" s="126"/>
      <c r="AN111" s="160"/>
      <c r="AO111" s="162"/>
      <c r="AP111" s="125"/>
      <c r="AQ111" s="158"/>
      <c r="AR111" s="159"/>
      <c r="AS111" s="126"/>
      <c r="AT111" s="160"/>
      <c r="AU111" s="162"/>
      <c r="AV111" s="125"/>
      <c r="AW111" s="158"/>
      <c r="AX111" s="159"/>
      <c r="AY111" s="126"/>
      <c r="AZ111" s="160"/>
      <c r="BA111" s="162"/>
      <c r="BB111" s="125"/>
      <c r="BC111" s="158"/>
      <c r="BD111" s="159"/>
      <c r="BE111" s="126"/>
      <c r="BF111" s="160"/>
      <c r="BG111" s="162"/>
      <c r="BH111" s="125"/>
      <c r="BI111" s="158"/>
      <c r="BJ111" s="159"/>
      <c r="BK111" s="126"/>
      <c r="BL111" s="160"/>
      <c r="BM111" s="162"/>
      <c r="BN111" s="125"/>
      <c r="BO111" s="158"/>
      <c r="BP111" s="159"/>
      <c r="BQ111" s="126"/>
      <c r="BR111" s="160"/>
      <c r="BS111" s="162"/>
      <c r="BT111" s="125"/>
      <c r="BU111" s="158"/>
      <c r="BV111" s="159"/>
      <c r="BW111" s="126"/>
      <c r="BX111" s="160"/>
      <c r="BY111" s="162"/>
      <c r="BZ111" s="133"/>
      <c r="CA111" s="134"/>
      <c r="CB111" s="165"/>
      <c r="CC111" s="170">
        <f t="shared" si="43"/>
        <v>0</v>
      </c>
      <c r="CD111" s="171">
        <f t="shared" si="44"/>
        <v>0</v>
      </c>
      <c r="CE111" s="171">
        <f t="shared" si="45"/>
        <v>0</v>
      </c>
      <c r="CF111" s="171">
        <f t="shared" si="46"/>
        <v>0</v>
      </c>
      <c r="CG111" s="171">
        <f t="shared" si="47"/>
        <v>0</v>
      </c>
      <c r="CH111" s="172">
        <f t="shared" si="48"/>
        <v>0</v>
      </c>
    </row>
    <row r="112" spans="1:86" s="1" customFormat="1" ht="24" customHeight="1" x14ac:dyDescent="0.2">
      <c r="A112" s="176" t="s">
        <v>35</v>
      </c>
      <c r="B112" s="141" t="s">
        <v>33</v>
      </c>
      <c r="C112" s="139" t="s">
        <v>505</v>
      </c>
      <c r="D112" s="141" t="s">
        <v>380</v>
      </c>
      <c r="E112" s="152" t="s">
        <v>297</v>
      </c>
      <c r="F112" s="125">
        <v>1</v>
      </c>
      <c r="G112" s="158">
        <v>1</v>
      </c>
      <c r="H112" s="159"/>
      <c r="I112" s="126">
        <v>1</v>
      </c>
      <c r="J112" s="160"/>
      <c r="K112" s="162"/>
      <c r="L112" s="125"/>
      <c r="M112" s="158"/>
      <c r="N112" s="159">
        <v>1</v>
      </c>
      <c r="O112" s="126">
        <v>1</v>
      </c>
      <c r="P112" s="160"/>
      <c r="Q112" s="162">
        <v>1</v>
      </c>
      <c r="R112" s="125">
        <v>1</v>
      </c>
      <c r="S112" s="158">
        <v>1</v>
      </c>
      <c r="T112" s="159">
        <v>1</v>
      </c>
      <c r="U112" s="126">
        <v>2</v>
      </c>
      <c r="V112" s="160"/>
      <c r="W112" s="162"/>
      <c r="X112" s="125"/>
      <c r="Y112" s="158"/>
      <c r="Z112" s="159"/>
      <c r="AA112" s="126">
        <v>1</v>
      </c>
      <c r="AB112" s="160"/>
      <c r="AC112" s="162"/>
      <c r="AD112" s="125">
        <v>2</v>
      </c>
      <c r="AE112" s="158">
        <v>3</v>
      </c>
      <c r="AF112" s="159"/>
      <c r="AG112" s="126"/>
      <c r="AH112" s="160"/>
      <c r="AI112" s="162">
        <v>1</v>
      </c>
      <c r="AJ112" s="125"/>
      <c r="AK112" s="158">
        <v>5</v>
      </c>
      <c r="AL112" s="159">
        <v>1</v>
      </c>
      <c r="AM112" s="126"/>
      <c r="AN112" s="160"/>
      <c r="AO112" s="162"/>
      <c r="AP112" s="125"/>
      <c r="AQ112" s="158">
        <v>1</v>
      </c>
      <c r="AR112" s="159"/>
      <c r="AS112" s="126">
        <v>1</v>
      </c>
      <c r="AT112" s="160">
        <v>1</v>
      </c>
      <c r="AU112" s="162"/>
      <c r="AV112" s="125">
        <v>2</v>
      </c>
      <c r="AW112" s="158">
        <v>6</v>
      </c>
      <c r="AX112" s="159"/>
      <c r="AY112" s="126"/>
      <c r="AZ112" s="160"/>
      <c r="BA112" s="162"/>
      <c r="BB112" s="125">
        <v>6</v>
      </c>
      <c r="BC112" s="158">
        <v>6</v>
      </c>
      <c r="BD112" s="159"/>
      <c r="BE112" s="126">
        <v>1</v>
      </c>
      <c r="BF112" s="160"/>
      <c r="BG112" s="162">
        <v>3</v>
      </c>
      <c r="BH112" s="125">
        <v>1</v>
      </c>
      <c r="BI112" s="158">
        <v>2</v>
      </c>
      <c r="BJ112" s="159"/>
      <c r="BK112" s="126">
        <v>1</v>
      </c>
      <c r="BL112" s="160">
        <v>1</v>
      </c>
      <c r="BM112" s="162">
        <v>2</v>
      </c>
      <c r="BN112" s="125"/>
      <c r="BO112" s="158"/>
      <c r="BP112" s="159"/>
      <c r="BQ112" s="126">
        <v>1</v>
      </c>
      <c r="BR112" s="160"/>
      <c r="BS112" s="162"/>
      <c r="BT112" s="125">
        <v>1</v>
      </c>
      <c r="BU112" s="158">
        <v>1</v>
      </c>
      <c r="BV112" s="159"/>
      <c r="BW112" s="126"/>
      <c r="BX112" s="160"/>
      <c r="BY112" s="162"/>
      <c r="BZ112" s="133"/>
      <c r="CA112" s="134"/>
      <c r="CB112" s="195"/>
      <c r="CC112" s="170">
        <f t="shared" ref="CC112:CH112" si="50">SUM(F112,L112,R112,X112,AD112,AJ112,AP112,AV112,BB112,BH112,BN112,BT112)</f>
        <v>14</v>
      </c>
      <c r="CD112" s="171">
        <f t="shared" si="50"/>
        <v>26</v>
      </c>
      <c r="CE112" s="171">
        <f t="shared" si="50"/>
        <v>3</v>
      </c>
      <c r="CF112" s="171">
        <f t="shared" si="50"/>
        <v>9</v>
      </c>
      <c r="CG112" s="171">
        <f t="shared" si="50"/>
        <v>2</v>
      </c>
      <c r="CH112" s="172">
        <f t="shared" si="50"/>
        <v>7</v>
      </c>
    </row>
    <row r="113" spans="1:86" s="1" customFormat="1" ht="24" customHeight="1" x14ac:dyDescent="0.2">
      <c r="A113" s="142" t="s">
        <v>329</v>
      </c>
      <c r="B113" s="139" t="s">
        <v>86</v>
      </c>
      <c r="C113" s="139" t="s">
        <v>506</v>
      </c>
      <c r="D113" s="139" t="s">
        <v>507</v>
      </c>
      <c r="E113" s="151" t="s">
        <v>297</v>
      </c>
      <c r="F113" s="125"/>
      <c r="G113" s="158"/>
      <c r="H113" s="159"/>
      <c r="I113" s="126"/>
      <c r="J113" s="160"/>
      <c r="K113" s="162"/>
      <c r="L113" s="125"/>
      <c r="M113" s="158"/>
      <c r="N113" s="159"/>
      <c r="O113" s="126"/>
      <c r="P113" s="160"/>
      <c r="Q113" s="162"/>
      <c r="R113" s="125"/>
      <c r="S113" s="158"/>
      <c r="T113" s="159"/>
      <c r="U113" s="126"/>
      <c r="V113" s="160"/>
      <c r="W113" s="162"/>
      <c r="X113" s="125"/>
      <c r="Y113" s="158"/>
      <c r="Z113" s="159"/>
      <c r="AA113" s="126"/>
      <c r="AB113" s="160"/>
      <c r="AC113" s="162"/>
      <c r="AD113" s="125"/>
      <c r="AE113" s="158"/>
      <c r="AF113" s="159"/>
      <c r="AG113" s="126"/>
      <c r="AH113" s="160"/>
      <c r="AI113" s="162"/>
      <c r="AJ113" s="125"/>
      <c r="AK113" s="158"/>
      <c r="AL113" s="159"/>
      <c r="AM113" s="126"/>
      <c r="AN113" s="160"/>
      <c r="AO113" s="162"/>
      <c r="AP113" s="125"/>
      <c r="AQ113" s="158"/>
      <c r="AR113" s="159"/>
      <c r="AS113" s="126"/>
      <c r="AT113" s="160"/>
      <c r="AU113" s="162"/>
      <c r="AV113" s="125"/>
      <c r="AW113" s="158"/>
      <c r="AX113" s="159"/>
      <c r="AY113" s="126"/>
      <c r="AZ113" s="160"/>
      <c r="BA113" s="162"/>
      <c r="BB113" s="125"/>
      <c r="BC113" s="158"/>
      <c r="BD113" s="159"/>
      <c r="BE113" s="126"/>
      <c r="BF113" s="160"/>
      <c r="BG113" s="162"/>
      <c r="BH113" s="125"/>
      <c r="BI113" s="158"/>
      <c r="BJ113" s="159"/>
      <c r="BK113" s="126"/>
      <c r="BL113" s="160"/>
      <c r="BM113" s="162"/>
      <c r="BN113" s="125"/>
      <c r="BO113" s="158"/>
      <c r="BP113" s="159"/>
      <c r="BQ113" s="126"/>
      <c r="BR113" s="160"/>
      <c r="BS113" s="162"/>
      <c r="BT113" s="125"/>
      <c r="BU113" s="158"/>
      <c r="BV113" s="159"/>
      <c r="BW113" s="126"/>
      <c r="BX113" s="160"/>
      <c r="BY113" s="162"/>
      <c r="BZ113" s="133"/>
      <c r="CA113" s="134"/>
      <c r="CB113" s="165"/>
      <c r="CC113" s="170">
        <f t="shared" si="43"/>
        <v>0</v>
      </c>
      <c r="CD113" s="171">
        <f t="shared" si="44"/>
        <v>0</v>
      </c>
      <c r="CE113" s="171">
        <f t="shared" si="45"/>
        <v>0</v>
      </c>
      <c r="CF113" s="171">
        <f t="shared" si="46"/>
        <v>0</v>
      </c>
      <c r="CG113" s="171">
        <f t="shared" si="47"/>
        <v>0</v>
      </c>
      <c r="CH113" s="172">
        <f t="shared" si="48"/>
        <v>0</v>
      </c>
    </row>
    <row r="114" spans="1:86" s="1" customFormat="1" ht="24" customHeight="1" x14ac:dyDescent="0.2">
      <c r="A114" s="142" t="s">
        <v>345</v>
      </c>
      <c r="B114" s="141" t="s">
        <v>33</v>
      </c>
      <c r="C114" s="139" t="s">
        <v>508</v>
      </c>
      <c r="D114" s="141" t="s">
        <v>341</v>
      </c>
      <c r="E114" s="152" t="s">
        <v>294</v>
      </c>
      <c r="F114" s="125"/>
      <c r="G114" s="158">
        <v>2</v>
      </c>
      <c r="H114" s="159"/>
      <c r="I114" s="126"/>
      <c r="J114" s="160"/>
      <c r="K114" s="162"/>
      <c r="L114" s="125"/>
      <c r="M114" s="158">
        <v>1</v>
      </c>
      <c r="N114" s="159">
        <v>1</v>
      </c>
      <c r="O114" s="126"/>
      <c r="P114" s="160"/>
      <c r="Q114" s="162"/>
      <c r="R114" s="125"/>
      <c r="S114" s="158">
        <v>1</v>
      </c>
      <c r="T114" s="159"/>
      <c r="U114" s="126"/>
      <c r="V114" s="160"/>
      <c r="W114" s="162"/>
      <c r="X114" s="125"/>
      <c r="Y114" s="158">
        <v>2</v>
      </c>
      <c r="Z114" s="159"/>
      <c r="AA114" s="126"/>
      <c r="AB114" s="160"/>
      <c r="AC114" s="162"/>
      <c r="AD114" s="125"/>
      <c r="AE114" s="158"/>
      <c r="AF114" s="159"/>
      <c r="AG114" s="126"/>
      <c r="AH114" s="160"/>
      <c r="AI114" s="162"/>
      <c r="AJ114" s="125"/>
      <c r="AK114" s="158">
        <v>2</v>
      </c>
      <c r="AL114" s="159"/>
      <c r="AM114" s="126"/>
      <c r="AN114" s="160"/>
      <c r="AO114" s="162"/>
      <c r="AP114" s="125"/>
      <c r="AQ114" s="158"/>
      <c r="AR114" s="159"/>
      <c r="AS114" s="126"/>
      <c r="AT114" s="160"/>
      <c r="AU114" s="162"/>
      <c r="AV114" s="125"/>
      <c r="AW114" s="158"/>
      <c r="AX114" s="159"/>
      <c r="AY114" s="126"/>
      <c r="AZ114" s="160"/>
      <c r="BA114" s="162"/>
      <c r="BB114" s="125"/>
      <c r="BC114" s="158"/>
      <c r="BD114" s="159"/>
      <c r="BE114" s="126"/>
      <c r="BF114" s="160"/>
      <c r="BG114" s="162"/>
      <c r="BH114" s="125"/>
      <c r="BI114" s="158"/>
      <c r="BJ114" s="159"/>
      <c r="BK114" s="126"/>
      <c r="BL114" s="160"/>
      <c r="BM114" s="162"/>
      <c r="BN114" s="125"/>
      <c r="BO114" s="158"/>
      <c r="BP114" s="159"/>
      <c r="BQ114" s="126"/>
      <c r="BR114" s="160"/>
      <c r="BS114" s="162"/>
      <c r="BT114" s="125"/>
      <c r="BU114" s="158"/>
      <c r="BV114" s="159"/>
      <c r="BW114" s="126"/>
      <c r="BX114" s="160"/>
      <c r="BY114" s="162"/>
      <c r="BZ114" s="133"/>
      <c r="CA114" s="134"/>
      <c r="CB114" s="165"/>
      <c r="CC114" s="170">
        <f t="shared" si="43"/>
        <v>0</v>
      </c>
      <c r="CD114" s="171">
        <f t="shared" si="44"/>
        <v>8</v>
      </c>
      <c r="CE114" s="171">
        <f t="shared" si="45"/>
        <v>1</v>
      </c>
      <c r="CF114" s="171">
        <f t="shared" si="46"/>
        <v>0</v>
      </c>
      <c r="CG114" s="171">
        <f t="shared" si="47"/>
        <v>0</v>
      </c>
      <c r="CH114" s="172">
        <f t="shared" si="48"/>
        <v>0</v>
      </c>
    </row>
    <row r="115" spans="1:86" s="1" customFormat="1" ht="24" customHeight="1" x14ac:dyDescent="0.2">
      <c r="A115" s="239" t="s">
        <v>306</v>
      </c>
      <c r="B115" s="139" t="s">
        <v>306</v>
      </c>
      <c r="C115" s="139" t="s">
        <v>509</v>
      </c>
      <c r="D115" s="141" t="s">
        <v>510</v>
      </c>
      <c r="E115" s="152" t="s">
        <v>302</v>
      </c>
      <c r="F115" s="125"/>
      <c r="G115" s="158">
        <v>1</v>
      </c>
      <c r="H115" s="159"/>
      <c r="I115" s="126"/>
      <c r="J115" s="160"/>
      <c r="K115" s="162"/>
      <c r="L115" s="125"/>
      <c r="M115" s="158"/>
      <c r="N115" s="159"/>
      <c r="O115" s="126"/>
      <c r="P115" s="160"/>
      <c r="Q115" s="162"/>
      <c r="R115" s="125"/>
      <c r="S115" s="158"/>
      <c r="T115" s="159"/>
      <c r="U115" s="126"/>
      <c r="V115" s="160"/>
      <c r="W115" s="162"/>
      <c r="X115" s="125"/>
      <c r="Y115" s="158"/>
      <c r="Z115" s="159"/>
      <c r="AA115" s="126"/>
      <c r="AB115" s="160"/>
      <c r="AC115" s="162"/>
      <c r="AD115" s="125"/>
      <c r="AE115" s="158"/>
      <c r="AF115" s="159"/>
      <c r="AG115" s="126"/>
      <c r="AH115" s="160"/>
      <c r="AI115" s="162"/>
      <c r="AJ115" s="125"/>
      <c r="AK115" s="158"/>
      <c r="AL115" s="159"/>
      <c r="AM115" s="126"/>
      <c r="AN115" s="160"/>
      <c r="AO115" s="162"/>
      <c r="AP115" s="125"/>
      <c r="AQ115" s="158"/>
      <c r="AR115" s="159"/>
      <c r="AS115" s="126"/>
      <c r="AT115" s="160"/>
      <c r="AU115" s="162"/>
      <c r="AV115" s="125"/>
      <c r="AW115" s="158"/>
      <c r="AX115" s="159"/>
      <c r="AY115" s="126"/>
      <c r="AZ115" s="160"/>
      <c r="BA115" s="162"/>
      <c r="BB115" s="125"/>
      <c r="BC115" s="158"/>
      <c r="BD115" s="159"/>
      <c r="BE115" s="126"/>
      <c r="BF115" s="160"/>
      <c r="BG115" s="162"/>
      <c r="BH115" s="125"/>
      <c r="BI115" s="158"/>
      <c r="BJ115" s="159"/>
      <c r="BK115" s="126"/>
      <c r="BL115" s="160"/>
      <c r="BM115" s="162"/>
      <c r="BN115" s="125"/>
      <c r="BO115" s="158"/>
      <c r="BP115" s="159"/>
      <c r="BQ115" s="126"/>
      <c r="BR115" s="160"/>
      <c r="BS115" s="162"/>
      <c r="BT115" s="125"/>
      <c r="BU115" s="158"/>
      <c r="BV115" s="159"/>
      <c r="BW115" s="126"/>
      <c r="BX115" s="160"/>
      <c r="BY115" s="162"/>
      <c r="BZ115" s="190"/>
      <c r="CA115" s="192"/>
      <c r="CB115" s="165"/>
      <c r="CC115" s="170">
        <f t="shared" si="43"/>
        <v>0</v>
      </c>
      <c r="CD115" s="171">
        <f t="shared" si="44"/>
        <v>1</v>
      </c>
      <c r="CE115" s="171">
        <f t="shared" si="45"/>
        <v>0</v>
      </c>
      <c r="CF115" s="171">
        <f t="shared" si="46"/>
        <v>0</v>
      </c>
      <c r="CG115" s="171">
        <f t="shared" si="47"/>
        <v>0</v>
      </c>
      <c r="CH115" s="172">
        <f t="shared" si="48"/>
        <v>0</v>
      </c>
    </row>
    <row r="116" spans="1:86" s="1" customFormat="1" ht="24" customHeight="1" x14ac:dyDescent="0.2">
      <c r="A116" s="142" t="s">
        <v>329</v>
      </c>
      <c r="B116" s="139" t="s">
        <v>33</v>
      </c>
      <c r="C116" s="139" t="s">
        <v>511</v>
      </c>
      <c r="D116" s="139" t="s">
        <v>512</v>
      </c>
      <c r="E116" s="151" t="s">
        <v>342</v>
      </c>
      <c r="F116" s="125"/>
      <c r="G116" s="158"/>
      <c r="H116" s="159"/>
      <c r="I116" s="126"/>
      <c r="J116" s="160"/>
      <c r="K116" s="162"/>
      <c r="L116" s="125"/>
      <c r="M116" s="158"/>
      <c r="N116" s="159"/>
      <c r="O116" s="126"/>
      <c r="P116" s="160"/>
      <c r="Q116" s="162"/>
      <c r="R116" s="125"/>
      <c r="S116" s="158"/>
      <c r="T116" s="159"/>
      <c r="U116" s="126"/>
      <c r="V116" s="160"/>
      <c r="W116" s="162"/>
      <c r="X116" s="125"/>
      <c r="Y116" s="158"/>
      <c r="Z116" s="159"/>
      <c r="AA116" s="126"/>
      <c r="AB116" s="160"/>
      <c r="AC116" s="162"/>
      <c r="AD116" s="125"/>
      <c r="AE116" s="158"/>
      <c r="AF116" s="159"/>
      <c r="AG116" s="126"/>
      <c r="AH116" s="160"/>
      <c r="AI116" s="162"/>
      <c r="AJ116" s="125"/>
      <c r="AK116" s="158"/>
      <c r="AL116" s="159"/>
      <c r="AM116" s="126"/>
      <c r="AN116" s="160"/>
      <c r="AO116" s="162"/>
      <c r="AP116" s="125"/>
      <c r="AQ116" s="158"/>
      <c r="AR116" s="159"/>
      <c r="AS116" s="126"/>
      <c r="AT116" s="160"/>
      <c r="AU116" s="162"/>
      <c r="AV116" s="125"/>
      <c r="AW116" s="158"/>
      <c r="AX116" s="159"/>
      <c r="AY116" s="126"/>
      <c r="AZ116" s="160"/>
      <c r="BA116" s="162"/>
      <c r="BB116" s="125"/>
      <c r="BC116" s="158"/>
      <c r="BD116" s="159"/>
      <c r="BE116" s="126"/>
      <c r="BF116" s="160"/>
      <c r="BG116" s="162"/>
      <c r="BH116" s="125"/>
      <c r="BI116" s="158"/>
      <c r="BJ116" s="159"/>
      <c r="BK116" s="126"/>
      <c r="BL116" s="160"/>
      <c r="BM116" s="162"/>
      <c r="BN116" s="125"/>
      <c r="BO116" s="158"/>
      <c r="BP116" s="159"/>
      <c r="BQ116" s="126"/>
      <c r="BR116" s="160"/>
      <c r="BS116" s="162"/>
      <c r="BT116" s="125"/>
      <c r="BU116" s="158"/>
      <c r="BV116" s="159"/>
      <c r="BW116" s="126"/>
      <c r="BX116" s="160"/>
      <c r="BY116" s="162"/>
      <c r="BZ116" s="133"/>
      <c r="CA116" s="134"/>
      <c r="CB116" s="165"/>
      <c r="CC116" s="170">
        <f t="shared" si="43"/>
        <v>0</v>
      </c>
      <c r="CD116" s="171">
        <f t="shared" si="44"/>
        <v>0</v>
      </c>
      <c r="CE116" s="171">
        <f t="shared" si="45"/>
        <v>0</v>
      </c>
      <c r="CF116" s="171">
        <f t="shared" si="46"/>
        <v>0</v>
      </c>
      <c r="CG116" s="171">
        <f t="shared" si="47"/>
        <v>0</v>
      </c>
      <c r="CH116" s="172">
        <f t="shared" si="48"/>
        <v>0</v>
      </c>
    </row>
    <row r="117" spans="1:86" s="1" customFormat="1" ht="24" customHeight="1" x14ac:dyDescent="0.2">
      <c r="A117" s="176" t="s">
        <v>35</v>
      </c>
      <c r="B117" s="141" t="s">
        <v>33</v>
      </c>
      <c r="C117" s="139" t="s">
        <v>513</v>
      </c>
      <c r="D117" s="139" t="s">
        <v>514</v>
      </c>
      <c r="E117" s="151" t="s">
        <v>289</v>
      </c>
      <c r="F117" s="125"/>
      <c r="G117" s="158"/>
      <c r="H117" s="159"/>
      <c r="I117" s="126"/>
      <c r="J117" s="160"/>
      <c r="K117" s="162"/>
      <c r="L117" s="125"/>
      <c r="M117" s="158"/>
      <c r="N117" s="159"/>
      <c r="O117" s="126"/>
      <c r="P117" s="160"/>
      <c r="Q117" s="162"/>
      <c r="R117" s="125"/>
      <c r="S117" s="158"/>
      <c r="T117" s="159"/>
      <c r="U117" s="126"/>
      <c r="V117" s="160"/>
      <c r="W117" s="162"/>
      <c r="X117" s="125"/>
      <c r="Y117" s="158"/>
      <c r="Z117" s="159"/>
      <c r="AA117" s="126"/>
      <c r="AB117" s="160"/>
      <c r="AC117" s="162"/>
      <c r="AD117" s="125"/>
      <c r="AE117" s="158"/>
      <c r="AF117" s="159"/>
      <c r="AG117" s="126"/>
      <c r="AH117" s="160"/>
      <c r="AI117" s="162"/>
      <c r="AJ117" s="125"/>
      <c r="AK117" s="158"/>
      <c r="AL117" s="159"/>
      <c r="AM117" s="126"/>
      <c r="AN117" s="160"/>
      <c r="AO117" s="162"/>
      <c r="AP117" s="125"/>
      <c r="AQ117" s="158"/>
      <c r="AR117" s="159"/>
      <c r="AS117" s="126"/>
      <c r="AT117" s="160"/>
      <c r="AU117" s="162"/>
      <c r="AV117" s="125">
        <v>1</v>
      </c>
      <c r="AW117" s="158">
        <v>2</v>
      </c>
      <c r="AX117" s="159"/>
      <c r="AY117" s="126"/>
      <c r="AZ117" s="160"/>
      <c r="BA117" s="162"/>
      <c r="BB117" s="125"/>
      <c r="BC117" s="158"/>
      <c r="BD117" s="159"/>
      <c r="BE117" s="126"/>
      <c r="BF117" s="160"/>
      <c r="BG117" s="162"/>
      <c r="BH117" s="125"/>
      <c r="BI117" s="158"/>
      <c r="BJ117" s="159"/>
      <c r="BK117" s="126"/>
      <c r="BL117" s="160"/>
      <c r="BM117" s="162"/>
      <c r="BN117" s="125"/>
      <c r="BO117" s="158"/>
      <c r="BP117" s="159"/>
      <c r="BQ117" s="126"/>
      <c r="BR117" s="160"/>
      <c r="BS117" s="162"/>
      <c r="BT117" s="125"/>
      <c r="BU117" s="158"/>
      <c r="BV117" s="159"/>
      <c r="BW117" s="126"/>
      <c r="BX117" s="160"/>
      <c r="BY117" s="162"/>
      <c r="BZ117" s="133"/>
      <c r="CA117" s="134"/>
      <c r="CB117" s="165"/>
      <c r="CC117" s="170">
        <f t="shared" ref="CC117:CH119" si="51">SUM(F117,L117,R117,X117,AD117,AJ117,AP117,AV117,BB117,BH117,BN117,BT117)</f>
        <v>1</v>
      </c>
      <c r="CD117" s="171">
        <f t="shared" si="51"/>
        <v>2</v>
      </c>
      <c r="CE117" s="171">
        <f t="shared" si="51"/>
        <v>0</v>
      </c>
      <c r="CF117" s="171">
        <f t="shared" si="51"/>
        <v>0</v>
      </c>
      <c r="CG117" s="171">
        <f t="shared" si="51"/>
        <v>0</v>
      </c>
      <c r="CH117" s="172">
        <f t="shared" si="51"/>
        <v>0</v>
      </c>
    </row>
    <row r="118" spans="1:86" s="1" customFormat="1" ht="24" customHeight="1" x14ac:dyDescent="0.2">
      <c r="A118" s="176" t="s">
        <v>35</v>
      </c>
      <c r="B118" s="141" t="s">
        <v>33</v>
      </c>
      <c r="C118" s="139" t="s">
        <v>515</v>
      </c>
      <c r="D118" s="139" t="s">
        <v>426</v>
      </c>
      <c r="E118" s="151" t="s">
        <v>294</v>
      </c>
      <c r="F118" s="125"/>
      <c r="G118" s="158"/>
      <c r="H118" s="159"/>
      <c r="I118" s="126"/>
      <c r="J118" s="160"/>
      <c r="K118" s="162"/>
      <c r="L118" s="125"/>
      <c r="M118" s="158"/>
      <c r="N118" s="159"/>
      <c r="O118" s="126"/>
      <c r="P118" s="160"/>
      <c r="Q118" s="162"/>
      <c r="R118" s="125"/>
      <c r="S118" s="158"/>
      <c r="T118" s="159"/>
      <c r="U118" s="126"/>
      <c r="V118" s="160"/>
      <c r="W118" s="162"/>
      <c r="X118" s="125"/>
      <c r="Y118" s="158"/>
      <c r="Z118" s="159"/>
      <c r="AA118" s="126"/>
      <c r="AB118" s="160"/>
      <c r="AC118" s="162"/>
      <c r="AD118" s="125"/>
      <c r="AE118" s="158"/>
      <c r="AF118" s="159"/>
      <c r="AG118" s="126"/>
      <c r="AH118" s="160"/>
      <c r="AI118" s="162"/>
      <c r="AJ118" s="125"/>
      <c r="AK118" s="158"/>
      <c r="AL118" s="159"/>
      <c r="AM118" s="126"/>
      <c r="AN118" s="160"/>
      <c r="AO118" s="162"/>
      <c r="AP118" s="125"/>
      <c r="AQ118" s="158"/>
      <c r="AR118" s="159"/>
      <c r="AS118" s="126"/>
      <c r="AT118" s="160"/>
      <c r="AU118" s="162"/>
      <c r="AV118" s="125"/>
      <c r="AW118" s="158"/>
      <c r="AX118" s="159"/>
      <c r="AY118" s="126"/>
      <c r="AZ118" s="160"/>
      <c r="BA118" s="162"/>
      <c r="BB118" s="125"/>
      <c r="BC118" s="158"/>
      <c r="BD118" s="159"/>
      <c r="BE118" s="126"/>
      <c r="BF118" s="160"/>
      <c r="BG118" s="162"/>
      <c r="BH118" s="456"/>
      <c r="BI118" s="457">
        <v>2</v>
      </c>
      <c r="BJ118" s="458"/>
      <c r="BK118" s="458"/>
      <c r="BL118" s="458"/>
      <c r="BM118" s="459"/>
      <c r="BN118" s="125"/>
      <c r="BO118" s="158"/>
      <c r="BP118" s="159"/>
      <c r="BQ118" s="126"/>
      <c r="BR118" s="160"/>
      <c r="BS118" s="162"/>
      <c r="BT118" s="125">
        <v>1</v>
      </c>
      <c r="BU118" s="158">
        <v>1</v>
      </c>
      <c r="BV118" s="159"/>
      <c r="BW118" s="126"/>
      <c r="BX118" s="160"/>
      <c r="BY118" s="162"/>
      <c r="BZ118" s="133"/>
      <c r="CA118" s="134"/>
      <c r="CB118" s="165"/>
      <c r="CC118" s="170">
        <f t="shared" si="51"/>
        <v>1</v>
      </c>
      <c r="CD118" s="171">
        <f t="shared" si="51"/>
        <v>3</v>
      </c>
      <c r="CE118" s="171">
        <f t="shared" si="51"/>
        <v>0</v>
      </c>
      <c r="CF118" s="171">
        <f t="shared" si="51"/>
        <v>0</v>
      </c>
      <c r="CG118" s="171">
        <f t="shared" si="51"/>
        <v>0</v>
      </c>
      <c r="CH118" s="172">
        <f t="shared" si="51"/>
        <v>0</v>
      </c>
    </row>
    <row r="119" spans="1:86" s="1" customFormat="1" ht="24" customHeight="1" x14ac:dyDescent="0.2">
      <c r="A119" s="176" t="s">
        <v>35</v>
      </c>
      <c r="B119" s="141" t="s">
        <v>33</v>
      </c>
      <c r="C119" s="139" t="s">
        <v>516</v>
      </c>
      <c r="D119" s="139" t="s">
        <v>434</v>
      </c>
      <c r="E119" s="152" t="s">
        <v>294</v>
      </c>
      <c r="F119" s="125">
        <v>1</v>
      </c>
      <c r="G119" s="158">
        <v>1</v>
      </c>
      <c r="H119" s="159"/>
      <c r="I119" s="126"/>
      <c r="J119" s="160"/>
      <c r="K119" s="162"/>
      <c r="L119" s="125"/>
      <c r="M119" s="158">
        <v>1</v>
      </c>
      <c r="N119" s="159">
        <v>1</v>
      </c>
      <c r="O119" s="126"/>
      <c r="P119" s="160"/>
      <c r="Q119" s="162"/>
      <c r="R119" s="125"/>
      <c r="S119" s="158">
        <v>1</v>
      </c>
      <c r="T119" s="159">
        <v>1</v>
      </c>
      <c r="U119" s="126"/>
      <c r="V119" s="160"/>
      <c r="W119" s="162"/>
      <c r="X119" s="125"/>
      <c r="Y119" s="158">
        <v>1</v>
      </c>
      <c r="Z119" s="159">
        <v>1</v>
      </c>
      <c r="AA119" s="126"/>
      <c r="AB119" s="160"/>
      <c r="AC119" s="162"/>
      <c r="AD119" s="125"/>
      <c r="AE119" s="158"/>
      <c r="AF119" s="159"/>
      <c r="AG119" s="126"/>
      <c r="AH119" s="160"/>
      <c r="AI119" s="162"/>
      <c r="AJ119" s="125"/>
      <c r="AK119" s="158">
        <v>3</v>
      </c>
      <c r="AL119" s="159">
        <v>1</v>
      </c>
      <c r="AM119" s="126"/>
      <c r="AN119" s="160"/>
      <c r="AO119" s="162"/>
      <c r="AP119" s="125"/>
      <c r="AQ119" s="158"/>
      <c r="AR119" s="159"/>
      <c r="AS119" s="126"/>
      <c r="AT119" s="160"/>
      <c r="AU119" s="162"/>
      <c r="AV119" s="125"/>
      <c r="AW119" s="158"/>
      <c r="AX119" s="159"/>
      <c r="AY119" s="126"/>
      <c r="AZ119" s="160"/>
      <c r="BA119" s="162"/>
      <c r="BB119" s="125"/>
      <c r="BC119" s="158">
        <v>3</v>
      </c>
      <c r="BD119" s="159"/>
      <c r="BE119" s="126"/>
      <c r="BF119" s="160"/>
      <c r="BG119" s="162"/>
      <c r="BH119" s="125">
        <v>1</v>
      </c>
      <c r="BI119" s="158">
        <v>3</v>
      </c>
      <c r="BJ119" s="159">
        <v>1</v>
      </c>
      <c r="BK119" s="126"/>
      <c r="BL119" s="160">
        <v>1</v>
      </c>
      <c r="BM119" s="162"/>
      <c r="BN119" s="125">
        <v>1</v>
      </c>
      <c r="BO119" s="158">
        <v>1</v>
      </c>
      <c r="BP119" s="159">
        <v>1</v>
      </c>
      <c r="BQ119" s="126"/>
      <c r="BR119" s="160"/>
      <c r="BS119" s="162"/>
      <c r="BT119" s="125"/>
      <c r="BU119" s="158"/>
      <c r="BV119" s="159"/>
      <c r="BW119" s="126"/>
      <c r="BX119" s="160"/>
      <c r="BY119" s="162"/>
      <c r="BZ119" s="133"/>
      <c r="CA119" s="134"/>
      <c r="CB119" s="195"/>
      <c r="CC119" s="170">
        <f t="shared" si="51"/>
        <v>3</v>
      </c>
      <c r="CD119" s="171">
        <f t="shared" si="51"/>
        <v>14</v>
      </c>
      <c r="CE119" s="171">
        <f t="shared" si="51"/>
        <v>6</v>
      </c>
      <c r="CF119" s="171">
        <f t="shared" si="51"/>
        <v>0</v>
      </c>
      <c r="CG119" s="171">
        <f t="shared" si="51"/>
        <v>1</v>
      </c>
      <c r="CH119" s="172">
        <f t="shared" si="51"/>
        <v>0</v>
      </c>
    </row>
    <row r="120" spans="1:86" s="1" customFormat="1" ht="24" customHeight="1" x14ac:dyDescent="0.2">
      <c r="A120" s="142" t="s">
        <v>345</v>
      </c>
      <c r="B120" s="141" t="s">
        <v>348</v>
      </c>
      <c r="C120" s="139" t="s">
        <v>517</v>
      </c>
      <c r="D120" s="141" t="s">
        <v>512</v>
      </c>
      <c r="E120" s="152" t="s">
        <v>294</v>
      </c>
      <c r="F120" s="125"/>
      <c r="G120" s="158"/>
      <c r="H120" s="159"/>
      <c r="I120" s="126"/>
      <c r="J120" s="160"/>
      <c r="K120" s="162"/>
      <c r="L120" s="125"/>
      <c r="M120" s="158">
        <v>1</v>
      </c>
      <c r="N120" s="159">
        <v>1</v>
      </c>
      <c r="O120" s="126"/>
      <c r="P120" s="160"/>
      <c r="Q120" s="162"/>
      <c r="R120" s="125"/>
      <c r="S120" s="158">
        <v>1</v>
      </c>
      <c r="T120" s="159"/>
      <c r="U120" s="126"/>
      <c r="V120" s="160"/>
      <c r="W120" s="162"/>
      <c r="X120" s="125"/>
      <c r="Y120" s="158">
        <v>2</v>
      </c>
      <c r="Z120" s="159"/>
      <c r="AA120" s="126"/>
      <c r="AB120" s="160"/>
      <c r="AC120" s="162"/>
      <c r="AD120" s="125"/>
      <c r="AE120" s="158"/>
      <c r="AF120" s="159"/>
      <c r="AG120" s="126"/>
      <c r="AH120" s="160"/>
      <c r="AI120" s="162"/>
      <c r="AJ120" s="125"/>
      <c r="AK120" s="158">
        <v>2</v>
      </c>
      <c r="AL120" s="159"/>
      <c r="AM120" s="126"/>
      <c r="AN120" s="160"/>
      <c r="AO120" s="162"/>
      <c r="AP120" s="125"/>
      <c r="AQ120" s="158"/>
      <c r="AR120" s="159"/>
      <c r="AS120" s="126"/>
      <c r="AT120" s="160"/>
      <c r="AU120" s="162"/>
      <c r="AV120" s="125"/>
      <c r="AW120" s="158"/>
      <c r="AX120" s="159"/>
      <c r="AY120" s="126"/>
      <c r="AZ120" s="160"/>
      <c r="BA120" s="162"/>
      <c r="BB120" s="125"/>
      <c r="BC120" s="158"/>
      <c r="BD120" s="159"/>
      <c r="BE120" s="126"/>
      <c r="BF120" s="160"/>
      <c r="BG120" s="162"/>
      <c r="BH120" s="125"/>
      <c r="BI120" s="158"/>
      <c r="BJ120" s="159"/>
      <c r="BK120" s="126"/>
      <c r="BL120" s="160"/>
      <c r="BM120" s="162"/>
      <c r="BN120" s="125"/>
      <c r="BO120" s="158"/>
      <c r="BP120" s="159"/>
      <c r="BQ120" s="126"/>
      <c r="BR120" s="160"/>
      <c r="BS120" s="162"/>
      <c r="BT120" s="125"/>
      <c r="BU120" s="158"/>
      <c r="BV120" s="159"/>
      <c r="BW120" s="126"/>
      <c r="BX120" s="160"/>
      <c r="BY120" s="162"/>
      <c r="BZ120" s="133"/>
      <c r="CA120" s="134"/>
      <c r="CB120" s="165"/>
      <c r="CC120" s="170">
        <f t="shared" si="43"/>
        <v>0</v>
      </c>
      <c r="CD120" s="171">
        <f t="shared" si="44"/>
        <v>6</v>
      </c>
      <c r="CE120" s="171">
        <f t="shared" si="45"/>
        <v>1</v>
      </c>
      <c r="CF120" s="171">
        <f t="shared" si="46"/>
        <v>0</v>
      </c>
      <c r="CG120" s="171">
        <f t="shared" si="47"/>
        <v>0</v>
      </c>
      <c r="CH120" s="172">
        <f t="shared" si="48"/>
        <v>0</v>
      </c>
    </row>
    <row r="121" spans="1:86" s="1" customFormat="1" ht="24" customHeight="1" x14ac:dyDescent="0.2">
      <c r="A121" s="238" t="s">
        <v>306</v>
      </c>
      <c r="B121" s="141" t="s">
        <v>306</v>
      </c>
      <c r="C121" s="139" t="s">
        <v>518</v>
      </c>
      <c r="D121" s="141" t="s">
        <v>519</v>
      </c>
      <c r="E121" s="152" t="s">
        <v>289</v>
      </c>
      <c r="F121" s="125"/>
      <c r="G121" s="158">
        <v>1</v>
      </c>
      <c r="H121" s="159"/>
      <c r="I121" s="126"/>
      <c r="J121" s="160"/>
      <c r="K121" s="162"/>
      <c r="L121" s="125"/>
      <c r="M121" s="158"/>
      <c r="N121" s="159"/>
      <c r="O121" s="126"/>
      <c r="P121" s="160"/>
      <c r="Q121" s="162"/>
      <c r="R121" s="125"/>
      <c r="S121" s="158"/>
      <c r="T121" s="159"/>
      <c r="U121" s="126"/>
      <c r="V121" s="160"/>
      <c r="W121" s="162"/>
      <c r="X121" s="125"/>
      <c r="Y121" s="158"/>
      <c r="Z121" s="159"/>
      <c r="AA121" s="126"/>
      <c r="AB121" s="160"/>
      <c r="AC121" s="162"/>
      <c r="AD121" s="125"/>
      <c r="AE121" s="158"/>
      <c r="AF121" s="159"/>
      <c r="AG121" s="126"/>
      <c r="AH121" s="160"/>
      <c r="AI121" s="162"/>
      <c r="AJ121" s="125"/>
      <c r="AK121" s="158"/>
      <c r="AL121" s="159"/>
      <c r="AM121" s="126"/>
      <c r="AN121" s="160"/>
      <c r="AO121" s="162"/>
      <c r="AP121" s="125"/>
      <c r="AQ121" s="158"/>
      <c r="AR121" s="159"/>
      <c r="AS121" s="126"/>
      <c r="AT121" s="160"/>
      <c r="AU121" s="162"/>
      <c r="AV121" s="125"/>
      <c r="AW121" s="158"/>
      <c r="AX121" s="159"/>
      <c r="AY121" s="126"/>
      <c r="AZ121" s="160"/>
      <c r="BA121" s="162"/>
      <c r="BB121" s="125"/>
      <c r="BC121" s="158"/>
      <c r="BD121" s="159"/>
      <c r="BE121" s="126"/>
      <c r="BF121" s="160"/>
      <c r="BG121" s="162"/>
      <c r="BH121" s="125"/>
      <c r="BI121" s="158"/>
      <c r="BJ121" s="159"/>
      <c r="BK121" s="126"/>
      <c r="BL121" s="160"/>
      <c r="BM121" s="162"/>
      <c r="BN121" s="125"/>
      <c r="BO121" s="158"/>
      <c r="BP121" s="159"/>
      <c r="BQ121" s="126"/>
      <c r="BR121" s="160"/>
      <c r="BS121" s="162"/>
      <c r="BT121" s="125"/>
      <c r="BU121" s="158"/>
      <c r="BV121" s="159"/>
      <c r="BW121" s="126"/>
      <c r="BX121" s="160"/>
      <c r="BY121" s="162"/>
      <c r="BZ121" s="190"/>
      <c r="CA121" s="192"/>
      <c r="CB121" s="165"/>
      <c r="CC121" s="170">
        <f t="shared" si="43"/>
        <v>0</v>
      </c>
      <c r="CD121" s="171">
        <f t="shared" si="44"/>
        <v>1</v>
      </c>
      <c r="CE121" s="171">
        <f t="shared" si="45"/>
        <v>0</v>
      </c>
      <c r="CF121" s="171">
        <f t="shared" si="46"/>
        <v>0</v>
      </c>
      <c r="CG121" s="171">
        <f t="shared" si="47"/>
        <v>0</v>
      </c>
      <c r="CH121" s="172">
        <f t="shared" si="48"/>
        <v>0</v>
      </c>
    </row>
    <row r="122" spans="1:86" s="1" customFormat="1" ht="24" customHeight="1" x14ac:dyDescent="0.2">
      <c r="A122" s="176" t="s">
        <v>35</v>
      </c>
      <c r="B122" s="141" t="s">
        <v>33</v>
      </c>
      <c r="C122" s="139" t="s">
        <v>520</v>
      </c>
      <c r="D122" s="141" t="s">
        <v>521</v>
      </c>
      <c r="E122" s="152" t="s">
        <v>297</v>
      </c>
      <c r="F122" s="125"/>
      <c r="G122" s="158">
        <v>2</v>
      </c>
      <c r="H122" s="159"/>
      <c r="I122" s="126">
        <v>1</v>
      </c>
      <c r="J122" s="160"/>
      <c r="K122" s="162"/>
      <c r="L122" s="125"/>
      <c r="M122" s="158">
        <v>1</v>
      </c>
      <c r="N122" s="159"/>
      <c r="O122" s="126">
        <v>1</v>
      </c>
      <c r="P122" s="160"/>
      <c r="Q122" s="162"/>
      <c r="R122" s="125"/>
      <c r="S122" s="158">
        <v>2</v>
      </c>
      <c r="T122" s="159"/>
      <c r="U122" s="126">
        <v>1</v>
      </c>
      <c r="V122" s="160"/>
      <c r="W122" s="162"/>
      <c r="X122" s="125"/>
      <c r="Y122" s="158"/>
      <c r="Z122" s="159"/>
      <c r="AA122" s="126">
        <v>2</v>
      </c>
      <c r="AB122" s="160"/>
      <c r="AC122" s="162"/>
      <c r="AD122" s="125"/>
      <c r="AE122" s="158">
        <v>1</v>
      </c>
      <c r="AF122" s="159"/>
      <c r="AG122" s="126"/>
      <c r="AH122" s="160"/>
      <c r="AI122" s="162"/>
      <c r="AJ122" s="125"/>
      <c r="AK122" s="158">
        <v>3</v>
      </c>
      <c r="AL122" s="159">
        <v>1</v>
      </c>
      <c r="AM122" s="126">
        <v>2</v>
      </c>
      <c r="AN122" s="160"/>
      <c r="AO122" s="162"/>
      <c r="AP122" s="125">
        <v>1</v>
      </c>
      <c r="AQ122" s="158">
        <v>1</v>
      </c>
      <c r="AR122" s="159"/>
      <c r="AS122" s="126">
        <v>1</v>
      </c>
      <c r="AT122" s="160"/>
      <c r="AU122" s="162"/>
      <c r="AV122" s="125"/>
      <c r="AW122" s="158">
        <v>1</v>
      </c>
      <c r="AX122" s="159"/>
      <c r="AY122" s="126">
        <v>1</v>
      </c>
      <c r="AZ122" s="160"/>
      <c r="BA122" s="162"/>
      <c r="BB122" s="125"/>
      <c r="BC122" s="158">
        <v>1</v>
      </c>
      <c r="BD122" s="159"/>
      <c r="BE122" s="126">
        <v>1</v>
      </c>
      <c r="BF122" s="160"/>
      <c r="BG122" s="162"/>
      <c r="BH122" s="125">
        <v>2</v>
      </c>
      <c r="BI122" s="158">
        <v>2</v>
      </c>
      <c r="BJ122" s="159"/>
      <c r="BK122" s="126"/>
      <c r="BL122" s="160">
        <v>1</v>
      </c>
      <c r="BM122" s="162"/>
      <c r="BN122" s="125">
        <v>1</v>
      </c>
      <c r="BO122" s="158">
        <v>1</v>
      </c>
      <c r="BP122" s="159"/>
      <c r="BQ122" s="126"/>
      <c r="BR122" s="160"/>
      <c r="BS122" s="162"/>
      <c r="BT122" s="125">
        <v>1</v>
      </c>
      <c r="BU122" s="158">
        <v>1</v>
      </c>
      <c r="BV122" s="159"/>
      <c r="BW122" s="126">
        <v>1</v>
      </c>
      <c r="BX122" s="160"/>
      <c r="BY122" s="162"/>
      <c r="BZ122" s="133"/>
      <c r="CA122" s="134"/>
      <c r="CB122" s="165"/>
      <c r="CC122" s="170">
        <f t="shared" si="43"/>
        <v>5</v>
      </c>
      <c r="CD122" s="171">
        <f t="shared" si="44"/>
        <v>16</v>
      </c>
      <c r="CE122" s="171">
        <f t="shared" si="45"/>
        <v>1</v>
      </c>
      <c r="CF122" s="171">
        <f t="shared" si="46"/>
        <v>11</v>
      </c>
      <c r="CG122" s="171">
        <f t="shared" si="47"/>
        <v>1</v>
      </c>
      <c r="CH122" s="172">
        <f t="shared" si="48"/>
        <v>0</v>
      </c>
    </row>
    <row r="123" spans="1:86" s="1" customFormat="1" ht="24" customHeight="1" x14ac:dyDescent="0.2">
      <c r="A123" s="176" t="s">
        <v>35</v>
      </c>
      <c r="B123" s="141" t="s">
        <v>33</v>
      </c>
      <c r="C123" s="139" t="s">
        <v>522</v>
      </c>
      <c r="D123" s="139" t="s">
        <v>523</v>
      </c>
      <c r="E123" s="152" t="s">
        <v>294</v>
      </c>
      <c r="F123" s="362"/>
      <c r="G123" s="363"/>
      <c r="H123" s="364"/>
      <c r="I123" s="364"/>
      <c r="J123" s="364"/>
      <c r="K123" s="365"/>
      <c r="L123" s="362"/>
      <c r="M123" s="363"/>
      <c r="N123" s="364"/>
      <c r="O123" s="364"/>
      <c r="P123" s="364"/>
      <c r="Q123" s="365"/>
      <c r="R123" s="362"/>
      <c r="S123" s="363"/>
      <c r="T123" s="364"/>
      <c r="U123" s="364"/>
      <c r="V123" s="364"/>
      <c r="W123" s="365"/>
      <c r="X123" s="362"/>
      <c r="Y123" s="363"/>
      <c r="Z123" s="364"/>
      <c r="AA123" s="364"/>
      <c r="AB123" s="364"/>
      <c r="AC123" s="365"/>
      <c r="AD123" s="362"/>
      <c r="AE123" s="363"/>
      <c r="AF123" s="364"/>
      <c r="AG123" s="364"/>
      <c r="AH123" s="364"/>
      <c r="AI123" s="365"/>
      <c r="AJ123" s="362"/>
      <c r="AK123" s="363">
        <v>3</v>
      </c>
      <c r="AL123" s="364">
        <v>1</v>
      </c>
      <c r="AM123" s="364"/>
      <c r="AN123" s="364"/>
      <c r="AO123" s="365"/>
      <c r="AP123" s="125"/>
      <c r="AQ123" s="158"/>
      <c r="AR123" s="159"/>
      <c r="AS123" s="126"/>
      <c r="AT123" s="160"/>
      <c r="AU123" s="162"/>
      <c r="AV123" s="125"/>
      <c r="AW123" s="158">
        <v>1</v>
      </c>
      <c r="AX123" s="159">
        <v>1</v>
      </c>
      <c r="AY123" s="126"/>
      <c r="AZ123" s="160"/>
      <c r="BA123" s="162"/>
      <c r="BB123" s="125"/>
      <c r="BC123" s="158"/>
      <c r="BD123" s="159"/>
      <c r="BE123" s="126"/>
      <c r="BF123" s="160"/>
      <c r="BG123" s="162"/>
      <c r="BH123" s="125">
        <v>2</v>
      </c>
      <c r="BI123" s="158">
        <v>2</v>
      </c>
      <c r="BJ123" s="159"/>
      <c r="BK123" s="126"/>
      <c r="BL123" s="160"/>
      <c r="BM123" s="162"/>
      <c r="BN123" s="125"/>
      <c r="BO123" s="158"/>
      <c r="BP123" s="159"/>
      <c r="BQ123" s="126"/>
      <c r="BR123" s="160"/>
      <c r="BS123" s="162"/>
      <c r="BT123" s="125"/>
      <c r="BU123" s="158"/>
      <c r="BV123" s="159"/>
      <c r="BW123" s="126"/>
      <c r="BX123" s="160"/>
      <c r="BY123" s="162"/>
      <c r="BZ123" s="133"/>
      <c r="CA123" s="134"/>
      <c r="CB123" s="165"/>
      <c r="CC123" s="170">
        <f t="shared" si="43"/>
        <v>2</v>
      </c>
      <c r="CD123" s="171">
        <f t="shared" si="44"/>
        <v>6</v>
      </c>
      <c r="CE123" s="171">
        <f t="shared" si="45"/>
        <v>2</v>
      </c>
      <c r="CF123" s="171">
        <f t="shared" si="46"/>
        <v>0</v>
      </c>
      <c r="CG123" s="171">
        <f t="shared" si="47"/>
        <v>0</v>
      </c>
      <c r="CH123" s="172">
        <f t="shared" si="48"/>
        <v>0</v>
      </c>
    </row>
    <row r="124" spans="1:86" s="1" customFormat="1" ht="24" customHeight="1" x14ac:dyDescent="0.2">
      <c r="A124" s="141" t="s">
        <v>368</v>
      </c>
      <c r="B124" s="141" t="s">
        <v>33</v>
      </c>
      <c r="C124" s="139" t="s">
        <v>368</v>
      </c>
      <c r="D124" s="141" t="s">
        <v>524</v>
      </c>
      <c r="E124" s="152" t="s">
        <v>525</v>
      </c>
      <c r="F124" s="125"/>
      <c r="G124" s="158">
        <v>2</v>
      </c>
      <c r="H124" s="159"/>
      <c r="I124" s="126"/>
      <c r="J124" s="160"/>
      <c r="K124" s="162"/>
      <c r="L124" s="125"/>
      <c r="M124" s="158">
        <v>1</v>
      </c>
      <c r="N124" s="159">
        <v>1</v>
      </c>
      <c r="O124" s="126"/>
      <c r="P124" s="160"/>
      <c r="Q124" s="162"/>
      <c r="R124" s="125"/>
      <c r="S124" s="158">
        <v>1</v>
      </c>
      <c r="T124" s="159">
        <v>1</v>
      </c>
      <c r="U124" s="126"/>
      <c r="V124" s="160"/>
      <c r="W124" s="162"/>
      <c r="X124" s="125"/>
      <c r="Y124" s="158"/>
      <c r="Z124" s="159"/>
      <c r="AA124" s="126"/>
      <c r="AB124" s="160"/>
      <c r="AC124" s="162"/>
      <c r="AD124" s="125"/>
      <c r="AE124" s="158"/>
      <c r="AF124" s="159"/>
      <c r="AG124" s="126"/>
      <c r="AH124" s="160"/>
      <c r="AI124" s="162"/>
      <c r="AJ124" s="125"/>
      <c r="AK124" s="158"/>
      <c r="AL124" s="159"/>
      <c r="AM124" s="126"/>
      <c r="AN124" s="160"/>
      <c r="AO124" s="162"/>
      <c r="AP124" s="125"/>
      <c r="AQ124" s="158">
        <v>1</v>
      </c>
      <c r="AR124" s="159">
        <v>1</v>
      </c>
      <c r="AS124" s="126"/>
      <c r="AT124" s="160"/>
      <c r="AU124" s="162"/>
      <c r="AV124" s="125"/>
      <c r="AW124" s="158"/>
      <c r="AX124" s="159"/>
      <c r="AY124" s="126"/>
      <c r="AZ124" s="160"/>
      <c r="BA124" s="162"/>
      <c r="BB124" s="125"/>
      <c r="BC124" s="158">
        <v>2</v>
      </c>
      <c r="BD124" s="159"/>
      <c r="BE124" s="126"/>
      <c r="BF124" s="160"/>
      <c r="BG124" s="162"/>
      <c r="BH124" s="125"/>
      <c r="BI124" s="158"/>
      <c r="BJ124" s="159"/>
      <c r="BK124" s="126"/>
      <c r="BL124" s="160"/>
      <c r="BM124" s="162"/>
      <c r="BN124" s="125"/>
      <c r="BO124" s="158">
        <v>7</v>
      </c>
      <c r="BP124" s="159">
        <v>2</v>
      </c>
      <c r="BQ124" s="126"/>
      <c r="BR124" s="160"/>
      <c r="BS124" s="162"/>
      <c r="BT124" s="125"/>
      <c r="BU124" s="158">
        <v>3</v>
      </c>
      <c r="BV124" s="159"/>
      <c r="BW124" s="126"/>
      <c r="BX124" s="160"/>
      <c r="BY124" s="162"/>
      <c r="BZ124" s="135"/>
      <c r="CA124" s="134"/>
      <c r="CB124" s="165"/>
      <c r="CC124" s="170">
        <f t="shared" si="43"/>
        <v>0</v>
      </c>
      <c r="CD124" s="171">
        <f t="shared" si="44"/>
        <v>17</v>
      </c>
      <c r="CE124" s="171">
        <f t="shared" si="45"/>
        <v>5</v>
      </c>
      <c r="CF124" s="171">
        <f t="shared" si="46"/>
        <v>0</v>
      </c>
      <c r="CG124" s="171">
        <f t="shared" si="47"/>
        <v>0</v>
      </c>
      <c r="CH124" s="172">
        <f t="shared" si="48"/>
        <v>0</v>
      </c>
    </row>
    <row r="125" spans="1:86" s="1" customFormat="1" ht="24" customHeight="1" x14ac:dyDescent="0.2">
      <c r="A125" s="239" t="s">
        <v>306</v>
      </c>
      <c r="B125" s="141" t="s">
        <v>306</v>
      </c>
      <c r="C125" s="139" t="s">
        <v>526</v>
      </c>
      <c r="D125" s="141" t="s">
        <v>527</v>
      </c>
      <c r="E125" s="152" t="s">
        <v>407</v>
      </c>
      <c r="F125" s="125"/>
      <c r="G125" s="158"/>
      <c r="H125" s="159"/>
      <c r="I125" s="126"/>
      <c r="J125" s="160"/>
      <c r="K125" s="162"/>
      <c r="L125" s="125"/>
      <c r="M125" s="158"/>
      <c r="N125" s="159"/>
      <c r="O125" s="126"/>
      <c r="P125" s="160"/>
      <c r="Q125" s="162"/>
      <c r="R125" s="125"/>
      <c r="S125" s="158"/>
      <c r="T125" s="159"/>
      <c r="U125" s="126"/>
      <c r="V125" s="160"/>
      <c r="W125" s="162"/>
      <c r="X125" s="125"/>
      <c r="Y125" s="158"/>
      <c r="Z125" s="159"/>
      <c r="AA125" s="126"/>
      <c r="AB125" s="160"/>
      <c r="AC125" s="162"/>
      <c r="AD125" s="125"/>
      <c r="AE125" s="158"/>
      <c r="AF125" s="159"/>
      <c r="AG125" s="126"/>
      <c r="AH125" s="160"/>
      <c r="AI125" s="162"/>
      <c r="AJ125" s="125"/>
      <c r="AK125" s="158"/>
      <c r="AL125" s="159"/>
      <c r="AM125" s="126"/>
      <c r="AN125" s="160"/>
      <c r="AO125" s="162"/>
      <c r="AP125" s="125"/>
      <c r="AQ125" s="158"/>
      <c r="AR125" s="159"/>
      <c r="AS125" s="126"/>
      <c r="AT125" s="160"/>
      <c r="AU125" s="162"/>
      <c r="AV125" s="125"/>
      <c r="AW125" s="158"/>
      <c r="AX125" s="159"/>
      <c r="AY125" s="126"/>
      <c r="AZ125" s="160"/>
      <c r="BA125" s="162"/>
      <c r="BB125" s="125"/>
      <c r="BC125" s="158"/>
      <c r="BD125" s="159"/>
      <c r="BE125" s="126"/>
      <c r="BF125" s="160"/>
      <c r="BG125" s="162"/>
      <c r="BH125" s="125"/>
      <c r="BI125" s="158"/>
      <c r="BJ125" s="159"/>
      <c r="BK125" s="126"/>
      <c r="BL125" s="160"/>
      <c r="BM125" s="162"/>
      <c r="BN125" s="125"/>
      <c r="BO125" s="158"/>
      <c r="BP125" s="159"/>
      <c r="BQ125" s="126"/>
      <c r="BR125" s="160"/>
      <c r="BS125" s="162"/>
      <c r="BT125" s="125"/>
      <c r="BU125" s="158"/>
      <c r="BV125" s="159"/>
      <c r="BW125" s="126"/>
      <c r="BX125" s="160"/>
      <c r="BY125" s="162"/>
      <c r="BZ125" s="133"/>
      <c r="CA125" s="134"/>
      <c r="CB125" s="165"/>
      <c r="CC125" s="170">
        <f t="shared" si="43"/>
        <v>0</v>
      </c>
      <c r="CD125" s="171">
        <f t="shared" si="44"/>
        <v>0</v>
      </c>
      <c r="CE125" s="171">
        <f t="shared" si="45"/>
        <v>0</v>
      </c>
      <c r="CF125" s="171">
        <f t="shared" si="46"/>
        <v>0</v>
      </c>
      <c r="CG125" s="171">
        <f t="shared" si="47"/>
        <v>0</v>
      </c>
      <c r="CH125" s="172">
        <f t="shared" si="48"/>
        <v>0</v>
      </c>
    </row>
    <row r="126" spans="1:86" s="1" customFormat="1" ht="24" customHeight="1" x14ac:dyDescent="0.2">
      <c r="A126" s="176" t="s">
        <v>35</v>
      </c>
      <c r="B126" s="141" t="s">
        <v>33</v>
      </c>
      <c r="C126" s="139" t="s">
        <v>528</v>
      </c>
      <c r="D126" s="141" t="s">
        <v>529</v>
      </c>
      <c r="E126" s="152" t="s">
        <v>297</v>
      </c>
      <c r="F126" s="125">
        <v>1</v>
      </c>
      <c r="G126" s="158">
        <v>1</v>
      </c>
      <c r="H126" s="159"/>
      <c r="I126" s="126"/>
      <c r="J126" s="160"/>
      <c r="K126" s="162"/>
      <c r="L126" s="125"/>
      <c r="M126" s="158">
        <v>1</v>
      </c>
      <c r="N126" s="159"/>
      <c r="O126" s="126"/>
      <c r="P126" s="160"/>
      <c r="Q126" s="162"/>
      <c r="R126" s="125">
        <v>1</v>
      </c>
      <c r="S126" s="158">
        <v>1</v>
      </c>
      <c r="T126" s="159"/>
      <c r="U126" s="126"/>
      <c r="V126" s="160"/>
      <c r="W126" s="162"/>
      <c r="X126" s="125">
        <v>1</v>
      </c>
      <c r="Y126" s="158"/>
      <c r="Z126" s="159"/>
      <c r="AA126" s="126"/>
      <c r="AB126" s="160"/>
      <c r="AC126" s="162"/>
      <c r="AD126" s="125"/>
      <c r="AE126" s="158"/>
      <c r="AF126" s="159"/>
      <c r="AG126" s="126"/>
      <c r="AH126" s="160"/>
      <c r="AI126" s="162"/>
      <c r="AJ126" s="125"/>
      <c r="AK126" s="158">
        <v>1</v>
      </c>
      <c r="AL126" s="159">
        <v>1</v>
      </c>
      <c r="AM126" s="126"/>
      <c r="AN126" s="160"/>
      <c r="AO126" s="162"/>
      <c r="AP126" s="125"/>
      <c r="AQ126" s="158">
        <v>1</v>
      </c>
      <c r="AR126" s="159"/>
      <c r="AS126" s="126"/>
      <c r="AT126" s="160"/>
      <c r="AU126" s="162"/>
      <c r="AV126" s="125"/>
      <c r="AW126" s="158">
        <v>1</v>
      </c>
      <c r="AX126" s="159"/>
      <c r="AY126" s="126"/>
      <c r="AZ126" s="160"/>
      <c r="BA126" s="162"/>
      <c r="BB126" s="125"/>
      <c r="BC126" s="158"/>
      <c r="BD126" s="159"/>
      <c r="BE126" s="126">
        <v>1</v>
      </c>
      <c r="BF126" s="160"/>
      <c r="BG126" s="162"/>
      <c r="BH126" s="125"/>
      <c r="BI126" s="158"/>
      <c r="BJ126" s="159"/>
      <c r="BK126" s="126"/>
      <c r="BL126" s="160"/>
      <c r="BM126" s="162"/>
      <c r="BN126" s="125"/>
      <c r="BO126" s="158"/>
      <c r="BP126" s="159"/>
      <c r="BQ126" s="126"/>
      <c r="BR126" s="160"/>
      <c r="BS126" s="162"/>
      <c r="BT126" s="125"/>
      <c r="BU126" s="158"/>
      <c r="BV126" s="159"/>
      <c r="BW126" s="126"/>
      <c r="BX126" s="160"/>
      <c r="BY126" s="162"/>
      <c r="BZ126" s="133"/>
      <c r="CA126" s="134"/>
      <c r="CB126" s="195"/>
      <c r="CC126" s="170">
        <f t="shared" si="43"/>
        <v>3</v>
      </c>
      <c r="CD126" s="171">
        <f t="shared" si="44"/>
        <v>6</v>
      </c>
      <c r="CE126" s="171">
        <f t="shared" si="45"/>
        <v>1</v>
      </c>
      <c r="CF126" s="171">
        <f t="shared" si="46"/>
        <v>1</v>
      </c>
      <c r="CG126" s="171">
        <f t="shared" si="47"/>
        <v>0</v>
      </c>
      <c r="CH126" s="172">
        <f t="shared" si="48"/>
        <v>0</v>
      </c>
    </row>
    <row r="127" spans="1:86" s="1" customFormat="1" ht="24" customHeight="1" x14ac:dyDescent="0.2">
      <c r="A127" s="259" t="s">
        <v>397</v>
      </c>
      <c r="B127" s="141" t="s">
        <v>33</v>
      </c>
      <c r="C127" s="139" t="s">
        <v>530</v>
      </c>
      <c r="D127" s="141" t="s">
        <v>409</v>
      </c>
      <c r="E127" s="152" t="s">
        <v>302</v>
      </c>
      <c r="F127" s="125"/>
      <c r="G127" s="158"/>
      <c r="H127" s="159"/>
      <c r="I127" s="126"/>
      <c r="J127" s="160"/>
      <c r="K127" s="162"/>
      <c r="L127" s="125"/>
      <c r="M127" s="158"/>
      <c r="N127" s="159"/>
      <c r="O127" s="126"/>
      <c r="P127" s="160"/>
      <c r="Q127" s="162"/>
      <c r="R127" s="125"/>
      <c r="S127" s="158"/>
      <c r="T127" s="159"/>
      <c r="U127" s="126"/>
      <c r="V127" s="160"/>
      <c r="W127" s="162"/>
      <c r="X127" s="125"/>
      <c r="Y127" s="158"/>
      <c r="Z127" s="159"/>
      <c r="AA127" s="126"/>
      <c r="AB127" s="160"/>
      <c r="AC127" s="162"/>
      <c r="AD127" s="125"/>
      <c r="AE127" s="158"/>
      <c r="AF127" s="159"/>
      <c r="AG127" s="126"/>
      <c r="AH127" s="160"/>
      <c r="AI127" s="162"/>
      <c r="AJ127" s="125"/>
      <c r="AK127" s="158"/>
      <c r="AL127" s="159"/>
      <c r="AM127" s="126"/>
      <c r="AN127" s="160"/>
      <c r="AO127" s="162"/>
      <c r="AP127" s="125"/>
      <c r="AQ127" s="158"/>
      <c r="AR127" s="159"/>
      <c r="AS127" s="126"/>
      <c r="AT127" s="160"/>
      <c r="AU127" s="162"/>
      <c r="AV127" s="125"/>
      <c r="AW127" s="158"/>
      <c r="AX127" s="159"/>
      <c r="AY127" s="126"/>
      <c r="AZ127" s="160"/>
      <c r="BA127" s="162"/>
      <c r="BB127" s="125"/>
      <c r="BC127" s="158"/>
      <c r="BD127" s="159"/>
      <c r="BE127" s="126"/>
      <c r="BF127" s="160"/>
      <c r="BG127" s="162"/>
      <c r="BH127" s="125"/>
      <c r="BI127" s="158"/>
      <c r="BJ127" s="159"/>
      <c r="BK127" s="126"/>
      <c r="BL127" s="160"/>
      <c r="BM127" s="162"/>
      <c r="BN127" s="125"/>
      <c r="BO127" s="158"/>
      <c r="BP127" s="159"/>
      <c r="BQ127" s="126"/>
      <c r="BR127" s="160"/>
      <c r="BS127" s="162"/>
      <c r="BT127" s="125"/>
      <c r="BU127" s="158"/>
      <c r="BV127" s="159"/>
      <c r="BW127" s="126"/>
      <c r="BX127" s="160"/>
      <c r="BY127" s="162"/>
      <c r="BZ127" s="135"/>
      <c r="CA127" s="134"/>
      <c r="CB127" s="165"/>
      <c r="CC127" s="170">
        <f t="shared" si="43"/>
        <v>0</v>
      </c>
      <c r="CD127" s="171">
        <f t="shared" si="44"/>
        <v>0</v>
      </c>
      <c r="CE127" s="171">
        <f t="shared" si="45"/>
        <v>0</v>
      </c>
      <c r="CF127" s="171">
        <f t="shared" si="46"/>
        <v>0</v>
      </c>
      <c r="CG127" s="171">
        <f t="shared" si="47"/>
        <v>0</v>
      </c>
      <c r="CH127" s="172">
        <f t="shared" si="48"/>
        <v>0</v>
      </c>
    </row>
    <row r="128" spans="1:86" s="1" customFormat="1" ht="24" customHeight="1" x14ac:dyDescent="0.2">
      <c r="A128" s="142" t="s">
        <v>329</v>
      </c>
      <c r="B128" s="139" t="s">
        <v>33</v>
      </c>
      <c r="C128" s="139" t="s">
        <v>531</v>
      </c>
      <c r="D128" s="139" t="s">
        <v>532</v>
      </c>
      <c r="E128" s="151" t="s">
        <v>297</v>
      </c>
      <c r="F128" s="125"/>
      <c r="G128" s="158"/>
      <c r="H128" s="159"/>
      <c r="I128" s="126">
        <v>1</v>
      </c>
      <c r="J128" s="160"/>
      <c r="K128" s="162"/>
      <c r="L128" s="125"/>
      <c r="M128" s="158"/>
      <c r="N128" s="159"/>
      <c r="O128" s="126">
        <v>1</v>
      </c>
      <c r="P128" s="160"/>
      <c r="Q128" s="162"/>
      <c r="R128" s="125"/>
      <c r="S128" s="158"/>
      <c r="T128" s="159"/>
      <c r="U128" s="126">
        <v>1</v>
      </c>
      <c r="V128" s="160"/>
      <c r="W128" s="162"/>
      <c r="X128" s="125"/>
      <c r="Y128" s="158"/>
      <c r="Z128" s="159"/>
      <c r="AA128" s="367" t="s">
        <v>533</v>
      </c>
      <c r="AB128" s="160"/>
      <c r="AC128" s="162"/>
      <c r="AD128" s="125"/>
      <c r="AE128" s="158"/>
      <c r="AF128" s="159"/>
      <c r="AG128" s="126"/>
      <c r="AH128" s="160"/>
      <c r="AI128" s="162"/>
      <c r="AJ128" s="125"/>
      <c r="AK128" s="158"/>
      <c r="AL128" s="159"/>
      <c r="AM128" s="126"/>
      <c r="AN128" s="160"/>
      <c r="AO128" s="162"/>
      <c r="AP128" s="125"/>
      <c r="AQ128" s="158"/>
      <c r="AR128" s="159"/>
      <c r="AS128" s="126"/>
      <c r="AT128" s="160"/>
      <c r="AU128" s="162"/>
      <c r="AV128" s="125"/>
      <c r="AW128" s="158"/>
      <c r="AX128" s="159"/>
      <c r="AY128" s="126"/>
      <c r="AZ128" s="160"/>
      <c r="BA128" s="162"/>
      <c r="BB128" s="125"/>
      <c r="BC128" s="158"/>
      <c r="BD128" s="159"/>
      <c r="BE128" s="126"/>
      <c r="BF128" s="160"/>
      <c r="BG128" s="162"/>
      <c r="BH128" s="125"/>
      <c r="BI128" s="158"/>
      <c r="BJ128" s="159"/>
      <c r="BK128" s="126"/>
      <c r="BL128" s="160"/>
      <c r="BM128" s="162"/>
      <c r="BN128" s="125"/>
      <c r="BO128" s="158"/>
      <c r="BP128" s="159"/>
      <c r="BQ128" s="126"/>
      <c r="BR128" s="160"/>
      <c r="BS128" s="162"/>
      <c r="BT128" s="125"/>
      <c r="BU128" s="158"/>
      <c r="BV128" s="159"/>
      <c r="BW128" s="126"/>
      <c r="BX128" s="160"/>
      <c r="BY128" s="162"/>
      <c r="BZ128" s="133"/>
      <c r="CA128" s="134"/>
      <c r="CB128" s="165"/>
      <c r="CC128" s="170">
        <f t="shared" ref="CC128:CC135" si="52">SUM(F128,L128,R128,X128,AD128,AJ128,AP128,AV128,BB128,BH128,BN128,BT128)</f>
        <v>0</v>
      </c>
      <c r="CD128" s="171">
        <f t="shared" ref="CD128:CD135" si="53">SUM(G128,M128,S128,Y128,AE128,AK128,AQ128,AW128,BC128,BI128,BO128,BU128)</f>
        <v>0</v>
      </c>
      <c r="CE128" s="171">
        <f t="shared" ref="CE128:CE135" si="54">SUM(H128,N128,T128,Z128,AF128,AL128,AR128,AX128,BD128,BJ128,BP128,BV128)</f>
        <v>0</v>
      </c>
      <c r="CF128" s="171">
        <f t="shared" ref="CF128:CF135" si="55">SUM(I128,O128,U128,AA128,AG128,AM128,AS128,AY128,BE128,BK128,BQ128,BW128)</f>
        <v>3</v>
      </c>
      <c r="CG128" s="171">
        <f t="shared" ref="CG128:CG135" si="56">SUM(J128,P128,V128,AB128,AH128,AN128,AT128,AZ128,BF128,BL128,BR128,BX128)</f>
        <v>0</v>
      </c>
      <c r="CH128" s="172">
        <f t="shared" ref="CH128:CH135" si="57">SUM(K128,Q128,W128,AC128,AI128,AO128,AU128,BA128,BG128,BM128,BS128,BY128)</f>
        <v>0</v>
      </c>
    </row>
    <row r="129" spans="1:86" s="1" customFormat="1" ht="24" customHeight="1" x14ac:dyDescent="0.2">
      <c r="A129" s="238" t="s">
        <v>306</v>
      </c>
      <c r="B129" s="141" t="s">
        <v>306</v>
      </c>
      <c r="C129" s="139" t="s">
        <v>534</v>
      </c>
      <c r="D129" s="141" t="s">
        <v>535</v>
      </c>
      <c r="E129" s="152" t="s">
        <v>297</v>
      </c>
      <c r="F129" s="125"/>
      <c r="G129" s="158"/>
      <c r="H129" s="159"/>
      <c r="I129" s="126"/>
      <c r="J129" s="160"/>
      <c r="K129" s="162"/>
      <c r="L129" s="125"/>
      <c r="M129" s="158"/>
      <c r="N129" s="159"/>
      <c r="O129" s="126"/>
      <c r="P129" s="160"/>
      <c r="Q129" s="162"/>
      <c r="R129" s="125"/>
      <c r="S129" s="158"/>
      <c r="T129" s="159"/>
      <c r="U129" s="126"/>
      <c r="V129" s="160"/>
      <c r="W129" s="162"/>
      <c r="X129" s="125"/>
      <c r="Y129" s="158"/>
      <c r="Z129" s="159"/>
      <c r="AA129" s="126"/>
      <c r="AB129" s="160"/>
      <c r="AC129" s="162"/>
      <c r="AD129" s="125"/>
      <c r="AE129" s="158"/>
      <c r="AF129" s="159"/>
      <c r="AG129" s="126"/>
      <c r="AH129" s="160"/>
      <c r="AI129" s="162"/>
      <c r="AJ129" s="125"/>
      <c r="AK129" s="158"/>
      <c r="AL129" s="159"/>
      <c r="AM129" s="126"/>
      <c r="AN129" s="160"/>
      <c r="AO129" s="162"/>
      <c r="AP129" s="125"/>
      <c r="AQ129" s="158"/>
      <c r="AR129" s="159"/>
      <c r="AS129" s="126"/>
      <c r="AT129" s="160"/>
      <c r="AU129" s="162"/>
      <c r="AV129" s="125"/>
      <c r="AW129" s="158"/>
      <c r="AX129" s="159"/>
      <c r="AY129" s="126"/>
      <c r="AZ129" s="160"/>
      <c r="BA129" s="162"/>
      <c r="BB129" s="125"/>
      <c r="BC129" s="158"/>
      <c r="BD129" s="159"/>
      <c r="BE129" s="126"/>
      <c r="BF129" s="160"/>
      <c r="BG129" s="162"/>
      <c r="BH129" s="125"/>
      <c r="BI129" s="158"/>
      <c r="BJ129" s="159"/>
      <c r="BK129" s="126"/>
      <c r="BL129" s="160"/>
      <c r="BM129" s="162"/>
      <c r="BN129" s="125"/>
      <c r="BO129" s="158"/>
      <c r="BP129" s="159"/>
      <c r="BQ129" s="126"/>
      <c r="BR129" s="160"/>
      <c r="BS129" s="162"/>
      <c r="BT129" s="125"/>
      <c r="BU129" s="158"/>
      <c r="BV129" s="159"/>
      <c r="BW129" s="126"/>
      <c r="BX129" s="160"/>
      <c r="BY129" s="162"/>
      <c r="BZ129" s="133"/>
      <c r="CA129" s="134"/>
      <c r="CB129" s="165"/>
      <c r="CC129" s="170">
        <f t="shared" si="52"/>
        <v>0</v>
      </c>
      <c r="CD129" s="171">
        <f t="shared" si="53"/>
        <v>0</v>
      </c>
      <c r="CE129" s="171">
        <f t="shared" si="54"/>
        <v>0</v>
      </c>
      <c r="CF129" s="171">
        <f t="shared" si="55"/>
        <v>0</v>
      </c>
      <c r="CG129" s="171">
        <f t="shared" si="56"/>
        <v>0</v>
      </c>
      <c r="CH129" s="172">
        <f t="shared" si="57"/>
        <v>0</v>
      </c>
    </row>
    <row r="130" spans="1:86" s="1" customFormat="1" ht="24" customHeight="1" x14ac:dyDescent="0.2">
      <c r="A130" s="174" t="s">
        <v>290</v>
      </c>
      <c r="B130" s="141" t="s">
        <v>291</v>
      </c>
      <c r="C130" s="139" t="s">
        <v>536</v>
      </c>
      <c r="D130" s="185" t="s">
        <v>537</v>
      </c>
      <c r="E130" s="152" t="s">
        <v>294</v>
      </c>
      <c r="F130" s="125"/>
      <c r="G130" s="158">
        <v>1</v>
      </c>
      <c r="H130" s="159"/>
      <c r="I130" s="126"/>
      <c r="J130" s="160"/>
      <c r="K130" s="162"/>
      <c r="L130" s="125"/>
      <c r="M130" s="158"/>
      <c r="N130" s="159">
        <v>1</v>
      </c>
      <c r="O130" s="126"/>
      <c r="P130" s="160"/>
      <c r="Q130" s="162"/>
      <c r="R130" s="125"/>
      <c r="S130" s="158"/>
      <c r="T130" s="159"/>
      <c r="U130" s="126"/>
      <c r="V130" s="160"/>
      <c r="W130" s="162"/>
      <c r="X130" s="125"/>
      <c r="Y130" s="158">
        <v>1</v>
      </c>
      <c r="Z130" s="159">
        <v>1</v>
      </c>
      <c r="AA130" s="126"/>
      <c r="AB130" s="160"/>
      <c r="AC130" s="162"/>
      <c r="AD130" s="125"/>
      <c r="AE130" s="158"/>
      <c r="AF130" s="159">
        <v>1</v>
      </c>
      <c r="AG130" s="126"/>
      <c r="AH130" s="160"/>
      <c r="AI130" s="162"/>
      <c r="AJ130" s="125"/>
      <c r="AK130" s="158">
        <v>1</v>
      </c>
      <c r="AL130" s="159">
        <v>1</v>
      </c>
      <c r="AM130" s="126"/>
      <c r="AN130" s="160"/>
      <c r="AO130" s="162"/>
      <c r="AP130" s="125"/>
      <c r="AQ130" s="158"/>
      <c r="AR130" s="159"/>
      <c r="AS130" s="126"/>
      <c r="AT130" s="160"/>
      <c r="AU130" s="162"/>
      <c r="AV130" s="125"/>
      <c r="AW130" s="158">
        <v>1</v>
      </c>
      <c r="AX130" s="159"/>
      <c r="AY130" s="126"/>
      <c r="AZ130" s="160"/>
      <c r="BA130" s="162"/>
      <c r="BB130" s="125"/>
      <c r="BC130" s="158"/>
      <c r="BD130" s="159">
        <v>1</v>
      </c>
      <c r="BE130" s="126"/>
      <c r="BF130" s="160"/>
      <c r="BG130" s="162"/>
      <c r="BH130" s="125"/>
      <c r="BI130" s="158">
        <v>2</v>
      </c>
      <c r="BJ130" s="159"/>
      <c r="BK130" s="126"/>
      <c r="BL130" s="160"/>
      <c r="BM130" s="162"/>
      <c r="BN130" s="125"/>
      <c r="BO130" s="158"/>
      <c r="BP130" s="159"/>
      <c r="BQ130" s="126"/>
      <c r="BR130" s="160"/>
      <c r="BS130" s="162"/>
      <c r="BT130" s="125"/>
      <c r="BU130" s="158"/>
      <c r="BV130" s="159"/>
      <c r="BW130" s="126"/>
      <c r="BX130" s="160"/>
      <c r="BY130" s="162"/>
      <c r="BZ130" s="133"/>
      <c r="CA130" s="134"/>
      <c r="CB130" s="165"/>
      <c r="CC130" s="170">
        <f t="shared" si="52"/>
        <v>0</v>
      </c>
      <c r="CD130" s="171">
        <f t="shared" si="53"/>
        <v>6</v>
      </c>
      <c r="CE130" s="171">
        <f t="shared" si="54"/>
        <v>5</v>
      </c>
      <c r="CF130" s="171">
        <f t="shared" si="55"/>
        <v>0</v>
      </c>
      <c r="CG130" s="171">
        <f t="shared" si="56"/>
        <v>0</v>
      </c>
      <c r="CH130" s="172">
        <f t="shared" si="57"/>
        <v>0</v>
      </c>
    </row>
    <row r="131" spans="1:86" s="1" customFormat="1" ht="24" customHeight="1" x14ac:dyDescent="0.2">
      <c r="A131" s="240" t="s">
        <v>538</v>
      </c>
      <c r="B131" s="141" t="s">
        <v>291</v>
      </c>
      <c r="C131" s="139" t="s">
        <v>539</v>
      </c>
      <c r="D131" s="141" t="s">
        <v>458</v>
      </c>
      <c r="E131" s="152" t="s">
        <v>302</v>
      </c>
      <c r="F131" s="125"/>
      <c r="G131" s="158"/>
      <c r="H131" s="159"/>
      <c r="I131" s="126"/>
      <c r="J131" s="160"/>
      <c r="K131" s="162"/>
      <c r="L131" s="125"/>
      <c r="M131" s="158"/>
      <c r="N131" s="159"/>
      <c r="O131" s="126"/>
      <c r="P131" s="160"/>
      <c r="Q131" s="162"/>
      <c r="R131" s="125"/>
      <c r="S131" s="158"/>
      <c r="T131" s="159"/>
      <c r="U131" s="126"/>
      <c r="V131" s="160"/>
      <c r="W131" s="162"/>
      <c r="X131" s="125"/>
      <c r="Y131" s="158"/>
      <c r="Z131" s="159"/>
      <c r="AA131" s="126"/>
      <c r="AB131" s="160"/>
      <c r="AC131" s="162"/>
      <c r="AD131" s="125"/>
      <c r="AE131" s="158"/>
      <c r="AF131" s="159"/>
      <c r="AG131" s="126"/>
      <c r="AH131" s="160"/>
      <c r="AI131" s="162"/>
      <c r="AJ131" s="125"/>
      <c r="AK131" s="158"/>
      <c r="AL131" s="159"/>
      <c r="AM131" s="126"/>
      <c r="AN131" s="160"/>
      <c r="AO131" s="162"/>
      <c r="AP131" s="125"/>
      <c r="AQ131" s="158"/>
      <c r="AR131" s="159"/>
      <c r="AS131" s="126"/>
      <c r="AT131" s="160"/>
      <c r="AU131" s="162"/>
      <c r="AV131" s="125"/>
      <c r="AW131" s="158"/>
      <c r="AX131" s="159"/>
      <c r="AY131" s="126"/>
      <c r="AZ131" s="160"/>
      <c r="BA131" s="162"/>
      <c r="BB131" s="125"/>
      <c r="BC131" s="158"/>
      <c r="BD131" s="159"/>
      <c r="BE131" s="126"/>
      <c r="BF131" s="160"/>
      <c r="BG131" s="162"/>
      <c r="BH131" s="125"/>
      <c r="BI131" s="158"/>
      <c r="BJ131" s="159"/>
      <c r="BK131" s="126"/>
      <c r="BL131" s="160"/>
      <c r="BM131" s="162"/>
      <c r="BN131" s="125"/>
      <c r="BO131" s="158"/>
      <c r="BP131" s="159"/>
      <c r="BQ131" s="126"/>
      <c r="BR131" s="160"/>
      <c r="BS131" s="162"/>
      <c r="BT131" s="125"/>
      <c r="BU131" s="158"/>
      <c r="BV131" s="159"/>
      <c r="BW131" s="126"/>
      <c r="BX131" s="160"/>
      <c r="BY131" s="162"/>
      <c r="BZ131" s="133"/>
      <c r="CA131" s="134"/>
      <c r="CB131" s="165"/>
      <c r="CC131" s="170">
        <f t="shared" si="52"/>
        <v>0</v>
      </c>
      <c r="CD131" s="171">
        <f t="shared" si="53"/>
        <v>0</v>
      </c>
      <c r="CE131" s="171">
        <f t="shared" si="54"/>
        <v>0</v>
      </c>
      <c r="CF131" s="171">
        <f t="shared" si="55"/>
        <v>0</v>
      </c>
      <c r="CG131" s="171">
        <f t="shared" si="56"/>
        <v>0</v>
      </c>
      <c r="CH131" s="172">
        <f t="shared" si="57"/>
        <v>0</v>
      </c>
    </row>
    <row r="132" spans="1:86" s="1" customFormat="1" ht="24" customHeight="1" x14ac:dyDescent="0.2">
      <c r="A132" s="142" t="s">
        <v>329</v>
      </c>
      <c r="B132" s="139" t="s">
        <v>469</v>
      </c>
      <c r="C132" s="139" t="s">
        <v>540</v>
      </c>
      <c r="D132" s="139" t="s">
        <v>483</v>
      </c>
      <c r="E132" s="151" t="s">
        <v>289</v>
      </c>
      <c r="F132" s="125"/>
      <c r="G132" s="158"/>
      <c r="H132" s="159"/>
      <c r="I132" s="126">
        <v>1</v>
      </c>
      <c r="J132" s="160"/>
      <c r="K132" s="162"/>
      <c r="L132" s="125"/>
      <c r="M132" s="158"/>
      <c r="N132" s="159"/>
      <c r="O132" s="126"/>
      <c r="P132" s="160"/>
      <c r="Q132" s="162"/>
      <c r="R132" s="125"/>
      <c r="S132" s="158"/>
      <c r="T132" s="159"/>
      <c r="U132" s="126"/>
      <c r="V132" s="160"/>
      <c r="W132" s="162"/>
      <c r="X132" s="125"/>
      <c r="Y132" s="158"/>
      <c r="Z132" s="159"/>
      <c r="AA132" s="126"/>
      <c r="AB132" s="160"/>
      <c r="AC132" s="162"/>
      <c r="AD132" s="125"/>
      <c r="AE132" s="158"/>
      <c r="AF132" s="159"/>
      <c r="AG132" s="126"/>
      <c r="AH132" s="160"/>
      <c r="AI132" s="162"/>
      <c r="AJ132" s="125"/>
      <c r="AK132" s="158"/>
      <c r="AL132" s="159"/>
      <c r="AM132" s="126"/>
      <c r="AN132" s="160"/>
      <c r="AO132" s="162"/>
      <c r="AP132" s="125"/>
      <c r="AQ132" s="158"/>
      <c r="AR132" s="159"/>
      <c r="AS132" s="126"/>
      <c r="AT132" s="160"/>
      <c r="AU132" s="162"/>
      <c r="AV132" s="125"/>
      <c r="AW132" s="158"/>
      <c r="AX132" s="159"/>
      <c r="AY132" s="126"/>
      <c r="AZ132" s="160"/>
      <c r="BA132" s="162"/>
      <c r="BB132" s="125"/>
      <c r="BC132" s="158"/>
      <c r="BD132" s="159"/>
      <c r="BE132" s="126"/>
      <c r="BF132" s="160"/>
      <c r="BG132" s="162"/>
      <c r="BH132" s="125"/>
      <c r="BI132" s="158"/>
      <c r="BJ132" s="159"/>
      <c r="BK132" s="126"/>
      <c r="BL132" s="160"/>
      <c r="BM132" s="162"/>
      <c r="BN132" s="125"/>
      <c r="BO132" s="158"/>
      <c r="BP132" s="159"/>
      <c r="BQ132" s="126"/>
      <c r="BR132" s="160"/>
      <c r="BS132" s="162"/>
      <c r="BT132" s="125"/>
      <c r="BU132" s="158"/>
      <c r="BV132" s="159"/>
      <c r="BW132" s="126"/>
      <c r="BX132" s="160"/>
      <c r="BY132" s="162"/>
      <c r="BZ132" s="133"/>
      <c r="CA132" s="134"/>
      <c r="CB132" s="195"/>
      <c r="CC132" s="170">
        <f t="shared" si="52"/>
        <v>0</v>
      </c>
      <c r="CD132" s="171">
        <f t="shared" si="53"/>
        <v>0</v>
      </c>
      <c r="CE132" s="171">
        <f t="shared" si="54"/>
        <v>0</v>
      </c>
      <c r="CF132" s="171">
        <f t="shared" si="55"/>
        <v>1</v>
      </c>
      <c r="CG132" s="171">
        <f t="shared" si="56"/>
        <v>0</v>
      </c>
      <c r="CH132" s="172">
        <f t="shared" si="57"/>
        <v>0</v>
      </c>
    </row>
    <row r="133" spans="1:86" s="1" customFormat="1" ht="24" customHeight="1" x14ac:dyDescent="0.2">
      <c r="A133" s="176" t="s">
        <v>35</v>
      </c>
      <c r="B133" s="141" t="s">
        <v>33</v>
      </c>
      <c r="C133" s="139" t="s">
        <v>541</v>
      </c>
      <c r="D133" s="139" t="s">
        <v>413</v>
      </c>
      <c r="E133" s="152" t="s">
        <v>294</v>
      </c>
      <c r="F133" s="125"/>
      <c r="G133" s="158">
        <v>1</v>
      </c>
      <c r="H133" s="159"/>
      <c r="I133" s="126"/>
      <c r="J133" s="160"/>
      <c r="K133" s="162"/>
      <c r="L133" s="125">
        <v>1</v>
      </c>
      <c r="M133" s="158">
        <v>1</v>
      </c>
      <c r="N133" s="159">
        <v>1</v>
      </c>
      <c r="O133" s="126"/>
      <c r="P133" s="160"/>
      <c r="Q133" s="162"/>
      <c r="R133" s="125"/>
      <c r="S133" s="158">
        <v>1</v>
      </c>
      <c r="T133" s="159">
        <v>1</v>
      </c>
      <c r="U133" s="126"/>
      <c r="V133" s="160"/>
      <c r="W133" s="162"/>
      <c r="X133" s="125"/>
      <c r="Y133" s="158">
        <v>1</v>
      </c>
      <c r="Z133" s="159">
        <v>1</v>
      </c>
      <c r="AA133" s="126"/>
      <c r="AB133" s="160"/>
      <c r="AC133" s="162"/>
      <c r="AD133" s="125">
        <v>2</v>
      </c>
      <c r="AE133" s="158">
        <v>1</v>
      </c>
      <c r="AF133" s="159">
        <v>1</v>
      </c>
      <c r="AG133" s="126"/>
      <c r="AH133" s="160"/>
      <c r="AI133" s="162"/>
      <c r="AJ133" s="125"/>
      <c r="AK133" s="158">
        <v>3</v>
      </c>
      <c r="AL133" s="159">
        <v>1</v>
      </c>
      <c r="AM133" s="126"/>
      <c r="AN133" s="160"/>
      <c r="AO133" s="162"/>
      <c r="AP133" s="125"/>
      <c r="AQ133" s="158"/>
      <c r="AR133" s="159"/>
      <c r="AS133" s="126"/>
      <c r="AT133" s="160"/>
      <c r="AU133" s="162"/>
      <c r="AV133" s="125"/>
      <c r="AW133" s="158"/>
      <c r="AX133" s="159">
        <v>1</v>
      </c>
      <c r="AY133" s="126"/>
      <c r="AZ133" s="160"/>
      <c r="BA133" s="162"/>
      <c r="BB133" s="125"/>
      <c r="BC133" s="158">
        <v>2</v>
      </c>
      <c r="BD133" s="159"/>
      <c r="BE133" s="126"/>
      <c r="BF133" s="160"/>
      <c r="BG133" s="162"/>
      <c r="BH133" s="125"/>
      <c r="BI133" s="158">
        <v>3</v>
      </c>
      <c r="BJ133" s="159">
        <v>1</v>
      </c>
      <c r="BK133" s="126"/>
      <c r="BL133" s="160"/>
      <c r="BM133" s="162"/>
      <c r="BN133" s="125"/>
      <c r="BO133" s="158"/>
      <c r="BP133" s="159"/>
      <c r="BQ133" s="126"/>
      <c r="BR133" s="160"/>
      <c r="BS133" s="162"/>
      <c r="BT133" s="125"/>
      <c r="BU133" s="158"/>
      <c r="BV133" s="159"/>
      <c r="BW133" s="126"/>
      <c r="BX133" s="160"/>
      <c r="BY133" s="162"/>
      <c r="BZ133" s="133"/>
      <c r="CA133" s="134"/>
      <c r="CB133" s="165"/>
      <c r="CC133" s="170">
        <f t="shared" si="52"/>
        <v>3</v>
      </c>
      <c r="CD133" s="171">
        <f t="shared" si="53"/>
        <v>13</v>
      </c>
      <c r="CE133" s="171">
        <f t="shared" si="54"/>
        <v>7</v>
      </c>
      <c r="CF133" s="171">
        <f t="shared" si="55"/>
        <v>0</v>
      </c>
      <c r="CG133" s="171">
        <f t="shared" si="56"/>
        <v>0</v>
      </c>
      <c r="CH133" s="172">
        <f t="shared" si="57"/>
        <v>0</v>
      </c>
    </row>
    <row r="134" spans="1:86" s="1" customFormat="1" ht="24" customHeight="1" x14ac:dyDescent="0.2">
      <c r="A134" s="239" t="s">
        <v>306</v>
      </c>
      <c r="B134" s="141" t="s">
        <v>306</v>
      </c>
      <c r="C134" s="139" t="s">
        <v>542</v>
      </c>
      <c r="D134" s="141" t="s">
        <v>543</v>
      </c>
      <c r="E134" s="152" t="s">
        <v>294</v>
      </c>
      <c r="F134" s="125"/>
      <c r="G134" s="158">
        <v>1</v>
      </c>
      <c r="H134" s="159"/>
      <c r="I134" s="126"/>
      <c r="J134" s="160"/>
      <c r="K134" s="162"/>
      <c r="L134" s="125"/>
      <c r="M134" s="158"/>
      <c r="N134" s="159"/>
      <c r="O134" s="126"/>
      <c r="P134" s="160"/>
      <c r="Q134" s="162"/>
      <c r="R134" s="125"/>
      <c r="S134" s="158"/>
      <c r="T134" s="159"/>
      <c r="U134" s="126"/>
      <c r="V134" s="160"/>
      <c r="W134" s="162"/>
      <c r="X134" s="125"/>
      <c r="Y134" s="158"/>
      <c r="Z134" s="159"/>
      <c r="AA134" s="126"/>
      <c r="AB134" s="160"/>
      <c r="AC134" s="162"/>
      <c r="AD134" s="125"/>
      <c r="AE134" s="158"/>
      <c r="AF134" s="159"/>
      <c r="AG134" s="126"/>
      <c r="AH134" s="160"/>
      <c r="AI134" s="162"/>
      <c r="AJ134" s="125"/>
      <c r="AK134" s="158"/>
      <c r="AL134" s="159"/>
      <c r="AM134" s="126"/>
      <c r="AN134" s="160"/>
      <c r="AO134" s="162"/>
      <c r="AP134" s="125"/>
      <c r="AQ134" s="158"/>
      <c r="AR134" s="159"/>
      <c r="AS134" s="126"/>
      <c r="AT134" s="160"/>
      <c r="AU134" s="162"/>
      <c r="AV134" s="125"/>
      <c r="AW134" s="158"/>
      <c r="AX134" s="159"/>
      <c r="AY134" s="126"/>
      <c r="AZ134" s="160"/>
      <c r="BA134" s="162"/>
      <c r="BB134" s="125"/>
      <c r="BC134" s="158"/>
      <c r="BD134" s="159"/>
      <c r="BE134" s="126"/>
      <c r="BF134" s="160"/>
      <c r="BG134" s="162"/>
      <c r="BH134" s="125"/>
      <c r="BI134" s="158"/>
      <c r="BJ134" s="159"/>
      <c r="BK134" s="126"/>
      <c r="BL134" s="160"/>
      <c r="BM134" s="162"/>
      <c r="BN134" s="125"/>
      <c r="BO134" s="158"/>
      <c r="BP134" s="159"/>
      <c r="BQ134" s="126"/>
      <c r="BR134" s="160"/>
      <c r="BS134" s="162"/>
      <c r="BT134" s="125"/>
      <c r="BU134" s="158"/>
      <c r="BV134" s="159"/>
      <c r="BW134" s="126"/>
      <c r="BX134" s="160"/>
      <c r="BY134" s="162"/>
      <c r="BZ134" s="133"/>
      <c r="CA134" s="134"/>
      <c r="CB134" s="165"/>
      <c r="CC134" s="170">
        <f t="shared" si="52"/>
        <v>0</v>
      </c>
      <c r="CD134" s="171">
        <f t="shared" si="53"/>
        <v>1</v>
      </c>
      <c r="CE134" s="171">
        <f t="shared" si="54"/>
        <v>0</v>
      </c>
      <c r="CF134" s="171">
        <f t="shared" si="55"/>
        <v>0</v>
      </c>
      <c r="CG134" s="171">
        <f t="shared" si="56"/>
        <v>0</v>
      </c>
      <c r="CH134" s="172">
        <f t="shared" si="57"/>
        <v>0</v>
      </c>
    </row>
    <row r="135" spans="1:86" s="1" customFormat="1" ht="24" customHeight="1" x14ac:dyDescent="0.2">
      <c r="A135" s="174" t="s">
        <v>290</v>
      </c>
      <c r="B135" s="141" t="s">
        <v>291</v>
      </c>
      <c r="C135" s="139" t="s">
        <v>544</v>
      </c>
      <c r="D135" s="141" t="s">
        <v>545</v>
      </c>
      <c r="E135" s="152" t="s">
        <v>294</v>
      </c>
      <c r="F135" s="125"/>
      <c r="G135" s="158"/>
      <c r="H135" s="159"/>
      <c r="I135" s="126"/>
      <c r="J135" s="160"/>
      <c r="K135" s="162"/>
      <c r="L135" s="125"/>
      <c r="M135" s="158">
        <v>1</v>
      </c>
      <c r="N135" s="159"/>
      <c r="O135" s="126"/>
      <c r="P135" s="160"/>
      <c r="Q135" s="162"/>
      <c r="R135" s="125">
        <v>1</v>
      </c>
      <c r="S135" s="158">
        <v>1</v>
      </c>
      <c r="T135" s="159"/>
      <c r="U135" s="126"/>
      <c r="V135" s="160"/>
      <c r="W135" s="162"/>
      <c r="X135" s="125"/>
      <c r="Y135" s="158"/>
      <c r="Z135" s="159"/>
      <c r="AA135" s="126"/>
      <c r="AB135" s="160"/>
      <c r="AC135" s="162"/>
      <c r="AD135" s="125"/>
      <c r="AE135" s="158"/>
      <c r="AF135" s="159"/>
      <c r="AG135" s="126"/>
      <c r="AH135" s="160"/>
      <c r="AI135" s="162"/>
      <c r="AJ135" s="125"/>
      <c r="AK135" s="158"/>
      <c r="AL135" s="159"/>
      <c r="AM135" s="126"/>
      <c r="AN135" s="160"/>
      <c r="AO135" s="162"/>
      <c r="AP135" s="125"/>
      <c r="AQ135" s="158">
        <v>1</v>
      </c>
      <c r="AR135" s="159">
        <v>1</v>
      </c>
      <c r="AS135" s="126"/>
      <c r="AT135" s="160"/>
      <c r="AU135" s="162"/>
      <c r="AV135" s="125"/>
      <c r="AW135" s="158">
        <v>2</v>
      </c>
      <c r="AX135" s="159"/>
      <c r="AY135" s="126"/>
      <c r="AZ135" s="160"/>
      <c r="BA135" s="162"/>
      <c r="BB135" s="125"/>
      <c r="BC135" s="158">
        <v>1</v>
      </c>
      <c r="BD135" s="159"/>
      <c r="BE135" s="126"/>
      <c r="BF135" s="160"/>
      <c r="BG135" s="162"/>
      <c r="BH135" s="125"/>
      <c r="BI135" s="158">
        <v>2</v>
      </c>
      <c r="BJ135" s="159"/>
      <c r="BK135" s="126"/>
      <c r="BL135" s="160"/>
      <c r="BM135" s="162"/>
      <c r="BN135" s="125">
        <v>1</v>
      </c>
      <c r="BO135" s="158">
        <v>2</v>
      </c>
      <c r="BP135" s="159">
        <v>1</v>
      </c>
      <c r="BQ135" s="126"/>
      <c r="BR135" s="160"/>
      <c r="BS135" s="162"/>
      <c r="BT135" s="125"/>
      <c r="BU135" s="158">
        <v>1</v>
      </c>
      <c r="BV135" s="159"/>
      <c r="BW135" s="126"/>
      <c r="BX135" s="160"/>
      <c r="BY135" s="162"/>
      <c r="BZ135" s="133"/>
      <c r="CA135" s="134"/>
      <c r="CB135" s="165"/>
      <c r="CC135" s="170">
        <f t="shared" si="52"/>
        <v>2</v>
      </c>
      <c r="CD135" s="171">
        <f t="shared" si="53"/>
        <v>11</v>
      </c>
      <c r="CE135" s="171">
        <f t="shared" si="54"/>
        <v>2</v>
      </c>
      <c r="CF135" s="171">
        <f t="shared" si="55"/>
        <v>0</v>
      </c>
      <c r="CG135" s="171">
        <f t="shared" si="56"/>
        <v>0</v>
      </c>
      <c r="CH135" s="172">
        <f t="shared" si="57"/>
        <v>0</v>
      </c>
    </row>
    <row r="136" spans="1:86" s="1" customFormat="1" ht="24" customHeight="1" x14ac:dyDescent="0.2">
      <c r="A136" s="142" t="s">
        <v>329</v>
      </c>
      <c r="B136" s="139" t="s">
        <v>33</v>
      </c>
      <c r="C136" s="139" t="s">
        <v>546</v>
      </c>
      <c r="D136" s="139" t="s">
        <v>337</v>
      </c>
      <c r="E136" s="151" t="s">
        <v>289</v>
      </c>
      <c r="F136" s="125"/>
      <c r="G136" s="158">
        <v>1</v>
      </c>
      <c r="H136" s="159"/>
      <c r="I136" s="126"/>
      <c r="J136" s="160"/>
      <c r="K136" s="162"/>
      <c r="L136" s="125"/>
      <c r="M136" s="158">
        <v>1</v>
      </c>
      <c r="N136" s="159">
        <v>1</v>
      </c>
      <c r="O136" s="126"/>
      <c r="P136" s="160"/>
      <c r="Q136" s="162"/>
      <c r="R136" s="125"/>
      <c r="S136" s="158"/>
      <c r="T136" s="159"/>
      <c r="U136" s="126"/>
      <c r="V136" s="160"/>
      <c r="W136" s="162"/>
      <c r="X136" s="125"/>
      <c r="Y136" s="158"/>
      <c r="Z136" s="159"/>
      <c r="AA136" s="126"/>
      <c r="AB136" s="160"/>
      <c r="AC136" s="162"/>
      <c r="AD136" s="125"/>
      <c r="AE136" s="158"/>
      <c r="AF136" s="159"/>
      <c r="AG136" s="126"/>
      <c r="AH136" s="160"/>
      <c r="AI136" s="162"/>
      <c r="AJ136" s="125"/>
      <c r="AK136" s="158"/>
      <c r="AL136" s="159"/>
      <c r="AM136" s="126"/>
      <c r="AN136" s="160"/>
      <c r="AO136" s="162"/>
      <c r="AP136" s="125"/>
      <c r="AQ136" s="158"/>
      <c r="AR136" s="159"/>
      <c r="AS136" s="126"/>
      <c r="AT136" s="160"/>
      <c r="AU136" s="162"/>
      <c r="AV136" s="125"/>
      <c r="AW136" s="158"/>
      <c r="AX136" s="159"/>
      <c r="AY136" s="126"/>
      <c r="AZ136" s="160"/>
      <c r="BA136" s="162"/>
      <c r="BB136" s="125"/>
      <c r="BC136" s="158"/>
      <c r="BD136" s="159"/>
      <c r="BE136" s="126"/>
      <c r="BF136" s="160"/>
      <c r="BG136" s="162"/>
      <c r="BH136" s="125"/>
      <c r="BI136" s="158"/>
      <c r="BJ136" s="159"/>
      <c r="BK136" s="126"/>
      <c r="BL136" s="160"/>
      <c r="BM136" s="162"/>
      <c r="BN136" s="125"/>
      <c r="BO136" s="158"/>
      <c r="BP136" s="159"/>
      <c r="BQ136" s="126"/>
      <c r="BR136" s="160"/>
      <c r="BS136" s="162"/>
      <c r="BT136" s="125"/>
      <c r="BU136" s="158"/>
      <c r="BV136" s="159"/>
      <c r="BW136" s="126"/>
      <c r="BX136" s="160"/>
      <c r="BY136" s="162"/>
      <c r="BZ136" s="133"/>
      <c r="CA136" s="134"/>
      <c r="CB136" s="195"/>
      <c r="CC136" s="170">
        <f t="shared" ref="CC136:CH137" si="58">SUM(F136,L136,R136,X136,AD136,AJ136,AP136,AV136,BB136,BH136,BN136,BT136)</f>
        <v>0</v>
      </c>
      <c r="CD136" s="171">
        <f t="shared" si="58"/>
        <v>2</v>
      </c>
      <c r="CE136" s="171">
        <f t="shared" si="58"/>
        <v>1</v>
      </c>
      <c r="CF136" s="171">
        <f t="shared" si="58"/>
        <v>0</v>
      </c>
      <c r="CG136" s="171">
        <f t="shared" si="58"/>
        <v>0</v>
      </c>
      <c r="CH136" s="172">
        <f t="shared" si="58"/>
        <v>0</v>
      </c>
    </row>
    <row r="137" spans="1:86" s="1" customFormat="1" ht="24" customHeight="1" x14ac:dyDescent="0.2">
      <c r="A137" s="142" t="s">
        <v>329</v>
      </c>
      <c r="B137" s="139" t="s">
        <v>33</v>
      </c>
      <c r="C137" s="139" t="s">
        <v>547</v>
      </c>
      <c r="D137" s="139" t="s">
        <v>350</v>
      </c>
      <c r="E137" s="186" t="s">
        <v>383</v>
      </c>
      <c r="F137" s="125"/>
      <c r="G137" s="158"/>
      <c r="H137" s="159"/>
      <c r="I137" s="126">
        <v>1</v>
      </c>
      <c r="J137" s="160"/>
      <c r="K137" s="162"/>
      <c r="L137" s="125"/>
      <c r="M137" s="158"/>
      <c r="N137" s="159"/>
      <c r="O137" s="126">
        <v>1</v>
      </c>
      <c r="P137" s="160"/>
      <c r="Q137" s="162"/>
      <c r="R137" s="125"/>
      <c r="S137" s="158"/>
      <c r="T137" s="159"/>
      <c r="U137" s="126">
        <v>1</v>
      </c>
      <c r="V137" s="160"/>
      <c r="W137" s="162"/>
      <c r="X137" s="125"/>
      <c r="Y137" s="158"/>
      <c r="Z137" s="159"/>
      <c r="AA137" s="126"/>
      <c r="AB137" s="160"/>
      <c r="AC137" s="162"/>
      <c r="AD137" s="125"/>
      <c r="AE137" s="158"/>
      <c r="AF137" s="159"/>
      <c r="AG137" s="126"/>
      <c r="AH137" s="160"/>
      <c r="AI137" s="162"/>
      <c r="AJ137" s="125"/>
      <c r="AK137" s="158"/>
      <c r="AL137" s="159"/>
      <c r="AM137" s="126"/>
      <c r="AN137" s="160"/>
      <c r="AO137" s="162"/>
      <c r="AP137" s="125"/>
      <c r="AQ137" s="158"/>
      <c r="AR137" s="159"/>
      <c r="AS137" s="126"/>
      <c r="AT137" s="160"/>
      <c r="AU137" s="162"/>
      <c r="AV137" s="125"/>
      <c r="AW137" s="158"/>
      <c r="AX137" s="159"/>
      <c r="AY137" s="126"/>
      <c r="AZ137" s="160"/>
      <c r="BA137" s="162"/>
      <c r="BB137" s="125"/>
      <c r="BC137" s="158"/>
      <c r="BD137" s="159"/>
      <c r="BE137" s="126"/>
      <c r="BF137" s="160"/>
      <c r="BG137" s="162"/>
      <c r="BH137" s="125"/>
      <c r="BI137" s="158"/>
      <c r="BJ137" s="159"/>
      <c r="BK137" s="126"/>
      <c r="BL137" s="160"/>
      <c r="BM137" s="162"/>
      <c r="BN137" s="125"/>
      <c r="BO137" s="158"/>
      <c r="BP137" s="159"/>
      <c r="BQ137" s="126"/>
      <c r="BR137" s="160"/>
      <c r="BS137" s="162"/>
      <c r="BT137" s="125"/>
      <c r="BU137" s="158"/>
      <c r="BV137" s="159"/>
      <c r="BW137" s="126"/>
      <c r="BX137" s="160"/>
      <c r="BY137" s="162"/>
      <c r="BZ137" s="133"/>
      <c r="CA137" s="134"/>
      <c r="CB137" s="165"/>
      <c r="CC137" s="170">
        <f t="shared" si="58"/>
        <v>0</v>
      </c>
      <c r="CD137" s="171">
        <f t="shared" si="58"/>
        <v>0</v>
      </c>
      <c r="CE137" s="171">
        <f t="shared" si="58"/>
        <v>0</v>
      </c>
      <c r="CF137" s="171">
        <f t="shared" si="58"/>
        <v>3</v>
      </c>
      <c r="CG137" s="171">
        <f t="shared" si="58"/>
        <v>0</v>
      </c>
      <c r="CH137" s="172">
        <f t="shared" si="58"/>
        <v>0</v>
      </c>
    </row>
    <row r="138" spans="1:86" s="1" customFormat="1" ht="24" customHeight="1" x14ac:dyDescent="0.2">
      <c r="A138" s="142" t="s">
        <v>329</v>
      </c>
      <c r="B138" s="139" t="s">
        <v>33</v>
      </c>
      <c r="C138" s="139" t="s">
        <v>548</v>
      </c>
      <c r="D138" s="139" t="s">
        <v>549</v>
      </c>
      <c r="E138" s="151" t="s">
        <v>297</v>
      </c>
      <c r="F138" s="125"/>
      <c r="G138" s="158">
        <v>2</v>
      </c>
      <c r="H138" s="159"/>
      <c r="I138" s="126"/>
      <c r="J138" s="160"/>
      <c r="K138" s="162"/>
      <c r="L138" s="125"/>
      <c r="M138" s="158">
        <v>1</v>
      </c>
      <c r="N138" s="159">
        <v>1</v>
      </c>
      <c r="O138" s="126">
        <v>1</v>
      </c>
      <c r="P138" s="160"/>
      <c r="Q138" s="162">
        <v>1</v>
      </c>
      <c r="R138" s="125"/>
      <c r="S138" s="158">
        <v>1</v>
      </c>
      <c r="T138" s="159">
        <v>1</v>
      </c>
      <c r="U138" s="126">
        <v>1</v>
      </c>
      <c r="V138" s="160"/>
      <c r="W138" s="162">
        <v>2</v>
      </c>
      <c r="X138" s="125"/>
      <c r="Y138" s="158">
        <v>4</v>
      </c>
      <c r="Z138" s="159"/>
      <c r="AA138" s="126"/>
      <c r="AB138" s="160"/>
      <c r="AC138" s="162"/>
      <c r="AD138" s="125"/>
      <c r="AE138" s="158">
        <v>1</v>
      </c>
      <c r="AF138" s="159">
        <v>1</v>
      </c>
      <c r="AG138" s="126"/>
      <c r="AH138" s="160"/>
      <c r="AI138" s="162"/>
      <c r="AJ138" s="125"/>
      <c r="AK138" s="158"/>
      <c r="AL138" s="159"/>
      <c r="AM138" s="126"/>
      <c r="AN138" s="160"/>
      <c r="AO138" s="162"/>
      <c r="AP138" s="125"/>
      <c r="AQ138" s="158"/>
      <c r="AR138" s="159"/>
      <c r="AS138" s="126">
        <v>1</v>
      </c>
      <c r="AT138" s="160"/>
      <c r="AU138" s="162"/>
      <c r="AV138" s="125"/>
      <c r="AW138" s="158"/>
      <c r="AX138" s="159"/>
      <c r="AY138" s="126"/>
      <c r="AZ138" s="160"/>
      <c r="BA138" s="162"/>
      <c r="BB138" s="125"/>
      <c r="BC138" s="158"/>
      <c r="BD138" s="159"/>
      <c r="BE138" s="126"/>
      <c r="BF138" s="160"/>
      <c r="BG138" s="162"/>
      <c r="BH138" s="125"/>
      <c r="BI138" s="158"/>
      <c r="BJ138" s="159"/>
      <c r="BK138" s="126"/>
      <c r="BL138" s="160"/>
      <c r="BM138" s="162"/>
      <c r="BN138" s="125"/>
      <c r="BO138" s="158"/>
      <c r="BP138" s="159"/>
      <c r="BQ138" s="126"/>
      <c r="BR138" s="160"/>
      <c r="BS138" s="162"/>
      <c r="BT138" s="125"/>
      <c r="BU138" s="158"/>
      <c r="BV138" s="159"/>
      <c r="BW138" s="126"/>
      <c r="BX138" s="160"/>
      <c r="BY138" s="162"/>
      <c r="BZ138" s="133"/>
      <c r="CA138" s="134"/>
      <c r="CB138" s="165"/>
      <c r="CC138" s="170">
        <f t="shared" ref="CC138:CC161" si="59">SUM(F138,L138,R138,X138,AD138,AJ138,AP138,AV138,BB138,BH138,BN138,BT138)</f>
        <v>0</v>
      </c>
      <c r="CD138" s="171">
        <f t="shared" ref="CD138:CD161" si="60">SUM(G138,M138,S138,Y138,AE138,AK138,AQ138,AW138,BC138,BI138,BO138,BU138)</f>
        <v>9</v>
      </c>
      <c r="CE138" s="171">
        <f t="shared" ref="CE138:CE161" si="61">SUM(H138,N138,T138,Z138,AF138,AL138,AR138,AX138,BD138,BJ138,BP138,BV138)</f>
        <v>3</v>
      </c>
      <c r="CF138" s="171">
        <f t="shared" ref="CF138:CF161" si="62">SUM(I138,O138,U138,AA138,AG138,AM138,AS138,AY138,BE138,BK138,BQ138,BW138)</f>
        <v>3</v>
      </c>
      <c r="CG138" s="171">
        <f t="shared" ref="CG138:CG161" si="63">SUM(J138,P138,V138,AB138,AH138,AN138,AT138,AZ138,BF138,BL138,BR138,BX138)</f>
        <v>0</v>
      </c>
      <c r="CH138" s="172">
        <f t="shared" ref="CH138:CH161" si="64">SUM(K138,Q138,W138,AC138,AI138,AO138,AU138,BA138,BG138,BM138,BS138,BY138)</f>
        <v>3</v>
      </c>
    </row>
    <row r="139" spans="1:86" s="1" customFormat="1" ht="24" customHeight="1" x14ac:dyDescent="0.2">
      <c r="A139" s="176" t="s">
        <v>35</v>
      </c>
      <c r="B139" s="141" t="s">
        <v>469</v>
      </c>
      <c r="C139" s="139" t="s">
        <v>550</v>
      </c>
      <c r="D139" s="141" t="s">
        <v>551</v>
      </c>
      <c r="E139" s="152" t="s">
        <v>297</v>
      </c>
      <c r="F139" s="125">
        <v>1</v>
      </c>
      <c r="G139" s="158">
        <v>1</v>
      </c>
      <c r="H139" s="159"/>
      <c r="I139" s="126"/>
      <c r="J139" s="160"/>
      <c r="K139" s="162"/>
      <c r="L139" s="125"/>
      <c r="M139" s="158">
        <v>1</v>
      </c>
      <c r="N139" s="159"/>
      <c r="O139" s="126"/>
      <c r="P139" s="160"/>
      <c r="Q139" s="162"/>
      <c r="R139" s="125"/>
      <c r="S139" s="158"/>
      <c r="T139" s="159"/>
      <c r="U139" s="126"/>
      <c r="V139" s="160"/>
      <c r="W139" s="162"/>
      <c r="X139" s="125">
        <v>1</v>
      </c>
      <c r="Y139" s="158">
        <v>1</v>
      </c>
      <c r="Z139" s="159"/>
      <c r="AA139" s="126"/>
      <c r="AB139" s="160"/>
      <c r="AC139" s="162"/>
      <c r="AD139" s="125"/>
      <c r="AE139" s="158"/>
      <c r="AF139" s="159"/>
      <c r="AG139" s="126"/>
      <c r="AH139" s="160"/>
      <c r="AI139" s="162"/>
      <c r="AJ139" s="125"/>
      <c r="AK139" s="158"/>
      <c r="AL139" s="159"/>
      <c r="AM139" s="126"/>
      <c r="AN139" s="160"/>
      <c r="AO139" s="162"/>
      <c r="AP139" s="125"/>
      <c r="AQ139" s="158">
        <v>2</v>
      </c>
      <c r="AR139" s="159"/>
      <c r="AS139" s="126"/>
      <c r="AT139" s="160"/>
      <c r="AU139" s="162"/>
      <c r="AV139" s="125"/>
      <c r="AW139" s="158">
        <v>2</v>
      </c>
      <c r="AX139" s="159"/>
      <c r="AY139" s="126"/>
      <c r="AZ139" s="160"/>
      <c r="BA139" s="162"/>
      <c r="BB139" s="125"/>
      <c r="BC139" s="158"/>
      <c r="BD139" s="159">
        <v>1</v>
      </c>
      <c r="BE139" s="126"/>
      <c r="BF139" s="160"/>
      <c r="BG139" s="162"/>
      <c r="BH139" s="125"/>
      <c r="BI139" s="158"/>
      <c r="BJ139" s="159"/>
      <c r="BK139" s="126"/>
      <c r="BL139" s="160"/>
      <c r="BM139" s="162"/>
      <c r="BN139" s="125"/>
      <c r="BO139" s="158"/>
      <c r="BP139" s="159"/>
      <c r="BQ139" s="126"/>
      <c r="BR139" s="160"/>
      <c r="BS139" s="162"/>
      <c r="BT139" s="125"/>
      <c r="BU139" s="158"/>
      <c r="BV139" s="159"/>
      <c r="BW139" s="126"/>
      <c r="BX139" s="160"/>
      <c r="BY139" s="162"/>
      <c r="BZ139" s="133"/>
      <c r="CA139" s="134"/>
      <c r="CB139" s="165"/>
      <c r="CC139" s="170">
        <f t="shared" si="59"/>
        <v>2</v>
      </c>
      <c r="CD139" s="171">
        <f t="shared" si="60"/>
        <v>7</v>
      </c>
      <c r="CE139" s="171">
        <f t="shared" si="61"/>
        <v>1</v>
      </c>
      <c r="CF139" s="171">
        <f t="shared" si="62"/>
        <v>0</v>
      </c>
      <c r="CG139" s="171">
        <f t="shared" si="63"/>
        <v>0</v>
      </c>
      <c r="CH139" s="172">
        <f t="shared" si="64"/>
        <v>0</v>
      </c>
    </row>
    <row r="140" spans="1:86" s="1" customFormat="1" ht="24" customHeight="1" x14ac:dyDescent="0.2">
      <c r="A140" s="142" t="s">
        <v>329</v>
      </c>
      <c r="B140" s="139" t="s">
        <v>86</v>
      </c>
      <c r="C140" s="139" t="s">
        <v>552</v>
      </c>
      <c r="D140" s="139" t="s">
        <v>553</v>
      </c>
      <c r="E140" s="289" t="s">
        <v>342</v>
      </c>
      <c r="F140" s="125"/>
      <c r="G140" s="158"/>
      <c r="H140" s="159"/>
      <c r="I140" s="126"/>
      <c r="J140" s="160"/>
      <c r="K140" s="162"/>
      <c r="L140" s="125"/>
      <c r="M140" s="158"/>
      <c r="N140" s="159"/>
      <c r="O140" s="126"/>
      <c r="P140" s="160"/>
      <c r="Q140" s="162"/>
      <c r="R140" s="125"/>
      <c r="S140" s="158"/>
      <c r="T140" s="159"/>
      <c r="U140" s="126"/>
      <c r="V140" s="160"/>
      <c r="W140" s="162"/>
      <c r="X140" s="125"/>
      <c r="Y140" s="158"/>
      <c r="Z140" s="159"/>
      <c r="AA140" s="126"/>
      <c r="AB140" s="160"/>
      <c r="AC140" s="162"/>
      <c r="AD140" s="125"/>
      <c r="AE140" s="158"/>
      <c r="AF140" s="159"/>
      <c r="AG140" s="126"/>
      <c r="AH140" s="160"/>
      <c r="AI140" s="162"/>
      <c r="AJ140" s="125"/>
      <c r="AK140" s="158"/>
      <c r="AL140" s="159"/>
      <c r="AM140" s="126"/>
      <c r="AN140" s="160"/>
      <c r="AO140" s="162"/>
      <c r="AP140" s="125"/>
      <c r="AQ140" s="158"/>
      <c r="AR140" s="159"/>
      <c r="AS140" s="126"/>
      <c r="AT140" s="160"/>
      <c r="AU140" s="162"/>
      <c r="AV140" s="125"/>
      <c r="AW140" s="158"/>
      <c r="AX140" s="159"/>
      <c r="AY140" s="126"/>
      <c r="AZ140" s="160"/>
      <c r="BA140" s="162"/>
      <c r="BB140" s="125"/>
      <c r="BC140" s="158"/>
      <c r="BD140" s="159"/>
      <c r="BE140" s="126"/>
      <c r="BF140" s="160"/>
      <c r="BG140" s="162"/>
      <c r="BH140" s="125"/>
      <c r="BI140" s="158"/>
      <c r="BJ140" s="159"/>
      <c r="BK140" s="126"/>
      <c r="BL140" s="160"/>
      <c r="BM140" s="162"/>
      <c r="BN140" s="125"/>
      <c r="BO140" s="158"/>
      <c r="BP140" s="159"/>
      <c r="BQ140" s="126"/>
      <c r="BR140" s="160"/>
      <c r="BS140" s="162"/>
      <c r="BT140" s="125"/>
      <c r="BU140" s="158"/>
      <c r="BV140" s="159"/>
      <c r="BW140" s="126"/>
      <c r="BX140" s="160"/>
      <c r="BY140" s="162"/>
      <c r="BZ140" s="133"/>
      <c r="CA140" s="134"/>
      <c r="CB140" s="165"/>
      <c r="CC140" s="170">
        <f t="shared" si="59"/>
        <v>0</v>
      </c>
      <c r="CD140" s="171">
        <f t="shared" si="60"/>
        <v>0</v>
      </c>
      <c r="CE140" s="171">
        <f t="shared" si="61"/>
        <v>0</v>
      </c>
      <c r="CF140" s="171">
        <f t="shared" si="62"/>
        <v>0</v>
      </c>
      <c r="CG140" s="171">
        <f t="shared" si="63"/>
        <v>0</v>
      </c>
      <c r="CH140" s="172">
        <f t="shared" si="64"/>
        <v>0</v>
      </c>
    </row>
    <row r="141" spans="1:86" s="1" customFormat="1" ht="24" customHeight="1" x14ac:dyDescent="0.2">
      <c r="A141" s="238" t="s">
        <v>306</v>
      </c>
      <c r="B141" s="141" t="s">
        <v>306</v>
      </c>
      <c r="C141" s="139" t="s">
        <v>554</v>
      </c>
      <c r="D141" s="141" t="s">
        <v>555</v>
      </c>
      <c r="E141" s="151" t="s">
        <v>342</v>
      </c>
      <c r="F141" s="125"/>
      <c r="G141" s="158"/>
      <c r="H141" s="159"/>
      <c r="I141" s="126"/>
      <c r="J141" s="160"/>
      <c r="K141" s="162"/>
      <c r="L141" s="125"/>
      <c r="M141" s="158"/>
      <c r="N141" s="159"/>
      <c r="O141" s="126"/>
      <c r="P141" s="160"/>
      <c r="Q141" s="162"/>
      <c r="R141" s="125"/>
      <c r="S141" s="158"/>
      <c r="T141" s="159"/>
      <c r="U141" s="126"/>
      <c r="V141" s="160"/>
      <c r="W141" s="162"/>
      <c r="X141" s="125"/>
      <c r="Y141" s="158"/>
      <c r="Z141" s="159"/>
      <c r="AA141" s="126"/>
      <c r="AB141" s="160"/>
      <c r="AC141" s="162"/>
      <c r="AD141" s="125"/>
      <c r="AE141" s="158"/>
      <c r="AF141" s="159"/>
      <c r="AG141" s="126"/>
      <c r="AH141" s="160"/>
      <c r="AI141" s="162"/>
      <c r="AJ141" s="125"/>
      <c r="AK141" s="158"/>
      <c r="AL141" s="159"/>
      <c r="AM141" s="126"/>
      <c r="AN141" s="160"/>
      <c r="AO141" s="162"/>
      <c r="AP141" s="125"/>
      <c r="AQ141" s="158"/>
      <c r="AR141" s="159"/>
      <c r="AS141" s="126"/>
      <c r="AT141" s="160"/>
      <c r="AU141" s="162"/>
      <c r="AV141" s="125"/>
      <c r="AW141" s="158"/>
      <c r="AX141" s="159"/>
      <c r="AY141" s="126"/>
      <c r="AZ141" s="160"/>
      <c r="BA141" s="162"/>
      <c r="BB141" s="125"/>
      <c r="BC141" s="158"/>
      <c r="BD141" s="159"/>
      <c r="BE141" s="126"/>
      <c r="BF141" s="160"/>
      <c r="BG141" s="162"/>
      <c r="BH141" s="125"/>
      <c r="BI141" s="158"/>
      <c r="BJ141" s="159"/>
      <c r="BK141" s="126"/>
      <c r="BL141" s="160"/>
      <c r="BM141" s="162"/>
      <c r="BN141" s="125"/>
      <c r="BO141" s="158"/>
      <c r="BP141" s="159"/>
      <c r="BQ141" s="126"/>
      <c r="BR141" s="160"/>
      <c r="BS141" s="162"/>
      <c r="BT141" s="125"/>
      <c r="BU141" s="158"/>
      <c r="BV141" s="159"/>
      <c r="BW141" s="126"/>
      <c r="BX141" s="160"/>
      <c r="BY141" s="162"/>
      <c r="BZ141" s="133"/>
      <c r="CA141" s="134"/>
      <c r="CB141" s="195"/>
      <c r="CC141" s="170">
        <f t="shared" si="59"/>
        <v>0</v>
      </c>
      <c r="CD141" s="171">
        <f t="shared" si="60"/>
        <v>0</v>
      </c>
      <c r="CE141" s="171">
        <f t="shared" si="61"/>
        <v>0</v>
      </c>
      <c r="CF141" s="171">
        <f t="shared" si="62"/>
        <v>0</v>
      </c>
      <c r="CG141" s="171">
        <f t="shared" si="63"/>
        <v>0</v>
      </c>
      <c r="CH141" s="172">
        <f t="shared" si="64"/>
        <v>0</v>
      </c>
    </row>
    <row r="142" spans="1:86" s="1" customFormat="1" ht="24" customHeight="1" x14ac:dyDescent="0.2">
      <c r="A142" s="176" t="s">
        <v>35</v>
      </c>
      <c r="B142" s="141" t="s">
        <v>469</v>
      </c>
      <c r="C142" s="139" t="s">
        <v>556</v>
      </c>
      <c r="D142" s="139" t="s">
        <v>557</v>
      </c>
      <c r="E142" s="152" t="s">
        <v>294</v>
      </c>
      <c r="F142" s="125"/>
      <c r="G142" s="158">
        <v>1</v>
      </c>
      <c r="H142" s="159"/>
      <c r="I142" s="126"/>
      <c r="J142" s="160"/>
      <c r="K142" s="162"/>
      <c r="L142" s="125"/>
      <c r="M142" s="158"/>
      <c r="N142" s="159"/>
      <c r="O142" s="126"/>
      <c r="P142" s="160"/>
      <c r="Q142" s="162"/>
      <c r="R142" s="125"/>
      <c r="S142" s="158"/>
      <c r="T142" s="159"/>
      <c r="U142" s="126"/>
      <c r="V142" s="160"/>
      <c r="W142" s="162"/>
      <c r="X142" s="125">
        <v>2</v>
      </c>
      <c r="Y142" s="158">
        <v>1</v>
      </c>
      <c r="Z142" s="159">
        <v>1</v>
      </c>
      <c r="AA142" s="126"/>
      <c r="AB142" s="160"/>
      <c r="AC142" s="162">
        <v>1</v>
      </c>
      <c r="AD142" s="125"/>
      <c r="AE142" s="158"/>
      <c r="AF142" s="159"/>
      <c r="AG142" s="126"/>
      <c r="AH142" s="160"/>
      <c r="AI142" s="162"/>
      <c r="AJ142" s="125">
        <v>1</v>
      </c>
      <c r="AK142" s="158">
        <v>4</v>
      </c>
      <c r="AL142" s="159"/>
      <c r="AM142" s="126"/>
      <c r="AN142" s="160"/>
      <c r="AO142" s="162"/>
      <c r="AP142" s="125">
        <v>1</v>
      </c>
      <c r="AQ142" s="158">
        <v>1</v>
      </c>
      <c r="AR142" s="159"/>
      <c r="AS142" s="126"/>
      <c r="AT142" s="160"/>
      <c r="AU142" s="162"/>
      <c r="AV142" s="125"/>
      <c r="AW142" s="158"/>
      <c r="AX142" s="159"/>
      <c r="AY142" s="126"/>
      <c r="AZ142" s="160"/>
      <c r="BA142" s="162"/>
      <c r="BB142" s="125"/>
      <c r="BC142" s="158"/>
      <c r="BD142" s="159"/>
      <c r="BE142" s="126"/>
      <c r="BF142" s="160"/>
      <c r="BG142" s="162"/>
      <c r="BH142" s="125"/>
      <c r="BI142" s="158"/>
      <c r="BJ142" s="159"/>
      <c r="BK142" s="126"/>
      <c r="BL142" s="160"/>
      <c r="BM142" s="162"/>
      <c r="BN142" s="125">
        <v>1</v>
      </c>
      <c r="BO142" s="158">
        <v>1</v>
      </c>
      <c r="BP142" s="159"/>
      <c r="BQ142" s="126"/>
      <c r="BR142" s="160"/>
      <c r="BS142" s="162"/>
      <c r="BT142" s="125"/>
      <c r="BU142" s="158"/>
      <c r="BV142" s="159"/>
      <c r="BW142" s="126"/>
      <c r="BX142" s="160"/>
      <c r="BY142" s="162"/>
      <c r="BZ142" s="135"/>
      <c r="CA142" s="134"/>
      <c r="CB142" s="165"/>
      <c r="CC142" s="170">
        <f t="shared" si="59"/>
        <v>5</v>
      </c>
      <c r="CD142" s="171">
        <f t="shared" si="60"/>
        <v>8</v>
      </c>
      <c r="CE142" s="171">
        <f t="shared" si="61"/>
        <v>1</v>
      </c>
      <c r="CF142" s="171">
        <f t="shared" si="62"/>
        <v>0</v>
      </c>
      <c r="CG142" s="171">
        <f t="shared" si="63"/>
        <v>0</v>
      </c>
      <c r="CH142" s="172">
        <f t="shared" si="64"/>
        <v>1</v>
      </c>
    </row>
    <row r="143" spans="1:86" s="1" customFormat="1" ht="24" customHeight="1" x14ac:dyDescent="0.2">
      <c r="A143" s="206" t="s">
        <v>148</v>
      </c>
      <c r="B143" s="141" t="s">
        <v>148</v>
      </c>
      <c r="C143" s="139" t="s">
        <v>558</v>
      </c>
      <c r="D143" s="141" t="s">
        <v>374</v>
      </c>
      <c r="E143" s="152" t="s">
        <v>302</v>
      </c>
      <c r="F143" s="125"/>
      <c r="G143" s="158"/>
      <c r="H143" s="159"/>
      <c r="I143" s="126"/>
      <c r="J143" s="160"/>
      <c r="K143" s="162"/>
      <c r="L143" s="125"/>
      <c r="M143" s="158">
        <v>3</v>
      </c>
      <c r="N143" s="159"/>
      <c r="O143" s="126"/>
      <c r="P143" s="160"/>
      <c r="Q143" s="162"/>
      <c r="R143" s="125"/>
      <c r="S143" s="158">
        <v>1</v>
      </c>
      <c r="T143" s="159"/>
      <c r="U143" s="126"/>
      <c r="V143" s="160"/>
      <c r="W143" s="162"/>
      <c r="X143" s="125"/>
      <c r="Y143" s="158">
        <v>2</v>
      </c>
      <c r="Z143" s="159">
        <v>1</v>
      </c>
      <c r="AA143" s="126"/>
      <c r="AB143" s="160"/>
      <c r="AC143" s="162"/>
      <c r="AD143" s="125"/>
      <c r="AE143" s="158">
        <v>2</v>
      </c>
      <c r="AF143" s="159">
        <v>1</v>
      </c>
      <c r="AG143" s="126"/>
      <c r="AH143" s="160"/>
      <c r="AI143" s="162"/>
      <c r="AJ143" s="125"/>
      <c r="AK143" s="158"/>
      <c r="AL143" s="159"/>
      <c r="AM143" s="126"/>
      <c r="AN143" s="160"/>
      <c r="AO143" s="162"/>
      <c r="AP143" s="125"/>
      <c r="AQ143" s="158"/>
      <c r="AR143" s="159"/>
      <c r="AS143" s="126"/>
      <c r="AT143" s="160"/>
      <c r="AU143" s="162"/>
      <c r="AV143" s="125"/>
      <c r="AW143" s="158"/>
      <c r="AX143" s="159"/>
      <c r="AY143" s="126"/>
      <c r="AZ143" s="160"/>
      <c r="BA143" s="162"/>
      <c r="BB143" s="125"/>
      <c r="BC143" s="158"/>
      <c r="BD143" s="159">
        <v>1</v>
      </c>
      <c r="BE143" s="126"/>
      <c r="BF143" s="160"/>
      <c r="BG143" s="162"/>
      <c r="BH143" s="125"/>
      <c r="BI143" s="158">
        <v>1</v>
      </c>
      <c r="BJ143" s="159"/>
      <c r="BK143" s="126"/>
      <c r="BL143" s="160"/>
      <c r="BM143" s="162"/>
      <c r="BN143" s="125"/>
      <c r="BO143" s="158">
        <v>1</v>
      </c>
      <c r="BP143" s="159">
        <v>1</v>
      </c>
      <c r="BQ143" s="126"/>
      <c r="BR143" s="160"/>
      <c r="BS143" s="162"/>
      <c r="BT143" s="125"/>
      <c r="BU143" s="158">
        <v>1</v>
      </c>
      <c r="BV143" s="159"/>
      <c r="BW143" s="126"/>
      <c r="BX143" s="160"/>
      <c r="BY143" s="162"/>
      <c r="BZ143" s="135"/>
      <c r="CA143" s="134"/>
      <c r="CB143" s="165"/>
      <c r="CC143" s="170">
        <f t="shared" si="59"/>
        <v>0</v>
      </c>
      <c r="CD143" s="171">
        <f t="shared" si="60"/>
        <v>11</v>
      </c>
      <c r="CE143" s="171">
        <f t="shared" si="61"/>
        <v>4</v>
      </c>
      <c r="CF143" s="171">
        <f t="shared" si="62"/>
        <v>0</v>
      </c>
      <c r="CG143" s="171">
        <f t="shared" si="63"/>
        <v>0</v>
      </c>
      <c r="CH143" s="172">
        <f t="shared" si="64"/>
        <v>0</v>
      </c>
    </row>
    <row r="144" spans="1:86" s="1" customFormat="1" ht="24" customHeight="1" x14ac:dyDescent="0.2">
      <c r="A144" s="176" t="s">
        <v>35</v>
      </c>
      <c r="B144" s="141" t="s">
        <v>33</v>
      </c>
      <c r="C144" s="139" t="s">
        <v>559</v>
      </c>
      <c r="D144" s="139" t="s">
        <v>560</v>
      </c>
      <c r="E144" s="152" t="s">
        <v>302</v>
      </c>
      <c r="F144" s="125"/>
      <c r="G144" s="158">
        <v>2</v>
      </c>
      <c r="H144" s="159"/>
      <c r="I144" s="126"/>
      <c r="J144" s="160"/>
      <c r="K144" s="162"/>
      <c r="L144" s="125"/>
      <c r="M144" s="158">
        <v>1</v>
      </c>
      <c r="N144" s="159">
        <v>1</v>
      </c>
      <c r="O144" s="126"/>
      <c r="P144" s="160"/>
      <c r="Q144" s="162"/>
      <c r="R144" s="125"/>
      <c r="S144" s="158">
        <v>1</v>
      </c>
      <c r="T144" s="159"/>
      <c r="U144" s="126"/>
      <c r="V144" s="160"/>
      <c r="W144" s="162"/>
      <c r="X144" s="125"/>
      <c r="Y144" s="158"/>
      <c r="Z144" s="159"/>
      <c r="AA144" s="126"/>
      <c r="AB144" s="160"/>
      <c r="AC144" s="162"/>
      <c r="AD144" s="125"/>
      <c r="AE144" s="158">
        <v>1</v>
      </c>
      <c r="AF144" s="159">
        <v>1</v>
      </c>
      <c r="AG144" s="126"/>
      <c r="AH144" s="160"/>
      <c r="AI144" s="162"/>
      <c r="AJ144" s="125"/>
      <c r="AK144" s="158">
        <v>3</v>
      </c>
      <c r="AL144" s="159">
        <v>2</v>
      </c>
      <c r="AM144" s="126"/>
      <c r="AN144" s="160"/>
      <c r="AO144" s="162"/>
      <c r="AP144" s="125"/>
      <c r="AQ144" s="158">
        <v>2</v>
      </c>
      <c r="AR144" s="159"/>
      <c r="AS144" s="126"/>
      <c r="AT144" s="160"/>
      <c r="AU144" s="162"/>
      <c r="AV144" s="125">
        <v>1</v>
      </c>
      <c r="AW144" s="158">
        <v>1</v>
      </c>
      <c r="AX144" s="159"/>
      <c r="AY144" s="126">
        <v>1</v>
      </c>
      <c r="AZ144" s="160"/>
      <c r="BA144" s="162"/>
      <c r="BB144" s="125"/>
      <c r="BC144" s="158"/>
      <c r="BD144" s="159"/>
      <c r="BE144" s="126"/>
      <c r="BF144" s="160"/>
      <c r="BG144" s="162"/>
      <c r="BH144" s="125"/>
      <c r="BI144" s="158">
        <v>1</v>
      </c>
      <c r="BJ144" s="159">
        <v>1</v>
      </c>
      <c r="BK144" s="126"/>
      <c r="BL144" s="160"/>
      <c r="BM144" s="162"/>
      <c r="BN144" s="125"/>
      <c r="BO144" s="158"/>
      <c r="BP144" s="159"/>
      <c r="BQ144" s="126"/>
      <c r="BR144" s="160"/>
      <c r="BS144" s="162"/>
      <c r="BT144" s="125"/>
      <c r="BU144" s="158">
        <v>1</v>
      </c>
      <c r="BV144" s="159"/>
      <c r="BW144" s="126"/>
      <c r="BX144" s="160"/>
      <c r="BY144" s="162"/>
      <c r="BZ144" s="133"/>
      <c r="CA144" s="134"/>
      <c r="CB144" s="165"/>
      <c r="CC144" s="170">
        <f t="shared" si="59"/>
        <v>1</v>
      </c>
      <c r="CD144" s="171">
        <f t="shared" si="60"/>
        <v>13</v>
      </c>
      <c r="CE144" s="171">
        <f t="shared" si="61"/>
        <v>5</v>
      </c>
      <c r="CF144" s="171">
        <f t="shared" si="62"/>
        <v>1</v>
      </c>
      <c r="CG144" s="171">
        <f t="shared" si="63"/>
        <v>0</v>
      </c>
      <c r="CH144" s="172">
        <f t="shared" si="64"/>
        <v>0</v>
      </c>
    </row>
    <row r="145" spans="1:86" s="1" customFormat="1" ht="24" customHeight="1" x14ac:dyDescent="0.2">
      <c r="A145" s="387" t="s">
        <v>148</v>
      </c>
      <c r="B145" s="139" t="s">
        <v>148</v>
      </c>
      <c r="C145" s="139" t="s">
        <v>561</v>
      </c>
      <c r="D145" s="139" t="s">
        <v>406</v>
      </c>
      <c r="E145" s="151" t="s">
        <v>294</v>
      </c>
      <c r="F145" s="362"/>
      <c r="G145" s="363"/>
      <c r="H145" s="364"/>
      <c r="I145" s="364"/>
      <c r="J145" s="364"/>
      <c r="K145" s="365"/>
      <c r="L145" s="362"/>
      <c r="M145" s="363"/>
      <c r="N145" s="364"/>
      <c r="O145" s="364"/>
      <c r="P145" s="364"/>
      <c r="Q145" s="365"/>
      <c r="R145" s="362"/>
      <c r="S145" s="363"/>
      <c r="T145" s="364"/>
      <c r="U145" s="364"/>
      <c r="V145" s="364"/>
      <c r="W145" s="365"/>
      <c r="X145" s="362"/>
      <c r="Y145" s="363"/>
      <c r="Z145" s="364"/>
      <c r="AA145" s="364"/>
      <c r="AB145" s="364"/>
      <c r="AC145" s="365"/>
      <c r="AD145" s="125"/>
      <c r="AE145" s="158"/>
      <c r="AF145" s="159"/>
      <c r="AG145" s="126"/>
      <c r="AH145" s="160"/>
      <c r="AI145" s="162"/>
      <c r="AJ145" s="125"/>
      <c r="AK145" s="158"/>
      <c r="AL145" s="159"/>
      <c r="AM145" s="126"/>
      <c r="AN145" s="160"/>
      <c r="AO145" s="162"/>
      <c r="AP145" s="125"/>
      <c r="AQ145" s="158"/>
      <c r="AR145" s="159"/>
      <c r="AS145" s="126"/>
      <c r="AT145" s="160"/>
      <c r="AU145" s="162"/>
      <c r="AV145" s="125"/>
      <c r="AW145" s="158"/>
      <c r="AX145" s="159"/>
      <c r="AY145" s="126"/>
      <c r="AZ145" s="160"/>
      <c r="BA145" s="162"/>
      <c r="BB145" s="125"/>
      <c r="BC145" s="158"/>
      <c r="BD145" s="159"/>
      <c r="BE145" s="126"/>
      <c r="BF145" s="160"/>
      <c r="BG145" s="162"/>
      <c r="BH145" s="125"/>
      <c r="BI145" s="158"/>
      <c r="BJ145" s="159"/>
      <c r="BK145" s="126"/>
      <c r="BL145" s="160"/>
      <c r="BM145" s="162"/>
      <c r="BN145" s="125"/>
      <c r="BO145" s="158">
        <v>1</v>
      </c>
      <c r="BP145" s="159">
        <v>1</v>
      </c>
      <c r="BQ145" s="126"/>
      <c r="BR145" s="160"/>
      <c r="BS145" s="162"/>
      <c r="BT145" s="125"/>
      <c r="BU145" s="158">
        <v>1</v>
      </c>
      <c r="BV145" s="159"/>
      <c r="BW145" s="126"/>
      <c r="BX145" s="160"/>
      <c r="BY145" s="162"/>
      <c r="BZ145" s="133"/>
      <c r="CA145" s="134"/>
      <c r="CB145" s="165"/>
      <c r="CC145" s="170">
        <f t="shared" si="59"/>
        <v>0</v>
      </c>
      <c r="CD145" s="171">
        <f t="shared" si="60"/>
        <v>2</v>
      </c>
      <c r="CE145" s="171">
        <f t="shared" si="61"/>
        <v>1</v>
      </c>
      <c r="CF145" s="171">
        <f t="shared" si="62"/>
        <v>0</v>
      </c>
      <c r="CG145" s="171">
        <f t="shared" si="63"/>
        <v>0</v>
      </c>
      <c r="CH145" s="172">
        <f t="shared" si="64"/>
        <v>0</v>
      </c>
    </row>
    <row r="146" spans="1:86" s="1" customFormat="1" ht="24" customHeight="1" x14ac:dyDescent="0.2">
      <c r="A146" s="176" t="s">
        <v>35</v>
      </c>
      <c r="B146" s="141" t="s">
        <v>33</v>
      </c>
      <c r="C146" s="139" t="s">
        <v>562</v>
      </c>
      <c r="D146" s="141" t="s">
        <v>471</v>
      </c>
      <c r="E146" s="152" t="s">
        <v>297</v>
      </c>
      <c r="F146" s="125"/>
      <c r="G146" s="158">
        <v>1</v>
      </c>
      <c r="H146" s="159"/>
      <c r="I146" s="126">
        <v>1</v>
      </c>
      <c r="J146" s="160"/>
      <c r="K146" s="162"/>
      <c r="L146" s="125"/>
      <c r="M146" s="158"/>
      <c r="N146" s="159"/>
      <c r="O146" s="126">
        <v>1</v>
      </c>
      <c r="P146" s="160"/>
      <c r="Q146" s="162"/>
      <c r="R146" s="125"/>
      <c r="S146" s="158"/>
      <c r="T146" s="159"/>
      <c r="U146" s="126">
        <v>1</v>
      </c>
      <c r="V146" s="160"/>
      <c r="W146" s="162"/>
      <c r="X146" s="125"/>
      <c r="Y146" s="158">
        <v>1</v>
      </c>
      <c r="Z146" s="159">
        <v>1</v>
      </c>
      <c r="AA146" s="126">
        <v>1</v>
      </c>
      <c r="AB146" s="160"/>
      <c r="AC146" s="162"/>
      <c r="AD146" s="125"/>
      <c r="AE146" s="158"/>
      <c r="AF146" s="159"/>
      <c r="AG146" s="126">
        <v>1</v>
      </c>
      <c r="AH146" s="160"/>
      <c r="AI146" s="162"/>
      <c r="AJ146" s="125"/>
      <c r="AK146" s="158"/>
      <c r="AL146" s="159"/>
      <c r="AM146" s="126">
        <v>1</v>
      </c>
      <c r="AN146" s="160"/>
      <c r="AO146" s="162"/>
      <c r="AP146" s="125">
        <v>1</v>
      </c>
      <c r="AQ146" s="158">
        <v>1</v>
      </c>
      <c r="AR146" s="159">
        <v>1</v>
      </c>
      <c r="AS146" s="126">
        <v>1</v>
      </c>
      <c r="AT146" s="160"/>
      <c r="AU146" s="162"/>
      <c r="AV146" s="125"/>
      <c r="AW146" s="158"/>
      <c r="AX146" s="159"/>
      <c r="AY146" s="126">
        <v>1</v>
      </c>
      <c r="AZ146" s="160"/>
      <c r="BA146" s="162"/>
      <c r="BB146" s="125"/>
      <c r="BC146" s="158"/>
      <c r="BD146" s="159"/>
      <c r="BE146" s="126"/>
      <c r="BF146" s="160"/>
      <c r="BG146" s="162"/>
      <c r="BH146" s="125">
        <v>4</v>
      </c>
      <c r="BI146" s="158">
        <v>6</v>
      </c>
      <c r="BJ146" s="159"/>
      <c r="BK146" s="126">
        <v>2</v>
      </c>
      <c r="BL146" s="160">
        <v>2</v>
      </c>
      <c r="BM146" s="162"/>
      <c r="BN146" s="125"/>
      <c r="BO146" s="158"/>
      <c r="BP146" s="159"/>
      <c r="BQ146" s="126">
        <v>1</v>
      </c>
      <c r="BR146" s="160"/>
      <c r="BS146" s="162"/>
      <c r="BT146" s="125"/>
      <c r="BU146" s="158"/>
      <c r="BV146" s="159"/>
      <c r="BW146" s="126">
        <v>1</v>
      </c>
      <c r="BX146" s="160"/>
      <c r="BY146" s="162"/>
      <c r="BZ146" s="133"/>
      <c r="CA146" s="134"/>
      <c r="CB146" s="165"/>
      <c r="CC146" s="170">
        <f t="shared" si="59"/>
        <v>5</v>
      </c>
      <c r="CD146" s="171">
        <f t="shared" si="60"/>
        <v>9</v>
      </c>
      <c r="CE146" s="171">
        <f t="shared" si="61"/>
        <v>2</v>
      </c>
      <c r="CF146" s="171">
        <f t="shared" si="62"/>
        <v>12</v>
      </c>
      <c r="CG146" s="171">
        <f t="shared" si="63"/>
        <v>2</v>
      </c>
      <c r="CH146" s="172">
        <f t="shared" si="64"/>
        <v>0</v>
      </c>
    </row>
    <row r="147" spans="1:86" s="1" customFormat="1" ht="24" customHeight="1" x14ac:dyDescent="0.2">
      <c r="A147" s="178" t="s">
        <v>51</v>
      </c>
      <c r="B147" s="141" t="s">
        <v>33</v>
      </c>
      <c r="C147" s="139" t="s">
        <v>563</v>
      </c>
      <c r="D147" s="141" t="s">
        <v>564</v>
      </c>
      <c r="E147" s="152" t="s">
        <v>297</v>
      </c>
      <c r="F147" s="125"/>
      <c r="G147" s="158">
        <v>1</v>
      </c>
      <c r="H147" s="159"/>
      <c r="I147" s="126"/>
      <c r="J147" s="160"/>
      <c r="K147" s="162"/>
      <c r="L147" s="125"/>
      <c r="M147" s="158"/>
      <c r="N147" s="159"/>
      <c r="O147" s="126">
        <v>1</v>
      </c>
      <c r="P147" s="160"/>
      <c r="Q147" s="162"/>
      <c r="R147" s="125"/>
      <c r="S147" s="158"/>
      <c r="T147" s="159"/>
      <c r="U147" s="126">
        <v>1</v>
      </c>
      <c r="V147" s="160"/>
      <c r="W147" s="162"/>
      <c r="X147" s="125"/>
      <c r="Y147" s="158"/>
      <c r="Z147" s="159"/>
      <c r="AA147" s="126">
        <v>1</v>
      </c>
      <c r="AB147" s="160"/>
      <c r="AC147" s="162"/>
      <c r="AD147" s="125"/>
      <c r="AE147" s="158"/>
      <c r="AF147" s="159"/>
      <c r="AG147" s="126">
        <v>1</v>
      </c>
      <c r="AH147" s="160"/>
      <c r="AI147" s="162"/>
      <c r="AJ147" s="125"/>
      <c r="AK147" s="158"/>
      <c r="AL147" s="159"/>
      <c r="AM147" s="126">
        <v>1</v>
      </c>
      <c r="AN147" s="160"/>
      <c r="AO147" s="162"/>
      <c r="AP147" s="125"/>
      <c r="AQ147" s="158"/>
      <c r="AR147" s="159"/>
      <c r="AS147" s="126">
        <v>1</v>
      </c>
      <c r="AT147" s="160"/>
      <c r="AU147" s="162"/>
      <c r="AV147" s="125"/>
      <c r="AW147" s="158"/>
      <c r="AX147" s="159"/>
      <c r="AY147" s="126"/>
      <c r="AZ147" s="160"/>
      <c r="BA147" s="162"/>
      <c r="BB147" s="125">
        <v>1</v>
      </c>
      <c r="BC147" s="158">
        <v>1</v>
      </c>
      <c r="BD147" s="159"/>
      <c r="BE147" s="126">
        <v>1</v>
      </c>
      <c r="BF147" s="160"/>
      <c r="BG147" s="162"/>
      <c r="BH147" s="125"/>
      <c r="BI147" s="158"/>
      <c r="BJ147" s="159"/>
      <c r="BK147" s="126">
        <v>1</v>
      </c>
      <c r="BL147" s="160"/>
      <c r="BM147" s="162"/>
      <c r="BN147" s="125"/>
      <c r="BO147" s="158"/>
      <c r="BP147" s="159"/>
      <c r="BQ147" s="126">
        <v>1</v>
      </c>
      <c r="BR147" s="160"/>
      <c r="BS147" s="162"/>
      <c r="BT147" s="125"/>
      <c r="BU147" s="158"/>
      <c r="BV147" s="159"/>
      <c r="BW147" s="126">
        <v>1</v>
      </c>
      <c r="BX147" s="160"/>
      <c r="BY147" s="162"/>
      <c r="BZ147" s="133"/>
      <c r="CA147" s="134"/>
      <c r="CB147" s="165"/>
      <c r="CC147" s="170">
        <f t="shared" si="59"/>
        <v>1</v>
      </c>
      <c r="CD147" s="171">
        <f t="shared" si="60"/>
        <v>2</v>
      </c>
      <c r="CE147" s="171">
        <f t="shared" si="61"/>
        <v>0</v>
      </c>
      <c r="CF147" s="171">
        <f t="shared" si="62"/>
        <v>10</v>
      </c>
      <c r="CG147" s="171">
        <f t="shared" si="63"/>
        <v>0</v>
      </c>
      <c r="CH147" s="172">
        <f t="shared" si="64"/>
        <v>0</v>
      </c>
    </row>
    <row r="148" spans="1:86" s="1" customFormat="1" ht="24" customHeight="1" x14ac:dyDescent="0.2">
      <c r="A148" s="178" t="s">
        <v>51</v>
      </c>
      <c r="B148" s="141" t="s">
        <v>33</v>
      </c>
      <c r="C148" s="139" t="s">
        <v>565</v>
      </c>
      <c r="D148" s="141" t="s">
        <v>441</v>
      </c>
      <c r="E148" s="152" t="s">
        <v>297</v>
      </c>
      <c r="F148" s="125"/>
      <c r="G148" s="158">
        <v>1</v>
      </c>
      <c r="H148" s="159"/>
      <c r="I148" s="126">
        <v>1</v>
      </c>
      <c r="J148" s="160"/>
      <c r="K148" s="162"/>
      <c r="L148" s="125"/>
      <c r="M148" s="158"/>
      <c r="N148" s="159"/>
      <c r="O148" s="126"/>
      <c r="P148" s="160"/>
      <c r="Q148" s="162"/>
      <c r="R148" s="125"/>
      <c r="S148" s="158"/>
      <c r="T148" s="159"/>
      <c r="U148" s="126">
        <v>1</v>
      </c>
      <c r="V148" s="160"/>
      <c r="W148" s="162"/>
      <c r="X148" s="125"/>
      <c r="Y148" s="158"/>
      <c r="Z148" s="159"/>
      <c r="AA148" s="126">
        <v>1</v>
      </c>
      <c r="AB148" s="160"/>
      <c r="AC148" s="162"/>
      <c r="AD148" s="125"/>
      <c r="AE148" s="158"/>
      <c r="AF148" s="159"/>
      <c r="AG148" s="126">
        <v>1</v>
      </c>
      <c r="AH148" s="160"/>
      <c r="AI148" s="162"/>
      <c r="AJ148" s="125"/>
      <c r="AK148" s="158"/>
      <c r="AL148" s="159"/>
      <c r="AM148" s="126">
        <v>1</v>
      </c>
      <c r="AN148" s="160"/>
      <c r="AO148" s="162"/>
      <c r="AP148" s="125"/>
      <c r="AQ148" s="158"/>
      <c r="AR148" s="159"/>
      <c r="AS148" s="126"/>
      <c r="AT148" s="160"/>
      <c r="AU148" s="162"/>
      <c r="AV148" s="125"/>
      <c r="AW148" s="158"/>
      <c r="AX148" s="159"/>
      <c r="AY148" s="126">
        <v>1</v>
      </c>
      <c r="AZ148" s="160"/>
      <c r="BA148" s="162"/>
      <c r="BB148" s="125"/>
      <c r="BC148" s="158"/>
      <c r="BD148" s="159"/>
      <c r="BE148" s="126">
        <v>1</v>
      </c>
      <c r="BF148" s="160"/>
      <c r="BG148" s="162">
        <v>1</v>
      </c>
      <c r="BH148" s="125"/>
      <c r="BI148" s="158"/>
      <c r="BJ148" s="159"/>
      <c r="BK148" s="126">
        <v>1</v>
      </c>
      <c r="BL148" s="160"/>
      <c r="BM148" s="162"/>
      <c r="BN148" s="125"/>
      <c r="BO148" s="158"/>
      <c r="BP148" s="159"/>
      <c r="BQ148" s="126">
        <v>1</v>
      </c>
      <c r="BR148" s="160"/>
      <c r="BS148" s="162"/>
      <c r="BT148" s="125"/>
      <c r="BU148" s="158"/>
      <c r="BV148" s="159"/>
      <c r="BW148" s="126"/>
      <c r="BX148" s="160"/>
      <c r="BY148" s="162"/>
      <c r="BZ148" s="133"/>
      <c r="CA148" s="134"/>
      <c r="CB148" s="165"/>
      <c r="CC148" s="170">
        <f t="shared" si="59"/>
        <v>0</v>
      </c>
      <c r="CD148" s="171">
        <f t="shared" si="60"/>
        <v>1</v>
      </c>
      <c r="CE148" s="171">
        <f t="shared" si="61"/>
        <v>0</v>
      </c>
      <c r="CF148" s="171">
        <f t="shared" si="62"/>
        <v>9</v>
      </c>
      <c r="CG148" s="171">
        <f t="shared" si="63"/>
        <v>0</v>
      </c>
      <c r="CH148" s="172">
        <f t="shared" si="64"/>
        <v>1</v>
      </c>
    </row>
    <row r="149" spans="1:86" s="1" customFormat="1" ht="24" customHeight="1" x14ac:dyDescent="0.2">
      <c r="A149" s="176" t="s">
        <v>35</v>
      </c>
      <c r="B149" s="141" t="s">
        <v>102</v>
      </c>
      <c r="C149" s="139" t="s">
        <v>566</v>
      </c>
      <c r="D149" s="141" t="s">
        <v>352</v>
      </c>
      <c r="E149" s="152" t="s">
        <v>297</v>
      </c>
      <c r="F149" s="125"/>
      <c r="G149" s="158"/>
      <c r="H149" s="159"/>
      <c r="I149" s="126"/>
      <c r="J149" s="160"/>
      <c r="K149" s="162"/>
      <c r="L149" s="125"/>
      <c r="M149" s="158"/>
      <c r="N149" s="159"/>
      <c r="O149" s="126"/>
      <c r="P149" s="160"/>
      <c r="Q149" s="162"/>
      <c r="R149" s="125"/>
      <c r="S149" s="158"/>
      <c r="T149" s="159"/>
      <c r="U149" s="126"/>
      <c r="V149" s="160"/>
      <c r="W149" s="162"/>
      <c r="X149" s="125"/>
      <c r="Y149" s="158"/>
      <c r="Z149" s="159"/>
      <c r="AA149" s="126"/>
      <c r="AB149" s="160"/>
      <c r="AC149" s="162"/>
      <c r="AD149" s="125"/>
      <c r="AE149" s="158">
        <v>1</v>
      </c>
      <c r="AF149" s="159"/>
      <c r="AG149" s="126"/>
      <c r="AH149" s="160"/>
      <c r="AI149" s="162"/>
      <c r="AJ149" s="125"/>
      <c r="AK149" s="158"/>
      <c r="AL149" s="159"/>
      <c r="AM149" s="126"/>
      <c r="AN149" s="160"/>
      <c r="AO149" s="162"/>
      <c r="AP149" s="125"/>
      <c r="AQ149" s="158"/>
      <c r="AR149" s="159"/>
      <c r="AS149" s="126"/>
      <c r="AT149" s="160"/>
      <c r="AU149" s="162"/>
      <c r="AV149" s="125"/>
      <c r="AW149" s="158"/>
      <c r="AX149" s="159"/>
      <c r="AY149" s="126"/>
      <c r="AZ149" s="160"/>
      <c r="BA149" s="162"/>
      <c r="BB149" s="125"/>
      <c r="BC149" s="158"/>
      <c r="BD149" s="159"/>
      <c r="BE149" s="126"/>
      <c r="BF149" s="160"/>
      <c r="BG149" s="162"/>
      <c r="BH149" s="125"/>
      <c r="BI149" s="158"/>
      <c r="BJ149" s="159"/>
      <c r="BK149" s="126"/>
      <c r="BL149" s="160"/>
      <c r="BM149" s="162"/>
      <c r="BN149" s="125"/>
      <c r="BO149" s="158"/>
      <c r="BP149" s="159"/>
      <c r="BQ149" s="126"/>
      <c r="BR149" s="160"/>
      <c r="BS149" s="162"/>
      <c r="BT149" s="125"/>
      <c r="BU149" s="158"/>
      <c r="BV149" s="159"/>
      <c r="BW149" s="126"/>
      <c r="BX149" s="160"/>
      <c r="BY149" s="162"/>
      <c r="BZ149" s="133"/>
      <c r="CA149" s="134"/>
      <c r="CB149" s="165"/>
      <c r="CC149" s="170">
        <f t="shared" si="59"/>
        <v>0</v>
      </c>
      <c r="CD149" s="171">
        <f t="shared" si="60"/>
        <v>1</v>
      </c>
      <c r="CE149" s="171">
        <f t="shared" si="61"/>
        <v>0</v>
      </c>
      <c r="CF149" s="171">
        <f t="shared" si="62"/>
        <v>0</v>
      </c>
      <c r="CG149" s="171">
        <f t="shared" si="63"/>
        <v>0</v>
      </c>
      <c r="CH149" s="172">
        <f t="shared" si="64"/>
        <v>0</v>
      </c>
    </row>
    <row r="150" spans="1:86" s="1" customFormat="1" ht="24" customHeight="1" x14ac:dyDescent="0.2">
      <c r="A150" s="176" t="s">
        <v>35</v>
      </c>
      <c r="B150" s="141" t="s">
        <v>102</v>
      </c>
      <c r="C150" s="139" t="s">
        <v>567</v>
      </c>
      <c r="D150" s="141" t="s">
        <v>568</v>
      </c>
      <c r="E150" s="152" t="s">
        <v>294</v>
      </c>
      <c r="F150" s="125"/>
      <c r="G150" s="158">
        <v>1</v>
      </c>
      <c r="H150" s="159"/>
      <c r="I150" s="126"/>
      <c r="J150" s="160"/>
      <c r="K150" s="162"/>
      <c r="L150" s="125"/>
      <c r="M150" s="158"/>
      <c r="N150" s="159"/>
      <c r="O150" s="126"/>
      <c r="P150" s="160"/>
      <c r="Q150" s="162"/>
      <c r="R150" s="125"/>
      <c r="S150" s="158">
        <v>1</v>
      </c>
      <c r="T150" s="159"/>
      <c r="U150" s="126"/>
      <c r="V150" s="160"/>
      <c r="W150" s="162"/>
      <c r="X150" s="125"/>
      <c r="Y150" s="158">
        <v>4</v>
      </c>
      <c r="Z150" s="159">
        <v>1</v>
      </c>
      <c r="AA150" s="126"/>
      <c r="AB150" s="160"/>
      <c r="AC150" s="162"/>
      <c r="AD150" s="125"/>
      <c r="AE150" s="158"/>
      <c r="AF150" s="159"/>
      <c r="AG150" s="126"/>
      <c r="AH150" s="160"/>
      <c r="AI150" s="162"/>
      <c r="AJ150" s="125"/>
      <c r="AK150" s="158">
        <v>1</v>
      </c>
      <c r="AL150" s="159">
        <v>1</v>
      </c>
      <c r="AM150" s="126"/>
      <c r="AN150" s="160"/>
      <c r="AO150" s="162"/>
      <c r="AP150" s="125"/>
      <c r="AQ150" s="158"/>
      <c r="AR150" s="159"/>
      <c r="AS150" s="126"/>
      <c r="AT150" s="160"/>
      <c r="AU150" s="162"/>
      <c r="AV150" s="125"/>
      <c r="AW150" s="158"/>
      <c r="AX150" s="159"/>
      <c r="AY150" s="126"/>
      <c r="AZ150" s="160"/>
      <c r="BA150" s="162"/>
      <c r="BB150" s="125"/>
      <c r="BC150" s="158"/>
      <c r="BD150" s="159"/>
      <c r="BE150" s="126"/>
      <c r="BF150" s="160"/>
      <c r="BG150" s="162"/>
      <c r="BH150" s="125"/>
      <c r="BI150" s="158"/>
      <c r="BJ150" s="159"/>
      <c r="BK150" s="126"/>
      <c r="BL150" s="160"/>
      <c r="BM150" s="162"/>
      <c r="BN150" s="125"/>
      <c r="BO150" s="158">
        <v>2</v>
      </c>
      <c r="BP150" s="159"/>
      <c r="BQ150" s="126"/>
      <c r="BR150" s="160"/>
      <c r="BS150" s="162"/>
      <c r="BT150" s="125"/>
      <c r="BU150" s="158"/>
      <c r="BV150" s="159"/>
      <c r="BW150" s="126"/>
      <c r="BX150" s="160"/>
      <c r="BY150" s="162"/>
      <c r="BZ150" s="133"/>
      <c r="CA150" s="134"/>
      <c r="CB150" s="165"/>
      <c r="CC150" s="170">
        <f t="shared" si="59"/>
        <v>0</v>
      </c>
      <c r="CD150" s="171">
        <f t="shared" si="60"/>
        <v>9</v>
      </c>
      <c r="CE150" s="171">
        <f t="shared" si="61"/>
        <v>2</v>
      </c>
      <c r="CF150" s="171">
        <f t="shared" si="62"/>
        <v>0</v>
      </c>
      <c r="CG150" s="171">
        <f t="shared" si="63"/>
        <v>0</v>
      </c>
      <c r="CH150" s="172">
        <f t="shared" si="64"/>
        <v>0</v>
      </c>
    </row>
    <row r="151" spans="1:86" s="1" customFormat="1" ht="24" customHeight="1" x14ac:dyDescent="0.2">
      <c r="A151" s="176" t="s">
        <v>35</v>
      </c>
      <c r="B151" s="141" t="s">
        <v>33</v>
      </c>
      <c r="C151" s="139" t="s">
        <v>569</v>
      </c>
      <c r="D151" s="141" t="s">
        <v>395</v>
      </c>
      <c r="E151" s="152" t="s">
        <v>342</v>
      </c>
      <c r="F151" s="125"/>
      <c r="G151" s="158">
        <v>1</v>
      </c>
      <c r="H151" s="159"/>
      <c r="I151" s="126"/>
      <c r="J151" s="160"/>
      <c r="K151" s="162"/>
      <c r="L151" s="125"/>
      <c r="M151" s="158"/>
      <c r="N151" s="159"/>
      <c r="O151" s="126">
        <v>1</v>
      </c>
      <c r="P151" s="160"/>
      <c r="Q151" s="162"/>
      <c r="R151" s="125"/>
      <c r="S151" s="158"/>
      <c r="T151" s="159"/>
      <c r="U151" s="126"/>
      <c r="V151" s="160"/>
      <c r="W151" s="162"/>
      <c r="X151" s="125"/>
      <c r="Y151" s="158"/>
      <c r="Z151" s="159"/>
      <c r="AA151" s="126"/>
      <c r="AB151" s="160"/>
      <c r="AC151" s="162"/>
      <c r="AD151" s="125"/>
      <c r="AE151" s="158"/>
      <c r="AF151" s="159"/>
      <c r="AG151" s="126"/>
      <c r="AH151" s="160"/>
      <c r="AI151" s="162"/>
      <c r="AJ151" s="125"/>
      <c r="AK151" s="158"/>
      <c r="AL151" s="159"/>
      <c r="AM151" s="126"/>
      <c r="AN151" s="160"/>
      <c r="AO151" s="162"/>
      <c r="AP151" s="125"/>
      <c r="AQ151" s="158"/>
      <c r="AR151" s="159"/>
      <c r="AS151" s="126"/>
      <c r="AT151" s="160"/>
      <c r="AU151" s="162"/>
      <c r="AV151" s="125"/>
      <c r="AW151" s="158"/>
      <c r="AX151" s="159"/>
      <c r="AY151" s="126"/>
      <c r="AZ151" s="160"/>
      <c r="BA151" s="162"/>
      <c r="BB151" s="125"/>
      <c r="BC151" s="158"/>
      <c r="BD151" s="159"/>
      <c r="BE151" s="126"/>
      <c r="BF151" s="160"/>
      <c r="BG151" s="162"/>
      <c r="BH151" s="125"/>
      <c r="BI151" s="158"/>
      <c r="BJ151" s="159"/>
      <c r="BK151" s="126"/>
      <c r="BL151" s="160"/>
      <c r="BM151" s="162"/>
      <c r="BN151" s="125"/>
      <c r="BO151" s="158"/>
      <c r="BP151" s="159"/>
      <c r="BQ151" s="126"/>
      <c r="BR151" s="160"/>
      <c r="BS151" s="162"/>
      <c r="BT151" s="125"/>
      <c r="BU151" s="158"/>
      <c r="BV151" s="159"/>
      <c r="BW151" s="126"/>
      <c r="BX151" s="160"/>
      <c r="BY151" s="162"/>
      <c r="BZ151" s="133"/>
      <c r="CA151" s="134"/>
      <c r="CB151" s="165"/>
      <c r="CC151" s="170">
        <f t="shared" si="59"/>
        <v>0</v>
      </c>
      <c r="CD151" s="171">
        <f t="shared" si="60"/>
        <v>1</v>
      </c>
      <c r="CE151" s="171">
        <f t="shared" si="61"/>
        <v>0</v>
      </c>
      <c r="CF151" s="171">
        <f t="shared" si="62"/>
        <v>1</v>
      </c>
      <c r="CG151" s="171">
        <f t="shared" si="63"/>
        <v>0</v>
      </c>
      <c r="CH151" s="172">
        <f t="shared" si="64"/>
        <v>0</v>
      </c>
    </row>
    <row r="152" spans="1:86" s="1" customFormat="1" ht="24" customHeight="1" x14ac:dyDescent="0.2">
      <c r="A152" s="176" t="s">
        <v>35</v>
      </c>
      <c r="B152" s="141" t="s">
        <v>33</v>
      </c>
      <c r="C152" s="139" t="s">
        <v>570</v>
      </c>
      <c r="D152" s="141" t="s">
        <v>571</v>
      </c>
      <c r="E152" s="175" t="s">
        <v>289</v>
      </c>
      <c r="F152" s="125"/>
      <c r="G152" s="158"/>
      <c r="H152" s="159"/>
      <c r="I152" s="126"/>
      <c r="J152" s="160"/>
      <c r="K152" s="162"/>
      <c r="L152" s="125"/>
      <c r="M152" s="158"/>
      <c r="N152" s="159"/>
      <c r="O152" s="126"/>
      <c r="P152" s="160"/>
      <c r="Q152" s="162"/>
      <c r="R152" s="125"/>
      <c r="S152" s="158"/>
      <c r="T152" s="159"/>
      <c r="U152" s="126"/>
      <c r="V152" s="160"/>
      <c r="W152" s="162"/>
      <c r="X152" s="125"/>
      <c r="Y152" s="158"/>
      <c r="Z152" s="159"/>
      <c r="AA152" s="126"/>
      <c r="AB152" s="160"/>
      <c r="AC152" s="162"/>
      <c r="AD152" s="125"/>
      <c r="AE152" s="158"/>
      <c r="AF152" s="159"/>
      <c r="AG152" s="126"/>
      <c r="AH152" s="160"/>
      <c r="AI152" s="162"/>
      <c r="AJ152" s="125"/>
      <c r="AK152" s="158"/>
      <c r="AL152" s="159"/>
      <c r="AM152" s="126"/>
      <c r="AN152" s="160"/>
      <c r="AO152" s="162"/>
      <c r="AP152" s="125"/>
      <c r="AQ152" s="158"/>
      <c r="AR152" s="159"/>
      <c r="AS152" s="126"/>
      <c r="AT152" s="160"/>
      <c r="AU152" s="162"/>
      <c r="AV152" s="125"/>
      <c r="AW152" s="158"/>
      <c r="AX152" s="159"/>
      <c r="AY152" s="126"/>
      <c r="AZ152" s="160"/>
      <c r="BA152" s="162"/>
      <c r="BB152" s="125"/>
      <c r="BC152" s="158"/>
      <c r="BD152" s="159"/>
      <c r="BE152" s="126"/>
      <c r="BF152" s="160"/>
      <c r="BG152" s="162"/>
      <c r="BH152" s="125"/>
      <c r="BI152" s="158"/>
      <c r="BJ152" s="159"/>
      <c r="BK152" s="126"/>
      <c r="BL152" s="160"/>
      <c r="BM152" s="162"/>
      <c r="BN152" s="125"/>
      <c r="BO152" s="158"/>
      <c r="BP152" s="159"/>
      <c r="BQ152" s="126"/>
      <c r="BR152" s="160"/>
      <c r="BS152" s="162"/>
      <c r="BT152" s="125"/>
      <c r="BU152" s="158">
        <v>1</v>
      </c>
      <c r="BV152" s="159"/>
      <c r="BW152" s="126"/>
      <c r="BX152" s="160"/>
      <c r="BY152" s="162"/>
      <c r="BZ152" s="133"/>
      <c r="CA152" s="134"/>
      <c r="CB152" s="195"/>
      <c r="CC152" s="170">
        <f t="shared" si="59"/>
        <v>0</v>
      </c>
      <c r="CD152" s="171">
        <f t="shared" si="60"/>
        <v>1</v>
      </c>
      <c r="CE152" s="171">
        <f t="shared" si="61"/>
        <v>0</v>
      </c>
      <c r="CF152" s="171">
        <f t="shared" si="62"/>
        <v>0</v>
      </c>
      <c r="CG152" s="171">
        <f t="shared" si="63"/>
        <v>0</v>
      </c>
      <c r="CH152" s="172">
        <f t="shared" si="64"/>
        <v>0</v>
      </c>
    </row>
    <row r="153" spans="1:86" s="1" customFormat="1" ht="24" customHeight="1" x14ac:dyDescent="0.2">
      <c r="A153" s="174" t="s">
        <v>290</v>
      </c>
      <c r="B153" s="141" t="s">
        <v>291</v>
      </c>
      <c r="C153" s="139" t="s">
        <v>572</v>
      </c>
      <c r="D153" s="141" t="s">
        <v>450</v>
      </c>
      <c r="E153" s="152" t="s">
        <v>297</v>
      </c>
      <c r="F153" s="125"/>
      <c r="G153" s="158"/>
      <c r="H153" s="159"/>
      <c r="I153" s="126">
        <v>1</v>
      </c>
      <c r="J153" s="160"/>
      <c r="K153" s="162"/>
      <c r="L153" s="125"/>
      <c r="M153" s="158">
        <v>1</v>
      </c>
      <c r="N153" s="159">
        <v>1</v>
      </c>
      <c r="O153" s="126">
        <v>1</v>
      </c>
      <c r="P153" s="160"/>
      <c r="Q153" s="162"/>
      <c r="R153" s="125"/>
      <c r="S153" s="158"/>
      <c r="T153" s="159"/>
      <c r="U153" s="126">
        <v>1</v>
      </c>
      <c r="V153" s="160"/>
      <c r="W153" s="162"/>
      <c r="X153" s="125"/>
      <c r="Y153" s="158"/>
      <c r="Z153" s="159">
        <v>1</v>
      </c>
      <c r="AA153" s="126">
        <v>1</v>
      </c>
      <c r="AB153" s="160"/>
      <c r="AC153" s="162"/>
      <c r="AD153" s="125"/>
      <c r="AE153" s="158"/>
      <c r="AF153" s="159"/>
      <c r="AG153" s="126">
        <v>1</v>
      </c>
      <c r="AH153" s="160"/>
      <c r="AI153" s="162"/>
      <c r="AJ153" s="125"/>
      <c r="AK153" s="158">
        <v>2</v>
      </c>
      <c r="AL153" s="159">
        <v>1</v>
      </c>
      <c r="AM153" s="126">
        <v>1</v>
      </c>
      <c r="AN153" s="160"/>
      <c r="AO153" s="162"/>
      <c r="AP153" s="125"/>
      <c r="AQ153" s="158"/>
      <c r="AR153" s="159"/>
      <c r="AS153" s="126"/>
      <c r="AT153" s="160"/>
      <c r="AU153" s="162"/>
      <c r="AV153" s="125"/>
      <c r="AW153" s="158">
        <v>2</v>
      </c>
      <c r="AX153" s="159"/>
      <c r="AY153" s="126">
        <v>1</v>
      </c>
      <c r="AZ153" s="160"/>
      <c r="BA153" s="162"/>
      <c r="BB153" s="125"/>
      <c r="BC153" s="158"/>
      <c r="BD153" s="159"/>
      <c r="BE153" s="126">
        <v>1</v>
      </c>
      <c r="BF153" s="160"/>
      <c r="BG153" s="162"/>
      <c r="BH153" s="125"/>
      <c r="BI153" s="158">
        <v>1</v>
      </c>
      <c r="BJ153" s="159"/>
      <c r="BK153" s="126">
        <v>1</v>
      </c>
      <c r="BL153" s="160"/>
      <c r="BM153" s="162"/>
      <c r="BN153" s="125"/>
      <c r="BO153" s="158"/>
      <c r="BP153" s="159"/>
      <c r="BQ153" s="126">
        <v>1</v>
      </c>
      <c r="BR153" s="160"/>
      <c r="BS153" s="162"/>
      <c r="BT153" s="125"/>
      <c r="BU153" s="158"/>
      <c r="BV153" s="159"/>
      <c r="BW153" s="126">
        <v>2</v>
      </c>
      <c r="BX153" s="160"/>
      <c r="BY153" s="162"/>
      <c r="BZ153" s="133"/>
      <c r="CA153" s="134"/>
      <c r="CB153" s="165"/>
      <c r="CC153" s="170">
        <f t="shared" si="59"/>
        <v>0</v>
      </c>
      <c r="CD153" s="171">
        <f t="shared" si="60"/>
        <v>6</v>
      </c>
      <c r="CE153" s="171">
        <f t="shared" si="61"/>
        <v>3</v>
      </c>
      <c r="CF153" s="171">
        <f t="shared" si="62"/>
        <v>12</v>
      </c>
      <c r="CG153" s="171">
        <f t="shared" si="63"/>
        <v>0</v>
      </c>
      <c r="CH153" s="172">
        <f t="shared" si="64"/>
        <v>0</v>
      </c>
    </row>
    <row r="154" spans="1:86" s="1" customFormat="1" ht="24" customHeight="1" x14ac:dyDescent="0.2">
      <c r="A154" s="176" t="s">
        <v>35</v>
      </c>
      <c r="B154" s="141" t="s">
        <v>33</v>
      </c>
      <c r="C154" s="139" t="s">
        <v>573</v>
      </c>
      <c r="D154" s="139" t="s">
        <v>574</v>
      </c>
      <c r="E154" s="152" t="s">
        <v>294</v>
      </c>
      <c r="F154" s="125"/>
      <c r="G154" s="158"/>
      <c r="H154" s="159"/>
      <c r="I154" s="126"/>
      <c r="J154" s="160"/>
      <c r="K154" s="162"/>
      <c r="L154" s="125"/>
      <c r="M154" s="158">
        <v>2</v>
      </c>
      <c r="N154" s="159"/>
      <c r="O154" s="126"/>
      <c r="P154" s="160"/>
      <c r="Q154" s="162"/>
      <c r="R154" s="125"/>
      <c r="S154" s="158">
        <v>1</v>
      </c>
      <c r="T154" s="159"/>
      <c r="U154" s="126"/>
      <c r="V154" s="160"/>
      <c r="W154" s="162"/>
      <c r="X154" s="125"/>
      <c r="Y154" s="158"/>
      <c r="Z154" s="159"/>
      <c r="AA154" s="126"/>
      <c r="AB154" s="160"/>
      <c r="AC154" s="162"/>
      <c r="AD154" s="125"/>
      <c r="AE154" s="158"/>
      <c r="AF154" s="159"/>
      <c r="AG154" s="126"/>
      <c r="AH154" s="160"/>
      <c r="AI154" s="162"/>
      <c r="AJ154" s="125"/>
      <c r="AK154" s="158"/>
      <c r="AL154" s="159"/>
      <c r="AM154" s="126"/>
      <c r="AN154" s="160"/>
      <c r="AO154" s="162"/>
      <c r="AP154" s="125">
        <v>1</v>
      </c>
      <c r="AQ154" s="158">
        <v>2</v>
      </c>
      <c r="AR154" s="159"/>
      <c r="AS154" s="126"/>
      <c r="AT154" s="160"/>
      <c r="AU154" s="162"/>
      <c r="AV154" s="125"/>
      <c r="AW154" s="158">
        <v>1</v>
      </c>
      <c r="AX154" s="159"/>
      <c r="AY154" s="126"/>
      <c r="AZ154" s="160"/>
      <c r="BA154" s="162"/>
      <c r="BB154" s="125"/>
      <c r="BC154" s="158"/>
      <c r="BD154" s="159"/>
      <c r="BE154" s="126"/>
      <c r="BF154" s="160"/>
      <c r="BG154" s="162"/>
      <c r="BH154" s="125"/>
      <c r="BI154" s="158"/>
      <c r="BJ154" s="159"/>
      <c r="BK154" s="126"/>
      <c r="BL154" s="160"/>
      <c r="BM154" s="162"/>
      <c r="BN154" s="125"/>
      <c r="BO154" s="158"/>
      <c r="BP154" s="159"/>
      <c r="BQ154" s="126"/>
      <c r="BR154" s="160"/>
      <c r="BS154" s="162"/>
      <c r="BT154" s="125"/>
      <c r="BU154" s="158"/>
      <c r="BV154" s="159"/>
      <c r="BW154" s="126"/>
      <c r="BX154" s="160"/>
      <c r="BY154" s="162"/>
      <c r="BZ154" s="133"/>
      <c r="CA154" s="134"/>
      <c r="CB154" s="165"/>
      <c r="CC154" s="170">
        <f t="shared" si="59"/>
        <v>1</v>
      </c>
      <c r="CD154" s="171">
        <f t="shared" si="60"/>
        <v>6</v>
      </c>
      <c r="CE154" s="171">
        <f>SUM(H154,N154,T154,Z154,AF154,AL154,AR154,AX154,BD154,BJ154,BP154,BV154)</f>
        <v>0</v>
      </c>
      <c r="CF154" s="171">
        <f t="shared" si="62"/>
        <v>0</v>
      </c>
      <c r="CG154" s="171">
        <f t="shared" si="63"/>
        <v>0</v>
      </c>
      <c r="CH154" s="172">
        <f t="shared" si="64"/>
        <v>0</v>
      </c>
    </row>
    <row r="155" spans="1:86" s="1" customFormat="1" ht="24" customHeight="1" x14ac:dyDescent="0.2">
      <c r="A155" s="260" t="s">
        <v>329</v>
      </c>
      <c r="B155" s="141" t="s">
        <v>33</v>
      </c>
      <c r="C155" s="139" t="s">
        <v>575</v>
      </c>
      <c r="D155" s="141" t="s">
        <v>487</v>
      </c>
      <c r="E155" s="152" t="s">
        <v>407</v>
      </c>
      <c r="F155" s="125">
        <v>1</v>
      </c>
      <c r="G155" s="158">
        <v>2</v>
      </c>
      <c r="H155" s="159"/>
      <c r="I155" s="126"/>
      <c r="J155" s="160"/>
      <c r="K155" s="162"/>
      <c r="L155" s="125">
        <v>1</v>
      </c>
      <c r="M155" s="158">
        <v>1</v>
      </c>
      <c r="N155" s="159">
        <v>1</v>
      </c>
      <c r="O155" s="126"/>
      <c r="P155" s="160"/>
      <c r="Q155" s="162"/>
      <c r="R155" s="125"/>
      <c r="S155" s="158">
        <v>1</v>
      </c>
      <c r="T155" s="159"/>
      <c r="U155" s="126"/>
      <c r="V155" s="160"/>
      <c r="W155" s="162"/>
      <c r="X155" s="125"/>
      <c r="Y155" s="158">
        <v>2</v>
      </c>
      <c r="Z155" s="159"/>
      <c r="AA155" s="126"/>
      <c r="AB155" s="160"/>
      <c r="AC155" s="162"/>
      <c r="AD155" s="125"/>
      <c r="AE155" s="158"/>
      <c r="AF155" s="159"/>
      <c r="AG155" s="126"/>
      <c r="AH155" s="160"/>
      <c r="AI155" s="162"/>
      <c r="AJ155" s="125">
        <v>1</v>
      </c>
      <c r="AK155" s="158">
        <v>2</v>
      </c>
      <c r="AL155" s="159"/>
      <c r="AM155" s="126"/>
      <c r="AN155" s="160"/>
      <c r="AO155" s="162"/>
      <c r="AP155" s="125"/>
      <c r="AQ155" s="158"/>
      <c r="AR155" s="159"/>
      <c r="AS155" s="126"/>
      <c r="AT155" s="160"/>
      <c r="AU155" s="162"/>
      <c r="AV155" s="125"/>
      <c r="AW155" s="158"/>
      <c r="AX155" s="159"/>
      <c r="AY155" s="126"/>
      <c r="AZ155" s="160"/>
      <c r="BA155" s="162"/>
      <c r="BB155" s="125"/>
      <c r="BC155" s="158"/>
      <c r="BD155" s="159"/>
      <c r="BE155" s="126"/>
      <c r="BF155" s="160"/>
      <c r="BG155" s="162"/>
      <c r="BH155" s="125"/>
      <c r="BI155" s="158"/>
      <c r="BJ155" s="159"/>
      <c r="BK155" s="126"/>
      <c r="BL155" s="160"/>
      <c r="BM155" s="162"/>
      <c r="BN155" s="125"/>
      <c r="BO155" s="158"/>
      <c r="BP155" s="159"/>
      <c r="BQ155" s="126"/>
      <c r="BR155" s="160"/>
      <c r="BS155" s="162"/>
      <c r="BT155" s="125"/>
      <c r="BU155" s="158"/>
      <c r="BV155" s="159"/>
      <c r="BW155" s="126"/>
      <c r="BX155" s="160"/>
      <c r="BY155" s="162"/>
      <c r="BZ155" s="133"/>
      <c r="CA155" s="134"/>
      <c r="CB155" s="165"/>
      <c r="CC155" s="170">
        <f t="shared" si="59"/>
        <v>3</v>
      </c>
      <c r="CD155" s="171">
        <f t="shared" si="60"/>
        <v>8</v>
      </c>
      <c r="CE155" s="171">
        <f t="shared" si="61"/>
        <v>1</v>
      </c>
      <c r="CF155" s="171">
        <f t="shared" si="62"/>
        <v>0</v>
      </c>
      <c r="CG155" s="171">
        <f t="shared" si="63"/>
        <v>0</v>
      </c>
      <c r="CH155" s="172">
        <f t="shared" si="64"/>
        <v>0</v>
      </c>
    </row>
    <row r="156" spans="1:86" s="1" customFormat="1" ht="24" customHeight="1" x14ac:dyDescent="0.2">
      <c r="A156" s="239" t="s">
        <v>306</v>
      </c>
      <c r="B156" s="141" t="s">
        <v>306</v>
      </c>
      <c r="C156" s="139" t="s">
        <v>575</v>
      </c>
      <c r="D156" s="141" t="s">
        <v>487</v>
      </c>
      <c r="E156" s="152" t="s">
        <v>294</v>
      </c>
      <c r="F156" s="125"/>
      <c r="G156" s="158">
        <v>1</v>
      </c>
      <c r="H156" s="159"/>
      <c r="I156" s="126"/>
      <c r="J156" s="160"/>
      <c r="K156" s="162"/>
      <c r="L156" s="125"/>
      <c r="M156" s="158"/>
      <c r="N156" s="159"/>
      <c r="O156" s="126"/>
      <c r="P156" s="160"/>
      <c r="Q156" s="162"/>
      <c r="R156" s="125"/>
      <c r="S156" s="158"/>
      <c r="T156" s="159"/>
      <c r="U156" s="126"/>
      <c r="V156" s="160"/>
      <c r="W156" s="162"/>
      <c r="X156" s="125"/>
      <c r="Y156" s="158"/>
      <c r="Z156" s="159"/>
      <c r="AA156" s="126"/>
      <c r="AB156" s="160"/>
      <c r="AC156" s="162"/>
      <c r="AD156" s="125"/>
      <c r="AE156" s="158"/>
      <c r="AF156" s="159"/>
      <c r="AG156" s="126"/>
      <c r="AH156" s="160"/>
      <c r="AI156" s="162"/>
      <c r="AJ156" s="125"/>
      <c r="AK156" s="158"/>
      <c r="AL156" s="159"/>
      <c r="AM156" s="126"/>
      <c r="AN156" s="160"/>
      <c r="AO156" s="162"/>
      <c r="AP156" s="125"/>
      <c r="AQ156" s="158"/>
      <c r="AR156" s="159"/>
      <c r="AS156" s="126"/>
      <c r="AT156" s="160"/>
      <c r="AU156" s="162"/>
      <c r="AV156" s="125"/>
      <c r="AW156" s="158"/>
      <c r="AX156" s="159"/>
      <c r="AY156" s="126"/>
      <c r="AZ156" s="160"/>
      <c r="BA156" s="162"/>
      <c r="BB156" s="125"/>
      <c r="BC156" s="158"/>
      <c r="BD156" s="159"/>
      <c r="BE156" s="126"/>
      <c r="BF156" s="160"/>
      <c r="BG156" s="162"/>
      <c r="BH156" s="125"/>
      <c r="BI156" s="158"/>
      <c r="BJ156" s="159"/>
      <c r="BK156" s="126"/>
      <c r="BL156" s="160"/>
      <c r="BM156" s="162"/>
      <c r="BN156" s="125"/>
      <c r="BO156" s="158"/>
      <c r="BP156" s="159"/>
      <c r="BQ156" s="126"/>
      <c r="BR156" s="160"/>
      <c r="BS156" s="162"/>
      <c r="BT156" s="125"/>
      <c r="BU156" s="158"/>
      <c r="BV156" s="159"/>
      <c r="BW156" s="126"/>
      <c r="BX156" s="160"/>
      <c r="BY156" s="162"/>
      <c r="BZ156" s="133"/>
      <c r="CA156" s="134"/>
      <c r="CB156" s="165"/>
      <c r="CC156" s="170">
        <f t="shared" si="59"/>
        <v>0</v>
      </c>
      <c r="CD156" s="171">
        <f t="shared" si="60"/>
        <v>1</v>
      </c>
      <c r="CE156" s="171">
        <f t="shared" si="61"/>
        <v>0</v>
      </c>
      <c r="CF156" s="171">
        <f t="shared" si="62"/>
        <v>0</v>
      </c>
      <c r="CG156" s="171">
        <f t="shared" si="63"/>
        <v>0</v>
      </c>
      <c r="CH156" s="172">
        <f t="shared" si="64"/>
        <v>0</v>
      </c>
    </row>
    <row r="157" spans="1:86" s="1" customFormat="1" ht="24" customHeight="1" x14ac:dyDescent="0.2">
      <c r="A157" s="142" t="s">
        <v>329</v>
      </c>
      <c r="B157" s="139" t="s">
        <v>348</v>
      </c>
      <c r="C157" s="139" t="s">
        <v>576</v>
      </c>
      <c r="D157" s="139" t="s">
        <v>577</v>
      </c>
      <c r="E157" s="151" t="s">
        <v>297</v>
      </c>
      <c r="F157" s="125"/>
      <c r="G157" s="158">
        <v>2</v>
      </c>
      <c r="H157" s="159"/>
      <c r="I157" s="126"/>
      <c r="J157" s="160"/>
      <c r="K157" s="162"/>
      <c r="L157" s="125"/>
      <c r="M157" s="158">
        <v>1</v>
      </c>
      <c r="N157" s="159">
        <v>1</v>
      </c>
      <c r="O157" s="126"/>
      <c r="P157" s="160"/>
      <c r="Q157" s="162"/>
      <c r="R157" s="125"/>
      <c r="S157" s="158">
        <v>1</v>
      </c>
      <c r="T157" s="159"/>
      <c r="U157" s="126"/>
      <c r="V157" s="160"/>
      <c r="W157" s="162"/>
      <c r="X157" s="125"/>
      <c r="Y157" s="158">
        <v>2</v>
      </c>
      <c r="Z157" s="159"/>
      <c r="AA157" s="126"/>
      <c r="AB157" s="160"/>
      <c r="AC157" s="162"/>
      <c r="AD157" s="125"/>
      <c r="AE157" s="158"/>
      <c r="AF157" s="159"/>
      <c r="AG157" s="126"/>
      <c r="AH157" s="160"/>
      <c r="AI157" s="162"/>
      <c r="AJ157" s="125"/>
      <c r="AK157" s="158"/>
      <c r="AL157" s="159"/>
      <c r="AM157" s="126"/>
      <c r="AN157" s="160"/>
      <c r="AO157" s="162"/>
      <c r="AP157" s="125"/>
      <c r="AQ157" s="158"/>
      <c r="AR157" s="159"/>
      <c r="AS157" s="126"/>
      <c r="AT157" s="160"/>
      <c r="AU157" s="162"/>
      <c r="AV157" s="125"/>
      <c r="AW157" s="158"/>
      <c r="AX157" s="159"/>
      <c r="AY157" s="126"/>
      <c r="AZ157" s="160"/>
      <c r="BA157" s="162"/>
      <c r="BB157" s="125"/>
      <c r="BC157" s="158"/>
      <c r="BD157" s="159"/>
      <c r="BE157" s="126"/>
      <c r="BF157" s="160"/>
      <c r="BG157" s="162"/>
      <c r="BH157" s="125"/>
      <c r="BI157" s="158"/>
      <c r="BJ157" s="159"/>
      <c r="BK157" s="126"/>
      <c r="BL157" s="160"/>
      <c r="BM157" s="162"/>
      <c r="BN157" s="125"/>
      <c r="BO157" s="158"/>
      <c r="BP157" s="159"/>
      <c r="BQ157" s="126"/>
      <c r="BR157" s="160"/>
      <c r="BS157" s="162"/>
      <c r="BT157" s="125"/>
      <c r="BU157" s="158"/>
      <c r="BV157" s="159"/>
      <c r="BW157" s="126"/>
      <c r="BX157" s="160"/>
      <c r="BY157" s="162"/>
      <c r="BZ157" s="133"/>
      <c r="CA157" s="134"/>
      <c r="CB157" s="165"/>
      <c r="CC157" s="170">
        <f t="shared" si="59"/>
        <v>0</v>
      </c>
      <c r="CD157" s="171">
        <f t="shared" si="60"/>
        <v>6</v>
      </c>
      <c r="CE157" s="171">
        <f t="shared" si="61"/>
        <v>1</v>
      </c>
      <c r="CF157" s="171">
        <f t="shared" si="62"/>
        <v>0</v>
      </c>
      <c r="CG157" s="171">
        <f t="shared" si="63"/>
        <v>0</v>
      </c>
      <c r="CH157" s="172">
        <f t="shared" si="64"/>
        <v>0</v>
      </c>
    </row>
    <row r="158" spans="1:86" s="1" customFormat="1" ht="24" customHeight="1" x14ac:dyDescent="0.2">
      <c r="A158" s="176" t="s">
        <v>35</v>
      </c>
      <c r="B158" s="141" t="s">
        <v>33</v>
      </c>
      <c r="C158" s="139" t="s">
        <v>578</v>
      </c>
      <c r="D158" s="141" t="s">
        <v>545</v>
      </c>
      <c r="E158" s="152" t="s">
        <v>342</v>
      </c>
      <c r="F158" s="125">
        <v>1</v>
      </c>
      <c r="G158" s="158">
        <v>1</v>
      </c>
      <c r="H158" s="159"/>
      <c r="I158" s="126"/>
      <c r="J158" s="160"/>
      <c r="K158" s="162"/>
      <c r="L158" s="125"/>
      <c r="M158" s="158"/>
      <c r="N158" s="159"/>
      <c r="O158" s="126"/>
      <c r="P158" s="160"/>
      <c r="Q158" s="162"/>
      <c r="R158" s="125"/>
      <c r="S158" s="158"/>
      <c r="T158" s="159"/>
      <c r="U158" s="126"/>
      <c r="V158" s="160"/>
      <c r="W158" s="162"/>
      <c r="X158" s="125"/>
      <c r="Y158" s="158"/>
      <c r="Z158" s="159"/>
      <c r="AA158" s="126"/>
      <c r="AB158" s="160"/>
      <c r="AC158" s="162"/>
      <c r="AD158" s="125"/>
      <c r="AE158" s="158"/>
      <c r="AF158" s="159"/>
      <c r="AG158" s="126"/>
      <c r="AH158" s="160"/>
      <c r="AI158" s="162"/>
      <c r="AJ158" s="125"/>
      <c r="AK158" s="158"/>
      <c r="AL158" s="159"/>
      <c r="AM158" s="126"/>
      <c r="AN158" s="160"/>
      <c r="AO158" s="162"/>
      <c r="AP158" s="125"/>
      <c r="AQ158" s="158"/>
      <c r="AR158" s="159"/>
      <c r="AS158" s="126"/>
      <c r="AT158" s="160"/>
      <c r="AU158" s="162"/>
      <c r="AV158" s="125"/>
      <c r="AW158" s="158"/>
      <c r="AX158" s="159"/>
      <c r="AY158" s="126"/>
      <c r="AZ158" s="160"/>
      <c r="BA158" s="162"/>
      <c r="BB158" s="125"/>
      <c r="BC158" s="158"/>
      <c r="BD158" s="159"/>
      <c r="BE158" s="126"/>
      <c r="BF158" s="160"/>
      <c r="BG158" s="162"/>
      <c r="BH158" s="125"/>
      <c r="BI158" s="158"/>
      <c r="BJ158" s="159"/>
      <c r="BK158" s="126"/>
      <c r="BL158" s="160"/>
      <c r="BM158" s="162"/>
      <c r="BN158" s="125"/>
      <c r="BO158" s="158"/>
      <c r="BP158" s="159"/>
      <c r="BQ158" s="126"/>
      <c r="BR158" s="160"/>
      <c r="BS158" s="162"/>
      <c r="BT158" s="125"/>
      <c r="BU158" s="158"/>
      <c r="BV158" s="159"/>
      <c r="BW158" s="126"/>
      <c r="BX158" s="160"/>
      <c r="BY158" s="162"/>
      <c r="BZ158" s="133"/>
      <c r="CA158" s="134"/>
      <c r="CB158" s="195"/>
      <c r="CC158" s="170">
        <f t="shared" si="59"/>
        <v>1</v>
      </c>
      <c r="CD158" s="171">
        <f t="shared" si="60"/>
        <v>1</v>
      </c>
      <c r="CE158" s="171">
        <f t="shared" si="61"/>
        <v>0</v>
      </c>
      <c r="CF158" s="171">
        <f t="shared" si="62"/>
        <v>0</v>
      </c>
      <c r="CG158" s="171">
        <f t="shared" si="63"/>
        <v>0</v>
      </c>
      <c r="CH158" s="172">
        <f t="shared" si="64"/>
        <v>0</v>
      </c>
    </row>
    <row r="159" spans="1:86" s="1" customFormat="1" ht="24" customHeight="1" x14ac:dyDescent="0.2">
      <c r="A159" s="239" t="s">
        <v>306</v>
      </c>
      <c r="B159" s="141" t="s">
        <v>306</v>
      </c>
      <c r="C159" s="139" t="s">
        <v>579</v>
      </c>
      <c r="D159" s="141" t="s">
        <v>446</v>
      </c>
      <c r="E159" s="152" t="s">
        <v>302</v>
      </c>
      <c r="F159" s="125"/>
      <c r="G159" s="158">
        <v>1</v>
      </c>
      <c r="H159" s="159"/>
      <c r="I159" s="126"/>
      <c r="J159" s="160"/>
      <c r="K159" s="162"/>
      <c r="L159" s="125"/>
      <c r="M159" s="158"/>
      <c r="N159" s="159"/>
      <c r="O159" s="126"/>
      <c r="P159" s="160"/>
      <c r="Q159" s="162"/>
      <c r="R159" s="125"/>
      <c r="S159" s="158"/>
      <c r="T159" s="159"/>
      <c r="U159" s="126"/>
      <c r="V159" s="160"/>
      <c r="W159" s="162"/>
      <c r="X159" s="125"/>
      <c r="Y159" s="158"/>
      <c r="Z159" s="159"/>
      <c r="AA159" s="126"/>
      <c r="AB159" s="160"/>
      <c r="AC159" s="162"/>
      <c r="AD159" s="125"/>
      <c r="AE159" s="158"/>
      <c r="AF159" s="159"/>
      <c r="AG159" s="126"/>
      <c r="AH159" s="160"/>
      <c r="AI159" s="162"/>
      <c r="AJ159" s="125"/>
      <c r="AK159" s="158"/>
      <c r="AL159" s="159"/>
      <c r="AM159" s="126"/>
      <c r="AN159" s="160"/>
      <c r="AO159" s="162"/>
      <c r="AP159" s="125"/>
      <c r="AQ159" s="158"/>
      <c r="AR159" s="159"/>
      <c r="AS159" s="126"/>
      <c r="AT159" s="160"/>
      <c r="AU159" s="162"/>
      <c r="AV159" s="125"/>
      <c r="AW159" s="158"/>
      <c r="AX159" s="159"/>
      <c r="AY159" s="126"/>
      <c r="AZ159" s="160"/>
      <c r="BA159" s="162"/>
      <c r="BB159" s="125"/>
      <c r="BC159" s="158"/>
      <c r="BD159" s="159"/>
      <c r="BE159" s="126"/>
      <c r="BF159" s="160"/>
      <c r="BG159" s="162"/>
      <c r="BH159" s="125"/>
      <c r="BI159" s="158"/>
      <c r="BJ159" s="159"/>
      <c r="BK159" s="126"/>
      <c r="BL159" s="160"/>
      <c r="BM159" s="162"/>
      <c r="BN159" s="125"/>
      <c r="BO159" s="158"/>
      <c r="BP159" s="159"/>
      <c r="BQ159" s="126"/>
      <c r="BR159" s="160"/>
      <c r="BS159" s="162"/>
      <c r="BT159" s="125"/>
      <c r="BU159" s="158"/>
      <c r="BV159" s="159"/>
      <c r="BW159" s="126"/>
      <c r="BX159" s="160"/>
      <c r="BY159" s="162"/>
      <c r="BZ159" s="133"/>
      <c r="CA159" s="134"/>
      <c r="CB159" s="165"/>
      <c r="CC159" s="170">
        <f t="shared" si="59"/>
        <v>0</v>
      </c>
      <c r="CD159" s="171">
        <f t="shared" si="60"/>
        <v>1</v>
      </c>
      <c r="CE159" s="171">
        <f t="shared" si="61"/>
        <v>0</v>
      </c>
      <c r="CF159" s="171">
        <f t="shared" si="62"/>
        <v>0</v>
      </c>
      <c r="CG159" s="171">
        <f t="shared" si="63"/>
        <v>0</v>
      </c>
      <c r="CH159" s="172">
        <f t="shared" si="64"/>
        <v>0</v>
      </c>
    </row>
    <row r="160" spans="1:86" s="1" customFormat="1" ht="24" customHeight="1" x14ac:dyDescent="0.2">
      <c r="A160" s="177" t="s">
        <v>124</v>
      </c>
      <c r="B160" s="141" t="s">
        <v>33</v>
      </c>
      <c r="C160" s="139" t="s">
        <v>580</v>
      </c>
      <c r="D160" s="141" t="s">
        <v>377</v>
      </c>
      <c r="E160" s="152" t="s">
        <v>294</v>
      </c>
      <c r="F160" s="125"/>
      <c r="G160" s="158">
        <v>1</v>
      </c>
      <c r="H160" s="159"/>
      <c r="I160" s="126"/>
      <c r="J160" s="160"/>
      <c r="K160" s="162"/>
      <c r="L160" s="125"/>
      <c r="M160" s="158">
        <v>1</v>
      </c>
      <c r="N160" s="159">
        <v>1</v>
      </c>
      <c r="O160" s="126"/>
      <c r="P160" s="160"/>
      <c r="Q160" s="162"/>
      <c r="R160" s="125"/>
      <c r="S160" s="158">
        <v>1</v>
      </c>
      <c r="T160" s="159">
        <v>1</v>
      </c>
      <c r="U160" s="126"/>
      <c r="V160" s="160"/>
      <c r="W160" s="162"/>
      <c r="X160" s="125"/>
      <c r="Y160" s="158"/>
      <c r="Z160" s="159"/>
      <c r="AA160" s="126"/>
      <c r="AB160" s="160"/>
      <c r="AC160" s="162"/>
      <c r="AD160" s="125"/>
      <c r="AE160" s="158"/>
      <c r="AF160" s="159"/>
      <c r="AG160" s="126"/>
      <c r="AH160" s="160"/>
      <c r="AI160" s="162"/>
      <c r="AJ160" s="125"/>
      <c r="AK160" s="158">
        <v>3</v>
      </c>
      <c r="AL160" s="159">
        <v>1</v>
      </c>
      <c r="AM160" s="126"/>
      <c r="AN160" s="160"/>
      <c r="AO160" s="162"/>
      <c r="AP160" s="125"/>
      <c r="AQ160" s="158"/>
      <c r="AR160" s="159"/>
      <c r="AS160" s="126"/>
      <c r="AT160" s="160"/>
      <c r="AU160" s="162"/>
      <c r="AV160" s="125"/>
      <c r="AW160" s="158">
        <v>2</v>
      </c>
      <c r="AX160" s="159">
        <v>2</v>
      </c>
      <c r="AY160" s="126"/>
      <c r="AZ160" s="160"/>
      <c r="BA160" s="162"/>
      <c r="BB160" s="125"/>
      <c r="BC160" s="158"/>
      <c r="BD160" s="159"/>
      <c r="BE160" s="126"/>
      <c r="BF160" s="160"/>
      <c r="BG160" s="162"/>
      <c r="BH160" s="125"/>
      <c r="BI160" s="158"/>
      <c r="BJ160" s="159"/>
      <c r="BK160" s="126"/>
      <c r="BL160" s="160"/>
      <c r="BM160" s="162"/>
      <c r="BN160" s="125"/>
      <c r="BO160" s="158"/>
      <c r="BP160" s="159"/>
      <c r="BQ160" s="126"/>
      <c r="BR160" s="160"/>
      <c r="BS160" s="162"/>
      <c r="BT160" s="125"/>
      <c r="BU160" s="158">
        <v>2</v>
      </c>
      <c r="BV160" s="159">
        <v>1</v>
      </c>
      <c r="BW160" s="126"/>
      <c r="BX160" s="160"/>
      <c r="BY160" s="162"/>
      <c r="BZ160" s="133"/>
      <c r="CA160" s="134"/>
      <c r="CB160" s="195"/>
      <c r="CC160" s="170">
        <f t="shared" si="59"/>
        <v>0</v>
      </c>
      <c r="CD160" s="171">
        <f t="shared" si="60"/>
        <v>10</v>
      </c>
      <c r="CE160" s="171">
        <f t="shared" si="61"/>
        <v>6</v>
      </c>
      <c r="CF160" s="171">
        <f t="shared" si="62"/>
        <v>0</v>
      </c>
      <c r="CG160" s="171">
        <f t="shared" si="63"/>
        <v>0</v>
      </c>
      <c r="CH160" s="172">
        <f t="shared" si="64"/>
        <v>0</v>
      </c>
    </row>
    <row r="161" spans="1:86" s="1" customFormat="1" ht="24" customHeight="1" x14ac:dyDescent="0.2">
      <c r="A161" s="176" t="s">
        <v>35</v>
      </c>
      <c r="B161" s="141" t="s">
        <v>33</v>
      </c>
      <c r="C161" s="139" t="s">
        <v>581</v>
      </c>
      <c r="D161" s="139" t="s">
        <v>582</v>
      </c>
      <c r="E161" s="152" t="s">
        <v>294</v>
      </c>
      <c r="F161" s="348">
        <v>1</v>
      </c>
      <c r="G161" s="349">
        <v>1</v>
      </c>
      <c r="H161" s="350"/>
      <c r="I161" s="350"/>
      <c r="J161" s="350"/>
      <c r="K161" s="351"/>
      <c r="L161" s="348"/>
      <c r="M161" s="349"/>
      <c r="N161" s="350">
        <v>1</v>
      </c>
      <c r="O161" s="350"/>
      <c r="P161" s="350"/>
      <c r="Q161" s="351"/>
      <c r="R161" s="348"/>
      <c r="S161" s="349"/>
      <c r="T161" s="350"/>
      <c r="U161" s="350"/>
      <c r="V161" s="350"/>
      <c r="W161" s="351"/>
      <c r="X161" s="348"/>
      <c r="Y161" s="349"/>
      <c r="Z161" s="350"/>
      <c r="AA161" s="350"/>
      <c r="AB161" s="350"/>
      <c r="AC161" s="351"/>
      <c r="AD161" s="348"/>
      <c r="AE161" s="349"/>
      <c r="AF161" s="350"/>
      <c r="AG161" s="350"/>
      <c r="AH161" s="350"/>
      <c r="AI161" s="351"/>
      <c r="AJ161" s="348"/>
      <c r="AK161" s="349">
        <v>2</v>
      </c>
      <c r="AL161" s="350">
        <v>1</v>
      </c>
      <c r="AM161" s="350"/>
      <c r="AN161" s="350"/>
      <c r="AO161" s="351"/>
      <c r="AP161" s="348">
        <v>1</v>
      </c>
      <c r="AQ161" s="349">
        <v>1</v>
      </c>
      <c r="AR161" s="350">
        <v>1</v>
      </c>
      <c r="AS161" s="350"/>
      <c r="AT161" s="350"/>
      <c r="AU161" s="351">
        <v>1</v>
      </c>
      <c r="AV161" s="125"/>
      <c r="AW161" s="158">
        <v>2</v>
      </c>
      <c r="AX161" s="159"/>
      <c r="AY161" s="126"/>
      <c r="AZ161" s="160"/>
      <c r="BA161" s="162"/>
      <c r="BB161" s="125"/>
      <c r="BC161" s="158"/>
      <c r="BD161" s="159"/>
      <c r="BE161" s="126"/>
      <c r="BF161" s="160"/>
      <c r="BG161" s="162"/>
      <c r="BH161" s="125"/>
      <c r="BI161" s="158"/>
      <c r="BJ161" s="159"/>
      <c r="BK161" s="126"/>
      <c r="BL161" s="160"/>
      <c r="BM161" s="162"/>
      <c r="BN161" s="125">
        <v>2</v>
      </c>
      <c r="BO161" s="158">
        <v>3</v>
      </c>
      <c r="BP161" s="159">
        <v>1</v>
      </c>
      <c r="BQ161" s="126"/>
      <c r="BR161" s="160"/>
      <c r="BS161" s="162">
        <v>1</v>
      </c>
      <c r="BT161" s="125"/>
      <c r="BU161" s="158"/>
      <c r="BV161" s="159"/>
      <c r="BW161" s="126"/>
      <c r="BX161" s="160"/>
      <c r="BY161" s="162"/>
      <c r="BZ161" s="133"/>
      <c r="CA161" s="134"/>
      <c r="CB161" s="165"/>
      <c r="CC161" s="170">
        <f t="shared" si="59"/>
        <v>4</v>
      </c>
      <c r="CD161" s="171">
        <f t="shared" si="60"/>
        <v>9</v>
      </c>
      <c r="CE161" s="171">
        <f t="shared" si="61"/>
        <v>4</v>
      </c>
      <c r="CF161" s="171">
        <f t="shared" si="62"/>
        <v>0</v>
      </c>
      <c r="CG161" s="171">
        <f t="shared" si="63"/>
        <v>0</v>
      </c>
      <c r="CH161" s="172">
        <f t="shared" si="64"/>
        <v>2</v>
      </c>
    </row>
    <row r="162" spans="1:86" s="1" customFormat="1" ht="24" customHeight="1" x14ac:dyDescent="0.2">
      <c r="A162" s="185" t="s">
        <v>583</v>
      </c>
      <c r="B162" s="141" t="s">
        <v>584</v>
      </c>
      <c r="C162" s="139" t="s">
        <v>583</v>
      </c>
      <c r="D162" s="141" t="s">
        <v>585</v>
      </c>
      <c r="E162" s="152" t="s">
        <v>583</v>
      </c>
      <c r="F162" s="125"/>
      <c r="G162" s="158">
        <v>1</v>
      </c>
      <c r="H162" s="159"/>
      <c r="I162" s="126"/>
      <c r="J162" s="160"/>
      <c r="K162" s="162"/>
      <c r="L162" s="125"/>
      <c r="M162" s="158">
        <v>1</v>
      </c>
      <c r="N162" s="159"/>
      <c r="O162" s="126"/>
      <c r="P162" s="160"/>
      <c r="Q162" s="162"/>
      <c r="R162" s="125"/>
      <c r="S162" s="158"/>
      <c r="T162" s="159"/>
      <c r="U162" s="126"/>
      <c r="V162" s="160"/>
      <c r="W162" s="162"/>
      <c r="X162" s="125"/>
      <c r="Y162" s="158"/>
      <c r="Z162" s="159"/>
      <c r="AA162" s="126"/>
      <c r="AB162" s="160"/>
      <c r="AC162" s="162"/>
      <c r="AD162" s="125"/>
      <c r="AE162" s="158"/>
      <c r="AF162" s="159"/>
      <c r="AG162" s="126"/>
      <c r="AH162" s="160"/>
      <c r="AI162" s="162"/>
      <c r="AJ162" s="125"/>
      <c r="AK162" s="158"/>
      <c r="AL162" s="159"/>
      <c r="AM162" s="126"/>
      <c r="AN162" s="160"/>
      <c r="AO162" s="162"/>
      <c r="AP162" s="125"/>
      <c r="AQ162" s="158"/>
      <c r="AR162" s="159"/>
      <c r="AS162" s="126"/>
      <c r="AT162" s="160"/>
      <c r="AU162" s="162"/>
      <c r="AV162" s="125">
        <v>1</v>
      </c>
      <c r="AW162" s="158">
        <v>1</v>
      </c>
      <c r="AX162" s="159"/>
      <c r="AY162" s="126">
        <v>1</v>
      </c>
      <c r="AZ162" s="160"/>
      <c r="BA162" s="162"/>
      <c r="BB162" s="125">
        <v>8</v>
      </c>
      <c r="BC162" s="158">
        <v>2</v>
      </c>
      <c r="BD162" s="159"/>
      <c r="BE162" s="126"/>
      <c r="BF162" s="160"/>
      <c r="BG162" s="162"/>
      <c r="BH162" s="125"/>
      <c r="BI162" s="158">
        <v>1</v>
      </c>
      <c r="BJ162" s="159"/>
      <c r="BK162" s="126"/>
      <c r="BL162" s="160"/>
      <c r="BM162" s="162"/>
      <c r="BN162" s="125">
        <v>3</v>
      </c>
      <c r="BO162" s="158">
        <v>4</v>
      </c>
      <c r="BP162" s="159"/>
      <c r="BQ162" s="126"/>
      <c r="BR162" s="160"/>
      <c r="BS162" s="162"/>
      <c r="BT162" s="125"/>
      <c r="BU162" s="158">
        <v>1</v>
      </c>
      <c r="BV162" s="159"/>
      <c r="BW162" s="126"/>
      <c r="BX162" s="160"/>
      <c r="BY162" s="162"/>
      <c r="BZ162" s="133"/>
      <c r="CA162" s="134"/>
      <c r="CB162" s="165"/>
      <c r="CC162" s="170">
        <f t="shared" ref="CC162:CH162" si="65">SUM(F162,L162,R162,X162,AD162,AJ162,AP162,AV162,BB162,BH162,BN162,BT162)</f>
        <v>12</v>
      </c>
      <c r="CD162" s="171">
        <f t="shared" si="65"/>
        <v>11</v>
      </c>
      <c r="CE162" s="171">
        <f t="shared" si="65"/>
        <v>0</v>
      </c>
      <c r="CF162" s="171">
        <f t="shared" si="65"/>
        <v>1</v>
      </c>
      <c r="CG162" s="171">
        <f t="shared" si="65"/>
        <v>0</v>
      </c>
      <c r="CH162" s="172">
        <f t="shared" si="65"/>
        <v>0</v>
      </c>
    </row>
    <row r="163" spans="1:86" s="1" customFormat="1" ht="24" customHeight="1" x14ac:dyDescent="0.2">
      <c r="A163" s="142" t="s">
        <v>345</v>
      </c>
      <c r="B163" s="139" t="s">
        <v>33</v>
      </c>
      <c r="C163" s="139" t="s">
        <v>586</v>
      </c>
      <c r="D163" s="141" t="s">
        <v>587</v>
      </c>
      <c r="E163" s="152" t="s">
        <v>294</v>
      </c>
      <c r="F163" s="125"/>
      <c r="G163" s="158">
        <v>2</v>
      </c>
      <c r="H163" s="159"/>
      <c r="I163" s="126"/>
      <c r="J163" s="160"/>
      <c r="K163" s="162"/>
      <c r="L163" s="125">
        <v>1</v>
      </c>
      <c r="M163" s="158">
        <v>1</v>
      </c>
      <c r="N163" s="159">
        <v>1</v>
      </c>
      <c r="O163" s="126"/>
      <c r="P163" s="160"/>
      <c r="Q163" s="162"/>
      <c r="R163" s="125"/>
      <c r="S163" s="158">
        <v>1</v>
      </c>
      <c r="T163" s="159"/>
      <c r="U163" s="126"/>
      <c r="V163" s="160"/>
      <c r="W163" s="162"/>
      <c r="X163" s="125">
        <v>1</v>
      </c>
      <c r="Y163" s="158">
        <v>2</v>
      </c>
      <c r="Z163" s="159"/>
      <c r="AA163" s="126"/>
      <c r="AB163" s="160"/>
      <c r="AC163" s="162"/>
      <c r="AD163" s="125"/>
      <c r="AE163" s="158"/>
      <c r="AF163" s="159"/>
      <c r="AG163" s="126"/>
      <c r="AH163" s="160"/>
      <c r="AI163" s="162"/>
      <c r="AJ163" s="125"/>
      <c r="AK163" s="158">
        <v>2</v>
      </c>
      <c r="AL163" s="159"/>
      <c r="AM163" s="126"/>
      <c r="AN163" s="160"/>
      <c r="AO163" s="162"/>
      <c r="AP163" s="125"/>
      <c r="AQ163" s="158"/>
      <c r="AR163" s="159"/>
      <c r="AS163" s="126"/>
      <c r="AT163" s="160"/>
      <c r="AU163" s="162"/>
      <c r="AV163" s="125"/>
      <c r="AW163" s="158"/>
      <c r="AX163" s="159"/>
      <c r="AY163" s="126"/>
      <c r="AZ163" s="160"/>
      <c r="BA163" s="162"/>
      <c r="BB163" s="125"/>
      <c r="BC163" s="158"/>
      <c r="BD163" s="159"/>
      <c r="BE163" s="126"/>
      <c r="BF163" s="160"/>
      <c r="BG163" s="162"/>
      <c r="BH163" s="125"/>
      <c r="BI163" s="158"/>
      <c r="BJ163" s="159"/>
      <c r="BK163" s="126"/>
      <c r="BL163" s="160"/>
      <c r="BM163" s="162"/>
      <c r="BN163" s="125"/>
      <c r="BO163" s="158"/>
      <c r="BP163" s="159"/>
      <c r="BQ163" s="126"/>
      <c r="BR163" s="160"/>
      <c r="BS163" s="162"/>
      <c r="BT163" s="125"/>
      <c r="BU163" s="158"/>
      <c r="BV163" s="159"/>
      <c r="BW163" s="126"/>
      <c r="BX163" s="160"/>
      <c r="BY163" s="162"/>
      <c r="BZ163" s="133"/>
      <c r="CA163" s="134"/>
      <c r="CB163" s="165"/>
      <c r="CC163" s="170">
        <f t="shared" ref="CC163:CH171" si="66">SUM(F163,L163,R163,X163,AD163,AJ163,AP163,AV163,BB163,BH163,BN163,BT163)</f>
        <v>2</v>
      </c>
      <c r="CD163" s="171">
        <f t="shared" si="66"/>
        <v>8</v>
      </c>
      <c r="CE163" s="171">
        <f t="shared" si="66"/>
        <v>1</v>
      </c>
      <c r="CF163" s="171">
        <f t="shared" si="66"/>
        <v>0</v>
      </c>
      <c r="CG163" s="171">
        <f t="shared" si="66"/>
        <v>0</v>
      </c>
      <c r="CH163" s="172">
        <f t="shared" si="66"/>
        <v>0</v>
      </c>
    </row>
    <row r="164" spans="1:86" s="1" customFormat="1" ht="24" customHeight="1" x14ac:dyDescent="0.2">
      <c r="A164" s="176" t="s">
        <v>35</v>
      </c>
      <c r="B164" s="141" t="s">
        <v>33</v>
      </c>
      <c r="C164" s="139" t="s">
        <v>588</v>
      </c>
      <c r="D164" s="141" t="s">
        <v>311</v>
      </c>
      <c r="E164" s="152" t="s">
        <v>297</v>
      </c>
      <c r="F164" s="125">
        <v>1</v>
      </c>
      <c r="G164" s="158">
        <v>1</v>
      </c>
      <c r="H164" s="159"/>
      <c r="I164" s="126">
        <v>1</v>
      </c>
      <c r="J164" s="160"/>
      <c r="K164" s="162">
        <v>1</v>
      </c>
      <c r="L164" s="125"/>
      <c r="M164" s="158"/>
      <c r="N164" s="159"/>
      <c r="O164" s="126"/>
      <c r="P164" s="160"/>
      <c r="Q164" s="162"/>
      <c r="R164" s="125"/>
      <c r="S164" s="158"/>
      <c r="T164" s="159"/>
      <c r="U164" s="126"/>
      <c r="V164" s="160"/>
      <c r="W164" s="162"/>
      <c r="X164" s="125"/>
      <c r="Y164" s="158"/>
      <c r="Z164" s="159"/>
      <c r="AA164" s="126">
        <v>5</v>
      </c>
      <c r="AB164" s="160"/>
      <c r="AC164" s="162"/>
      <c r="AD164" s="125"/>
      <c r="AE164" s="158"/>
      <c r="AF164" s="159"/>
      <c r="AG164" s="126"/>
      <c r="AH164" s="160"/>
      <c r="AI164" s="162"/>
      <c r="AJ164" s="125"/>
      <c r="AK164" s="158"/>
      <c r="AL164" s="159"/>
      <c r="AM164" s="126"/>
      <c r="AN164" s="160"/>
      <c r="AO164" s="162"/>
      <c r="AP164" s="125"/>
      <c r="AQ164" s="158"/>
      <c r="AR164" s="159"/>
      <c r="AS164" s="126"/>
      <c r="AT164" s="160"/>
      <c r="AU164" s="162"/>
      <c r="AV164" s="125"/>
      <c r="AW164" s="158"/>
      <c r="AX164" s="159"/>
      <c r="AY164" s="126"/>
      <c r="AZ164" s="160"/>
      <c r="BA164" s="162"/>
      <c r="BB164" s="125"/>
      <c r="BC164" s="158"/>
      <c r="BD164" s="159"/>
      <c r="BE164" s="126"/>
      <c r="BF164" s="160"/>
      <c r="BG164" s="162"/>
      <c r="BH164" s="125"/>
      <c r="BI164" s="158"/>
      <c r="BJ164" s="159"/>
      <c r="BK164" s="126"/>
      <c r="BL164" s="160"/>
      <c r="BM164" s="162"/>
      <c r="BN164" s="125"/>
      <c r="BO164" s="158"/>
      <c r="BP164" s="159"/>
      <c r="BQ164" s="126"/>
      <c r="BR164" s="160"/>
      <c r="BS164" s="162"/>
      <c r="BT164" s="125"/>
      <c r="BU164" s="158"/>
      <c r="BV164" s="159"/>
      <c r="BW164" s="126"/>
      <c r="BX164" s="160"/>
      <c r="BY164" s="162"/>
      <c r="BZ164" s="133"/>
      <c r="CA164" s="134"/>
      <c r="CB164" s="165"/>
      <c r="CC164" s="170">
        <f t="shared" si="66"/>
        <v>1</v>
      </c>
      <c r="CD164" s="171">
        <f t="shared" si="66"/>
        <v>1</v>
      </c>
      <c r="CE164" s="171">
        <f t="shared" si="66"/>
        <v>0</v>
      </c>
      <c r="CF164" s="171">
        <f t="shared" si="66"/>
        <v>6</v>
      </c>
      <c r="CG164" s="171">
        <f t="shared" si="66"/>
        <v>0</v>
      </c>
      <c r="CH164" s="172">
        <f t="shared" si="66"/>
        <v>1</v>
      </c>
    </row>
    <row r="165" spans="1:86" s="1" customFormat="1" ht="24" customHeight="1" x14ac:dyDescent="0.2">
      <c r="A165" s="238" t="s">
        <v>306</v>
      </c>
      <c r="B165" s="141" t="s">
        <v>306</v>
      </c>
      <c r="C165" s="139" t="s">
        <v>589</v>
      </c>
      <c r="D165" s="141" t="s">
        <v>590</v>
      </c>
      <c r="E165" s="152" t="s">
        <v>383</v>
      </c>
      <c r="F165" s="125"/>
      <c r="G165" s="158"/>
      <c r="H165" s="159"/>
      <c r="I165" s="126"/>
      <c r="J165" s="160"/>
      <c r="K165" s="162"/>
      <c r="L165" s="125"/>
      <c r="M165" s="158"/>
      <c r="N165" s="159"/>
      <c r="O165" s="126"/>
      <c r="P165" s="160"/>
      <c r="Q165" s="162"/>
      <c r="R165" s="125"/>
      <c r="S165" s="158"/>
      <c r="T165" s="159"/>
      <c r="U165" s="126"/>
      <c r="V165" s="160"/>
      <c r="W165" s="162"/>
      <c r="X165" s="125"/>
      <c r="Y165" s="158"/>
      <c r="Z165" s="159"/>
      <c r="AA165" s="126"/>
      <c r="AB165" s="160"/>
      <c r="AC165" s="162"/>
      <c r="AD165" s="125"/>
      <c r="AE165" s="158"/>
      <c r="AF165" s="159"/>
      <c r="AG165" s="126"/>
      <c r="AH165" s="160"/>
      <c r="AI165" s="162"/>
      <c r="AJ165" s="125"/>
      <c r="AK165" s="158"/>
      <c r="AL165" s="159"/>
      <c r="AM165" s="126"/>
      <c r="AN165" s="160"/>
      <c r="AO165" s="162"/>
      <c r="AP165" s="125"/>
      <c r="AQ165" s="158"/>
      <c r="AR165" s="159"/>
      <c r="AS165" s="126"/>
      <c r="AT165" s="160"/>
      <c r="AU165" s="162"/>
      <c r="AV165" s="125"/>
      <c r="AW165" s="158"/>
      <c r="AX165" s="159"/>
      <c r="AY165" s="126"/>
      <c r="AZ165" s="160"/>
      <c r="BA165" s="162"/>
      <c r="BB165" s="125"/>
      <c r="BC165" s="158"/>
      <c r="BD165" s="159"/>
      <c r="BE165" s="126"/>
      <c r="BF165" s="160"/>
      <c r="BG165" s="162"/>
      <c r="BH165" s="125"/>
      <c r="BI165" s="158"/>
      <c r="BJ165" s="159"/>
      <c r="BK165" s="126"/>
      <c r="BL165" s="160"/>
      <c r="BM165" s="162"/>
      <c r="BN165" s="125"/>
      <c r="BO165" s="158"/>
      <c r="BP165" s="159"/>
      <c r="BQ165" s="126"/>
      <c r="BR165" s="160"/>
      <c r="BS165" s="162"/>
      <c r="BT165" s="125"/>
      <c r="BU165" s="158"/>
      <c r="BV165" s="159"/>
      <c r="BW165" s="126"/>
      <c r="BX165" s="160"/>
      <c r="BY165" s="162"/>
      <c r="BZ165" s="133"/>
      <c r="CA165" s="134"/>
      <c r="CB165" s="165"/>
      <c r="CC165" s="170">
        <f t="shared" si="66"/>
        <v>0</v>
      </c>
      <c r="CD165" s="171">
        <f t="shared" si="66"/>
        <v>0</v>
      </c>
      <c r="CE165" s="171">
        <f t="shared" si="66"/>
        <v>0</v>
      </c>
      <c r="CF165" s="171">
        <f t="shared" si="66"/>
        <v>0</v>
      </c>
      <c r="CG165" s="171">
        <f t="shared" si="66"/>
        <v>0</v>
      </c>
      <c r="CH165" s="172">
        <f t="shared" si="66"/>
        <v>0</v>
      </c>
    </row>
    <row r="166" spans="1:86" s="1" customFormat="1" ht="24" customHeight="1" x14ac:dyDescent="0.2">
      <c r="A166" s="142" t="s">
        <v>329</v>
      </c>
      <c r="B166" s="139" t="s">
        <v>33</v>
      </c>
      <c r="C166" s="139" t="s">
        <v>591</v>
      </c>
      <c r="D166" s="139" t="s">
        <v>301</v>
      </c>
      <c r="E166" s="151" t="s">
        <v>302</v>
      </c>
      <c r="F166" s="125"/>
      <c r="G166" s="158">
        <v>2</v>
      </c>
      <c r="H166" s="159"/>
      <c r="I166" s="126"/>
      <c r="J166" s="160"/>
      <c r="K166" s="162"/>
      <c r="L166" s="125">
        <v>1</v>
      </c>
      <c r="M166" s="158">
        <v>1</v>
      </c>
      <c r="N166" s="159">
        <v>1</v>
      </c>
      <c r="O166" s="126"/>
      <c r="P166" s="160"/>
      <c r="Q166" s="162"/>
      <c r="R166" s="125"/>
      <c r="S166" s="158">
        <v>1</v>
      </c>
      <c r="T166" s="159"/>
      <c r="U166" s="126"/>
      <c r="V166" s="160"/>
      <c r="W166" s="162"/>
      <c r="X166" s="125"/>
      <c r="Y166" s="158">
        <v>2</v>
      </c>
      <c r="Z166" s="159"/>
      <c r="AA166" s="126"/>
      <c r="AB166" s="160">
        <v>1</v>
      </c>
      <c r="AC166" s="162"/>
      <c r="AD166" s="125"/>
      <c r="AE166" s="158">
        <v>1</v>
      </c>
      <c r="AF166" s="159">
        <v>1</v>
      </c>
      <c r="AG166" s="126"/>
      <c r="AH166" s="160"/>
      <c r="AI166" s="162"/>
      <c r="AJ166" s="125"/>
      <c r="AK166" s="158">
        <v>2</v>
      </c>
      <c r="AL166" s="159"/>
      <c r="AM166" s="126"/>
      <c r="AN166" s="160"/>
      <c r="AO166" s="162"/>
      <c r="AP166" s="125"/>
      <c r="AQ166" s="158"/>
      <c r="AR166" s="159"/>
      <c r="AS166" s="126"/>
      <c r="AT166" s="160"/>
      <c r="AU166" s="162"/>
      <c r="AV166" s="125"/>
      <c r="AW166" s="158"/>
      <c r="AX166" s="159"/>
      <c r="AY166" s="126"/>
      <c r="AZ166" s="160"/>
      <c r="BA166" s="162"/>
      <c r="BB166" s="125"/>
      <c r="BC166" s="158"/>
      <c r="BD166" s="159"/>
      <c r="BE166" s="126"/>
      <c r="BF166" s="160"/>
      <c r="BG166" s="162"/>
      <c r="BH166" s="125"/>
      <c r="BI166" s="158"/>
      <c r="BJ166" s="159"/>
      <c r="BK166" s="126"/>
      <c r="BL166" s="160"/>
      <c r="BM166" s="162"/>
      <c r="BN166" s="125"/>
      <c r="BO166" s="158"/>
      <c r="BP166" s="159"/>
      <c r="BQ166" s="126"/>
      <c r="BR166" s="160"/>
      <c r="BS166" s="162"/>
      <c r="BT166" s="125"/>
      <c r="BU166" s="158"/>
      <c r="BV166" s="159"/>
      <c r="BW166" s="126"/>
      <c r="BX166" s="160"/>
      <c r="BY166" s="162"/>
      <c r="BZ166" s="133"/>
      <c r="CA166" s="134"/>
      <c r="CB166" s="165"/>
      <c r="CC166" s="170">
        <f t="shared" si="66"/>
        <v>1</v>
      </c>
      <c r="CD166" s="171">
        <f t="shared" si="66"/>
        <v>9</v>
      </c>
      <c r="CE166" s="171">
        <f t="shared" si="66"/>
        <v>2</v>
      </c>
      <c r="CF166" s="171">
        <f t="shared" si="66"/>
        <v>0</v>
      </c>
      <c r="CG166" s="171">
        <f t="shared" si="66"/>
        <v>1</v>
      </c>
      <c r="CH166" s="172">
        <f t="shared" si="66"/>
        <v>0</v>
      </c>
    </row>
    <row r="167" spans="1:86" s="1" customFormat="1" ht="24" customHeight="1" x14ac:dyDescent="0.2">
      <c r="A167" s="178" t="s">
        <v>51</v>
      </c>
      <c r="B167" s="139" t="s">
        <v>33</v>
      </c>
      <c r="C167" s="139" t="s">
        <v>591</v>
      </c>
      <c r="D167" s="139" t="s">
        <v>387</v>
      </c>
      <c r="E167" s="151" t="s">
        <v>302</v>
      </c>
      <c r="F167" s="362"/>
      <c r="G167" s="363"/>
      <c r="H167" s="364"/>
      <c r="I167" s="364"/>
      <c r="J167" s="364"/>
      <c r="K167" s="365"/>
      <c r="L167" s="362"/>
      <c r="M167" s="363"/>
      <c r="N167" s="364"/>
      <c r="O167" s="364"/>
      <c r="P167" s="364"/>
      <c r="Q167" s="365"/>
      <c r="R167" s="362"/>
      <c r="S167" s="363"/>
      <c r="T167" s="364"/>
      <c r="U167" s="364"/>
      <c r="V167" s="364"/>
      <c r="W167" s="365"/>
      <c r="X167" s="362"/>
      <c r="Y167" s="363"/>
      <c r="Z167" s="364"/>
      <c r="AA167" s="364"/>
      <c r="AB167" s="364"/>
      <c r="AC167" s="365"/>
      <c r="AD167" s="362"/>
      <c r="AE167" s="363"/>
      <c r="AF167" s="364"/>
      <c r="AG167" s="364"/>
      <c r="AH167" s="364"/>
      <c r="AI167" s="365"/>
      <c r="AJ167" s="362"/>
      <c r="AK167" s="363">
        <v>1</v>
      </c>
      <c r="AL167" s="364"/>
      <c r="AM167" s="364"/>
      <c r="AN167" s="364"/>
      <c r="AO167" s="365"/>
      <c r="AP167" s="125"/>
      <c r="AQ167" s="158">
        <v>1</v>
      </c>
      <c r="AR167" s="159">
        <v>1</v>
      </c>
      <c r="AS167" s="126"/>
      <c r="AT167" s="160"/>
      <c r="AU167" s="162"/>
      <c r="AV167" s="125"/>
      <c r="AW167" s="158">
        <v>3</v>
      </c>
      <c r="AX167" s="159"/>
      <c r="AY167" s="126"/>
      <c r="AZ167" s="160"/>
      <c r="BA167" s="162"/>
      <c r="BB167" s="125">
        <v>1</v>
      </c>
      <c r="BC167" s="158">
        <v>1</v>
      </c>
      <c r="BD167" s="159"/>
      <c r="BE167" s="126"/>
      <c r="BF167" s="160"/>
      <c r="BG167" s="162"/>
      <c r="BH167" s="125">
        <v>1</v>
      </c>
      <c r="BI167" s="158">
        <v>3</v>
      </c>
      <c r="BJ167" s="159"/>
      <c r="BK167" s="126"/>
      <c r="BL167" s="160"/>
      <c r="BM167" s="162"/>
      <c r="BN167" s="125"/>
      <c r="BO167" s="158">
        <v>1</v>
      </c>
      <c r="BP167" s="159"/>
      <c r="BQ167" s="126"/>
      <c r="BR167" s="160">
        <v>1</v>
      </c>
      <c r="BS167" s="162"/>
      <c r="BT167" s="125"/>
      <c r="BU167" s="158"/>
      <c r="BV167" s="159"/>
      <c r="BW167" s="126"/>
      <c r="BX167" s="160"/>
      <c r="BY167" s="162"/>
      <c r="BZ167" s="133"/>
      <c r="CA167" s="134"/>
      <c r="CB167" s="165"/>
      <c r="CC167" s="170">
        <f t="shared" ref="CC167:CH168" si="67">SUM(F167,L167,R167,X167,AD167,AJ167,AP167,AV167,BB167,BH167,BN167,BT167)</f>
        <v>2</v>
      </c>
      <c r="CD167" s="171">
        <f t="shared" si="67"/>
        <v>10</v>
      </c>
      <c r="CE167" s="171">
        <f t="shared" si="67"/>
        <v>1</v>
      </c>
      <c r="CF167" s="171">
        <f t="shared" si="67"/>
        <v>0</v>
      </c>
      <c r="CG167" s="171">
        <f t="shared" si="67"/>
        <v>1</v>
      </c>
      <c r="CH167" s="172">
        <f t="shared" si="67"/>
        <v>0</v>
      </c>
    </row>
    <row r="168" spans="1:86" s="1" customFormat="1" ht="24" customHeight="1" x14ac:dyDescent="0.2">
      <c r="A168" s="206" t="s">
        <v>148</v>
      </c>
      <c r="B168" s="141" t="s">
        <v>148</v>
      </c>
      <c r="C168" s="139" t="s">
        <v>592</v>
      </c>
      <c r="D168" s="141" t="s">
        <v>374</v>
      </c>
      <c r="E168" s="152" t="s">
        <v>302</v>
      </c>
      <c r="F168" s="125"/>
      <c r="G168" s="158"/>
      <c r="H168" s="159"/>
      <c r="I168" s="126"/>
      <c r="J168" s="160"/>
      <c r="K168" s="162"/>
      <c r="L168" s="125"/>
      <c r="M168" s="158"/>
      <c r="N168" s="159"/>
      <c r="O168" s="126"/>
      <c r="P168" s="160"/>
      <c r="Q168" s="162"/>
      <c r="R168" s="125"/>
      <c r="S168" s="158"/>
      <c r="T168" s="159"/>
      <c r="U168" s="126"/>
      <c r="V168" s="160"/>
      <c r="W168" s="162"/>
      <c r="X168" s="125"/>
      <c r="Y168" s="158"/>
      <c r="Z168" s="159"/>
      <c r="AA168" s="126"/>
      <c r="AB168" s="160"/>
      <c r="AC168" s="162"/>
      <c r="AD168" s="125"/>
      <c r="AE168" s="158"/>
      <c r="AF168" s="159"/>
      <c r="AG168" s="126"/>
      <c r="AH168" s="160"/>
      <c r="AI168" s="162"/>
      <c r="AJ168" s="125"/>
      <c r="AK168" s="158"/>
      <c r="AL168" s="159"/>
      <c r="AM168" s="126"/>
      <c r="AN168" s="160"/>
      <c r="AO168" s="162"/>
      <c r="AP168" s="125"/>
      <c r="AQ168" s="158"/>
      <c r="AR168" s="159"/>
      <c r="AS168" s="126"/>
      <c r="AT168" s="160"/>
      <c r="AU168" s="162"/>
      <c r="AV168" s="125"/>
      <c r="AW168" s="158">
        <v>1</v>
      </c>
      <c r="AX168" s="159"/>
      <c r="AY168" s="126"/>
      <c r="AZ168" s="160"/>
      <c r="BA168" s="162"/>
      <c r="BB168" s="125"/>
      <c r="BC168" s="158">
        <v>1</v>
      </c>
      <c r="BD168" s="159"/>
      <c r="BE168" s="126"/>
      <c r="BF168" s="160"/>
      <c r="BG168" s="162"/>
      <c r="BH168" s="125"/>
      <c r="BI168" s="158">
        <v>3</v>
      </c>
      <c r="BJ168" s="159"/>
      <c r="BK168" s="126"/>
      <c r="BL168" s="160"/>
      <c r="BM168" s="162"/>
      <c r="BN168" s="125"/>
      <c r="BO168" s="158"/>
      <c r="BP168" s="159">
        <v>1</v>
      </c>
      <c r="BQ168" s="126"/>
      <c r="BR168" s="160"/>
      <c r="BS168" s="162"/>
      <c r="BT168" s="125"/>
      <c r="BU168" s="158"/>
      <c r="BV168" s="159"/>
      <c r="BW168" s="126"/>
      <c r="BX168" s="160"/>
      <c r="BY168" s="162"/>
      <c r="BZ168" s="135"/>
      <c r="CA168" s="134"/>
      <c r="CB168" s="165"/>
      <c r="CC168" s="170">
        <f t="shared" si="67"/>
        <v>0</v>
      </c>
      <c r="CD168" s="171">
        <f t="shared" si="67"/>
        <v>5</v>
      </c>
      <c r="CE168" s="171">
        <f t="shared" si="67"/>
        <v>1</v>
      </c>
      <c r="CF168" s="171">
        <f t="shared" si="67"/>
        <v>0</v>
      </c>
      <c r="CG168" s="171">
        <f t="shared" si="67"/>
        <v>0</v>
      </c>
      <c r="CH168" s="172">
        <f t="shared" si="67"/>
        <v>0</v>
      </c>
    </row>
    <row r="169" spans="1:86" s="1" customFormat="1" ht="24" customHeight="1" x14ac:dyDescent="0.2">
      <c r="A169" s="142" t="s">
        <v>329</v>
      </c>
      <c r="B169" s="139" t="s">
        <v>86</v>
      </c>
      <c r="C169" s="139" t="s">
        <v>593</v>
      </c>
      <c r="D169" s="139" t="s">
        <v>594</v>
      </c>
      <c r="E169" s="151" t="s">
        <v>297</v>
      </c>
      <c r="F169" s="125"/>
      <c r="G169" s="158"/>
      <c r="H169" s="159"/>
      <c r="I169" s="126">
        <v>1</v>
      </c>
      <c r="J169" s="160"/>
      <c r="K169" s="162"/>
      <c r="L169" s="125"/>
      <c r="M169" s="158"/>
      <c r="N169" s="159"/>
      <c r="O169" s="126"/>
      <c r="P169" s="160"/>
      <c r="Q169" s="162"/>
      <c r="R169" s="125"/>
      <c r="S169" s="158"/>
      <c r="T169" s="159"/>
      <c r="U169" s="126"/>
      <c r="V169" s="160"/>
      <c r="W169" s="162"/>
      <c r="X169" s="125"/>
      <c r="Y169" s="158"/>
      <c r="Z169" s="159"/>
      <c r="AA169" s="126"/>
      <c r="AB169" s="160"/>
      <c r="AC169" s="162"/>
      <c r="AD169" s="125"/>
      <c r="AE169" s="158"/>
      <c r="AF169" s="159"/>
      <c r="AG169" s="126"/>
      <c r="AH169" s="160"/>
      <c r="AI169" s="162"/>
      <c r="AJ169" s="125"/>
      <c r="AK169" s="158"/>
      <c r="AL169" s="159"/>
      <c r="AM169" s="126"/>
      <c r="AN169" s="160"/>
      <c r="AO169" s="162"/>
      <c r="AP169" s="125"/>
      <c r="AQ169" s="158"/>
      <c r="AR169" s="159"/>
      <c r="AS169" s="126"/>
      <c r="AT169" s="160"/>
      <c r="AU169" s="162"/>
      <c r="AV169" s="125"/>
      <c r="AW169" s="158"/>
      <c r="AX169" s="159"/>
      <c r="AY169" s="126"/>
      <c r="AZ169" s="160"/>
      <c r="BA169" s="162"/>
      <c r="BB169" s="125"/>
      <c r="BC169" s="158"/>
      <c r="BD169" s="159"/>
      <c r="BE169" s="126"/>
      <c r="BF169" s="160"/>
      <c r="BG169" s="162"/>
      <c r="BH169" s="125"/>
      <c r="BI169" s="158"/>
      <c r="BJ169" s="159"/>
      <c r="BK169" s="126"/>
      <c r="BL169" s="160"/>
      <c r="BM169" s="162"/>
      <c r="BN169" s="125"/>
      <c r="BO169" s="158"/>
      <c r="BP169" s="159"/>
      <c r="BQ169" s="126"/>
      <c r="BR169" s="160"/>
      <c r="BS169" s="162"/>
      <c r="BT169" s="125"/>
      <c r="BU169" s="158"/>
      <c r="BV169" s="159"/>
      <c r="BW169" s="126"/>
      <c r="BX169" s="160"/>
      <c r="BY169" s="162"/>
      <c r="BZ169" s="133"/>
      <c r="CA169" s="134"/>
      <c r="CB169" s="165"/>
      <c r="CC169" s="170">
        <f t="shared" si="66"/>
        <v>0</v>
      </c>
      <c r="CD169" s="171">
        <f t="shared" si="66"/>
        <v>0</v>
      </c>
      <c r="CE169" s="171">
        <f t="shared" si="66"/>
        <v>0</v>
      </c>
      <c r="CF169" s="171">
        <f t="shared" si="66"/>
        <v>1</v>
      </c>
      <c r="CG169" s="171">
        <f t="shared" si="66"/>
        <v>0</v>
      </c>
      <c r="CH169" s="172">
        <f t="shared" si="66"/>
        <v>0</v>
      </c>
    </row>
    <row r="170" spans="1:86" s="1" customFormat="1" ht="24" customHeight="1" x14ac:dyDescent="0.2">
      <c r="A170" s="142" t="s">
        <v>329</v>
      </c>
      <c r="B170" s="141" t="s">
        <v>33</v>
      </c>
      <c r="C170" s="139" t="s">
        <v>595</v>
      </c>
      <c r="D170" s="141" t="s">
        <v>288</v>
      </c>
      <c r="E170" s="152" t="s">
        <v>407</v>
      </c>
      <c r="F170" s="125"/>
      <c r="G170" s="158">
        <v>2</v>
      </c>
      <c r="H170" s="159"/>
      <c r="I170" s="126"/>
      <c r="J170" s="160"/>
      <c r="K170" s="162"/>
      <c r="L170" s="125"/>
      <c r="M170" s="158">
        <v>1</v>
      </c>
      <c r="N170" s="159">
        <v>1</v>
      </c>
      <c r="O170" s="126"/>
      <c r="P170" s="160"/>
      <c r="Q170" s="162"/>
      <c r="R170" s="125">
        <v>1</v>
      </c>
      <c r="S170" s="158">
        <v>1</v>
      </c>
      <c r="T170" s="159"/>
      <c r="U170" s="126"/>
      <c r="V170" s="160"/>
      <c r="W170" s="162"/>
      <c r="X170" s="125">
        <v>1</v>
      </c>
      <c r="Y170" s="158">
        <v>2</v>
      </c>
      <c r="Z170" s="159"/>
      <c r="AA170" s="126"/>
      <c r="AB170" s="160"/>
      <c r="AC170" s="162"/>
      <c r="AD170" s="125"/>
      <c r="AE170" s="158"/>
      <c r="AF170" s="159"/>
      <c r="AG170" s="126"/>
      <c r="AH170" s="160"/>
      <c r="AI170" s="162"/>
      <c r="AJ170" s="125"/>
      <c r="AK170" s="158">
        <v>2</v>
      </c>
      <c r="AL170" s="159"/>
      <c r="AM170" s="126"/>
      <c r="AN170" s="160"/>
      <c r="AO170" s="162"/>
      <c r="AP170" s="125"/>
      <c r="AQ170" s="158"/>
      <c r="AR170" s="159"/>
      <c r="AS170" s="126"/>
      <c r="AT170" s="160"/>
      <c r="AU170" s="162"/>
      <c r="AV170" s="125"/>
      <c r="AW170" s="158"/>
      <c r="AX170" s="159"/>
      <c r="AY170" s="126"/>
      <c r="AZ170" s="160"/>
      <c r="BA170" s="162"/>
      <c r="BB170" s="125"/>
      <c r="BC170" s="158"/>
      <c r="BD170" s="159"/>
      <c r="BE170" s="126"/>
      <c r="BF170" s="160"/>
      <c r="BG170" s="162"/>
      <c r="BH170" s="125"/>
      <c r="BI170" s="158"/>
      <c r="BJ170" s="159"/>
      <c r="BK170" s="126"/>
      <c r="BL170" s="160"/>
      <c r="BM170" s="162"/>
      <c r="BN170" s="125"/>
      <c r="BO170" s="158"/>
      <c r="BP170" s="159"/>
      <c r="BQ170" s="126"/>
      <c r="BR170" s="160"/>
      <c r="BS170" s="162"/>
      <c r="BT170" s="125"/>
      <c r="BU170" s="158"/>
      <c r="BV170" s="159"/>
      <c r="BW170" s="126"/>
      <c r="BX170" s="160"/>
      <c r="BY170" s="162"/>
      <c r="BZ170" s="133"/>
      <c r="CA170" s="134"/>
      <c r="CB170" s="165"/>
      <c r="CC170" s="170">
        <f t="shared" si="66"/>
        <v>2</v>
      </c>
      <c r="CD170" s="171">
        <f t="shared" si="66"/>
        <v>8</v>
      </c>
      <c r="CE170" s="171">
        <f t="shared" si="66"/>
        <v>1</v>
      </c>
      <c r="CF170" s="171">
        <f t="shared" si="66"/>
        <v>0</v>
      </c>
      <c r="CG170" s="171">
        <f t="shared" si="66"/>
        <v>0</v>
      </c>
      <c r="CH170" s="172">
        <f t="shared" si="66"/>
        <v>0</v>
      </c>
    </row>
    <row r="171" spans="1:86" s="1" customFormat="1" ht="24" customHeight="1" x14ac:dyDescent="0.2">
      <c r="A171" s="176" t="s">
        <v>35</v>
      </c>
      <c r="B171" s="141" t="s">
        <v>33</v>
      </c>
      <c r="C171" s="139" t="s">
        <v>596</v>
      </c>
      <c r="D171" s="139" t="s">
        <v>301</v>
      </c>
      <c r="E171" s="152" t="s">
        <v>302</v>
      </c>
      <c r="F171" s="125"/>
      <c r="G171" s="158"/>
      <c r="H171" s="159"/>
      <c r="I171" s="126"/>
      <c r="J171" s="160"/>
      <c r="K171" s="162"/>
      <c r="L171" s="125"/>
      <c r="M171" s="158">
        <v>1</v>
      </c>
      <c r="N171" s="159"/>
      <c r="O171" s="126"/>
      <c r="P171" s="160"/>
      <c r="Q171" s="162"/>
      <c r="R171" s="125">
        <v>1</v>
      </c>
      <c r="S171" s="158">
        <v>6</v>
      </c>
      <c r="T171" s="159"/>
      <c r="U171" s="126"/>
      <c r="V171" s="160"/>
      <c r="W171" s="162"/>
      <c r="X171" s="125"/>
      <c r="Y171" s="158">
        <v>1</v>
      </c>
      <c r="Z171" s="159"/>
      <c r="AA171" s="126"/>
      <c r="AB171" s="160"/>
      <c r="AC171" s="162"/>
      <c r="AD171" s="125">
        <v>1</v>
      </c>
      <c r="AE171" s="158"/>
      <c r="AF171" s="159"/>
      <c r="AG171" s="126"/>
      <c r="AH171" s="160"/>
      <c r="AI171" s="162"/>
      <c r="AJ171" s="125"/>
      <c r="AK171" s="158">
        <v>2</v>
      </c>
      <c r="AL171" s="159">
        <v>1</v>
      </c>
      <c r="AM171" s="126"/>
      <c r="AN171" s="160"/>
      <c r="AO171" s="162"/>
      <c r="AP171" s="125"/>
      <c r="AQ171" s="158">
        <v>2</v>
      </c>
      <c r="AR171" s="159"/>
      <c r="AS171" s="126"/>
      <c r="AT171" s="160"/>
      <c r="AU171" s="162"/>
      <c r="AV171" s="125"/>
      <c r="AW171" s="158">
        <v>4</v>
      </c>
      <c r="AX171" s="159">
        <v>1</v>
      </c>
      <c r="AY171" s="126"/>
      <c r="AZ171" s="160"/>
      <c r="BA171" s="162"/>
      <c r="BB171" s="125"/>
      <c r="BC171" s="158"/>
      <c r="BD171" s="159"/>
      <c r="BE171" s="126"/>
      <c r="BF171" s="160"/>
      <c r="BG171" s="162"/>
      <c r="BH171" s="125">
        <v>1</v>
      </c>
      <c r="BI171" s="158">
        <v>1</v>
      </c>
      <c r="BJ171" s="159"/>
      <c r="BK171" s="126"/>
      <c r="BL171" s="160"/>
      <c r="BM171" s="162"/>
      <c r="BN171" s="125">
        <v>1</v>
      </c>
      <c r="BO171" s="158">
        <v>1</v>
      </c>
      <c r="BP171" s="159"/>
      <c r="BQ171" s="126"/>
      <c r="BR171" s="160">
        <v>1</v>
      </c>
      <c r="BS171" s="162"/>
      <c r="BT171" s="125">
        <v>2</v>
      </c>
      <c r="BU171" s="158">
        <v>5</v>
      </c>
      <c r="BV171" s="159"/>
      <c r="BW171" s="126"/>
      <c r="BX171" s="160"/>
      <c r="BY171" s="162"/>
      <c r="BZ171" s="133"/>
      <c r="CA171" s="134"/>
      <c r="CB171" s="165"/>
      <c r="CC171" s="170">
        <f t="shared" si="66"/>
        <v>6</v>
      </c>
      <c r="CD171" s="171">
        <f t="shared" si="66"/>
        <v>23</v>
      </c>
      <c r="CE171" s="171">
        <f t="shared" si="66"/>
        <v>2</v>
      </c>
      <c r="CF171" s="171">
        <f t="shared" si="66"/>
        <v>0</v>
      </c>
      <c r="CG171" s="171">
        <f t="shared" si="66"/>
        <v>1</v>
      </c>
      <c r="CH171" s="172">
        <f t="shared" si="66"/>
        <v>0</v>
      </c>
    </row>
    <row r="172" spans="1:86" s="1" customFormat="1" ht="24" customHeight="1" x14ac:dyDescent="0.2">
      <c r="A172" s="142" t="s">
        <v>345</v>
      </c>
      <c r="B172" s="141" t="s">
        <v>86</v>
      </c>
      <c r="C172" s="139" t="s">
        <v>597</v>
      </c>
      <c r="D172" s="141" t="s">
        <v>598</v>
      </c>
      <c r="E172" s="151" t="s">
        <v>289</v>
      </c>
      <c r="F172" s="125"/>
      <c r="G172" s="158">
        <v>2</v>
      </c>
      <c r="H172" s="159"/>
      <c r="I172" s="126">
        <v>1</v>
      </c>
      <c r="J172" s="160"/>
      <c r="K172" s="162"/>
      <c r="L172" s="125"/>
      <c r="M172" s="158">
        <v>1</v>
      </c>
      <c r="N172" s="159">
        <v>1</v>
      </c>
      <c r="O172" s="126"/>
      <c r="P172" s="160"/>
      <c r="Q172" s="162"/>
      <c r="R172" s="125"/>
      <c r="S172" s="158"/>
      <c r="T172" s="159"/>
      <c r="U172" s="126"/>
      <c r="V172" s="160"/>
      <c r="W172" s="162"/>
      <c r="X172" s="125"/>
      <c r="Y172" s="158"/>
      <c r="Z172" s="159"/>
      <c r="AA172" s="126"/>
      <c r="AB172" s="160"/>
      <c r="AC172" s="162"/>
      <c r="AD172" s="125"/>
      <c r="AE172" s="158"/>
      <c r="AF172" s="159"/>
      <c r="AG172" s="126"/>
      <c r="AH172" s="160"/>
      <c r="AI172" s="162"/>
      <c r="AJ172" s="125"/>
      <c r="AK172" s="158"/>
      <c r="AL172" s="159"/>
      <c r="AM172" s="126"/>
      <c r="AN172" s="160"/>
      <c r="AO172" s="162"/>
      <c r="AP172" s="125"/>
      <c r="AQ172" s="158"/>
      <c r="AR172" s="159"/>
      <c r="AS172" s="126"/>
      <c r="AT172" s="160"/>
      <c r="AU172" s="162"/>
      <c r="AV172" s="125"/>
      <c r="AW172" s="158"/>
      <c r="AX172" s="159"/>
      <c r="AY172" s="126"/>
      <c r="AZ172" s="160"/>
      <c r="BA172" s="162"/>
      <c r="BB172" s="125"/>
      <c r="BC172" s="158"/>
      <c r="BD172" s="159"/>
      <c r="BE172" s="126"/>
      <c r="BF172" s="160"/>
      <c r="BG172" s="162"/>
      <c r="BH172" s="125"/>
      <c r="BI172" s="158"/>
      <c r="BJ172" s="159"/>
      <c r="BK172" s="126"/>
      <c r="BL172" s="160"/>
      <c r="BM172" s="162"/>
      <c r="BN172" s="125"/>
      <c r="BO172" s="158"/>
      <c r="BP172" s="159"/>
      <c r="BQ172" s="126"/>
      <c r="BR172" s="160"/>
      <c r="BS172" s="162"/>
      <c r="BT172" s="125"/>
      <c r="BU172" s="158"/>
      <c r="BV172" s="159"/>
      <c r="BW172" s="126"/>
      <c r="BX172" s="160"/>
      <c r="BY172" s="162"/>
      <c r="BZ172" s="133"/>
      <c r="CA172" s="134"/>
      <c r="CB172" s="195"/>
      <c r="CC172" s="170">
        <f t="shared" ref="CC172:CH172" si="68">SUM(F172,L172,R172,X172,AD172,AJ172,AP172,AV172,BB172,BH172,BN172,BT172)</f>
        <v>0</v>
      </c>
      <c r="CD172" s="171">
        <f t="shared" si="68"/>
        <v>3</v>
      </c>
      <c r="CE172" s="171">
        <f t="shared" si="68"/>
        <v>1</v>
      </c>
      <c r="CF172" s="171">
        <f t="shared" si="68"/>
        <v>1</v>
      </c>
      <c r="CG172" s="171">
        <f t="shared" si="68"/>
        <v>0</v>
      </c>
      <c r="CH172" s="172">
        <f t="shared" si="68"/>
        <v>0</v>
      </c>
    </row>
    <row r="173" spans="1:86" s="1" customFormat="1" ht="24" customHeight="1" x14ac:dyDescent="0.2">
      <c r="A173" s="238" t="s">
        <v>306</v>
      </c>
      <c r="B173" s="141" t="s">
        <v>306</v>
      </c>
      <c r="C173" s="139" t="s">
        <v>599</v>
      </c>
      <c r="D173" s="141" t="s">
        <v>600</v>
      </c>
      <c r="E173" s="175" t="s">
        <v>418</v>
      </c>
      <c r="F173" s="125"/>
      <c r="G173" s="158"/>
      <c r="H173" s="159"/>
      <c r="I173" s="126"/>
      <c r="J173" s="160"/>
      <c r="K173" s="162"/>
      <c r="L173" s="125"/>
      <c r="M173" s="158"/>
      <c r="N173" s="159"/>
      <c r="O173" s="126"/>
      <c r="P173" s="160"/>
      <c r="Q173" s="162"/>
      <c r="R173" s="125"/>
      <c r="S173" s="158"/>
      <c r="T173" s="159"/>
      <c r="U173" s="126"/>
      <c r="V173" s="160"/>
      <c r="W173" s="162"/>
      <c r="X173" s="125"/>
      <c r="Y173" s="158"/>
      <c r="Z173" s="159"/>
      <c r="AA173" s="126"/>
      <c r="AB173" s="160"/>
      <c r="AC173" s="162"/>
      <c r="AD173" s="125"/>
      <c r="AE173" s="158"/>
      <c r="AF173" s="159"/>
      <c r="AG173" s="126"/>
      <c r="AH173" s="160"/>
      <c r="AI173" s="162"/>
      <c r="AJ173" s="125"/>
      <c r="AK173" s="158"/>
      <c r="AL173" s="159"/>
      <c r="AM173" s="126"/>
      <c r="AN173" s="160"/>
      <c r="AO173" s="162"/>
      <c r="AP173" s="125"/>
      <c r="AQ173" s="158"/>
      <c r="AR173" s="159"/>
      <c r="AS173" s="126"/>
      <c r="AT173" s="160"/>
      <c r="AU173" s="162"/>
      <c r="AV173" s="125"/>
      <c r="AW173" s="158"/>
      <c r="AX173" s="159"/>
      <c r="AY173" s="126"/>
      <c r="AZ173" s="160"/>
      <c r="BA173" s="162"/>
      <c r="BB173" s="125"/>
      <c r="BC173" s="158"/>
      <c r="BD173" s="159"/>
      <c r="BE173" s="126"/>
      <c r="BF173" s="160"/>
      <c r="BG173" s="162"/>
      <c r="BH173" s="125"/>
      <c r="BI173" s="158"/>
      <c r="BJ173" s="159"/>
      <c r="BK173" s="126"/>
      <c r="BL173" s="160"/>
      <c r="BM173" s="162"/>
      <c r="BN173" s="125"/>
      <c r="BO173" s="158"/>
      <c r="BP173" s="159"/>
      <c r="BQ173" s="126"/>
      <c r="BR173" s="160"/>
      <c r="BS173" s="162"/>
      <c r="BT173" s="125"/>
      <c r="BU173" s="158"/>
      <c r="BV173" s="159"/>
      <c r="BW173" s="126"/>
      <c r="BX173" s="160"/>
      <c r="BY173" s="162"/>
      <c r="BZ173" s="133"/>
      <c r="CA173" s="134"/>
      <c r="CB173" s="195"/>
      <c r="CC173" s="170">
        <f t="shared" ref="CC173:CC194" si="69">SUM(F173,L173,R173,X173,AD173,AJ173,AP173,AV173,BB173,BH173,BN173,BT173)</f>
        <v>0</v>
      </c>
      <c r="CD173" s="171">
        <f t="shared" ref="CD173:CD194" si="70">SUM(G173,M173,S173,Y173,AE173,AK173,AQ173,AW173,BC173,BI173,BO173,BU173)</f>
        <v>0</v>
      </c>
      <c r="CE173" s="171">
        <f t="shared" ref="CE173:CE194" si="71">SUM(H173,N173,T173,Z173,AF173,AL173,AR173,AX173,BD173,BJ173,BP173,BV173)</f>
        <v>0</v>
      </c>
      <c r="CF173" s="171">
        <f t="shared" ref="CF173:CF194" si="72">SUM(I173,O173,U173,AA173,AG173,AM173,AS173,AY173,BE173,BK173,BQ173,BW173)</f>
        <v>0</v>
      </c>
      <c r="CG173" s="171">
        <f t="shared" ref="CG173:CG194" si="73">SUM(J173,P173,V173,AB173,AH173,AN173,AT173,AZ173,BF173,BL173,BR173,BX173)</f>
        <v>0</v>
      </c>
      <c r="CH173" s="172">
        <f t="shared" ref="CH173:CH194" si="74">SUM(K173,Q173,W173,AC173,AI173,AO173,AU173,BA173,BG173,BM173,BS173,BY173)</f>
        <v>0</v>
      </c>
    </row>
    <row r="174" spans="1:86" s="1" customFormat="1" ht="24" customHeight="1" x14ac:dyDescent="0.2">
      <c r="A174" s="177" t="s">
        <v>124</v>
      </c>
      <c r="B174" s="141" t="s">
        <v>33</v>
      </c>
      <c r="C174" s="139" t="s">
        <v>601</v>
      </c>
      <c r="D174" s="141" t="s">
        <v>545</v>
      </c>
      <c r="E174" s="152" t="s">
        <v>302</v>
      </c>
      <c r="F174" s="125">
        <v>1</v>
      </c>
      <c r="G174" s="158">
        <v>1</v>
      </c>
      <c r="H174" s="159"/>
      <c r="I174" s="126"/>
      <c r="J174" s="160"/>
      <c r="K174" s="162"/>
      <c r="L174" s="125"/>
      <c r="M174" s="158"/>
      <c r="N174" s="159"/>
      <c r="O174" s="126"/>
      <c r="P174" s="160"/>
      <c r="Q174" s="162"/>
      <c r="R174" s="125"/>
      <c r="S174" s="158"/>
      <c r="T174" s="159"/>
      <c r="U174" s="126"/>
      <c r="V174" s="160"/>
      <c r="W174" s="162"/>
      <c r="X174" s="125"/>
      <c r="Y174" s="158"/>
      <c r="Z174" s="159"/>
      <c r="AA174" s="126"/>
      <c r="AB174" s="160"/>
      <c r="AC174" s="162"/>
      <c r="AD174" s="125"/>
      <c r="AE174" s="158"/>
      <c r="AF174" s="159"/>
      <c r="AG174" s="126"/>
      <c r="AH174" s="160"/>
      <c r="AI174" s="162"/>
      <c r="AJ174" s="125"/>
      <c r="AK174" s="158"/>
      <c r="AL174" s="159"/>
      <c r="AM174" s="126"/>
      <c r="AN174" s="160"/>
      <c r="AO174" s="162"/>
      <c r="AP174" s="125"/>
      <c r="AQ174" s="158"/>
      <c r="AR174" s="159"/>
      <c r="AS174" s="126"/>
      <c r="AT174" s="160"/>
      <c r="AU174" s="162"/>
      <c r="AV174" s="125"/>
      <c r="AW174" s="158"/>
      <c r="AX174" s="159"/>
      <c r="AY174" s="126"/>
      <c r="AZ174" s="160"/>
      <c r="BA174" s="162"/>
      <c r="BB174" s="125"/>
      <c r="BC174" s="158"/>
      <c r="BD174" s="159"/>
      <c r="BE174" s="126"/>
      <c r="BF174" s="160"/>
      <c r="BG174" s="162"/>
      <c r="BH174" s="125"/>
      <c r="BI174" s="158"/>
      <c r="BJ174" s="159"/>
      <c r="BK174" s="126"/>
      <c r="BL174" s="160"/>
      <c r="BM174" s="162"/>
      <c r="BN174" s="125"/>
      <c r="BO174" s="158">
        <v>1</v>
      </c>
      <c r="BP174" s="159"/>
      <c r="BQ174" s="126"/>
      <c r="BR174" s="160"/>
      <c r="BS174" s="162"/>
      <c r="BT174" s="125"/>
      <c r="BU174" s="158">
        <v>1</v>
      </c>
      <c r="BV174" s="159"/>
      <c r="BW174" s="126"/>
      <c r="BX174" s="160"/>
      <c r="BY174" s="162"/>
      <c r="BZ174" s="133"/>
      <c r="CA174" s="134"/>
      <c r="CB174" s="165"/>
      <c r="CC174" s="170">
        <f t="shared" si="69"/>
        <v>1</v>
      </c>
      <c r="CD174" s="171">
        <f t="shared" si="70"/>
        <v>3</v>
      </c>
      <c r="CE174" s="171">
        <f t="shared" si="71"/>
        <v>0</v>
      </c>
      <c r="CF174" s="171">
        <f t="shared" si="72"/>
        <v>0</v>
      </c>
      <c r="CG174" s="171">
        <f t="shared" si="73"/>
        <v>0</v>
      </c>
      <c r="CH174" s="172">
        <f t="shared" si="74"/>
        <v>0</v>
      </c>
    </row>
    <row r="175" spans="1:86" s="1" customFormat="1" ht="21.75" customHeight="1" x14ac:dyDescent="0.2">
      <c r="A175" s="177" t="s">
        <v>303</v>
      </c>
      <c r="B175" s="141" t="s">
        <v>33</v>
      </c>
      <c r="C175" s="139" t="s">
        <v>602</v>
      </c>
      <c r="D175" s="141" t="s">
        <v>450</v>
      </c>
      <c r="E175" s="152" t="s">
        <v>302</v>
      </c>
      <c r="F175" s="125"/>
      <c r="G175" s="158">
        <v>1</v>
      </c>
      <c r="H175" s="159"/>
      <c r="I175" s="126"/>
      <c r="J175" s="160"/>
      <c r="K175" s="162"/>
      <c r="L175" s="125"/>
      <c r="M175" s="158"/>
      <c r="N175" s="159">
        <v>1</v>
      </c>
      <c r="O175" s="126"/>
      <c r="P175" s="160"/>
      <c r="Q175" s="162"/>
      <c r="R175" s="125"/>
      <c r="S175" s="158">
        <v>1</v>
      </c>
      <c r="T175" s="159">
        <v>1</v>
      </c>
      <c r="U175" s="126"/>
      <c r="V175" s="160"/>
      <c r="W175" s="162"/>
      <c r="X175" s="125"/>
      <c r="Y175" s="158"/>
      <c r="Z175" s="159"/>
      <c r="AA175" s="126"/>
      <c r="AB175" s="160"/>
      <c r="AC175" s="162"/>
      <c r="AD175" s="125"/>
      <c r="AE175" s="158"/>
      <c r="AF175" s="159"/>
      <c r="AG175" s="126"/>
      <c r="AH175" s="160"/>
      <c r="AI175" s="162"/>
      <c r="AJ175" s="125">
        <v>1</v>
      </c>
      <c r="AK175" s="158">
        <v>3</v>
      </c>
      <c r="AL175" s="159">
        <v>1</v>
      </c>
      <c r="AM175" s="126"/>
      <c r="AN175" s="160"/>
      <c r="AO175" s="162"/>
      <c r="AP175" s="125"/>
      <c r="AQ175" s="158"/>
      <c r="AR175" s="159"/>
      <c r="AS175" s="126"/>
      <c r="AT175" s="160"/>
      <c r="AU175" s="162"/>
      <c r="AV175" s="125"/>
      <c r="AW175" s="158"/>
      <c r="AX175" s="159"/>
      <c r="AY175" s="126"/>
      <c r="AZ175" s="160"/>
      <c r="BA175" s="162"/>
      <c r="BB175" s="125">
        <v>1</v>
      </c>
      <c r="BC175" s="158">
        <v>1</v>
      </c>
      <c r="BD175" s="159"/>
      <c r="BE175" s="126"/>
      <c r="BF175" s="160"/>
      <c r="BG175" s="162"/>
      <c r="BH175" s="125"/>
      <c r="BI175" s="158"/>
      <c r="BJ175" s="159"/>
      <c r="BK175" s="126"/>
      <c r="BL175" s="160"/>
      <c r="BM175" s="162"/>
      <c r="BN175" s="125"/>
      <c r="BO175" s="158"/>
      <c r="BP175" s="159"/>
      <c r="BQ175" s="126"/>
      <c r="BR175" s="160"/>
      <c r="BS175" s="162"/>
      <c r="BT175" s="125"/>
      <c r="BU175" s="158"/>
      <c r="BV175" s="159"/>
      <c r="BW175" s="126"/>
      <c r="BX175" s="160"/>
      <c r="BY175" s="162"/>
      <c r="BZ175" s="133"/>
      <c r="CA175" s="134"/>
      <c r="CB175" s="165"/>
      <c r="CC175" s="170">
        <f t="shared" si="69"/>
        <v>2</v>
      </c>
      <c r="CD175" s="171">
        <f t="shared" si="70"/>
        <v>6</v>
      </c>
      <c r="CE175" s="171">
        <f t="shared" si="71"/>
        <v>3</v>
      </c>
      <c r="CF175" s="171">
        <f t="shared" si="72"/>
        <v>0</v>
      </c>
      <c r="CG175" s="171">
        <f t="shared" si="73"/>
        <v>0</v>
      </c>
      <c r="CH175" s="172">
        <f t="shared" si="74"/>
        <v>0</v>
      </c>
    </row>
    <row r="176" spans="1:86" s="1" customFormat="1" ht="24" customHeight="1" x14ac:dyDescent="0.2">
      <c r="A176" s="177" t="s">
        <v>303</v>
      </c>
      <c r="B176" s="141" t="s">
        <v>33</v>
      </c>
      <c r="C176" s="139" t="s">
        <v>602</v>
      </c>
      <c r="D176" s="141" t="s">
        <v>406</v>
      </c>
      <c r="E176" s="152" t="s">
        <v>302</v>
      </c>
      <c r="F176" s="125"/>
      <c r="G176" s="158">
        <v>1</v>
      </c>
      <c r="H176" s="159"/>
      <c r="I176" s="126"/>
      <c r="J176" s="160"/>
      <c r="K176" s="162"/>
      <c r="L176" s="125"/>
      <c r="M176" s="158">
        <v>1</v>
      </c>
      <c r="N176" s="159">
        <v>1</v>
      </c>
      <c r="O176" s="126"/>
      <c r="P176" s="160"/>
      <c r="Q176" s="162"/>
      <c r="R176" s="125">
        <v>1</v>
      </c>
      <c r="S176" s="158"/>
      <c r="T176" s="159"/>
      <c r="U176" s="126"/>
      <c r="V176" s="160"/>
      <c r="W176" s="162"/>
      <c r="X176" s="125"/>
      <c r="Y176" s="158">
        <v>2</v>
      </c>
      <c r="Z176" s="159">
        <v>1</v>
      </c>
      <c r="AA176" s="126"/>
      <c r="AB176" s="160"/>
      <c r="AC176" s="162"/>
      <c r="AD176" s="125"/>
      <c r="AE176" s="158">
        <v>1</v>
      </c>
      <c r="AF176" s="159"/>
      <c r="AG176" s="126"/>
      <c r="AH176" s="160"/>
      <c r="AI176" s="162"/>
      <c r="AJ176" s="125"/>
      <c r="AK176" s="158">
        <v>1</v>
      </c>
      <c r="AL176" s="159">
        <v>1</v>
      </c>
      <c r="AM176" s="126"/>
      <c r="AN176" s="160"/>
      <c r="AO176" s="162"/>
      <c r="AP176" s="348"/>
      <c r="AQ176" s="349"/>
      <c r="AR176" s="350"/>
      <c r="AS176" s="350"/>
      <c r="AT176" s="350"/>
      <c r="AU176" s="351"/>
      <c r="AV176" s="348"/>
      <c r="AW176" s="349"/>
      <c r="AX176" s="350"/>
      <c r="AY176" s="350"/>
      <c r="AZ176" s="350"/>
      <c r="BA176" s="351"/>
      <c r="BB176" s="348"/>
      <c r="BC176" s="349"/>
      <c r="BD176" s="350"/>
      <c r="BE176" s="350"/>
      <c r="BF176" s="350"/>
      <c r="BG176" s="351"/>
      <c r="BH176" s="348"/>
      <c r="BI176" s="349"/>
      <c r="BJ176" s="350"/>
      <c r="BK176" s="350"/>
      <c r="BL176" s="350"/>
      <c r="BM176" s="351"/>
      <c r="BN176" s="348"/>
      <c r="BO176" s="349"/>
      <c r="BP176" s="350"/>
      <c r="BQ176" s="350"/>
      <c r="BR176" s="350"/>
      <c r="BS176" s="351"/>
      <c r="BT176" s="348"/>
      <c r="BU176" s="349"/>
      <c r="BV176" s="350"/>
      <c r="BW176" s="350"/>
      <c r="BX176" s="350"/>
      <c r="BY176" s="351"/>
      <c r="BZ176" s="133"/>
      <c r="CA176" s="134"/>
      <c r="CB176" s="165"/>
      <c r="CC176" s="170">
        <f t="shared" si="69"/>
        <v>1</v>
      </c>
      <c r="CD176" s="171">
        <f t="shared" si="70"/>
        <v>6</v>
      </c>
      <c r="CE176" s="171">
        <f t="shared" si="71"/>
        <v>3</v>
      </c>
      <c r="CF176" s="171">
        <f t="shared" si="72"/>
        <v>0</v>
      </c>
      <c r="CG176" s="171">
        <f t="shared" si="73"/>
        <v>0</v>
      </c>
      <c r="CH176" s="172">
        <f t="shared" si="74"/>
        <v>0</v>
      </c>
    </row>
    <row r="177" spans="1:86" s="1" customFormat="1" ht="28.5" customHeight="1" x14ac:dyDescent="0.2">
      <c r="A177" s="176" t="s">
        <v>35</v>
      </c>
      <c r="B177" s="141" t="s">
        <v>33</v>
      </c>
      <c r="C177" s="139" t="s">
        <v>603</v>
      </c>
      <c r="D177" s="139" t="s">
        <v>604</v>
      </c>
      <c r="E177" s="152" t="s">
        <v>302</v>
      </c>
      <c r="F177" s="125"/>
      <c r="G177" s="158">
        <v>1</v>
      </c>
      <c r="H177" s="159"/>
      <c r="I177" s="126"/>
      <c r="J177" s="160"/>
      <c r="K177" s="162"/>
      <c r="L177" s="125"/>
      <c r="M177" s="158">
        <v>1</v>
      </c>
      <c r="N177" s="159">
        <v>1</v>
      </c>
      <c r="O177" s="126"/>
      <c r="P177" s="160"/>
      <c r="Q177" s="162"/>
      <c r="R177" s="125"/>
      <c r="S177" s="158">
        <v>1</v>
      </c>
      <c r="T177" s="159">
        <v>1</v>
      </c>
      <c r="U177" s="126"/>
      <c r="V177" s="160"/>
      <c r="W177" s="162"/>
      <c r="X177" s="125"/>
      <c r="Y177" s="158">
        <v>1</v>
      </c>
      <c r="Z177" s="159">
        <v>1</v>
      </c>
      <c r="AA177" s="126"/>
      <c r="AB177" s="160"/>
      <c r="AC177" s="162"/>
      <c r="AD177" s="125"/>
      <c r="AE177" s="158">
        <v>1</v>
      </c>
      <c r="AF177" s="159">
        <v>1</v>
      </c>
      <c r="AG177" s="126"/>
      <c r="AH177" s="160"/>
      <c r="AI177" s="162"/>
      <c r="AJ177" s="125"/>
      <c r="AK177" s="158">
        <v>3</v>
      </c>
      <c r="AL177" s="159">
        <v>1</v>
      </c>
      <c r="AM177" s="126"/>
      <c r="AN177" s="160"/>
      <c r="AO177" s="162"/>
      <c r="AP177" s="125">
        <v>1</v>
      </c>
      <c r="AQ177" s="158">
        <v>1</v>
      </c>
      <c r="AR177" s="159">
        <v>1</v>
      </c>
      <c r="AS177" s="126"/>
      <c r="AT177" s="160"/>
      <c r="AU177" s="162"/>
      <c r="AV177" s="125"/>
      <c r="AW177" s="158">
        <v>2</v>
      </c>
      <c r="AX177" s="159">
        <v>1</v>
      </c>
      <c r="AY177" s="126"/>
      <c r="AZ177" s="160"/>
      <c r="BA177" s="162"/>
      <c r="BB177" s="125"/>
      <c r="BC177" s="158">
        <v>1</v>
      </c>
      <c r="BD177" s="159"/>
      <c r="BE177" s="126"/>
      <c r="BF177" s="160"/>
      <c r="BG177" s="162"/>
      <c r="BH177" s="125"/>
      <c r="BI177" s="158">
        <v>2</v>
      </c>
      <c r="BJ177" s="159"/>
      <c r="BK177" s="126"/>
      <c r="BL177" s="160"/>
      <c r="BM177" s="162"/>
      <c r="BN177" s="125"/>
      <c r="BO177" s="158"/>
      <c r="BP177" s="159">
        <v>1</v>
      </c>
      <c r="BQ177" s="126"/>
      <c r="BR177" s="160"/>
      <c r="BS177" s="162"/>
      <c r="BT177" s="125">
        <v>3</v>
      </c>
      <c r="BU177" s="158">
        <v>2</v>
      </c>
      <c r="BV177" s="159"/>
      <c r="BW177" s="126"/>
      <c r="BX177" s="160"/>
      <c r="BY177" s="162"/>
      <c r="BZ177" s="133"/>
      <c r="CA177" s="134"/>
      <c r="CB177" s="165"/>
      <c r="CC177" s="170">
        <f t="shared" si="69"/>
        <v>4</v>
      </c>
      <c r="CD177" s="171">
        <f t="shared" si="70"/>
        <v>16</v>
      </c>
      <c r="CE177" s="171">
        <f t="shared" si="71"/>
        <v>8</v>
      </c>
      <c r="CF177" s="171">
        <f t="shared" si="72"/>
        <v>0</v>
      </c>
      <c r="CG177" s="171">
        <f t="shared" si="73"/>
        <v>0</v>
      </c>
      <c r="CH177" s="172">
        <f t="shared" si="74"/>
        <v>0</v>
      </c>
    </row>
    <row r="178" spans="1:86" s="1" customFormat="1" ht="24" customHeight="1" x14ac:dyDescent="0.2">
      <c r="A178" s="142" t="s">
        <v>329</v>
      </c>
      <c r="B178" s="141" t="s">
        <v>33</v>
      </c>
      <c r="C178" s="139" t="s">
        <v>605</v>
      </c>
      <c r="D178" s="141" t="s">
        <v>380</v>
      </c>
      <c r="E178" s="152" t="s">
        <v>294</v>
      </c>
      <c r="F178" s="125"/>
      <c r="G178" s="158">
        <v>2</v>
      </c>
      <c r="H178" s="159"/>
      <c r="I178" s="126"/>
      <c r="J178" s="160">
        <v>1</v>
      </c>
      <c r="K178" s="162"/>
      <c r="L178" s="125"/>
      <c r="M178" s="158">
        <v>1</v>
      </c>
      <c r="N178" s="159">
        <v>1</v>
      </c>
      <c r="O178" s="126"/>
      <c r="P178" s="160"/>
      <c r="Q178" s="162"/>
      <c r="R178" s="125"/>
      <c r="S178" s="158">
        <v>1</v>
      </c>
      <c r="T178" s="159"/>
      <c r="U178" s="126"/>
      <c r="V178" s="160"/>
      <c r="W178" s="162"/>
      <c r="X178" s="125">
        <v>1</v>
      </c>
      <c r="Y178" s="158">
        <v>2</v>
      </c>
      <c r="Z178" s="159"/>
      <c r="AA178" s="126"/>
      <c r="AB178" s="160"/>
      <c r="AC178" s="162"/>
      <c r="AD178" s="125"/>
      <c r="AE178" s="158"/>
      <c r="AF178" s="159"/>
      <c r="AG178" s="126"/>
      <c r="AH178" s="160"/>
      <c r="AI178" s="162"/>
      <c r="AJ178" s="125"/>
      <c r="AK178" s="158">
        <v>2</v>
      </c>
      <c r="AL178" s="159"/>
      <c r="AM178" s="126"/>
      <c r="AN178" s="160"/>
      <c r="AO178" s="162"/>
      <c r="AP178" s="125">
        <v>1</v>
      </c>
      <c r="AQ178" s="158"/>
      <c r="AR178" s="159"/>
      <c r="AS178" s="126"/>
      <c r="AT178" s="160"/>
      <c r="AU178" s="162"/>
      <c r="AV178" s="125"/>
      <c r="AW178" s="158"/>
      <c r="AX178" s="159"/>
      <c r="AY178" s="126"/>
      <c r="AZ178" s="160"/>
      <c r="BA178" s="162"/>
      <c r="BB178" s="125"/>
      <c r="BC178" s="158"/>
      <c r="BD178" s="159"/>
      <c r="BE178" s="126"/>
      <c r="BF178" s="160"/>
      <c r="BG178" s="162"/>
      <c r="BH178" s="125"/>
      <c r="BI178" s="158"/>
      <c r="BJ178" s="159"/>
      <c r="BK178" s="126"/>
      <c r="BL178" s="160"/>
      <c r="BM178" s="162"/>
      <c r="BN178" s="125"/>
      <c r="BO178" s="158"/>
      <c r="BP178" s="159"/>
      <c r="BQ178" s="126"/>
      <c r="BR178" s="160"/>
      <c r="BS178" s="162"/>
      <c r="BT178" s="125"/>
      <c r="BU178" s="158"/>
      <c r="BV178" s="159"/>
      <c r="BW178" s="126"/>
      <c r="BX178" s="160"/>
      <c r="BY178" s="162"/>
      <c r="BZ178" s="133"/>
      <c r="CA178" s="134"/>
      <c r="CB178" s="165"/>
      <c r="CC178" s="170">
        <f t="shared" si="69"/>
        <v>2</v>
      </c>
      <c r="CD178" s="171">
        <f t="shared" si="70"/>
        <v>8</v>
      </c>
      <c r="CE178" s="171">
        <f t="shared" si="71"/>
        <v>1</v>
      </c>
      <c r="CF178" s="171">
        <f t="shared" si="72"/>
        <v>0</v>
      </c>
      <c r="CG178" s="171">
        <f t="shared" si="73"/>
        <v>1</v>
      </c>
      <c r="CH178" s="172">
        <f t="shared" si="74"/>
        <v>0</v>
      </c>
    </row>
    <row r="179" spans="1:86" s="1" customFormat="1" ht="24" customHeight="1" x14ac:dyDescent="0.2">
      <c r="A179" s="142" t="s">
        <v>329</v>
      </c>
      <c r="B179" s="141" t="s">
        <v>33</v>
      </c>
      <c r="C179" s="139" t="s">
        <v>606</v>
      </c>
      <c r="D179" s="141" t="s">
        <v>365</v>
      </c>
      <c r="E179" s="152" t="s">
        <v>302</v>
      </c>
      <c r="F179" s="362"/>
      <c r="G179" s="158">
        <v>2</v>
      </c>
      <c r="H179" s="159"/>
      <c r="I179" s="126"/>
      <c r="J179" s="364"/>
      <c r="K179" s="365"/>
      <c r="L179" s="366" t="s">
        <v>11</v>
      </c>
      <c r="M179" s="367" t="s">
        <v>326</v>
      </c>
      <c r="N179" s="367" t="s">
        <v>326</v>
      </c>
      <c r="O179" s="367" t="s">
        <v>326</v>
      </c>
      <c r="P179" s="367" t="s">
        <v>326</v>
      </c>
      <c r="Q179" s="368" t="s">
        <v>326</v>
      </c>
      <c r="R179" s="362"/>
      <c r="S179" s="158">
        <v>1</v>
      </c>
      <c r="T179" s="159"/>
      <c r="U179" s="126"/>
      <c r="V179" s="364"/>
      <c r="W179" s="365"/>
      <c r="X179" s="362"/>
      <c r="Y179" s="158">
        <v>2</v>
      </c>
      <c r="Z179" s="159"/>
      <c r="AA179" s="364"/>
      <c r="AB179" s="364"/>
      <c r="AC179" s="162"/>
      <c r="AD179" s="125"/>
      <c r="AE179" s="158"/>
      <c r="AF179" s="159"/>
      <c r="AG179" s="126"/>
      <c r="AH179" s="160"/>
      <c r="AI179" s="162"/>
      <c r="AJ179" s="125"/>
      <c r="AK179" s="158">
        <v>2</v>
      </c>
      <c r="AL179" s="159"/>
      <c r="AM179" s="126"/>
      <c r="AN179" s="160"/>
      <c r="AO179" s="162"/>
      <c r="AP179" s="125"/>
      <c r="AQ179" s="158"/>
      <c r="AR179" s="159"/>
      <c r="AS179" s="126"/>
      <c r="AT179" s="160"/>
      <c r="AU179" s="162"/>
      <c r="AV179" s="125"/>
      <c r="AW179" s="158"/>
      <c r="AX179" s="159"/>
      <c r="AY179" s="126"/>
      <c r="AZ179" s="160"/>
      <c r="BA179" s="162"/>
      <c r="BB179" s="125"/>
      <c r="BC179" s="158"/>
      <c r="BD179" s="159"/>
      <c r="BE179" s="126"/>
      <c r="BF179" s="160"/>
      <c r="BG179" s="162"/>
      <c r="BH179" s="125"/>
      <c r="BI179" s="158"/>
      <c r="BJ179" s="159"/>
      <c r="BK179" s="126"/>
      <c r="BL179" s="160"/>
      <c r="BM179" s="162"/>
      <c r="BN179" s="125">
        <v>1</v>
      </c>
      <c r="BO179" s="158">
        <v>2</v>
      </c>
      <c r="BP179" s="159"/>
      <c r="BQ179" s="126"/>
      <c r="BR179" s="160"/>
      <c r="BS179" s="162"/>
      <c r="BT179" s="125"/>
      <c r="BU179" s="158">
        <v>2</v>
      </c>
      <c r="BV179" s="159"/>
      <c r="BW179" s="126"/>
      <c r="BX179" s="160"/>
      <c r="BY179" s="162"/>
      <c r="BZ179" s="133"/>
      <c r="CA179" s="134"/>
      <c r="CB179" s="165"/>
      <c r="CC179" s="170">
        <f t="shared" si="69"/>
        <v>1</v>
      </c>
      <c r="CD179" s="171">
        <f t="shared" si="70"/>
        <v>11</v>
      </c>
      <c r="CE179" s="171">
        <f t="shared" si="71"/>
        <v>0</v>
      </c>
      <c r="CF179" s="171">
        <f t="shared" si="72"/>
        <v>0</v>
      </c>
      <c r="CG179" s="171">
        <f t="shared" si="73"/>
        <v>0</v>
      </c>
      <c r="CH179" s="172">
        <f t="shared" si="74"/>
        <v>0</v>
      </c>
    </row>
    <row r="180" spans="1:86" s="1" customFormat="1" ht="24" customHeight="1" x14ac:dyDescent="0.2">
      <c r="A180" s="174" t="s">
        <v>290</v>
      </c>
      <c r="B180" s="141" t="s">
        <v>291</v>
      </c>
      <c r="C180" s="139" t="s">
        <v>607</v>
      </c>
      <c r="D180" s="141" t="s">
        <v>608</v>
      </c>
      <c r="E180" s="152" t="s">
        <v>297</v>
      </c>
      <c r="F180" s="125"/>
      <c r="G180" s="158">
        <v>1</v>
      </c>
      <c r="H180" s="159"/>
      <c r="I180" s="126">
        <v>1</v>
      </c>
      <c r="J180" s="160"/>
      <c r="K180" s="162"/>
      <c r="L180" s="125"/>
      <c r="M180" s="158">
        <v>1</v>
      </c>
      <c r="N180" s="159">
        <v>1</v>
      </c>
      <c r="O180" s="126"/>
      <c r="P180" s="160"/>
      <c r="Q180" s="162"/>
      <c r="R180" s="125"/>
      <c r="S180" s="158"/>
      <c r="T180" s="159"/>
      <c r="U180" s="126">
        <v>1</v>
      </c>
      <c r="V180" s="160"/>
      <c r="W180" s="162"/>
      <c r="X180" s="125"/>
      <c r="Y180" s="158">
        <v>1</v>
      </c>
      <c r="Z180" s="159">
        <v>1</v>
      </c>
      <c r="AA180" s="126">
        <v>1</v>
      </c>
      <c r="AB180" s="160"/>
      <c r="AC180" s="162"/>
      <c r="AD180" s="125">
        <v>1</v>
      </c>
      <c r="AE180" s="158">
        <v>1</v>
      </c>
      <c r="AF180" s="159">
        <v>1</v>
      </c>
      <c r="AG180" s="126"/>
      <c r="AH180" s="160"/>
      <c r="AI180" s="162"/>
      <c r="AJ180" s="125"/>
      <c r="AK180" s="158">
        <v>1</v>
      </c>
      <c r="AL180" s="159"/>
      <c r="AM180" s="126"/>
      <c r="AN180" s="160"/>
      <c r="AO180" s="162"/>
      <c r="AP180" s="125"/>
      <c r="AQ180" s="158"/>
      <c r="AR180" s="159"/>
      <c r="AS180" s="126"/>
      <c r="AT180" s="160"/>
      <c r="AU180" s="162"/>
      <c r="AV180" s="125"/>
      <c r="AW180" s="158"/>
      <c r="AX180" s="159"/>
      <c r="AY180" s="126"/>
      <c r="AZ180" s="160"/>
      <c r="BA180" s="162"/>
      <c r="BB180" s="125"/>
      <c r="BC180" s="158"/>
      <c r="BD180" s="159"/>
      <c r="BE180" s="126"/>
      <c r="BF180" s="160"/>
      <c r="BG180" s="162"/>
      <c r="BH180" s="125"/>
      <c r="BI180" s="158">
        <v>2</v>
      </c>
      <c r="BJ180" s="159"/>
      <c r="BK180" s="126">
        <v>1</v>
      </c>
      <c r="BL180" s="160"/>
      <c r="BM180" s="162"/>
      <c r="BN180" s="125"/>
      <c r="BO180" s="158">
        <v>1</v>
      </c>
      <c r="BP180" s="159"/>
      <c r="BQ180" s="126">
        <v>1</v>
      </c>
      <c r="BR180" s="160"/>
      <c r="BS180" s="162"/>
      <c r="BT180" s="125"/>
      <c r="BU180" s="158"/>
      <c r="BV180" s="159"/>
      <c r="BW180" s="126"/>
      <c r="BX180" s="160"/>
      <c r="BY180" s="162"/>
      <c r="BZ180" s="133"/>
      <c r="CA180" s="134"/>
      <c r="CB180" s="195"/>
      <c r="CC180" s="170">
        <f t="shared" si="69"/>
        <v>1</v>
      </c>
      <c r="CD180" s="171">
        <f t="shared" si="70"/>
        <v>8</v>
      </c>
      <c r="CE180" s="171">
        <f t="shared" si="71"/>
        <v>3</v>
      </c>
      <c r="CF180" s="171">
        <f t="shared" si="72"/>
        <v>5</v>
      </c>
      <c r="CG180" s="171">
        <f t="shared" si="73"/>
        <v>0</v>
      </c>
      <c r="CH180" s="172">
        <f t="shared" si="74"/>
        <v>0</v>
      </c>
    </row>
    <row r="181" spans="1:86" s="1" customFormat="1" ht="12.75" customHeight="1" x14ac:dyDescent="0.2">
      <c r="A181" s="142" t="s">
        <v>329</v>
      </c>
      <c r="B181" s="139" t="s">
        <v>348</v>
      </c>
      <c r="C181" s="139" t="s">
        <v>609</v>
      </c>
      <c r="D181" s="139" t="s">
        <v>441</v>
      </c>
      <c r="E181" s="151" t="s">
        <v>383</v>
      </c>
      <c r="F181" s="125"/>
      <c r="G181" s="158"/>
      <c r="H181" s="159"/>
      <c r="I181" s="126"/>
      <c r="J181" s="160"/>
      <c r="K181" s="162"/>
      <c r="L181" s="125"/>
      <c r="M181" s="158"/>
      <c r="N181" s="159"/>
      <c r="O181" s="126"/>
      <c r="P181" s="160"/>
      <c r="Q181" s="162"/>
      <c r="R181" s="125"/>
      <c r="S181" s="158"/>
      <c r="T181" s="159"/>
      <c r="U181" s="126"/>
      <c r="V181" s="160"/>
      <c r="W181" s="162"/>
      <c r="X181" s="125"/>
      <c r="Y181" s="158"/>
      <c r="Z181" s="159"/>
      <c r="AA181" s="126"/>
      <c r="AB181" s="160"/>
      <c r="AC181" s="162"/>
      <c r="AD181" s="125"/>
      <c r="AE181" s="158"/>
      <c r="AF181" s="159"/>
      <c r="AG181" s="126"/>
      <c r="AH181" s="160"/>
      <c r="AI181" s="162"/>
      <c r="AJ181" s="125"/>
      <c r="AK181" s="158"/>
      <c r="AL181" s="159"/>
      <c r="AM181" s="126"/>
      <c r="AN181" s="160"/>
      <c r="AO181" s="162"/>
      <c r="AP181" s="125"/>
      <c r="AQ181" s="158"/>
      <c r="AR181" s="159"/>
      <c r="AS181" s="126"/>
      <c r="AT181" s="160"/>
      <c r="AU181" s="162"/>
      <c r="AV181" s="125"/>
      <c r="AW181" s="158"/>
      <c r="AX181" s="159"/>
      <c r="AY181" s="126"/>
      <c r="AZ181" s="160"/>
      <c r="BA181" s="162"/>
      <c r="BB181" s="125"/>
      <c r="BC181" s="158"/>
      <c r="BD181" s="159"/>
      <c r="BE181" s="126"/>
      <c r="BF181" s="160"/>
      <c r="BG181" s="162"/>
      <c r="BH181" s="125"/>
      <c r="BI181" s="158"/>
      <c r="BJ181" s="159"/>
      <c r="BK181" s="126"/>
      <c r="BL181" s="160"/>
      <c r="BM181" s="162"/>
      <c r="BN181" s="125"/>
      <c r="BO181" s="158"/>
      <c r="BP181" s="159"/>
      <c r="BQ181" s="126"/>
      <c r="BR181" s="160"/>
      <c r="BS181" s="162"/>
      <c r="BT181" s="125"/>
      <c r="BU181" s="158"/>
      <c r="BV181" s="159"/>
      <c r="BW181" s="126"/>
      <c r="BX181" s="160"/>
      <c r="BY181" s="162"/>
      <c r="BZ181" s="133"/>
      <c r="CA181" s="134"/>
      <c r="CB181" s="165"/>
      <c r="CC181" s="170">
        <f t="shared" si="69"/>
        <v>0</v>
      </c>
      <c r="CD181" s="171">
        <f t="shared" si="70"/>
        <v>0</v>
      </c>
      <c r="CE181" s="171">
        <f t="shared" si="71"/>
        <v>0</v>
      </c>
      <c r="CF181" s="171">
        <f t="shared" si="72"/>
        <v>0</v>
      </c>
      <c r="CG181" s="171">
        <f t="shared" si="73"/>
        <v>0</v>
      </c>
      <c r="CH181" s="172">
        <f t="shared" si="74"/>
        <v>0</v>
      </c>
    </row>
    <row r="182" spans="1:86" s="1" customFormat="1" ht="24" customHeight="1" x14ac:dyDescent="0.2">
      <c r="A182" s="188" t="s">
        <v>35</v>
      </c>
      <c r="B182" s="179" t="s">
        <v>33</v>
      </c>
      <c r="C182" s="181" t="s">
        <v>610</v>
      </c>
      <c r="D182" s="179" t="s">
        <v>611</v>
      </c>
      <c r="E182" s="182" t="s">
        <v>297</v>
      </c>
      <c r="F182" s="125">
        <v>1</v>
      </c>
      <c r="G182" s="158">
        <v>1</v>
      </c>
      <c r="H182" s="159"/>
      <c r="I182" s="126"/>
      <c r="J182" s="160"/>
      <c r="K182" s="162"/>
      <c r="L182" s="125"/>
      <c r="M182" s="158"/>
      <c r="N182" s="159"/>
      <c r="O182" s="126"/>
      <c r="P182" s="160"/>
      <c r="Q182" s="162"/>
      <c r="R182" s="125"/>
      <c r="S182" s="158"/>
      <c r="T182" s="159"/>
      <c r="U182" s="126"/>
      <c r="V182" s="160"/>
      <c r="W182" s="162"/>
      <c r="X182" s="125"/>
      <c r="Y182" s="158"/>
      <c r="Z182" s="159"/>
      <c r="AA182" s="126"/>
      <c r="AB182" s="160"/>
      <c r="AC182" s="162"/>
      <c r="AD182" s="125"/>
      <c r="AE182" s="158"/>
      <c r="AF182" s="159"/>
      <c r="AG182" s="126"/>
      <c r="AH182" s="160"/>
      <c r="AI182" s="162"/>
      <c r="AJ182" s="125"/>
      <c r="AK182" s="158"/>
      <c r="AL182" s="159"/>
      <c r="AM182" s="126"/>
      <c r="AN182" s="160"/>
      <c r="AO182" s="162"/>
      <c r="AP182" s="125"/>
      <c r="AQ182" s="158"/>
      <c r="AR182" s="159"/>
      <c r="AS182" s="126"/>
      <c r="AT182" s="160"/>
      <c r="AU182" s="162"/>
      <c r="AV182" s="125"/>
      <c r="AW182" s="158"/>
      <c r="AX182" s="159"/>
      <c r="AY182" s="126"/>
      <c r="AZ182" s="160"/>
      <c r="BA182" s="162"/>
      <c r="BB182" s="125"/>
      <c r="BC182" s="158"/>
      <c r="BD182" s="159"/>
      <c r="BE182" s="126"/>
      <c r="BF182" s="160"/>
      <c r="BG182" s="162"/>
      <c r="BH182" s="125"/>
      <c r="BI182" s="158"/>
      <c r="BJ182" s="159"/>
      <c r="BK182" s="126"/>
      <c r="BL182" s="160"/>
      <c r="BM182" s="162"/>
      <c r="BN182" s="125"/>
      <c r="BO182" s="158"/>
      <c r="BP182" s="159"/>
      <c r="BQ182" s="126"/>
      <c r="BR182" s="160"/>
      <c r="BS182" s="162"/>
      <c r="BT182" s="125"/>
      <c r="BU182" s="158"/>
      <c r="BV182" s="159"/>
      <c r="BW182" s="126"/>
      <c r="BX182" s="160"/>
      <c r="BY182" s="162"/>
      <c r="BZ182" s="133"/>
      <c r="CA182" s="134"/>
      <c r="CB182" s="165"/>
      <c r="CC182" s="170">
        <f t="shared" si="69"/>
        <v>1</v>
      </c>
      <c r="CD182" s="171">
        <f t="shared" si="70"/>
        <v>1</v>
      </c>
      <c r="CE182" s="171">
        <f t="shared" si="71"/>
        <v>0</v>
      </c>
      <c r="CF182" s="171">
        <f t="shared" si="72"/>
        <v>0</v>
      </c>
      <c r="CG182" s="171">
        <f t="shared" si="73"/>
        <v>0</v>
      </c>
      <c r="CH182" s="172">
        <f t="shared" si="74"/>
        <v>0</v>
      </c>
    </row>
    <row r="183" spans="1:86" s="1" customFormat="1" ht="24" customHeight="1" x14ac:dyDescent="0.2">
      <c r="A183" s="239" t="s">
        <v>306</v>
      </c>
      <c r="B183" s="141" t="s">
        <v>306</v>
      </c>
      <c r="C183" s="139" t="s">
        <v>612</v>
      </c>
      <c r="D183" s="139" t="s">
        <v>613</v>
      </c>
      <c r="E183" s="152" t="s">
        <v>294</v>
      </c>
      <c r="F183" s="125"/>
      <c r="G183" s="158">
        <v>1</v>
      </c>
      <c r="H183" s="159"/>
      <c r="I183" s="126"/>
      <c r="J183" s="160"/>
      <c r="K183" s="162"/>
      <c r="L183" s="125"/>
      <c r="M183" s="158"/>
      <c r="N183" s="159"/>
      <c r="O183" s="126"/>
      <c r="P183" s="160"/>
      <c r="Q183" s="162"/>
      <c r="R183" s="125"/>
      <c r="S183" s="158"/>
      <c r="T183" s="159"/>
      <c r="U183" s="126"/>
      <c r="V183" s="160"/>
      <c r="W183" s="162"/>
      <c r="X183" s="125"/>
      <c r="Y183" s="158"/>
      <c r="Z183" s="159"/>
      <c r="AA183" s="126"/>
      <c r="AB183" s="160"/>
      <c r="AC183" s="162"/>
      <c r="AD183" s="125"/>
      <c r="AE183" s="158"/>
      <c r="AF183" s="159"/>
      <c r="AG183" s="126"/>
      <c r="AH183" s="160"/>
      <c r="AI183" s="162"/>
      <c r="AJ183" s="125"/>
      <c r="AK183" s="158"/>
      <c r="AL183" s="159"/>
      <c r="AM183" s="126"/>
      <c r="AN183" s="160"/>
      <c r="AO183" s="162"/>
      <c r="AP183" s="125"/>
      <c r="AQ183" s="158"/>
      <c r="AR183" s="159"/>
      <c r="AS183" s="126"/>
      <c r="AT183" s="160"/>
      <c r="AU183" s="162"/>
      <c r="AV183" s="125"/>
      <c r="AW183" s="158"/>
      <c r="AX183" s="159"/>
      <c r="AY183" s="126"/>
      <c r="AZ183" s="160"/>
      <c r="BA183" s="162"/>
      <c r="BB183" s="125"/>
      <c r="BC183" s="158"/>
      <c r="BD183" s="159"/>
      <c r="BE183" s="126"/>
      <c r="BF183" s="160"/>
      <c r="BG183" s="162"/>
      <c r="BH183" s="125"/>
      <c r="BI183" s="158"/>
      <c r="BJ183" s="159"/>
      <c r="BK183" s="126"/>
      <c r="BL183" s="160"/>
      <c r="BM183" s="162"/>
      <c r="BN183" s="125"/>
      <c r="BO183" s="158"/>
      <c r="BP183" s="159"/>
      <c r="BQ183" s="126"/>
      <c r="BR183" s="160"/>
      <c r="BS183" s="162"/>
      <c r="BT183" s="125"/>
      <c r="BU183" s="158"/>
      <c r="BV183" s="159"/>
      <c r="BW183" s="126"/>
      <c r="BX183" s="160"/>
      <c r="BY183" s="162"/>
      <c r="BZ183" s="133"/>
      <c r="CA183" s="134"/>
      <c r="CB183" s="165"/>
      <c r="CC183" s="170">
        <f t="shared" si="69"/>
        <v>0</v>
      </c>
      <c r="CD183" s="171">
        <f t="shared" si="70"/>
        <v>1</v>
      </c>
      <c r="CE183" s="171">
        <f t="shared" si="71"/>
        <v>0</v>
      </c>
      <c r="CF183" s="171">
        <f t="shared" si="72"/>
        <v>0</v>
      </c>
      <c r="CG183" s="171">
        <f t="shared" si="73"/>
        <v>0</v>
      </c>
      <c r="CH183" s="172">
        <f t="shared" si="74"/>
        <v>0</v>
      </c>
    </row>
    <row r="184" spans="1:86" s="1" customFormat="1" ht="24" customHeight="1" x14ac:dyDescent="0.2">
      <c r="A184" s="230" t="s">
        <v>290</v>
      </c>
      <c r="B184" s="180" t="s">
        <v>291</v>
      </c>
      <c r="C184" s="180" t="s">
        <v>614</v>
      </c>
      <c r="D184" s="180" t="s">
        <v>335</v>
      </c>
      <c r="E184" s="184" t="s">
        <v>297</v>
      </c>
      <c r="F184" s="125"/>
      <c r="G184" s="158"/>
      <c r="H184" s="159"/>
      <c r="I184" s="126">
        <v>1</v>
      </c>
      <c r="J184" s="160"/>
      <c r="K184" s="162"/>
      <c r="L184" s="125"/>
      <c r="M184" s="158"/>
      <c r="N184" s="159"/>
      <c r="O184" s="126">
        <v>1</v>
      </c>
      <c r="P184" s="160"/>
      <c r="Q184" s="162"/>
      <c r="R184" s="125"/>
      <c r="S184" s="158"/>
      <c r="T184" s="159"/>
      <c r="U184" s="126">
        <v>1</v>
      </c>
      <c r="V184" s="160"/>
      <c r="W184" s="162"/>
      <c r="X184" s="125"/>
      <c r="Y184" s="158"/>
      <c r="Z184" s="159"/>
      <c r="AA184" s="126">
        <v>1</v>
      </c>
      <c r="AB184" s="160"/>
      <c r="AC184" s="162"/>
      <c r="AD184" s="125"/>
      <c r="AE184" s="158"/>
      <c r="AF184" s="159"/>
      <c r="AG184" s="126">
        <v>1</v>
      </c>
      <c r="AH184" s="160"/>
      <c r="AI184" s="162"/>
      <c r="AJ184" s="125"/>
      <c r="AK184" s="158"/>
      <c r="AL184" s="159"/>
      <c r="AM184" s="126">
        <v>1</v>
      </c>
      <c r="AN184" s="160"/>
      <c r="AO184" s="162"/>
      <c r="AP184" s="125"/>
      <c r="AQ184" s="158">
        <v>1</v>
      </c>
      <c r="AR184" s="159">
        <v>1</v>
      </c>
      <c r="AS184" s="126">
        <v>1</v>
      </c>
      <c r="AT184" s="160"/>
      <c r="AU184" s="162"/>
      <c r="AV184" s="125"/>
      <c r="AW184" s="158">
        <v>1</v>
      </c>
      <c r="AX184" s="159"/>
      <c r="AY184" s="126">
        <v>1</v>
      </c>
      <c r="AZ184" s="160"/>
      <c r="BA184" s="162"/>
      <c r="BB184" s="125"/>
      <c r="BC184" s="158"/>
      <c r="BD184" s="159"/>
      <c r="BE184" s="126"/>
      <c r="BF184" s="160"/>
      <c r="BG184" s="162"/>
      <c r="BH184" s="125"/>
      <c r="BI184" s="158">
        <v>2</v>
      </c>
      <c r="BJ184" s="159"/>
      <c r="BK184" s="126">
        <v>1</v>
      </c>
      <c r="BL184" s="160"/>
      <c r="BM184" s="162"/>
      <c r="BN184" s="125"/>
      <c r="BO184" s="158"/>
      <c r="BP184" s="159"/>
      <c r="BQ184" s="126">
        <v>2</v>
      </c>
      <c r="BR184" s="160"/>
      <c r="BS184" s="162"/>
      <c r="BT184" s="125"/>
      <c r="BU184" s="158"/>
      <c r="BV184" s="159"/>
      <c r="BW184" s="126">
        <v>1</v>
      </c>
      <c r="BX184" s="160"/>
      <c r="BY184" s="162"/>
      <c r="BZ184" s="133"/>
      <c r="CA184" s="134"/>
      <c r="CB184" s="165"/>
      <c r="CC184" s="170">
        <f t="shared" si="69"/>
        <v>0</v>
      </c>
      <c r="CD184" s="171">
        <f t="shared" si="70"/>
        <v>4</v>
      </c>
      <c r="CE184" s="171">
        <f t="shared" si="71"/>
        <v>1</v>
      </c>
      <c r="CF184" s="171">
        <f t="shared" si="72"/>
        <v>12</v>
      </c>
      <c r="CG184" s="171">
        <f t="shared" si="73"/>
        <v>0</v>
      </c>
      <c r="CH184" s="172">
        <f t="shared" si="74"/>
        <v>0</v>
      </c>
    </row>
    <row r="185" spans="1:86" s="1" customFormat="1" ht="23.65" customHeight="1" x14ac:dyDescent="0.2">
      <c r="A185" s="176" t="s">
        <v>35</v>
      </c>
      <c r="B185" s="141" t="s">
        <v>33</v>
      </c>
      <c r="C185" s="141" t="s">
        <v>615</v>
      </c>
      <c r="D185" s="141" t="s">
        <v>616</v>
      </c>
      <c r="E185" s="152" t="s">
        <v>297</v>
      </c>
      <c r="F185" s="125"/>
      <c r="G185" s="158">
        <v>1</v>
      </c>
      <c r="H185" s="159"/>
      <c r="I185" s="126">
        <v>1</v>
      </c>
      <c r="J185" s="160"/>
      <c r="K185" s="162"/>
      <c r="L185" s="125"/>
      <c r="M185" s="158"/>
      <c r="N185" s="159"/>
      <c r="O185" s="126">
        <v>1</v>
      </c>
      <c r="P185" s="160"/>
      <c r="Q185" s="162"/>
      <c r="R185" s="125"/>
      <c r="S185" s="158"/>
      <c r="T185" s="159"/>
      <c r="U185" s="126">
        <v>1</v>
      </c>
      <c r="V185" s="160"/>
      <c r="W185" s="162"/>
      <c r="X185" s="125"/>
      <c r="Y185" s="158"/>
      <c r="Z185" s="159"/>
      <c r="AA185" s="126">
        <v>1</v>
      </c>
      <c r="AB185" s="160"/>
      <c r="AC185" s="162"/>
      <c r="AD185" s="125"/>
      <c r="AE185" s="158">
        <v>1</v>
      </c>
      <c r="AF185" s="159">
        <v>1</v>
      </c>
      <c r="AG185" s="126">
        <v>1</v>
      </c>
      <c r="AH185" s="160"/>
      <c r="AI185" s="162"/>
      <c r="AJ185" s="125"/>
      <c r="AK185" s="158"/>
      <c r="AL185" s="159"/>
      <c r="AM185" s="126">
        <v>1</v>
      </c>
      <c r="AN185" s="160"/>
      <c r="AO185" s="162"/>
      <c r="AP185" s="125"/>
      <c r="AQ185" s="158"/>
      <c r="AR185" s="159"/>
      <c r="AS185" s="126">
        <v>1</v>
      </c>
      <c r="AT185" s="160"/>
      <c r="AU185" s="162"/>
      <c r="AV185" s="125"/>
      <c r="AW185" s="158"/>
      <c r="AX185" s="159"/>
      <c r="AY185" s="126"/>
      <c r="AZ185" s="160"/>
      <c r="BA185" s="162"/>
      <c r="BB185" s="125"/>
      <c r="BC185" s="158">
        <v>1</v>
      </c>
      <c r="BD185" s="159"/>
      <c r="BE185" s="126"/>
      <c r="BF185" s="160"/>
      <c r="BG185" s="162"/>
      <c r="BH185" s="125"/>
      <c r="BI185" s="158"/>
      <c r="BJ185" s="159"/>
      <c r="BK185" s="126"/>
      <c r="BL185" s="160"/>
      <c r="BM185" s="162"/>
      <c r="BN185" s="125"/>
      <c r="BO185" s="158"/>
      <c r="BP185" s="159"/>
      <c r="BQ185" s="126"/>
      <c r="BR185" s="160"/>
      <c r="BS185" s="162"/>
      <c r="BT185" s="125"/>
      <c r="BU185" s="158"/>
      <c r="BV185" s="159"/>
      <c r="BW185" s="126"/>
      <c r="BX185" s="160"/>
      <c r="BY185" s="162"/>
      <c r="BZ185" s="133"/>
      <c r="CA185" s="134"/>
      <c r="CB185" s="165"/>
      <c r="CC185" s="170">
        <f t="shared" si="69"/>
        <v>0</v>
      </c>
      <c r="CD185" s="171">
        <f t="shared" si="70"/>
        <v>3</v>
      </c>
      <c r="CE185" s="171">
        <f t="shared" si="71"/>
        <v>1</v>
      </c>
      <c r="CF185" s="171">
        <f t="shared" si="72"/>
        <v>7</v>
      </c>
      <c r="CG185" s="171">
        <f t="shared" si="73"/>
        <v>0</v>
      </c>
      <c r="CH185" s="172">
        <f t="shared" si="74"/>
        <v>0</v>
      </c>
    </row>
    <row r="186" spans="1:86" s="1" customFormat="1" ht="24" customHeight="1" x14ac:dyDescent="0.2">
      <c r="A186" s="231" t="s">
        <v>51</v>
      </c>
      <c r="B186" s="141" t="s">
        <v>33</v>
      </c>
      <c r="C186" s="179" t="s">
        <v>617</v>
      </c>
      <c r="D186" s="179" t="s">
        <v>380</v>
      </c>
      <c r="E186" s="203" t="s">
        <v>302</v>
      </c>
      <c r="F186" s="125"/>
      <c r="G186" s="158"/>
      <c r="H186" s="159"/>
      <c r="I186" s="126"/>
      <c r="J186" s="160"/>
      <c r="K186" s="162"/>
      <c r="L186" s="125"/>
      <c r="M186" s="158"/>
      <c r="N186" s="159"/>
      <c r="O186" s="126"/>
      <c r="P186" s="160"/>
      <c r="Q186" s="162"/>
      <c r="R186" s="125">
        <v>1</v>
      </c>
      <c r="S186" s="158">
        <v>1</v>
      </c>
      <c r="T186" s="159"/>
      <c r="U186" s="126"/>
      <c r="V186" s="160"/>
      <c r="W186" s="162"/>
      <c r="X186" s="125"/>
      <c r="Y186" s="158"/>
      <c r="Z186" s="159"/>
      <c r="AA186" s="126"/>
      <c r="AB186" s="160"/>
      <c r="AC186" s="162"/>
      <c r="AD186" s="125"/>
      <c r="AE186" s="158"/>
      <c r="AF186" s="159"/>
      <c r="AG186" s="126"/>
      <c r="AH186" s="160"/>
      <c r="AI186" s="162"/>
      <c r="AJ186" s="125"/>
      <c r="AK186" s="158">
        <v>2</v>
      </c>
      <c r="AL186" s="159">
        <v>1</v>
      </c>
      <c r="AM186" s="126"/>
      <c r="AN186" s="160"/>
      <c r="AO186" s="162"/>
      <c r="AP186" s="125"/>
      <c r="AQ186" s="158"/>
      <c r="AR186" s="159"/>
      <c r="AS186" s="126"/>
      <c r="AT186" s="160"/>
      <c r="AU186" s="162"/>
      <c r="AV186" s="125">
        <v>1</v>
      </c>
      <c r="AW186" s="158">
        <v>1</v>
      </c>
      <c r="AX186" s="159"/>
      <c r="AY186" s="126"/>
      <c r="AZ186" s="160"/>
      <c r="BA186" s="162"/>
      <c r="BB186" s="125">
        <v>1</v>
      </c>
      <c r="BC186" s="158">
        <v>1</v>
      </c>
      <c r="BD186" s="159"/>
      <c r="BE186" s="126"/>
      <c r="BF186" s="160"/>
      <c r="BG186" s="162"/>
      <c r="BH186" s="125"/>
      <c r="BI186" s="158"/>
      <c r="BJ186" s="159"/>
      <c r="BK186" s="126"/>
      <c r="BL186" s="160"/>
      <c r="BM186" s="162"/>
      <c r="BN186" s="125">
        <v>1</v>
      </c>
      <c r="BO186" s="158">
        <v>1</v>
      </c>
      <c r="BP186" s="159"/>
      <c r="BQ186" s="126"/>
      <c r="BR186" s="160"/>
      <c r="BS186" s="162"/>
      <c r="BT186" s="125">
        <v>2</v>
      </c>
      <c r="BU186" s="158">
        <v>4</v>
      </c>
      <c r="BV186" s="159"/>
      <c r="BW186" s="126"/>
      <c r="BX186" s="160"/>
      <c r="BY186" s="162"/>
      <c r="BZ186" s="133"/>
      <c r="CA186" s="134"/>
      <c r="CB186" s="165"/>
      <c r="CC186" s="170">
        <f t="shared" si="69"/>
        <v>6</v>
      </c>
      <c r="CD186" s="171">
        <f t="shared" si="70"/>
        <v>10</v>
      </c>
      <c r="CE186" s="171">
        <f t="shared" si="71"/>
        <v>1</v>
      </c>
      <c r="CF186" s="171">
        <f t="shared" si="72"/>
        <v>0</v>
      </c>
      <c r="CG186" s="171">
        <f t="shared" si="73"/>
        <v>0</v>
      </c>
      <c r="CH186" s="172">
        <f t="shared" si="74"/>
        <v>0</v>
      </c>
    </row>
    <row r="187" spans="1:86" s="1" customFormat="1" ht="24" customHeight="1" x14ac:dyDescent="0.2">
      <c r="A187" s="241" t="s">
        <v>306</v>
      </c>
      <c r="B187" s="180" t="s">
        <v>306</v>
      </c>
      <c r="C187" s="146" t="s">
        <v>618</v>
      </c>
      <c r="D187" s="180" t="s">
        <v>462</v>
      </c>
      <c r="E187" s="234" t="s">
        <v>294</v>
      </c>
      <c r="F187" s="125"/>
      <c r="G187" s="158">
        <v>1</v>
      </c>
      <c r="H187" s="159"/>
      <c r="I187" s="126"/>
      <c r="J187" s="160"/>
      <c r="K187" s="162"/>
      <c r="L187" s="125"/>
      <c r="M187" s="158"/>
      <c r="N187" s="159"/>
      <c r="O187" s="126"/>
      <c r="P187" s="160"/>
      <c r="Q187" s="162"/>
      <c r="R187" s="125"/>
      <c r="S187" s="158"/>
      <c r="T187" s="159"/>
      <c r="U187" s="126"/>
      <c r="V187" s="160"/>
      <c r="W187" s="162"/>
      <c r="X187" s="125"/>
      <c r="Y187" s="158"/>
      <c r="Z187" s="159"/>
      <c r="AA187" s="126"/>
      <c r="AB187" s="160"/>
      <c r="AC187" s="162"/>
      <c r="AD187" s="125"/>
      <c r="AE187" s="158"/>
      <c r="AF187" s="159"/>
      <c r="AG187" s="126"/>
      <c r="AH187" s="160"/>
      <c r="AI187" s="162"/>
      <c r="AJ187" s="125"/>
      <c r="AK187" s="158"/>
      <c r="AL187" s="159"/>
      <c r="AM187" s="126"/>
      <c r="AN187" s="160"/>
      <c r="AO187" s="162"/>
      <c r="AP187" s="125"/>
      <c r="AQ187" s="158"/>
      <c r="AR187" s="159"/>
      <c r="AS187" s="126"/>
      <c r="AT187" s="160"/>
      <c r="AU187" s="162"/>
      <c r="AV187" s="125"/>
      <c r="AW187" s="158"/>
      <c r="AX187" s="159"/>
      <c r="AY187" s="126"/>
      <c r="AZ187" s="160"/>
      <c r="BA187" s="162"/>
      <c r="BB187" s="125"/>
      <c r="BC187" s="158"/>
      <c r="BD187" s="159"/>
      <c r="BE187" s="126"/>
      <c r="BF187" s="160"/>
      <c r="BG187" s="162"/>
      <c r="BH187" s="125"/>
      <c r="BI187" s="158"/>
      <c r="BJ187" s="159"/>
      <c r="BK187" s="126"/>
      <c r="BL187" s="160"/>
      <c r="BM187" s="162"/>
      <c r="BN187" s="125"/>
      <c r="BO187" s="158"/>
      <c r="BP187" s="159"/>
      <c r="BQ187" s="126"/>
      <c r="BR187" s="160"/>
      <c r="BS187" s="162"/>
      <c r="BT187" s="125"/>
      <c r="BU187" s="158"/>
      <c r="BV187" s="159"/>
      <c r="BW187" s="126"/>
      <c r="BX187" s="160"/>
      <c r="BY187" s="162"/>
      <c r="BZ187" s="133"/>
      <c r="CA187" s="134"/>
      <c r="CB187" s="165"/>
      <c r="CC187" s="170">
        <f t="shared" si="69"/>
        <v>0</v>
      </c>
      <c r="CD187" s="171">
        <f t="shared" si="70"/>
        <v>1</v>
      </c>
      <c r="CE187" s="171">
        <f t="shared" si="71"/>
        <v>0</v>
      </c>
      <c r="CF187" s="171">
        <f t="shared" si="72"/>
        <v>0</v>
      </c>
      <c r="CG187" s="171">
        <f t="shared" si="73"/>
        <v>0</v>
      </c>
      <c r="CH187" s="172">
        <f t="shared" si="74"/>
        <v>0</v>
      </c>
    </row>
    <row r="188" spans="1:86" s="1" customFormat="1" ht="24" customHeight="1" x14ac:dyDescent="0.2">
      <c r="A188" s="238" t="s">
        <v>306</v>
      </c>
      <c r="B188" s="141" t="s">
        <v>306</v>
      </c>
      <c r="C188" s="146" t="s">
        <v>619</v>
      </c>
      <c r="D188" s="180" t="s">
        <v>620</v>
      </c>
      <c r="E188" s="202" t="s">
        <v>297</v>
      </c>
      <c r="F188" s="125"/>
      <c r="G188" s="158"/>
      <c r="H188" s="159"/>
      <c r="I188" s="126"/>
      <c r="J188" s="160"/>
      <c r="K188" s="162"/>
      <c r="L188" s="125"/>
      <c r="M188" s="158"/>
      <c r="N188" s="159"/>
      <c r="O188" s="126"/>
      <c r="P188" s="160"/>
      <c r="Q188" s="162"/>
      <c r="R188" s="125"/>
      <c r="S188" s="158"/>
      <c r="T188" s="159"/>
      <c r="U188" s="126"/>
      <c r="V188" s="160"/>
      <c r="W188" s="162"/>
      <c r="X188" s="125"/>
      <c r="Y188" s="158"/>
      <c r="Z188" s="159"/>
      <c r="AA188" s="126"/>
      <c r="AB188" s="160"/>
      <c r="AC188" s="162"/>
      <c r="AD188" s="125"/>
      <c r="AE188" s="158"/>
      <c r="AF188" s="159"/>
      <c r="AG188" s="126"/>
      <c r="AH188" s="160"/>
      <c r="AI188" s="162"/>
      <c r="AJ188" s="125"/>
      <c r="AK188" s="158"/>
      <c r="AL188" s="159"/>
      <c r="AM188" s="126"/>
      <c r="AN188" s="160"/>
      <c r="AO188" s="162"/>
      <c r="AP188" s="125"/>
      <c r="AQ188" s="158"/>
      <c r="AR188" s="159"/>
      <c r="AS188" s="126"/>
      <c r="AT188" s="160"/>
      <c r="AU188" s="162"/>
      <c r="AV188" s="125"/>
      <c r="AW188" s="158"/>
      <c r="AX188" s="159"/>
      <c r="AY188" s="126"/>
      <c r="AZ188" s="160"/>
      <c r="BA188" s="162"/>
      <c r="BB188" s="125"/>
      <c r="BC188" s="158"/>
      <c r="BD188" s="159"/>
      <c r="BE188" s="126"/>
      <c r="BF188" s="160"/>
      <c r="BG188" s="162"/>
      <c r="BH188" s="125"/>
      <c r="BI188" s="158"/>
      <c r="BJ188" s="159"/>
      <c r="BK188" s="126"/>
      <c r="BL188" s="160"/>
      <c r="BM188" s="162"/>
      <c r="BN188" s="125"/>
      <c r="BO188" s="158"/>
      <c r="BP188" s="159"/>
      <c r="BQ188" s="126"/>
      <c r="BR188" s="160"/>
      <c r="BS188" s="162"/>
      <c r="BT188" s="125"/>
      <c r="BU188" s="158"/>
      <c r="BV188" s="159"/>
      <c r="BW188" s="126"/>
      <c r="BX188" s="160"/>
      <c r="BY188" s="162"/>
      <c r="BZ188" s="133"/>
      <c r="CA188" s="134"/>
      <c r="CB188" s="165"/>
      <c r="CC188" s="170">
        <f t="shared" si="69"/>
        <v>0</v>
      </c>
      <c r="CD188" s="171">
        <f t="shared" si="70"/>
        <v>0</v>
      </c>
      <c r="CE188" s="171">
        <f t="shared" si="71"/>
        <v>0</v>
      </c>
      <c r="CF188" s="171">
        <f t="shared" si="72"/>
        <v>0</v>
      </c>
      <c r="CG188" s="171">
        <f t="shared" si="73"/>
        <v>0</v>
      </c>
      <c r="CH188" s="172">
        <f t="shared" si="74"/>
        <v>0</v>
      </c>
    </row>
    <row r="189" spans="1:86" ht="24" customHeight="1" x14ac:dyDescent="0.25">
      <c r="A189" s="288" t="s">
        <v>148</v>
      </c>
      <c r="B189" s="141" t="s">
        <v>148</v>
      </c>
      <c r="C189" s="141" t="s">
        <v>621</v>
      </c>
      <c r="D189" s="141" t="s">
        <v>622</v>
      </c>
      <c r="E189" s="202" t="s">
        <v>294</v>
      </c>
      <c r="F189" s="125"/>
      <c r="G189" s="158"/>
      <c r="H189" s="159"/>
      <c r="I189" s="126"/>
      <c r="J189" s="160"/>
      <c r="K189" s="162"/>
      <c r="L189" s="125"/>
      <c r="M189" s="158"/>
      <c r="N189" s="159"/>
      <c r="O189" s="126"/>
      <c r="P189" s="160"/>
      <c r="Q189" s="162"/>
      <c r="R189" s="125"/>
      <c r="S189" s="158"/>
      <c r="T189" s="159"/>
      <c r="U189" s="126"/>
      <c r="V189" s="160"/>
      <c r="W189" s="162"/>
      <c r="X189" s="125"/>
      <c r="Y189" s="158">
        <v>1</v>
      </c>
      <c r="Z189" s="159"/>
      <c r="AA189" s="126"/>
      <c r="AB189" s="160"/>
      <c r="AC189" s="162"/>
      <c r="AD189" s="125"/>
      <c r="AE189" s="158"/>
      <c r="AF189" s="159"/>
      <c r="AG189" s="126"/>
      <c r="AH189" s="160"/>
      <c r="AI189" s="162"/>
      <c r="AJ189" s="125"/>
      <c r="AK189" s="158"/>
      <c r="AL189" s="159"/>
      <c r="AM189" s="126"/>
      <c r="AN189" s="160"/>
      <c r="AO189" s="162"/>
      <c r="AP189" s="125"/>
      <c r="AQ189" s="158"/>
      <c r="AR189" s="159"/>
      <c r="AS189" s="126"/>
      <c r="AT189" s="160"/>
      <c r="AU189" s="162"/>
      <c r="AV189" s="125"/>
      <c r="AW189" s="158"/>
      <c r="AX189" s="159"/>
      <c r="AY189" s="126"/>
      <c r="AZ189" s="160"/>
      <c r="BA189" s="162"/>
      <c r="BB189" s="125"/>
      <c r="BC189" s="158"/>
      <c r="BD189" s="159"/>
      <c r="BE189" s="126"/>
      <c r="BF189" s="160"/>
      <c r="BG189" s="162"/>
      <c r="BH189" s="125"/>
      <c r="BI189" s="158"/>
      <c r="BJ189" s="159"/>
      <c r="BK189" s="126"/>
      <c r="BL189" s="160"/>
      <c r="BM189" s="162"/>
      <c r="BN189" s="125"/>
      <c r="BO189" s="158"/>
      <c r="BP189" s="159"/>
      <c r="BQ189" s="126"/>
      <c r="BR189" s="160"/>
      <c r="BS189" s="162"/>
      <c r="BT189" s="125"/>
      <c r="BU189" s="158"/>
      <c r="BV189" s="159"/>
      <c r="BW189" s="126"/>
      <c r="BX189" s="160"/>
      <c r="BY189" s="162"/>
      <c r="BZ189" s="133"/>
      <c r="CA189" s="134"/>
      <c r="CB189" s="165"/>
      <c r="CC189" s="170">
        <f t="shared" si="69"/>
        <v>0</v>
      </c>
      <c r="CD189" s="171">
        <f t="shared" si="70"/>
        <v>1</v>
      </c>
      <c r="CE189" s="171">
        <f t="shared" si="71"/>
        <v>0</v>
      </c>
      <c r="CF189" s="171">
        <f t="shared" si="72"/>
        <v>0</v>
      </c>
      <c r="CG189" s="171">
        <f t="shared" si="73"/>
        <v>0</v>
      </c>
      <c r="CH189" s="172">
        <f t="shared" si="74"/>
        <v>0</v>
      </c>
    </row>
    <row r="190" spans="1:86" ht="24" customHeight="1" x14ac:dyDescent="0.25">
      <c r="A190" s="232" t="s">
        <v>124</v>
      </c>
      <c r="B190" s="141" t="s">
        <v>33</v>
      </c>
      <c r="C190" s="141" t="s">
        <v>623</v>
      </c>
      <c r="D190" s="141" t="s">
        <v>624</v>
      </c>
      <c r="E190" s="202" t="s">
        <v>297</v>
      </c>
      <c r="F190" s="125"/>
      <c r="G190" s="158">
        <v>1</v>
      </c>
      <c r="H190" s="159"/>
      <c r="I190" s="126">
        <v>1</v>
      </c>
      <c r="J190" s="160"/>
      <c r="K190" s="162"/>
      <c r="L190" s="125"/>
      <c r="M190" s="158"/>
      <c r="N190" s="159"/>
      <c r="O190" s="126"/>
      <c r="P190" s="160"/>
      <c r="Q190" s="162"/>
      <c r="R190" s="125"/>
      <c r="S190" s="158"/>
      <c r="T190" s="159"/>
      <c r="U190" s="126">
        <v>1</v>
      </c>
      <c r="V190" s="160"/>
      <c r="W190" s="162"/>
      <c r="X190" s="125"/>
      <c r="Y190" s="158"/>
      <c r="Z190" s="159"/>
      <c r="AA190" s="126">
        <v>1</v>
      </c>
      <c r="AB190" s="160"/>
      <c r="AC190" s="162"/>
      <c r="AD190" s="125"/>
      <c r="AE190" s="158"/>
      <c r="AF190" s="159"/>
      <c r="AG190" s="126"/>
      <c r="AH190" s="160"/>
      <c r="AI190" s="162"/>
      <c r="AJ190" s="125"/>
      <c r="AK190" s="158"/>
      <c r="AL190" s="159"/>
      <c r="AM190" s="126"/>
      <c r="AN190" s="160"/>
      <c r="AO190" s="162"/>
      <c r="AP190" s="125"/>
      <c r="AQ190" s="158"/>
      <c r="AR190" s="159"/>
      <c r="AS190" s="126"/>
      <c r="AT190" s="160"/>
      <c r="AU190" s="162"/>
      <c r="AV190" s="125"/>
      <c r="AW190" s="158"/>
      <c r="AX190" s="159"/>
      <c r="AY190" s="126"/>
      <c r="AZ190" s="160"/>
      <c r="BA190" s="162"/>
      <c r="BB190" s="125"/>
      <c r="BC190" s="158"/>
      <c r="BD190" s="159"/>
      <c r="BE190" s="126">
        <v>1</v>
      </c>
      <c r="BF190" s="160"/>
      <c r="BG190" s="162"/>
      <c r="BH190" s="125"/>
      <c r="BI190" s="158"/>
      <c r="BJ190" s="159"/>
      <c r="BK190" s="126">
        <v>1</v>
      </c>
      <c r="BL190" s="160"/>
      <c r="BM190" s="162"/>
      <c r="BN190" s="125"/>
      <c r="BO190" s="158"/>
      <c r="BP190" s="159"/>
      <c r="BQ190" s="126"/>
      <c r="BR190" s="160"/>
      <c r="BS190" s="162"/>
      <c r="BT190" s="125"/>
      <c r="BU190" s="158">
        <v>1</v>
      </c>
      <c r="BV190" s="159"/>
      <c r="BW190" s="126"/>
      <c r="BX190" s="160"/>
      <c r="BY190" s="162"/>
      <c r="BZ190" s="133"/>
      <c r="CA190" s="134"/>
      <c r="CB190" s="165"/>
      <c r="CC190" s="170">
        <f t="shared" si="69"/>
        <v>0</v>
      </c>
      <c r="CD190" s="171">
        <f t="shared" si="70"/>
        <v>2</v>
      </c>
      <c r="CE190" s="171">
        <f t="shared" si="71"/>
        <v>0</v>
      </c>
      <c r="CF190" s="171">
        <f t="shared" si="72"/>
        <v>5</v>
      </c>
      <c r="CG190" s="171">
        <f t="shared" si="73"/>
        <v>0</v>
      </c>
      <c r="CH190" s="172">
        <f t="shared" si="74"/>
        <v>0</v>
      </c>
    </row>
    <row r="191" spans="1:86" s="6" customFormat="1" ht="24" customHeight="1" x14ac:dyDescent="0.2">
      <c r="A191" s="239" t="s">
        <v>306</v>
      </c>
      <c r="B191" s="139" t="s">
        <v>306</v>
      </c>
      <c r="C191" s="139" t="s">
        <v>625</v>
      </c>
      <c r="D191" s="141" t="s">
        <v>354</v>
      </c>
      <c r="E191" s="202" t="s">
        <v>302</v>
      </c>
      <c r="F191" s="125"/>
      <c r="G191" s="158">
        <v>1</v>
      </c>
      <c r="H191" s="159"/>
      <c r="I191" s="126"/>
      <c r="J191" s="160"/>
      <c r="K191" s="162"/>
      <c r="L191" s="125"/>
      <c r="M191" s="158"/>
      <c r="N191" s="159"/>
      <c r="O191" s="126"/>
      <c r="P191" s="160"/>
      <c r="Q191" s="162"/>
      <c r="R191" s="125"/>
      <c r="S191" s="158"/>
      <c r="T191" s="159"/>
      <c r="U191" s="126"/>
      <c r="V191" s="160"/>
      <c r="W191" s="162"/>
      <c r="X191" s="125"/>
      <c r="Y191" s="158"/>
      <c r="Z191" s="159"/>
      <c r="AA191" s="126"/>
      <c r="AB191" s="160"/>
      <c r="AC191" s="162"/>
      <c r="AD191" s="125"/>
      <c r="AE191" s="158"/>
      <c r="AF191" s="159"/>
      <c r="AG191" s="126"/>
      <c r="AH191" s="160"/>
      <c r="AI191" s="162"/>
      <c r="AJ191" s="125"/>
      <c r="AK191" s="158"/>
      <c r="AL191" s="159"/>
      <c r="AM191" s="126"/>
      <c r="AN191" s="160"/>
      <c r="AO191" s="162"/>
      <c r="AP191" s="125"/>
      <c r="AQ191" s="158"/>
      <c r="AR191" s="159"/>
      <c r="AS191" s="126"/>
      <c r="AT191" s="160"/>
      <c r="AU191" s="162"/>
      <c r="AV191" s="125"/>
      <c r="AW191" s="158"/>
      <c r="AX191" s="159"/>
      <c r="AY191" s="126"/>
      <c r="AZ191" s="160"/>
      <c r="BA191" s="162"/>
      <c r="BB191" s="125"/>
      <c r="BC191" s="158"/>
      <c r="BD191" s="159"/>
      <c r="BE191" s="126"/>
      <c r="BF191" s="160"/>
      <c r="BG191" s="162"/>
      <c r="BH191" s="125"/>
      <c r="BI191" s="158"/>
      <c r="BJ191" s="159"/>
      <c r="BK191" s="126"/>
      <c r="BL191" s="160"/>
      <c r="BM191" s="162"/>
      <c r="BN191" s="125"/>
      <c r="BO191" s="158"/>
      <c r="BP191" s="159"/>
      <c r="BQ191" s="126"/>
      <c r="BR191" s="160"/>
      <c r="BS191" s="162"/>
      <c r="BT191" s="125"/>
      <c r="BU191" s="158"/>
      <c r="BV191" s="159"/>
      <c r="BW191" s="126"/>
      <c r="BX191" s="160"/>
      <c r="BY191" s="162"/>
      <c r="BZ191" s="133"/>
      <c r="CA191" s="134"/>
      <c r="CB191" s="205"/>
      <c r="CC191" s="170">
        <f t="shared" si="69"/>
        <v>0</v>
      </c>
      <c r="CD191" s="171">
        <f t="shared" si="70"/>
        <v>1</v>
      </c>
      <c r="CE191" s="171">
        <f t="shared" si="71"/>
        <v>0</v>
      </c>
      <c r="CF191" s="171">
        <f t="shared" si="72"/>
        <v>0</v>
      </c>
      <c r="CG191" s="171">
        <f t="shared" si="73"/>
        <v>0</v>
      </c>
      <c r="CH191" s="172">
        <f t="shared" si="74"/>
        <v>0</v>
      </c>
    </row>
    <row r="192" spans="1:86" s="6" customFormat="1" ht="24" customHeight="1" x14ac:dyDescent="0.2">
      <c r="A192" s="176" t="s">
        <v>35</v>
      </c>
      <c r="B192" s="141" t="s">
        <v>33</v>
      </c>
      <c r="C192" s="141" t="s">
        <v>626</v>
      </c>
      <c r="D192" s="141" t="s">
        <v>512</v>
      </c>
      <c r="E192" s="152" t="s">
        <v>294</v>
      </c>
      <c r="F192" s="125"/>
      <c r="G192" s="158"/>
      <c r="H192" s="159"/>
      <c r="I192" s="126"/>
      <c r="J192" s="160"/>
      <c r="K192" s="162"/>
      <c r="L192" s="125"/>
      <c r="M192" s="158"/>
      <c r="N192" s="159"/>
      <c r="O192" s="126"/>
      <c r="P192" s="160"/>
      <c r="Q192" s="162"/>
      <c r="R192" s="125"/>
      <c r="S192" s="158"/>
      <c r="T192" s="159"/>
      <c r="U192" s="126"/>
      <c r="V192" s="160"/>
      <c r="W192" s="162"/>
      <c r="X192" s="125"/>
      <c r="Y192" s="158"/>
      <c r="Z192" s="159"/>
      <c r="AA192" s="126"/>
      <c r="AB192" s="160"/>
      <c r="AC192" s="162"/>
      <c r="AD192" s="125"/>
      <c r="AE192" s="158"/>
      <c r="AF192" s="159"/>
      <c r="AG192" s="126"/>
      <c r="AH192" s="160"/>
      <c r="AI192" s="162"/>
      <c r="AJ192" s="125"/>
      <c r="AK192" s="158"/>
      <c r="AL192" s="159"/>
      <c r="AM192" s="126"/>
      <c r="AN192" s="160"/>
      <c r="AO192" s="162"/>
      <c r="AP192" s="125"/>
      <c r="AQ192" s="158"/>
      <c r="AR192" s="159"/>
      <c r="AS192" s="126"/>
      <c r="AT192" s="160"/>
      <c r="AU192" s="162"/>
      <c r="AV192" s="125"/>
      <c r="AW192" s="158"/>
      <c r="AX192" s="159"/>
      <c r="AY192" s="126"/>
      <c r="AZ192" s="160"/>
      <c r="BA192" s="162"/>
      <c r="BB192" s="125"/>
      <c r="BC192" s="158"/>
      <c r="BD192" s="159">
        <v>1</v>
      </c>
      <c r="BE192" s="126"/>
      <c r="BF192" s="160"/>
      <c r="BG192" s="162"/>
      <c r="BH192" s="125"/>
      <c r="BI192" s="158"/>
      <c r="BJ192" s="159"/>
      <c r="BK192" s="126"/>
      <c r="BL192" s="160"/>
      <c r="BM192" s="162"/>
      <c r="BN192" s="125"/>
      <c r="BO192" s="158"/>
      <c r="BP192" s="159"/>
      <c r="BQ192" s="126"/>
      <c r="BR192" s="160"/>
      <c r="BS192" s="162"/>
      <c r="BT192" s="125"/>
      <c r="BU192" s="158"/>
      <c r="BV192" s="159"/>
      <c r="BW192" s="126"/>
      <c r="BX192" s="160"/>
      <c r="BY192" s="162"/>
      <c r="BZ192" s="133"/>
      <c r="CA192" s="134"/>
      <c r="CB192" s="165"/>
      <c r="CC192" s="170">
        <f t="shared" ref="CC192:CH192" si="75">SUM(F192,L192,R192,X192,AD192,AJ192,AP192,AV192,BB192,BH192,BN192,BT192)</f>
        <v>0</v>
      </c>
      <c r="CD192" s="171">
        <f t="shared" si="75"/>
        <v>0</v>
      </c>
      <c r="CE192" s="171">
        <f t="shared" si="75"/>
        <v>1</v>
      </c>
      <c r="CF192" s="171">
        <f t="shared" si="75"/>
        <v>0</v>
      </c>
      <c r="CG192" s="171">
        <f t="shared" si="75"/>
        <v>0</v>
      </c>
      <c r="CH192" s="172">
        <f t="shared" si="75"/>
        <v>0</v>
      </c>
    </row>
    <row r="193" spans="1:86" ht="24" customHeight="1" x14ac:dyDescent="0.25">
      <c r="A193" s="188" t="s">
        <v>35</v>
      </c>
      <c r="B193" s="141" t="s">
        <v>33</v>
      </c>
      <c r="C193" s="139" t="s">
        <v>627</v>
      </c>
      <c r="D193" s="139" t="s">
        <v>628</v>
      </c>
      <c r="E193" s="234" t="s">
        <v>294</v>
      </c>
      <c r="F193" s="125"/>
      <c r="G193" s="158"/>
      <c r="H193" s="159"/>
      <c r="I193" s="126"/>
      <c r="J193" s="160"/>
      <c r="K193" s="162"/>
      <c r="L193" s="125"/>
      <c r="M193" s="158"/>
      <c r="N193" s="159"/>
      <c r="O193" s="126"/>
      <c r="P193" s="160"/>
      <c r="Q193" s="162"/>
      <c r="R193" s="125">
        <v>1</v>
      </c>
      <c r="S193" s="158">
        <v>4</v>
      </c>
      <c r="T193" s="159"/>
      <c r="U193" s="126"/>
      <c r="V193" s="160"/>
      <c r="W193" s="162"/>
      <c r="X193" s="125"/>
      <c r="Y193" s="158"/>
      <c r="Z193" s="159"/>
      <c r="AA193" s="126"/>
      <c r="AB193" s="160"/>
      <c r="AC193" s="162"/>
      <c r="AD193" s="125"/>
      <c r="AE193" s="158"/>
      <c r="AF193" s="159"/>
      <c r="AG193" s="126"/>
      <c r="AH193" s="160"/>
      <c r="AI193" s="162"/>
      <c r="AJ193" s="125"/>
      <c r="AK193" s="158">
        <v>2</v>
      </c>
      <c r="AL193" s="159">
        <v>1</v>
      </c>
      <c r="AM193" s="126"/>
      <c r="AN193" s="160"/>
      <c r="AO193" s="162"/>
      <c r="AP193" s="125"/>
      <c r="AQ193" s="158">
        <v>2</v>
      </c>
      <c r="AR193" s="159"/>
      <c r="AS193" s="126"/>
      <c r="AT193" s="160"/>
      <c r="AU193" s="162"/>
      <c r="AV193" s="125"/>
      <c r="AW193" s="158">
        <v>3</v>
      </c>
      <c r="AX193" s="159"/>
      <c r="AY193" s="126"/>
      <c r="AZ193" s="160"/>
      <c r="BA193" s="162"/>
      <c r="BB193" s="125"/>
      <c r="BC193" s="158"/>
      <c r="BD193" s="159"/>
      <c r="BE193" s="126"/>
      <c r="BF193" s="160"/>
      <c r="BG193" s="162"/>
      <c r="BH193" s="125">
        <v>1</v>
      </c>
      <c r="BI193" s="158">
        <v>1</v>
      </c>
      <c r="BJ193" s="159"/>
      <c r="BK193" s="126"/>
      <c r="BL193" s="160"/>
      <c r="BM193" s="162"/>
      <c r="BN193" s="125"/>
      <c r="BO193" s="158">
        <v>1</v>
      </c>
      <c r="BP193" s="159"/>
      <c r="BQ193" s="126"/>
      <c r="BR193" s="160">
        <v>1</v>
      </c>
      <c r="BS193" s="162"/>
      <c r="BT193" s="125"/>
      <c r="BU193" s="158"/>
      <c r="BV193" s="159"/>
      <c r="BW193" s="126"/>
      <c r="BX193" s="160"/>
      <c r="BY193" s="162"/>
      <c r="BZ193" s="133"/>
      <c r="CA193" s="134"/>
      <c r="CB193" s="205"/>
      <c r="CC193" s="170">
        <f t="shared" si="69"/>
        <v>2</v>
      </c>
      <c r="CD193" s="171">
        <f t="shared" si="70"/>
        <v>13</v>
      </c>
      <c r="CE193" s="171">
        <f t="shared" si="71"/>
        <v>1</v>
      </c>
      <c r="CF193" s="171">
        <f t="shared" si="72"/>
        <v>0</v>
      </c>
      <c r="CG193" s="171">
        <f t="shared" si="73"/>
        <v>1</v>
      </c>
      <c r="CH193" s="172">
        <f t="shared" si="74"/>
        <v>0</v>
      </c>
    </row>
    <row r="194" spans="1:86" ht="24" customHeight="1" x14ac:dyDescent="0.25">
      <c r="A194" s="142" t="s">
        <v>329</v>
      </c>
      <c r="B194" s="141" t="s">
        <v>33</v>
      </c>
      <c r="C194" s="139" t="s">
        <v>575</v>
      </c>
      <c r="D194" s="141" t="s">
        <v>487</v>
      </c>
      <c r="E194" s="345" t="s">
        <v>407</v>
      </c>
      <c r="F194" s="125"/>
      <c r="G194" s="158">
        <v>2</v>
      </c>
      <c r="H194" s="159"/>
      <c r="I194" s="126"/>
      <c r="J194" s="160"/>
      <c r="K194" s="162"/>
      <c r="L194" s="125">
        <v>1</v>
      </c>
      <c r="M194" s="158">
        <v>1</v>
      </c>
      <c r="N194" s="159">
        <v>1</v>
      </c>
      <c r="O194" s="126"/>
      <c r="P194" s="160"/>
      <c r="Q194" s="162"/>
      <c r="R194" s="125"/>
      <c r="S194" s="158">
        <v>1</v>
      </c>
      <c r="T194" s="159"/>
      <c r="U194" s="126"/>
      <c r="V194" s="160"/>
      <c r="W194" s="162"/>
      <c r="X194" s="125"/>
      <c r="Y194" s="158">
        <v>2</v>
      </c>
      <c r="Z194" s="159"/>
      <c r="AA194" s="126"/>
      <c r="AB194" s="160">
        <v>1</v>
      </c>
      <c r="AC194" s="162"/>
      <c r="AD194" s="125"/>
      <c r="AE194" s="158"/>
      <c r="AF194" s="159"/>
      <c r="AG194" s="126"/>
      <c r="AH194" s="160"/>
      <c r="AI194" s="162"/>
      <c r="AJ194" s="125"/>
      <c r="AK194" s="158">
        <v>2</v>
      </c>
      <c r="AL194" s="159"/>
      <c r="AM194" s="126"/>
      <c r="AN194" s="160"/>
      <c r="AO194" s="162"/>
      <c r="AP194" s="125"/>
      <c r="AQ194" s="158"/>
      <c r="AR194" s="159"/>
      <c r="AS194" s="126"/>
      <c r="AT194" s="160"/>
      <c r="AU194" s="162"/>
      <c r="AV194" s="125"/>
      <c r="AW194" s="158"/>
      <c r="AX194" s="159"/>
      <c r="AY194" s="126"/>
      <c r="AZ194" s="160"/>
      <c r="BA194" s="162"/>
      <c r="BB194" s="125"/>
      <c r="BC194" s="158"/>
      <c r="BD194" s="159"/>
      <c r="BE194" s="126"/>
      <c r="BF194" s="160"/>
      <c r="BG194" s="162"/>
      <c r="BH194" s="125"/>
      <c r="BI194" s="158"/>
      <c r="BJ194" s="159"/>
      <c r="BK194" s="126"/>
      <c r="BL194" s="160"/>
      <c r="BM194" s="162"/>
      <c r="BN194" s="125"/>
      <c r="BO194" s="158"/>
      <c r="BP194" s="159"/>
      <c r="BQ194" s="126"/>
      <c r="BR194" s="160"/>
      <c r="BS194" s="162"/>
      <c r="BT194" s="125"/>
      <c r="BU194" s="158"/>
      <c r="BV194" s="159"/>
      <c r="BW194" s="126"/>
      <c r="BX194" s="160"/>
      <c r="BY194" s="162"/>
      <c r="BZ194" s="133"/>
      <c r="CA194" s="134"/>
      <c r="CB194" s="205"/>
      <c r="CC194" s="170">
        <f t="shared" si="69"/>
        <v>1</v>
      </c>
      <c r="CD194" s="171">
        <f t="shared" si="70"/>
        <v>8</v>
      </c>
      <c r="CE194" s="171">
        <f t="shared" si="71"/>
        <v>1</v>
      </c>
      <c r="CF194" s="171">
        <f t="shared" si="72"/>
        <v>0</v>
      </c>
      <c r="CG194" s="171">
        <f t="shared" si="73"/>
        <v>1</v>
      </c>
      <c r="CH194" s="172">
        <f t="shared" si="74"/>
        <v>0</v>
      </c>
    </row>
    <row r="195" spans="1:86" ht="24" customHeight="1" x14ac:dyDescent="0.25">
      <c r="A195" s="142" t="s">
        <v>329</v>
      </c>
      <c r="B195" s="139" t="s">
        <v>33</v>
      </c>
      <c r="C195" s="139" t="s">
        <v>629</v>
      </c>
      <c r="D195" s="139" t="s">
        <v>307</v>
      </c>
      <c r="E195" s="186" t="s">
        <v>289</v>
      </c>
      <c r="F195" s="125"/>
      <c r="G195" s="158">
        <v>2</v>
      </c>
      <c r="H195" s="159"/>
      <c r="I195" s="126">
        <v>2</v>
      </c>
      <c r="J195" s="160"/>
      <c r="K195" s="162"/>
      <c r="L195" s="125"/>
      <c r="M195" s="158">
        <v>1</v>
      </c>
      <c r="N195" s="159">
        <v>1</v>
      </c>
      <c r="O195" s="126">
        <v>1</v>
      </c>
      <c r="P195" s="160"/>
      <c r="Q195" s="162">
        <v>1</v>
      </c>
      <c r="R195" s="125"/>
      <c r="S195" s="158">
        <v>1</v>
      </c>
      <c r="T195" s="159">
        <v>1</v>
      </c>
      <c r="U195" s="126">
        <v>1</v>
      </c>
      <c r="V195" s="160"/>
      <c r="W195" s="162">
        <v>2</v>
      </c>
      <c r="X195" s="125"/>
      <c r="Y195" s="158">
        <v>2</v>
      </c>
      <c r="Z195" s="159"/>
      <c r="AA195" s="126">
        <v>1</v>
      </c>
      <c r="AB195" s="160"/>
      <c r="AC195" s="162"/>
      <c r="AD195" s="125"/>
      <c r="AE195" s="158"/>
      <c r="AF195" s="159"/>
      <c r="AG195" s="126"/>
      <c r="AH195" s="160"/>
      <c r="AI195" s="162"/>
      <c r="AJ195" s="125"/>
      <c r="AK195" s="158"/>
      <c r="AL195" s="159"/>
      <c r="AM195" s="126"/>
      <c r="AN195" s="160"/>
      <c r="AO195" s="162"/>
      <c r="AP195" s="125"/>
      <c r="AQ195" s="158"/>
      <c r="AR195" s="159"/>
      <c r="AS195" s="126">
        <v>1</v>
      </c>
      <c r="AT195" s="160"/>
      <c r="AU195" s="162"/>
      <c r="AV195" s="125"/>
      <c r="AW195" s="158"/>
      <c r="AX195" s="159"/>
      <c r="AY195" s="126"/>
      <c r="AZ195" s="160"/>
      <c r="BA195" s="162"/>
      <c r="BB195" s="125"/>
      <c r="BC195" s="158"/>
      <c r="BD195" s="159"/>
      <c r="BE195" s="126"/>
      <c r="BF195" s="160"/>
      <c r="BG195" s="162"/>
      <c r="BH195" s="125"/>
      <c r="BI195" s="158"/>
      <c r="BJ195" s="159"/>
      <c r="BK195" s="126"/>
      <c r="BL195" s="160"/>
      <c r="BM195" s="162"/>
      <c r="BN195" s="125"/>
      <c r="BO195" s="158"/>
      <c r="BP195" s="159"/>
      <c r="BQ195" s="126"/>
      <c r="BR195" s="160"/>
      <c r="BS195" s="162"/>
      <c r="BT195" s="125"/>
      <c r="BU195" s="158"/>
      <c r="BV195" s="159"/>
      <c r="BW195" s="126"/>
      <c r="BX195" s="160"/>
      <c r="BY195" s="162"/>
      <c r="BZ195" s="133"/>
      <c r="CA195" s="204"/>
      <c r="CB195" s="140"/>
      <c r="CC195" s="170">
        <f t="shared" ref="CC195" si="76">SUM(F195,L195,R195,X195,AD195,AJ195,AP195,AV195,BB195,BH195,BN195,BT195)</f>
        <v>0</v>
      </c>
      <c r="CD195" s="171">
        <f t="shared" ref="CD195" si="77">SUM(G195,M195,S195,Y195,AE195,AK195,AQ195,AW195,BC195,BI195,BO195,BU195)</f>
        <v>6</v>
      </c>
      <c r="CE195" s="171">
        <f t="shared" ref="CE195" si="78">SUM(H195,N195,T195,Z195,AF195,AL195,AR195,AX195,BD195,BJ195,BP195,BV195)</f>
        <v>2</v>
      </c>
      <c r="CF195" s="171">
        <f t="shared" ref="CF195" si="79">SUM(I195,O195,U195,AA195,AG195,AM195,AS195,AY195,BE195,BK195,BQ195,BW195)</f>
        <v>6</v>
      </c>
      <c r="CG195" s="171">
        <f t="shared" ref="CG195" si="80">SUM(J195,P195,V195,AB195,AH195,AN195,AT195,AZ195,BF195,BL195,BR195,BX195)</f>
        <v>0</v>
      </c>
      <c r="CH195" s="172">
        <f t="shared" ref="CH195" si="81">SUM(K195,Q195,W195,AC195,AI195,AO195,AU195,BA195,BG195,BM195,BS195,BY195)</f>
        <v>3</v>
      </c>
    </row>
    <row r="196" spans="1:86" ht="24" customHeight="1" thickBot="1" x14ac:dyDescent="0.3">
      <c r="A196" s="239" t="s">
        <v>306</v>
      </c>
      <c r="B196" s="139" t="s">
        <v>306</v>
      </c>
      <c r="C196" s="139" t="s">
        <v>630</v>
      </c>
      <c r="D196" s="139" t="s">
        <v>311</v>
      </c>
      <c r="E196" s="186" t="s">
        <v>302</v>
      </c>
      <c r="F196" s="125"/>
      <c r="G196" s="158"/>
      <c r="H196" s="159"/>
      <c r="I196" s="126"/>
      <c r="J196" s="160"/>
      <c r="K196" s="162"/>
      <c r="L196" s="125"/>
      <c r="M196" s="158"/>
      <c r="N196" s="159"/>
      <c r="O196" s="126"/>
      <c r="P196" s="160"/>
      <c r="Q196" s="162"/>
      <c r="R196" s="125"/>
      <c r="S196" s="158"/>
      <c r="T196" s="159"/>
      <c r="U196" s="126"/>
      <c r="V196" s="160"/>
      <c r="W196" s="162"/>
      <c r="X196" s="125"/>
      <c r="Y196" s="158"/>
      <c r="Z196" s="159"/>
      <c r="AA196" s="126"/>
      <c r="AB196" s="160"/>
      <c r="AC196" s="162"/>
      <c r="AD196" s="125"/>
      <c r="AE196" s="158"/>
      <c r="AF196" s="159"/>
      <c r="AG196" s="126"/>
      <c r="AH196" s="160"/>
      <c r="AI196" s="162"/>
      <c r="AJ196" s="125"/>
      <c r="AK196" s="158"/>
      <c r="AL196" s="159"/>
      <c r="AM196" s="126"/>
      <c r="AN196" s="160"/>
      <c r="AO196" s="162"/>
      <c r="AP196" s="125"/>
      <c r="AQ196" s="158"/>
      <c r="AR196" s="159"/>
      <c r="AS196" s="126"/>
      <c r="AT196" s="160"/>
      <c r="AU196" s="162"/>
      <c r="AV196" s="125"/>
      <c r="AW196" s="158"/>
      <c r="AX196" s="159"/>
      <c r="AY196" s="126"/>
      <c r="AZ196" s="160"/>
      <c r="BA196" s="162"/>
      <c r="BB196" s="125"/>
      <c r="BC196" s="158"/>
      <c r="BD196" s="159"/>
      <c r="BE196" s="126"/>
      <c r="BF196" s="160"/>
      <c r="BG196" s="162"/>
      <c r="BH196" s="125"/>
      <c r="BI196" s="158"/>
      <c r="BJ196" s="159"/>
      <c r="BK196" s="126"/>
      <c r="BL196" s="160"/>
      <c r="BM196" s="162"/>
      <c r="BN196" s="125">
        <v>1</v>
      </c>
      <c r="BO196" s="158">
        <v>1</v>
      </c>
      <c r="BP196" s="159"/>
      <c r="BQ196" s="126"/>
      <c r="BR196" s="160"/>
      <c r="BS196" s="162"/>
      <c r="BT196" s="125"/>
      <c r="BU196" s="158"/>
      <c r="BV196" s="159"/>
      <c r="BW196" s="126"/>
      <c r="BX196" s="160"/>
      <c r="BY196" s="162"/>
      <c r="BZ196" s="133"/>
      <c r="CA196" s="204"/>
      <c r="CB196" s="140"/>
      <c r="CC196" s="170">
        <f t="shared" ref="CC196:CH196" si="82">SUM(F196,L196,R196,X196,AD196,AJ196,AP196,AV196,BB196,BH196,BN196,BT196)</f>
        <v>1</v>
      </c>
      <c r="CD196" s="171">
        <f t="shared" si="82"/>
        <v>1</v>
      </c>
      <c r="CE196" s="171">
        <f t="shared" si="82"/>
        <v>0</v>
      </c>
      <c r="CF196" s="171">
        <f t="shared" si="82"/>
        <v>0</v>
      </c>
      <c r="CG196" s="171">
        <f t="shared" si="82"/>
        <v>0</v>
      </c>
      <c r="CH196" s="172">
        <f t="shared" si="82"/>
        <v>0</v>
      </c>
    </row>
    <row r="197" spans="1:86" ht="24" hidden="1" customHeight="1" thickBot="1" x14ac:dyDescent="0.3">
      <c r="A197" s="484"/>
      <c r="B197" s="484"/>
      <c r="C197" s="484"/>
      <c r="D197" s="484"/>
      <c r="E197" s="484"/>
      <c r="F197" s="485"/>
      <c r="G197" s="486"/>
      <c r="H197" s="487"/>
      <c r="I197" s="488"/>
      <c r="J197" s="489"/>
      <c r="K197" s="490"/>
      <c r="L197" s="485"/>
      <c r="M197" s="486"/>
      <c r="N197" s="487"/>
      <c r="O197" s="488"/>
      <c r="P197" s="489"/>
      <c r="Q197" s="490"/>
      <c r="R197" s="485"/>
      <c r="S197" s="486"/>
      <c r="T197" s="487"/>
      <c r="U197" s="488"/>
      <c r="V197" s="489"/>
      <c r="W197" s="490"/>
      <c r="X197" s="485"/>
      <c r="Y197" s="486"/>
      <c r="Z197" s="487"/>
      <c r="AA197" s="488"/>
      <c r="AB197" s="489"/>
      <c r="AC197" s="490"/>
      <c r="AD197" s="485"/>
      <c r="AE197" s="486"/>
      <c r="AF197" s="487"/>
      <c r="AG197" s="488"/>
      <c r="AH197" s="489"/>
      <c r="AI197" s="490"/>
      <c r="AJ197" s="485"/>
      <c r="AK197" s="486"/>
      <c r="AL197" s="487"/>
      <c r="AM197" s="488"/>
      <c r="AN197" s="489"/>
      <c r="AO197" s="490"/>
      <c r="AP197" s="485"/>
      <c r="AQ197" s="486"/>
      <c r="AR197" s="487"/>
      <c r="AS197" s="488"/>
      <c r="AT197" s="489"/>
      <c r="AU197" s="490"/>
      <c r="AV197" s="485"/>
      <c r="AW197" s="486"/>
      <c r="AX197" s="487"/>
      <c r="AY197" s="488"/>
      <c r="AZ197" s="489"/>
      <c r="BA197" s="490"/>
      <c r="BB197" s="485"/>
      <c r="BC197" s="486"/>
      <c r="BD197" s="487"/>
      <c r="BE197" s="488"/>
      <c r="BF197" s="489"/>
      <c r="BG197" s="490"/>
      <c r="BH197" s="485"/>
      <c r="BI197" s="486"/>
      <c r="BJ197" s="487"/>
      <c r="BK197" s="488"/>
      <c r="BL197" s="489"/>
      <c r="BM197" s="490"/>
      <c r="BN197" s="485"/>
      <c r="BO197" s="486"/>
      <c r="BP197" s="487"/>
      <c r="BQ197" s="488"/>
      <c r="BR197" s="489"/>
      <c r="BS197" s="490"/>
      <c r="BT197" s="485"/>
      <c r="BU197" s="486"/>
      <c r="BV197" s="487"/>
      <c r="BW197" s="488"/>
      <c r="BX197" s="489"/>
      <c r="BY197" s="490"/>
      <c r="BZ197" s="491"/>
      <c r="CA197" s="492"/>
      <c r="CB197" s="128"/>
      <c r="CC197" s="493"/>
      <c r="CD197" s="493"/>
      <c r="CE197" s="493"/>
      <c r="CF197" s="493"/>
      <c r="CG197" s="493"/>
      <c r="CH197" s="494"/>
    </row>
    <row r="198" spans="1:86" s="258" customFormat="1" ht="34.35" customHeight="1" thickBot="1" x14ac:dyDescent="0.3">
      <c r="A198" s="550" t="s">
        <v>28</v>
      </c>
      <c r="B198" s="551"/>
      <c r="C198" s="551"/>
      <c r="D198" s="551"/>
      <c r="E198" s="552"/>
      <c r="F198" s="248">
        <f t="shared" ref="F198:AK198" si="83">SUM(F5:F195)</f>
        <v>23</v>
      </c>
      <c r="G198" s="249">
        <f t="shared" si="83"/>
        <v>147</v>
      </c>
      <c r="H198" s="250">
        <f t="shared" si="83"/>
        <v>0</v>
      </c>
      <c r="I198" s="251">
        <f t="shared" si="83"/>
        <v>30</v>
      </c>
      <c r="J198" s="252">
        <f t="shared" si="83"/>
        <v>5</v>
      </c>
      <c r="K198" s="253">
        <f t="shared" si="83"/>
        <v>2</v>
      </c>
      <c r="L198" s="248">
        <f t="shared" si="83"/>
        <v>14</v>
      </c>
      <c r="M198" s="249">
        <f t="shared" si="83"/>
        <v>67</v>
      </c>
      <c r="N198" s="250">
        <f t="shared" si="83"/>
        <v>55</v>
      </c>
      <c r="O198" s="251">
        <f t="shared" si="83"/>
        <v>25</v>
      </c>
      <c r="P198" s="252">
        <f t="shared" si="83"/>
        <v>2</v>
      </c>
      <c r="Q198" s="253">
        <f t="shared" si="83"/>
        <v>3</v>
      </c>
      <c r="R198" s="248">
        <f t="shared" si="83"/>
        <v>17</v>
      </c>
      <c r="S198" s="249">
        <f t="shared" si="83"/>
        <v>82</v>
      </c>
      <c r="T198" s="250">
        <f t="shared" si="83"/>
        <v>25</v>
      </c>
      <c r="U198" s="251">
        <f t="shared" si="83"/>
        <v>28</v>
      </c>
      <c r="V198" s="252">
        <f t="shared" si="83"/>
        <v>1</v>
      </c>
      <c r="W198" s="253">
        <f t="shared" si="83"/>
        <v>4</v>
      </c>
      <c r="X198" s="248">
        <f t="shared" si="83"/>
        <v>15</v>
      </c>
      <c r="Y198" s="249">
        <f t="shared" si="83"/>
        <v>95</v>
      </c>
      <c r="Z198" s="250">
        <f t="shared" si="83"/>
        <v>26</v>
      </c>
      <c r="AA198" s="251">
        <f t="shared" si="83"/>
        <v>26</v>
      </c>
      <c r="AB198" s="252">
        <f t="shared" si="83"/>
        <v>2</v>
      </c>
      <c r="AC198" s="253">
        <f t="shared" si="83"/>
        <v>1</v>
      </c>
      <c r="AD198" s="248">
        <f t="shared" si="83"/>
        <v>13</v>
      </c>
      <c r="AE198" s="249">
        <f t="shared" si="83"/>
        <v>40</v>
      </c>
      <c r="AF198" s="250">
        <f t="shared" si="83"/>
        <v>24</v>
      </c>
      <c r="AG198" s="251">
        <f t="shared" si="83"/>
        <v>14</v>
      </c>
      <c r="AH198" s="252">
        <f t="shared" si="83"/>
        <v>0</v>
      </c>
      <c r="AI198" s="253">
        <f t="shared" si="83"/>
        <v>3</v>
      </c>
      <c r="AJ198" s="248">
        <f t="shared" si="83"/>
        <v>9</v>
      </c>
      <c r="AK198" s="249">
        <f t="shared" si="83"/>
        <v>156</v>
      </c>
      <c r="AL198" s="250">
        <f t="shared" ref="AL198:BQ198" si="84">SUM(AL5:AL195)</f>
        <v>38</v>
      </c>
      <c r="AM198" s="251">
        <f t="shared" si="84"/>
        <v>15</v>
      </c>
      <c r="AN198" s="252">
        <f t="shared" si="84"/>
        <v>1</v>
      </c>
      <c r="AO198" s="253">
        <f t="shared" si="84"/>
        <v>1</v>
      </c>
      <c r="AP198" s="248">
        <f t="shared" si="84"/>
        <v>15</v>
      </c>
      <c r="AQ198" s="249">
        <f t="shared" si="84"/>
        <v>56</v>
      </c>
      <c r="AR198" s="250">
        <f t="shared" si="84"/>
        <v>21</v>
      </c>
      <c r="AS198" s="251">
        <f t="shared" si="84"/>
        <v>18</v>
      </c>
      <c r="AT198" s="252">
        <f t="shared" si="84"/>
        <v>3</v>
      </c>
      <c r="AU198" s="253">
        <f t="shared" si="84"/>
        <v>1</v>
      </c>
      <c r="AV198" s="248">
        <f t="shared" si="84"/>
        <v>13</v>
      </c>
      <c r="AW198" s="249">
        <f t="shared" si="84"/>
        <v>70</v>
      </c>
      <c r="AX198" s="250">
        <f t="shared" si="84"/>
        <v>11</v>
      </c>
      <c r="AY198" s="251">
        <f t="shared" si="84"/>
        <v>16</v>
      </c>
      <c r="AZ198" s="252">
        <f t="shared" si="84"/>
        <v>1</v>
      </c>
      <c r="BA198" s="253">
        <f t="shared" si="84"/>
        <v>0</v>
      </c>
      <c r="BB198" s="248">
        <f t="shared" si="84"/>
        <v>24</v>
      </c>
      <c r="BC198" s="249">
        <f t="shared" si="84"/>
        <v>61</v>
      </c>
      <c r="BD198" s="250">
        <f t="shared" si="84"/>
        <v>14</v>
      </c>
      <c r="BE198" s="251">
        <f t="shared" si="84"/>
        <v>14</v>
      </c>
      <c r="BF198" s="252">
        <f t="shared" si="84"/>
        <v>2</v>
      </c>
      <c r="BG198" s="253">
        <f t="shared" si="84"/>
        <v>5</v>
      </c>
      <c r="BH198" s="248">
        <f t="shared" si="84"/>
        <v>23</v>
      </c>
      <c r="BI198" s="249">
        <f t="shared" si="84"/>
        <v>84</v>
      </c>
      <c r="BJ198" s="250">
        <f t="shared" si="84"/>
        <v>9</v>
      </c>
      <c r="BK198" s="251">
        <f t="shared" si="84"/>
        <v>24</v>
      </c>
      <c r="BL198" s="252">
        <f t="shared" si="84"/>
        <v>8</v>
      </c>
      <c r="BM198" s="253">
        <f t="shared" si="84"/>
        <v>3</v>
      </c>
      <c r="BN198" s="248">
        <f t="shared" si="84"/>
        <v>29</v>
      </c>
      <c r="BO198" s="249">
        <f t="shared" si="84"/>
        <v>57</v>
      </c>
      <c r="BP198" s="250">
        <f t="shared" si="84"/>
        <v>23</v>
      </c>
      <c r="BQ198" s="251">
        <f t="shared" si="84"/>
        <v>14</v>
      </c>
      <c r="BR198" s="252">
        <f t="shared" ref="BR198:BY198" si="85">SUM(BR5:BR195)</f>
        <v>4</v>
      </c>
      <c r="BS198" s="253">
        <f t="shared" si="85"/>
        <v>1</v>
      </c>
      <c r="BT198" s="248">
        <f t="shared" si="85"/>
        <v>23</v>
      </c>
      <c r="BU198" s="249">
        <f t="shared" si="85"/>
        <v>55</v>
      </c>
      <c r="BV198" s="250">
        <f t="shared" si="85"/>
        <v>2</v>
      </c>
      <c r="BW198" s="251">
        <f t="shared" si="85"/>
        <v>12</v>
      </c>
      <c r="BX198" s="252">
        <f t="shared" si="85"/>
        <v>0</v>
      </c>
      <c r="BY198" s="253">
        <f t="shared" si="85"/>
        <v>0</v>
      </c>
      <c r="BZ198" s="254">
        <f>SUM(BZ27:BZ183)</f>
        <v>0</v>
      </c>
      <c r="CA198" s="255">
        <f>SUM(CA27:CA183)</f>
        <v>0</v>
      </c>
      <c r="CB198" s="256" t="s">
        <v>631</v>
      </c>
      <c r="CC198" s="257">
        <f t="shared" ref="CC198:CH198" si="86">SUM(CC5:CC195)</f>
        <v>218</v>
      </c>
      <c r="CD198" s="257">
        <f t="shared" si="86"/>
        <v>970</v>
      </c>
      <c r="CE198" s="257">
        <f t="shared" si="86"/>
        <v>248</v>
      </c>
      <c r="CF198" s="257">
        <f t="shared" si="86"/>
        <v>236</v>
      </c>
      <c r="CG198" s="257">
        <f t="shared" si="86"/>
        <v>29</v>
      </c>
      <c r="CH198" s="257">
        <f t="shared" si="86"/>
        <v>24</v>
      </c>
    </row>
    <row r="199" spans="1:86" ht="15" customHeight="1" x14ac:dyDescent="0.25">
      <c r="G199"/>
      <c r="H199"/>
      <c r="I199">
        <v>13</v>
      </c>
      <c r="K199">
        <v>0</v>
      </c>
      <c r="O199">
        <v>10</v>
      </c>
      <c r="Q199">
        <v>0</v>
      </c>
      <c r="U199">
        <v>15</v>
      </c>
      <c r="W199">
        <v>1</v>
      </c>
      <c r="AA199">
        <v>18</v>
      </c>
      <c r="AC199">
        <v>1</v>
      </c>
      <c r="AG199">
        <v>16</v>
      </c>
      <c r="AI199">
        <v>1</v>
      </c>
      <c r="AM199">
        <v>17</v>
      </c>
      <c r="AO199">
        <v>1</v>
      </c>
    </row>
  </sheetData>
  <autoFilter ref="A4:CM196" xr:uid="{00000000-0001-0000-0200-000000000000}"/>
  <sortState xmlns:xlrd2="http://schemas.microsoft.com/office/spreadsheetml/2017/richdata2" ref="A6:CH175">
    <sortCondition ref="C27:C195"/>
  </sortState>
  <mergeCells count="16">
    <mergeCell ref="A198:E198"/>
    <mergeCell ref="CC3:CH3"/>
    <mergeCell ref="BZ3:CA3"/>
    <mergeCell ref="A1:AJ1"/>
    <mergeCell ref="BN3:BS3"/>
    <mergeCell ref="BT3:BY3"/>
    <mergeCell ref="AP3:AU3"/>
    <mergeCell ref="AV3:BA3"/>
    <mergeCell ref="BB3:BG3"/>
    <mergeCell ref="BH3:BM3"/>
    <mergeCell ref="F3:K3"/>
    <mergeCell ref="L3:Q3"/>
    <mergeCell ref="R3:W3"/>
    <mergeCell ref="X3:AC3"/>
    <mergeCell ref="AD3:AI3"/>
    <mergeCell ref="AJ3:AO3"/>
  </mergeCells>
  <phoneticPr fontId="14" type="noConversion"/>
  <conditionalFormatting sqref="B8">
    <cfRule type="colorScale" priority="1">
      <colorScale>
        <cfvo type="num" val="#REF!"/>
        <cfvo type="max"/>
        <color rgb="FF92D050"/>
        <color rgb="FF92D050"/>
      </colorScale>
    </cfRule>
  </conditionalFormatting>
  <conditionalFormatting sqref="C6:D6 B5:D5">
    <cfRule type="colorScale" priority="1387">
      <colorScale>
        <cfvo type="num" val="#REF!"/>
        <cfvo type="max"/>
        <color rgb="FF92D050"/>
        <color rgb="FF92D050"/>
      </colorScale>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4"/>
    <pageSetUpPr fitToPage="1"/>
  </sheetPr>
  <dimension ref="A1:AG241"/>
  <sheetViews>
    <sheetView showGridLines="0" tabSelected="1" zoomScale="65" zoomScaleNormal="70" workbookViewId="0">
      <pane ySplit="2" topLeftCell="A158" activePane="bottomLeft" state="frozen"/>
      <selection activeCell="U1" sqref="U1"/>
      <selection pane="bottomLeft" activeCell="F161" sqref="F161"/>
    </sheetView>
  </sheetViews>
  <sheetFormatPr baseColWidth="10" defaultColWidth="10" defaultRowHeight="30" customHeight="1" x14ac:dyDescent="0.25"/>
  <cols>
    <col min="1" max="1" width="15.42578125" style="37" customWidth="1"/>
    <col min="2" max="2" width="14" style="4" customWidth="1"/>
    <col min="3" max="3" width="25.42578125" style="4" customWidth="1"/>
    <col min="4" max="4" width="77.5703125" style="24" customWidth="1"/>
    <col min="5" max="5" width="24.5703125" style="37" bestFit="1" customWidth="1"/>
    <col min="6" max="6" width="60.28515625" style="4" customWidth="1"/>
    <col min="7" max="7" width="26.28515625" style="37" bestFit="1" customWidth="1"/>
    <col min="8" max="8" width="26.42578125" style="40" bestFit="1" customWidth="1"/>
    <col min="9" max="9" width="18.42578125" style="4" bestFit="1" customWidth="1"/>
    <col min="10" max="10" width="12" style="4" customWidth="1"/>
    <col min="11" max="11" width="11.5703125" style="4" customWidth="1"/>
    <col min="12" max="19" width="12" style="4" customWidth="1"/>
    <col min="20" max="20" width="11.7109375" style="4" customWidth="1"/>
    <col min="21" max="25" width="12" style="4" customWidth="1"/>
    <col min="26" max="26" width="17.28515625" style="4" customWidth="1"/>
    <col min="27" max="30" width="17" style="4" customWidth="1"/>
    <col min="31" max="31" width="20.7109375" style="4" customWidth="1"/>
    <col min="32" max="32" width="15" style="4" customWidth="1"/>
    <col min="33" max="33" width="49.5703125" style="47" customWidth="1"/>
    <col min="34" max="34" width="10" style="1" customWidth="1"/>
    <col min="35" max="36" width="7.28515625" style="1" customWidth="1"/>
    <col min="37" max="37" width="10" style="1" bestFit="1" customWidth="1"/>
    <col min="38" max="16383" width="10" style="1"/>
    <col min="16384" max="16384" width="10" style="1" bestFit="1"/>
  </cols>
  <sheetData>
    <row r="1" spans="1:33" s="2" customFormat="1" ht="39" thickBot="1" x14ac:dyDescent="0.35">
      <c r="A1" s="562" t="s">
        <v>632</v>
      </c>
      <c r="B1" s="562"/>
      <c r="C1" s="562"/>
      <c r="D1" s="562"/>
      <c r="E1" s="562"/>
      <c r="F1" s="562"/>
      <c r="G1" s="46"/>
      <c r="H1" s="17"/>
      <c r="I1" s="563" t="s">
        <v>633</v>
      </c>
      <c r="J1" s="564"/>
      <c r="K1" s="564"/>
      <c r="L1" s="564"/>
      <c r="M1" s="564"/>
      <c r="N1" s="564"/>
      <c r="O1" s="564"/>
      <c r="P1" s="564"/>
      <c r="Q1" s="564"/>
      <c r="R1" s="564"/>
      <c r="S1" s="564"/>
      <c r="T1" s="564"/>
      <c r="U1" s="564"/>
      <c r="V1" s="564"/>
      <c r="W1" s="565"/>
      <c r="X1" s="41"/>
      <c r="Y1" s="41"/>
      <c r="Z1" s="41"/>
      <c r="AA1" s="566" t="s">
        <v>634</v>
      </c>
      <c r="AB1" s="567"/>
      <c r="AC1" s="173"/>
      <c r="AD1" s="173"/>
      <c r="AE1" s="173"/>
      <c r="AF1" s="173"/>
      <c r="AG1" s="47"/>
    </row>
    <row r="2" spans="1:33" s="2" customFormat="1" ht="132" customHeight="1" x14ac:dyDescent="0.3">
      <c r="A2" s="49" t="s">
        <v>2</v>
      </c>
      <c r="B2" s="49" t="s">
        <v>7</v>
      </c>
      <c r="C2" s="50" t="s">
        <v>635</v>
      </c>
      <c r="D2" s="49" t="s">
        <v>636</v>
      </c>
      <c r="E2" s="49" t="s">
        <v>637</v>
      </c>
      <c r="F2" s="49" t="s">
        <v>638</v>
      </c>
      <c r="G2" s="49" t="s">
        <v>639</v>
      </c>
      <c r="H2" s="39" t="s">
        <v>273</v>
      </c>
      <c r="I2" s="55" t="s">
        <v>640</v>
      </c>
      <c r="J2" s="54" t="s">
        <v>641</v>
      </c>
      <c r="K2" s="54" t="s">
        <v>642</v>
      </c>
      <c r="L2" s="54" t="s">
        <v>643</v>
      </c>
      <c r="M2" s="54" t="s">
        <v>644</v>
      </c>
      <c r="N2" s="54" t="s">
        <v>645</v>
      </c>
      <c r="O2" s="54" t="s">
        <v>646</v>
      </c>
      <c r="P2" s="54" t="s">
        <v>647</v>
      </c>
      <c r="Q2" s="54" t="s">
        <v>648</v>
      </c>
      <c r="R2" s="54" t="s">
        <v>649</v>
      </c>
      <c r="S2" s="54" t="s">
        <v>650</v>
      </c>
      <c r="T2" s="54" t="s">
        <v>651</v>
      </c>
      <c r="U2" s="54" t="s">
        <v>652</v>
      </c>
      <c r="V2" s="54" t="s">
        <v>653</v>
      </c>
      <c r="W2" s="54" t="s">
        <v>654</v>
      </c>
      <c r="X2" s="56" t="s">
        <v>655</v>
      </c>
      <c r="Y2" s="56" t="s">
        <v>656</v>
      </c>
      <c r="Z2" s="57" t="s">
        <v>23</v>
      </c>
      <c r="AA2" s="51" t="s">
        <v>24</v>
      </c>
      <c r="AB2" s="52" t="s">
        <v>25</v>
      </c>
      <c r="AC2" s="52" t="s">
        <v>26</v>
      </c>
      <c r="AD2" s="52" t="s">
        <v>27</v>
      </c>
      <c r="AE2" s="52" t="s">
        <v>28</v>
      </c>
      <c r="AF2" s="52" t="s">
        <v>657</v>
      </c>
      <c r="AG2" s="53" t="s">
        <v>30</v>
      </c>
    </row>
    <row r="3" spans="1:33" s="18" customFormat="1" ht="34.5" x14ac:dyDescent="0.25">
      <c r="A3" s="33">
        <v>45645</v>
      </c>
      <c r="B3" s="22" t="s">
        <v>35</v>
      </c>
      <c r="C3" s="21" t="s">
        <v>658</v>
      </c>
      <c r="D3" s="23" t="s">
        <v>659</v>
      </c>
      <c r="E3" s="22" t="s">
        <v>660</v>
      </c>
      <c r="F3" s="20" t="s">
        <v>661</v>
      </c>
      <c r="G3" s="20" t="s">
        <v>662</v>
      </c>
      <c r="H3" s="19" t="s">
        <v>33</v>
      </c>
      <c r="I3" s="44"/>
      <c r="J3" s="44"/>
      <c r="K3" s="44"/>
      <c r="L3" s="44" t="s">
        <v>663</v>
      </c>
      <c r="M3" s="44"/>
      <c r="N3" s="44"/>
      <c r="O3" s="44"/>
      <c r="P3" s="44"/>
      <c r="Q3" s="44"/>
      <c r="R3" s="44"/>
      <c r="S3" s="44"/>
      <c r="T3" s="44"/>
      <c r="U3" s="44"/>
      <c r="V3" s="44"/>
      <c r="W3" s="44"/>
      <c r="X3" s="44"/>
      <c r="Y3" s="44"/>
      <c r="Z3" s="6" t="s">
        <v>48</v>
      </c>
      <c r="AA3" s="44">
        <v>10</v>
      </c>
      <c r="AB3" s="44">
        <v>10</v>
      </c>
      <c r="AC3" s="44">
        <v>10</v>
      </c>
      <c r="AD3" s="44">
        <v>30</v>
      </c>
      <c r="AE3" s="44">
        <f>SUM(ListeInventaire642[[#This Row],[Gravité Réelle]:[Gravité potentielle]])</f>
        <v>60</v>
      </c>
      <c r="AF3" s="44" t="s">
        <v>664</v>
      </c>
      <c r="AG3" s="48"/>
    </row>
    <row r="4" spans="1:33" s="18" customFormat="1" ht="48.6" customHeight="1" x14ac:dyDescent="0.25">
      <c r="A4" s="33">
        <v>45664</v>
      </c>
      <c r="B4" s="22" t="s">
        <v>35</v>
      </c>
      <c r="C4" s="21" t="s">
        <v>658</v>
      </c>
      <c r="D4" s="23" t="s">
        <v>665</v>
      </c>
      <c r="E4" s="22" t="s">
        <v>43</v>
      </c>
      <c r="F4" s="20" t="s">
        <v>666</v>
      </c>
      <c r="G4" s="20" t="s">
        <v>667</v>
      </c>
      <c r="H4" s="19" t="s">
        <v>33</v>
      </c>
      <c r="I4" s="44" t="s">
        <v>663</v>
      </c>
      <c r="J4" s="44"/>
      <c r="K4" s="44"/>
      <c r="L4" s="44"/>
      <c r="M4" s="44"/>
      <c r="N4" s="44"/>
      <c r="O4" s="44"/>
      <c r="P4" s="44"/>
      <c r="Q4" s="44" t="s">
        <v>663</v>
      </c>
      <c r="R4" s="44"/>
      <c r="S4" s="44"/>
      <c r="T4" s="44"/>
      <c r="U4" s="44"/>
      <c r="V4" s="44"/>
      <c r="W4" s="44"/>
      <c r="X4" s="44"/>
      <c r="Y4" s="44"/>
      <c r="Z4" s="44" t="s">
        <v>48</v>
      </c>
      <c r="AA4" s="44">
        <v>10</v>
      </c>
      <c r="AB4" s="44">
        <v>30</v>
      </c>
      <c r="AC4" s="44">
        <v>0</v>
      </c>
      <c r="AD4" s="44">
        <v>30</v>
      </c>
      <c r="AE4" s="44">
        <f>SUM(ListeInventaire642[[#This Row],[Gravité Réelle]:[Gravité potentielle]])</f>
        <v>70</v>
      </c>
      <c r="AF4" s="44" t="str">
        <f>IF(ListeInventaire642[[#This Row],[TOTAL]]&gt;89,"OUI","NON")</f>
        <v>NON</v>
      </c>
      <c r="AG4" s="48"/>
    </row>
    <row r="5" spans="1:33" s="18" customFormat="1" ht="48.6" customHeight="1" x14ac:dyDescent="0.25">
      <c r="A5" s="33">
        <v>45666</v>
      </c>
      <c r="B5" s="22" t="s">
        <v>668</v>
      </c>
      <c r="C5" s="114" t="s">
        <v>658</v>
      </c>
      <c r="D5" s="220" t="s">
        <v>669</v>
      </c>
      <c r="E5" s="19" t="s">
        <v>670</v>
      </c>
      <c r="F5" s="23" t="s">
        <v>671</v>
      </c>
      <c r="G5" s="22" t="s">
        <v>672</v>
      </c>
      <c r="H5" s="22" t="s">
        <v>33</v>
      </c>
      <c r="I5" s="44"/>
      <c r="J5" s="44"/>
      <c r="K5" s="44"/>
      <c r="L5" s="44"/>
      <c r="M5" s="44" t="s">
        <v>663</v>
      </c>
      <c r="N5" s="44"/>
      <c r="O5" s="44"/>
      <c r="P5" s="44"/>
      <c r="Q5" s="44"/>
      <c r="R5" s="44"/>
      <c r="S5" s="44"/>
      <c r="T5" s="44" t="s">
        <v>663</v>
      </c>
      <c r="U5" s="44"/>
      <c r="V5" s="44"/>
      <c r="W5" s="44"/>
      <c r="X5" s="44"/>
      <c r="Y5" s="44"/>
      <c r="Z5" s="44"/>
      <c r="AA5" s="44">
        <v>30</v>
      </c>
      <c r="AB5" s="44">
        <v>10</v>
      </c>
      <c r="AC5" s="44">
        <v>10</v>
      </c>
      <c r="AD5" s="44">
        <v>20</v>
      </c>
      <c r="AE5" s="44">
        <f>SUM(ListeInventaire642[[#This Row],[Gravité Réelle]:[Gravité potentielle]])</f>
        <v>70</v>
      </c>
      <c r="AF5" s="44" t="str">
        <f>IF(ListeInventaire642[[#This Row],[TOTAL]]&gt;89,"OUI","NON")</f>
        <v>NON</v>
      </c>
      <c r="AG5" s="48"/>
    </row>
    <row r="6" spans="1:33" s="18" customFormat="1" ht="69.75" customHeight="1" x14ac:dyDescent="0.25">
      <c r="A6" s="33">
        <v>45666</v>
      </c>
      <c r="B6" s="22" t="s">
        <v>35</v>
      </c>
      <c r="C6" s="21" t="s">
        <v>673</v>
      </c>
      <c r="D6" s="23" t="s">
        <v>674</v>
      </c>
      <c r="E6" s="22" t="s">
        <v>43</v>
      </c>
      <c r="F6" s="20" t="s">
        <v>675</v>
      </c>
      <c r="G6" s="20" t="s">
        <v>676</v>
      </c>
      <c r="H6" s="19" t="s">
        <v>33</v>
      </c>
      <c r="I6" s="44"/>
      <c r="J6" s="44"/>
      <c r="K6" s="44" t="s">
        <v>663</v>
      </c>
      <c r="L6" s="44"/>
      <c r="M6" s="44"/>
      <c r="N6" s="44"/>
      <c r="O6" s="44"/>
      <c r="P6" s="44"/>
      <c r="Q6" s="44"/>
      <c r="R6" s="44"/>
      <c r="S6" s="44"/>
      <c r="T6" s="44" t="s">
        <v>663</v>
      </c>
      <c r="U6" s="44"/>
      <c r="V6" s="44"/>
      <c r="W6" s="44"/>
      <c r="X6" s="44"/>
      <c r="Y6" s="44"/>
      <c r="Z6" s="6" t="s">
        <v>48</v>
      </c>
      <c r="AA6" s="44">
        <v>10</v>
      </c>
      <c r="AB6" s="44">
        <v>20</v>
      </c>
      <c r="AC6" s="44">
        <v>0</v>
      </c>
      <c r="AD6" s="44">
        <v>50</v>
      </c>
      <c r="AE6" s="44">
        <f>SUM(ListeInventaire642[[#This Row],[Gravité Réelle]:[Gravité potentielle]])</f>
        <v>80</v>
      </c>
      <c r="AF6" s="44" t="str">
        <f>IF(ListeInventaire642[[#This Row],[TOTAL]]&gt;89,"OUI","NON")</f>
        <v>NON</v>
      </c>
      <c r="AG6" s="48"/>
    </row>
    <row r="7" spans="1:33" s="18" customFormat="1" ht="51.75" x14ac:dyDescent="0.25">
      <c r="A7" s="33">
        <v>45670</v>
      </c>
      <c r="B7" s="22" t="s">
        <v>35</v>
      </c>
      <c r="C7" s="21" t="s">
        <v>673</v>
      </c>
      <c r="D7" s="23" t="s">
        <v>677</v>
      </c>
      <c r="E7" s="22" t="s">
        <v>132</v>
      </c>
      <c r="F7" s="20" t="s">
        <v>678</v>
      </c>
      <c r="G7" s="20" t="s">
        <v>679</v>
      </c>
      <c r="H7" s="19" t="s">
        <v>33</v>
      </c>
      <c r="I7" s="44" t="s">
        <v>663</v>
      </c>
      <c r="J7" s="44"/>
      <c r="K7" s="44"/>
      <c r="L7" s="44"/>
      <c r="M7" s="44"/>
      <c r="N7" s="44"/>
      <c r="O7" s="44"/>
      <c r="P7" s="44"/>
      <c r="Q7" s="44"/>
      <c r="R7" s="44"/>
      <c r="S7" s="44"/>
      <c r="T7" s="44" t="s">
        <v>663</v>
      </c>
      <c r="U7" s="44"/>
      <c r="V7" s="44"/>
      <c r="W7" s="44"/>
      <c r="X7" s="44"/>
      <c r="Y7" s="44"/>
      <c r="Z7" s="6"/>
      <c r="AA7" s="44"/>
      <c r="AB7" s="44"/>
      <c r="AC7" s="44"/>
      <c r="AD7" s="44"/>
      <c r="AE7" s="44">
        <f>SUM(ListeInventaire642[[#This Row],[Gravité Réelle]:[Gravité potentielle]])</f>
        <v>0</v>
      </c>
      <c r="AF7" s="44" t="str">
        <f>IF(ListeInventaire642[[#This Row],[TOTAL]]&gt;89,"OUI","NON")</f>
        <v>NON</v>
      </c>
      <c r="AG7" s="48"/>
    </row>
    <row r="8" spans="1:33" s="18" customFormat="1" ht="48.6" customHeight="1" x14ac:dyDescent="0.25">
      <c r="A8" s="33">
        <v>45677</v>
      </c>
      <c r="B8" s="22" t="s">
        <v>124</v>
      </c>
      <c r="C8" s="21" t="s">
        <v>673</v>
      </c>
      <c r="D8" s="23" t="s">
        <v>680</v>
      </c>
      <c r="E8" s="22" t="s">
        <v>681</v>
      </c>
      <c r="F8" s="20" t="s">
        <v>682</v>
      </c>
      <c r="G8" s="20" t="s">
        <v>683</v>
      </c>
      <c r="H8" s="19" t="s">
        <v>33</v>
      </c>
      <c r="I8" s="44"/>
      <c r="J8" s="44"/>
      <c r="K8" s="44"/>
      <c r="L8" s="44"/>
      <c r="M8" s="44"/>
      <c r="N8" s="44"/>
      <c r="O8" s="44"/>
      <c r="P8" s="44"/>
      <c r="Q8" s="44"/>
      <c r="R8" s="44"/>
      <c r="S8" s="44"/>
      <c r="T8" s="44"/>
      <c r="U8" s="44"/>
      <c r="V8" s="44"/>
      <c r="W8" s="44"/>
      <c r="X8" s="44"/>
      <c r="Y8" s="44" t="s">
        <v>663</v>
      </c>
      <c r="Z8" s="6" t="s">
        <v>48</v>
      </c>
      <c r="AA8" s="44">
        <v>10</v>
      </c>
      <c r="AB8" s="44">
        <v>20</v>
      </c>
      <c r="AC8" s="44">
        <v>10</v>
      </c>
      <c r="AD8" s="44"/>
      <c r="AE8" s="44">
        <f>SUM(ListeInventaire642[[#This Row],[Gravité Réelle]:[Gravité potentielle]])</f>
        <v>40</v>
      </c>
      <c r="AF8" s="44"/>
      <c r="AG8" s="48"/>
    </row>
    <row r="9" spans="1:33" s="18" customFormat="1" ht="48.6" customHeight="1" x14ac:dyDescent="0.25">
      <c r="A9" s="33">
        <v>45678</v>
      </c>
      <c r="B9" s="22" t="s">
        <v>60</v>
      </c>
      <c r="C9" s="112" t="s">
        <v>658</v>
      </c>
      <c r="D9" s="23" t="s">
        <v>684</v>
      </c>
      <c r="E9" s="22" t="s">
        <v>685</v>
      </c>
      <c r="F9" s="20" t="s">
        <v>686</v>
      </c>
      <c r="G9" s="20" t="s">
        <v>687</v>
      </c>
      <c r="H9" s="19" t="s">
        <v>469</v>
      </c>
      <c r="I9" s="44"/>
      <c r="J9" s="44"/>
      <c r="K9" s="44"/>
      <c r="L9" s="44"/>
      <c r="M9" s="44"/>
      <c r="N9" s="44"/>
      <c r="O9" s="44"/>
      <c r="P9" s="44"/>
      <c r="Q9" s="44"/>
      <c r="R9" s="44"/>
      <c r="S9" s="44"/>
      <c r="T9" s="44"/>
      <c r="U9" s="44"/>
      <c r="V9" s="44"/>
      <c r="W9" s="44"/>
      <c r="X9" s="44"/>
      <c r="Y9" s="44"/>
      <c r="Z9" s="44"/>
      <c r="AA9" s="44"/>
      <c r="AB9" s="44"/>
      <c r="AC9" s="44"/>
      <c r="AD9" s="44"/>
      <c r="AE9" s="44">
        <f>SUM(ListeInventaire642[[#This Row],[Gravité Réelle]:[Gravité potentielle]])</f>
        <v>0</v>
      </c>
      <c r="AF9" s="44"/>
      <c r="AG9" s="48"/>
    </row>
    <row r="10" spans="1:33" s="18" customFormat="1" ht="120" x14ac:dyDescent="0.25">
      <c r="A10" s="33">
        <v>45679</v>
      </c>
      <c r="B10" s="22" t="s">
        <v>124</v>
      </c>
      <c r="C10" s="21" t="s">
        <v>673</v>
      </c>
      <c r="D10" s="199" t="s">
        <v>688</v>
      </c>
      <c r="E10" s="22" t="s">
        <v>681</v>
      </c>
      <c r="F10" s="20" t="s">
        <v>689</v>
      </c>
      <c r="G10" s="20" t="s">
        <v>690</v>
      </c>
      <c r="H10" s="19" t="s">
        <v>33</v>
      </c>
      <c r="I10" s="44"/>
      <c r="J10" s="44"/>
      <c r="K10" s="44"/>
      <c r="L10" s="44"/>
      <c r="M10" s="44"/>
      <c r="N10" s="44"/>
      <c r="O10" s="44"/>
      <c r="P10" s="44"/>
      <c r="Q10" s="44"/>
      <c r="R10" s="44"/>
      <c r="S10" s="44"/>
      <c r="T10" s="44"/>
      <c r="U10" s="44"/>
      <c r="V10" s="44"/>
      <c r="W10" s="44"/>
      <c r="X10" s="44"/>
      <c r="Y10" s="44" t="s">
        <v>663</v>
      </c>
      <c r="Z10" s="6" t="s">
        <v>48</v>
      </c>
      <c r="AA10" s="44">
        <v>10</v>
      </c>
      <c r="AB10" s="44">
        <v>20</v>
      </c>
      <c r="AC10" s="44">
        <v>10</v>
      </c>
      <c r="AD10" s="44"/>
      <c r="AE10" s="44">
        <f>SUM(ListeInventaire642[[#This Row],[Gravité Réelle]:[Gravité potentielle]])</f>
        <v>40</v>
      </c>
      <c r="AF10" s="44"/>
      <c r="AG10" s="48"/>
    </row>
    <row r="11" spans="1:33" s="18" customFormat="1" ht="48.6" customHeight="1" x14ac:dyDescent="0.25">
      <c r="A11" s="33">
        <v>45681</v>
      </c>
      <c r="B11" s="22" t="s">
        <v>60</v>
      </c>
      <c r="C11" s="21" t="s">
        <v>658</v>
      </c>
      <c r="D11" s="23" t="s">
        <v>691</v>
      </c>
      <c r="E11" s="22" t="s">
        <v>59</v>
      </c>
      <c r="F11" s="20" t="s">
        <v>692</v>
      </c>
      <c r="G11" s="20" t="s">
        <v>693</v>
      </c>
      <c r="H11" s="19" t="s">
        <v>33</v>
      </c>
      <c r="I11" s="44"/>
      <c r="J11" s="44"/>
      <c r="K11" s="44"/>
      <c r="L11" s="44"/>
      <c r="M11" s="44"/>
      <c r="N11" s="44"/>
      <c r="O11" s="44"/>
      <c r="P11" s="44"/>
      <c r="Q11" s="44"/>
      <c r="R11" s="44"/>
      <c r="S11" s="44"/>
      <c r="T11" s="44"/>
      <c r="U11" s="44"/>
      <c r="V11" s="44"/>
      <c r="W11" s="44"/>
      <c r="X11" s="44"/>
      <c r="Y11" s="44"/>
      <c r="Z11" s="44"/>
      <c r="AA11" s="44"/>
      <c r="AB11" s="44"/>
      <c r="AC11" s="44"/>
      <c r="AD11" s="44"/>
      <c r="AE11" s="44">
        <f>SUM(ListeInventaire642[[#This Row],[Gravité Réelle]:[Gravité potentielle]])</f>
        <v>0</v>
      </c>
      <c r="AF11" s="44"/>
      <c r="AG11" s="48"/>
    </row>
    <row r="12" spans="1:33" s="18" customFormat="1" ht="88.5" customHeight="1" x14ac:dyDescent="0.25">
      <c r="A12" s="33">
        <v>45684</v>
      </c>
      <c r="B12" s="22" t="s">
        <v>60</v>
      </c>
      <c r="C12" s="21" t="s">
        <v>658</v>
      </c>
      <c r="D12" s="23" t="s">
        <v>694</v>
      </c>
      <c r="E12" s="22" t="s">
        <v>695</v>
      </c>
      <c r="F12" s="20" t="s">
        <v>696</v>
      </c>
      <c r="G12" s="20" t="s">
        <v>697</v>
      </c>
      <c r="H12" s="19" t="s">
        <v>86</v>
      </c>
      <c r="I12" s="44"/>
      <c r="J12" s="44" t="s">
        <v>663</v>
      </c>
      <c r="K12" s="44"/>
      <c r="L12" s="44"/>
      <c r="M12" s="44"/>
      <c r="N12" s="44"/>
      <c r="O12" s="44"/>
      <c r="P12" s="44"/>
      <c r="Q12" s="44" t="s">
        <v>663</v>
      </c>
      <c r="R12" s="44"/>
      <c r="S12" s="44"/>
      <c r="T12" s="44" t="s">
        <v>663</v>
      </c>
      <c r="U12" s="44"/>
      <c r="V12" s="44"/>
      <c r="W12" s="44"/>
      <c r="X12" s="44"/>
      <c r="Y12" s="44"/>
      <c r="Z12" s="6" t="s">
        <v>48</v>
      </c>
      <c r="AA12" s="44">
        <v>10</v>
      </c>
      <c r="AB12" s="44">
        <v>10</v>
      </c>
      <c r="AC12" s="44">
        <v>10</v>
      </c>
      <c r="AD12" s="44">
        <v>30</v>
      </c>
      <c r="AE12" s="44">
        <f>SUM(ListeInventaire642[[#This Row],[Gravité Réelle]:[Gravité potentielle]])</f>
        <v>60</v>
      </c>
      <c r="AF12" s="44" t="s">
        <v>145</v>
      </c>
      <c r="AG12" s="48"/>
    </row>
    <row r="13" spans="1:33" s="18" customFormat="1" ht="48.6" customHeight="1" x14ac:dyDescent="0.25">
      <c r="A13" s="33">
        <v>45686</v>
      </c>
      <c r="B13" s="22" t="s">
        <v>668</v>
      </c>
      <c r="C13" s="21" t="s">
        <v>673</v>
      </c>
      <c r="D13" s="23" t="s">
        <v>698</v>
      </c>
      <c r="E13" s="22" t="s">
        <v>59</v>
      </c>
      <c r="F13" s="20" t="s">
        <v>699</v>
      </c>
      <c r="G13" s="20" t="s">
        <v>700</v>
      </c>
      <c r="H13" s="19" t="s">
        <v>33</v>
      </c>
      <c r="I13" s="44" t="s">
        <v>663</v>
      </c>
      <c r="J13" s="44"/>
      <c r="K13" s="44"/>
      <c r="L13" s="44"/>
      <c r="M13" s="44"/>
      <c r="N13" s="44"/>
      <c r="O13" s="44"/>
      <c r="P13" s="44"/>
      <c r="Q13" s="44" t="s">
        <v>663</v>
      </c>
      <c r="R13" s="44"/>
      <c r="S13" s="44"/>
      <c r="T13" s="44"/>
      <c r="U13" s="44"/>
      <c r="V13" s="44"/>
      <c r="W13" s="44"/>
      <c r="X13" s="44"/>
      <c r="Y13" s="44"/>
      <c r="Z13" s="6" t="s">
        <v>48</v>
      </c>
      <c r="AA13" s="44">
        <v>10</v>
      </c>
      <c r="AB13" s="44">
        <v>10</v>
      </c>
      <c r="AC13" s="44">
        <v>10</v>
      </c>
      <c r="AD13" s="44">
        <v>10</v>
      </c>
      <c r="AE13" s="44">
        <f>SUM(ListeInventaire642[[#This Row],[Gravité Réelle]:[Gravité potentielle]])</f>
        <v>40</v>
      </c>
      <c r="AF13" s="44" t="s">
        <v>145</v>
      </c>
      <c r="AG13" s="48"/>
    </row>
    <row r="14" spans="1:33" s="18" customFormat="1" ht="69" x14ac:dyDescent="0.25">
      <c r="A14" s="33">
        <v>45686</v>
      </c>
      <c r="B14" s="22" t="s">
        <v>668</v>
      </c>
      <c r="C14" s="21" t="s">
        <v>673</v>
      </c>
      <c r="D14" s="23" t="s">
        <v>701</v>
      </c>
      <c r="E14" s="22" t="s">
        <v>702</v>
      </c>
      <c r="F14" s="20" t="s">
        <v>703</v>
      </c>
      <c r="G14" s="20" t="s">
        <v>704</v>
      </c>
      <c r="H14" s="19" t="s">
        <v>501</v>
      </c>
      <c r="I14" s="44"/>
      <c r="J14" s="44"/>
      <c r="K14" s="44"/>
      <c r="L14" s="44"/>
      <c r="M14" s="44"/>
      <c r="N14" s="44"/>
      <c r="O14" s="44"/>
      <c r="P14" s="44"/>
      <c r="Q14" s="44"/>
      <c r="R14" s="44"/>
      <c r="S14" s="44"/>
      <c r="T14" s="44"/>
      <c r="U14" s="44"/>
      <c r="V14" s="44"/>
      <c r="W14" s="44"/>
      <c r="X14" s="44"/>
      <c r="Y14" s="44"/>
      <c r="Z14" s="6"/>
      <c r="AA14" s="44"/>
      <c r="AB14" s="44"/>
      <c r="AC14" s="44"/>
      <c r="AD14" s="44"/>
      <c r="AE14" s="44">
        <f>SUM(ListeInventaire642[[#This Row],[Gravité Réelle]:[Gravité potentielle]])</f>
        <v>0</v>
      </c>
      <c r="AF14" s="44" t="s">
        <v>664</v>
      </c>
      <c r="AG14" s="209"/>
    </row>
    <row r="15" spans="1:33" s="18" customFormat="1" ht="48.6" customHeight="1" x14ac:dyDescent="0.25">
      <c r="A15" s="33">
        <v>45687</v>
      </c>
      <c r="B15" s="22" t="s">
        <v>668</v>
      </c>
      <c r="C15" s="21" t="s">
        <v>673</v>
      </c>
      <c r="D15" s="23" t="s">
        <v>705</v>
      </c>
      <c r="E15" s="22" t="s">
        <v>706</v>
      </c>
      <c r="F15" s="20" t="s">
        <v>707</v>
      </c>
      <c r="G15" s="20" t="s">
        <v>708</v>
      </c>
      <c r="H15" s="19" t="s">
        <v>33</v>
      </c>
      <c r="I15" s="44"/>
      <c r="J15" s="44" t="s">
        <v>663</v>
      </c>
      <c r="K15" s="44"/>
      <c r="L15" s="44"/>
      <c r="M15" s="44"/>
      <c r="N15" s="44"/>
      <c r="O15" s="44"/>
      <c r="P15" s="44"/>
      <c r="Q15" s="44" t="s">
        <v>663</v>
      </c>
      <c r="R15" s="44"/>
      <c r="S15" s="44"/>
      <c r="T15" s="44"/>
      <c r="U15" s="44"/>
      <c r="V15" s="44"/>
      <c r="W15" s="44"/>
      <c r="X15" s="44"/>
      <c r="Y15" s="44"/>
      <c r="Z15" s="6" t="s">
        <v>48</v>
      </c>
      <c r="AA15" s="44">
        <v>10</v>
      </c>
      <c r="AB15" s="44">
        <v>20</v>
      </c>
      <c r="AC15" s="44">
        <v>10</v>
      </c>
      <c r="AD15" s="44">
        <v>30</v>
      </c>
      <c r="AE15" s="44">
        <f>SUM(ListeInventaire642[[#This Row],[Gravité Réelle]:[Gravité potentielle]])</f>
        <v>70</v>
      </c>
      <c r="AF15" s="44" t="s">
        <v>145</v>
      </c>
      <c r="AG15" s="48"/>
    </row>
    <row r="16" spans="1:33" s="18" customFormat="1" ht="223.5" customHeight="1" x14ac:dyDescent="0.25">
      <c r="A16" s="33">
        <v>45692</v>
      </c>
      <c r="B16" s="22" t="s">
        <v>60</v>
      </c>
      <c r="C16" s="113" t="s">
        <v>658</v>
      </c>
      <c r="D16" s="23" t="s">
        <v>709</v>
      </c>
      <c r="E16" s="19" t="s">
        <v>695</v>
      </c>
      <c r="F16" s="20" t="s">
        <v>710</v>
      </c>
      <c r="G16" s="20" t="s">
        <v>697</v>
      </c>
      <c r="H16" s="19" t="s">
        <v>711</v>
      </c>
      <c r="I16" s="44"/>
      <c r="J16" s="44"/>
      <c r="K16" s="44" t="s">
        <v>663</v>
      </c>
      <c r="L16" s="44"/>
      <c r="M16" s="44"/>
      <c r="N16" s="44"/>
      <c r="O16" s="44" t="s">
        <v>663</v>
      </c>
      <c r="P16" s="44"/>
      <c r="Q16" s="44"/>
      <c r="R16" s="44"/>
      <c r="S16" s="44"/>
      <c r="T16" s="44"/>
      <c r="U16" s="44"/>
      <c r="V16" s="44"/>
      <c r="W16" s="44"/>
      <c r="X16" s="44"/>
      <c r="Y16" s="44"/>
      <c r="Z16" s="44" t="s">
        <v>39</v>
      </c>
      <c r="AA16" s="44">
        <v>10</v>
      </c>
      <c r="AB16" s="44">
        <v>10</v>
      </c>
      <c r="AC16" s="44">
        <v>10</v>
      </c>
      <c r="AD16" s="44">
        <v>40</v>
      </c>
      <c r="AE16" s="44">
        <f>SUM(ListeInventaire642[[#This Row],[Gravité Réelle]:[Gravité potentielle]])</f>
        <v>70</v>
      </c>
      <c r="AF16" s="44" t="s">
        <v>145</v>
      </c>
      <c r="AG16" s="48"/>
    </row>
    <row r="17" spans="1:33" s="18" customFormat="1" ht="48.6" customHeight="1" x14ac:dyDescent="0.25">
      <c r="A17" s="33">
        <v>45692</v>
      </c>
      <c r="B17" s="22" t="s">
        <v>35</v>
      </c>
      <c r="C17" s="21" t="s">
        <v>673</v>
      </c>
      <c r="D17" s="23" t="s">
        <v>712</v>
      </c>
      <c r="E17" s="22" t="s">
        <v>660</v>
      </c>
      <c r="F17" s="20" t="s">
        <v>713</v>
      </c>
      <c r="G17" s="20" t="s">
        <v>662</v>
      </c>
      <c r="H17" s="19" t="s">
        <v>33</v>
      </c>
      <c r="I17" s="44"/>
      <c r="J17" s="44"/>
      <c r="K17" s="44"/>
      <c r="L17" s="44"/>
      <c r="M17" s="44"/>
      <c r="N17" s="44"/>
      <c r="O17" s="44" t="s">
        <v>663</v>
      </c>
      <c r="P17" s="44"/>
      <c r="Q17" s="44"/>
      <c r="R17" s="44"/>
      <c r="S17" s="44"/>
      <c r="T17" s="44"/>
      <c r="U17" s="44"/>
      <c r="V17" s="44" t="s">
        <v>663</v>
      </c>
      <c r="W17" s="44"/>
      <c r="X17" s="44"/>
      <c r="Y17" s="44"/>
      <c r="Z17" s="6" t="s">
        <v>39</v>
      </c>
      <c r="AA17" s="44">
        <v>10</v>
      </c>
      <c r="AB17" s="44">
        <v>20</v>
      </c>
      <c r="AC17" s="44">
        <v>10</v>
      </c>
      <c r="AD17" s="44">
        <v>50</v>
      </c>
      <c r="AE17" s="44">
        <f>SUM(ListeInventaire642[[#This Row],[Gravité Réelle]:[Gravité potentielle]])</f>
        <v>90</v>
      </c>
      <c r="AF17" s="44" t="s">
        <v>714</v>
      </c>
      <c r="AG17" s="48"/>
    </row>
    <row r="18" spans="1:33" s="18" customFormat="1" ht="136.35" customHeight="1" x14ac:dyDescent="0.25">
      <c r="A18" s="33">
        <v>45693</v>
      </c>
      <c r="B18" s="22" t="s">
        <v>35</v>
      </c>
      <c r="C18" s="21" t="s">
        <v>658</v>
      </c>
      <c r="D18" s="23" t="s">
        <v>715</v>
      </c>
      <c r="E18" s="22" t="s">
        <v>68</v>
      </c>
      <c r="F18" s="20" t="s">
        <v>716</v>
      </c>
      <c r="G18" s="20" t="s">
        <v>717</v>
      </c>
      <c r="H18" s="19" t="s">
        <v>33</v>
      </c>
      <c r="I18" s="44"/>
      <c r="J18" s="44"/>
      <c r="K18" s="44"/>
      <c r="L18" s="44"/>
      <c r="M18" s="44"/>
      <c r="N18" s="44"/>
      <c r="O18" s="44" t="s">
        <v>663</v>
      </c>
      <c r="P18" s="44"/>
      <c r="Q18" s="44"/>
      <c r="R18" s="44"/>
      <c r="S18" s="44"/>
      <c r="T18" s="44"/>
      <c r="U18" s="44"/>
      <c r="V18" s="44"/>
      <c r="W18" s="44"/>
      <c r="X18" s="44"/>
      <c r="Y18" s="44"/>
      <c r="Z18" s="6" t="s">
        <v>48</v>
      </c>
      <c r="AA18" s="44">
        <v>10</v>
      </c>
      <c r="AB18" s="44">
        <v>20</v>
      </c>
      <c r="AC18" s="44">
        <v>0</v>
      </c>
      <c r="AD18" s="44">
        <v>30</v>
      </c>
      <c r="AE18" s="44">
        <f>SUM(ListeInventaire642[[#This Row],[Gravité Réelle]:[Gravité potentielle]])</f>
        <v>60</v>
      </c>
      <c r="AF18" s="44" t="s">
        <v>664</v>
      </c>
      <c r="AG18" s="48"/>
    </row>
    <row r="19" spans="1:33" s="18" customFormat="1" ht="71.650000000000006" customHeight="1" x14ac:dyDescent="0.25">
      <c r="A19" s="33">
        <v>45698</v>
      </c>
      <c r="B19" s="22" t="s">
        <v>35</v>
      </c>
      <c r="C19" s="21" t="s">
        <v>673</v>
      </c>
      <c r="D19" s="23" t="s">
        <v>718</v>
      </c>
      <c r="E19" s="22" t="s">
        <v>719</v>
      </c>
      <c r="F19" s="20" t="s">
        <v>720</v>
      </c>
      <c r="G19" s="20" t="s">
        <v>721</v>
      </c>
      <c r="H19" s="19" t="s">
        <v>102</v>
      </c>
      <c r="I19" s="44"/>
      <c r="J19" s="44"/>
      <c r="K19" s="44"/>
      <c r="L19" s="44" t="s">
        <v>663</v>
      </c>
      <c r="M19" s="44"/>
      <c r="N19" s="44"/>
      <c r="O19" s="44"/>
      <c r="P19" s="44"/>
      <c r="Q19" s="44"/>
      <c r="R19" s="44"/>
      <c r="S19" s="44"/>
      <c r="T19" s="44"/>
      <c r="U19" s="44"/>
      <c r="V19" s="44"/>
      <c r="W19" s="44"/>
      <c r="X19" s="44"/>
      <c r="Y19" s="44"/>
      <c r="Z19" s="6" t="s">
        <v>48</v>
      </c>
      <c r="AA19" s="44">
        <v>10</v>
      </c>
      <c r="AB19" s="44">
        <v>10</v>
      </c>
      <c r="AC19" s="44">
        <v>0</v>
      </c>
      <c r="AD19" s="44">
        <v>30</v>
      </c>
      <c r="AE19" s="44">
        <f>SUM(ListeInventaire642[[#This Row],[Gravité Réelle]:[Gravité potentielle]])</f>
        <v>50</v>
      </c>
      <c r="AF19" s="44" t="s">
        <v>664</v>
      </c>
      <c r="AG19" s="48"/>
    </row>
    <row r="20" spans="1:33" s="18" customFormat="1" ht="1.5" customHeight="1" x14ac:dyDescent="0.25">
      <c r="A20" s="33">
        <v>45698</v>
      </c>
      <c r="B20" s="22" t="s">
        <v>668</v>
      </c>
      <c r="C20" s="21" t="s">
        <v>673</v>
      </c>
      <c r="D20" s="23" t="s">
        <v>722</v>
      </c>
      <c r="E20" s="22" t="s">
        <v>706</v>
      </c>
      <c r="F20" s="12" t="s">
        <v>723</v>
      </c>
      <c r="G20" s="20" t="s">
        <v>708</v>
      </c>
      <c r="H20" s="19" t="s">
        <v>33</v>
      </c>
      <c r="I20" s="44"/>
      <c r="J20" s="44" t="s">
        <v>663</v>
      </c>
      <c r="K20" s="44"/>
      <c r="L20" s="44"/>
      <c r="M20" s="44"/>
      <c r="N20" s="44"/>
      <c r="O20" s="44"/>
      <c r="P20" s="44"/>
      <c r="Q20" s="44"/>
      <c r="R20" s="44"/>
      <c r="S20" s="44"/>
      <c r="T20" s="44"/>
      <c r="U20" s="44"/>
      <c r="V20" s="44"/>
      <c r="W20" s="44"/>
      <c r="X20" s="44"/>
      <c r="Y20" s="44"/>
      <c r="Z20" s="6"/>
      <c r="AA20" s="44"/>
      <c r="AB20" s="44"/>
      <c r="AC20" s="44"/>
      <c r="AD20" s="44"/>
      <c r="AE20" s="44">
        <f>SUM(ListeInventaire642[[#This Row],[Gravité Réelle]:[Gravité potentielle]])</f>
        <v>0</v>
      </c>
      <c r="AF20" s="44" t="s">
        <v>664</v>
      </c>
      <c r="AG20" s="48"/>
    </row>
    <row r="21" spans="1:33" s="18" customFormat="1" ht="27" customHeight="1" x14ac:dyDescent="0.25">
      <c r="A21" s="33">
        <v>45699</v>
      </c>
      <c r="B21" s="22" t="s">
        <v>35</v>
      </c>
      <c r="C21" s="21" t="s">
        <v>658</v>
      </c>
      <c r="D21" s="23" t="s">
        <v>724</v>
      </c>
      <c r="E21" s="22" t="s">
        <v>660</v>
      </c>
      <c r="F21" s="12" t="s">
        <v>725</v>
      </c>
      <c r="G21" s="20" t="s">
        <v>676</v>
      </c>
      <c r="H21" s="19" t="s">
        <v>33</v>
      </c>
      <c r="I21" s="44"/>
      <c r="J21" s="44"/>
      <c r="K21" s="44" t="s">
        <v>663</v>
      </c>
      <c r="L21" s="44"/>
      <c r="M21" s="44"/>
      <c r="N21" s="44"/>
      <c r="O21" s="44"/>
      <c r="P21" s="44"/>
      <c r="Q21" s="44"/>
      <c r="R21" s="44"/>
      <c r="S21" s="44"/>
      <c r="T21" s="44" t="s">
        <v>663</v>
      </c>
      <c r="U21" s="44"/>
      <c r="V21" s="44"/>
      <c r="W21" s="44"/>
      <c r="X21" s="44" t="s">
        <v>663</v>
      </c>
      <c r="Y21" s="44"/>
      <c r="Z21" s="44" t="s">
        <v>48</v>
      </c>
      <c r="AA21" s="44">
        <v>10</v>
      </c>
      <c r="AB21" s="44">
        <v>30</v>
      </c>
      <c r="AC21" s="44">
        <v>0</v>
      </c>
      <c r="AD21" s="44">
        <v>30</v>
      </c>
      <c r="AE21" s="44">
        <f>SUM(ListeInventaire642[[#This Row],[Gravité Réelle]:[Gravité potentielle]])</f>
        <v>70</v>
      </c>
      <c r="AF21" s="44" t="s">
        <v>664</v>
      </c>
      <c r="AG21" s="48"/>
    </row>
    <row r="22" spans="1:33" s="18" customFormat="1" ht="70.5" customHeight="1" x14ac:dyDescent="0.25">
      <c r="A22" s="33">
        <v>45699</v>
      </c>
      <c r="B22" s="22" t="s">
        <v>668</v>
      </c>
      <c r="C22" s="21" t="s">
        <v>673</v>
      </c>
      <c r="D22" s="23" t="s">
        <v>726</v>
      </c>
      <c r="E22" s="22" t="s">
        <v>727</v>
      </c>
      <c r="F22" s="20" t="s">
        <v>728</v>
      </c>
      <c r="G22" s="20" t="s">
        <v>729</v>
      </c>
      <c r="H22" s="19" t="s">
        <v>86</v>
      </c>
      <c r="I22" s="44"/>
      <c r="J22" s="44"/>
      <c r="K22" s="44"/>
      <c r="L22" s="44"/>
      <c r="M22" s="44"/>
      <c r="N22" s="44"/>
      <c r="O22" s="44"/>
      <c r="P22" s="44"/>
      <c r="Q22" s="44"/>
      <c r="R22" s="44"/>
      <c r="S22" s="44"/>
      <c r="T22" s="44"/>
      <c r="U22" s="44"/>
      <c r="V22" s="44"/>
      <c r="W22" s="44"/>
      <c r="X22" s="44"/>
      <c r="Y22" s="44"/>
      <c r="Z22" s="6"/>
      <c r="AA22" s="44"/>
      <c r="AB22" s="44"/>
      <c r="AC22" s="44"/>
      <c r="AD22" s="44"/>
      <c r="AE22" s="44">
        <f>SUM(ListeInventaire642[[#This Row],[Gravité Réelle]:[Gravité potentielle]])</f>
        <v>0</v>
      </c>
      <c r="AF22" s="44" t="s">
        <v>664</v>
      </c>
      <c r="AG22" s="48"/>
    </row>
    <row r="23" spans="1:33" s="18" customFormat="1" ht="48.6" customHeight="1" x14ac:dyDescent="0.25">
      <c r="A23" s="33">
        <v>45708</v>
      </c>
      <c r="B23" s="22" t="s">
        <v>668</v>
      </c>
      <c r="C23" s="21" t="s">
        <v>658</v>
      </c>
      <c r="D23" s="23" t="s">
        <v>730</v>
      </c>
      <c r="E23" s="22" t="s">
        <v>731</v>
      </c>
      <c r="F23" s="20" t="s">
        <v>732</v>
      </c>
      <c r="G23" s="20" t="s">
        <v>672</v>
      </c>
      <c r="H23" s="19" t="s">
        <v>33</v>
      </c>
      <c r="I23" s="44"/>
      <c r="J23" s="44"/>
      <c r="K23" s="44"/>
      <c r="L23" s="44" t="s">
        <v>663</v>
      </c>
      <c r="M23" s="44"/>
      <c r="N23" s="44"/>
      <c r="O23" s="44"/>
      <c r="P23" s="44"/>
      <c r="Q23" s="44"/>
      <c r="R23" s="44"/>
      <c r="S23" s="44"/>
      <c r="T23" s="44"/>
      <c r="U23" s="44"/>
      <c r="V23" s="44"/>
      <c r="W23" s="44"/>
      <c r="X23" s="44"/>
      <c r="Y23" s="44"/>
      <c r="Z23" s="6" t="s">
        <v>39</v>
      </c>
      <c r="AA23" s="44">
        <v>10</v>
      </c>
      <c r="AB23" s="44">
        <v>30</v>
      </c>
      <c r="AC23" s="44">
        <v>20</v>
      </c>
      <c r="AD23" s="44">
        <v>30</v>
      </c>
      <c r="AE23" s="44">
        <f>SUM(ListeInventaire642[[#This Row],[Gravité Réelle]:[Gravité potentielle]])</f>
        <v>90</v>
      </c>
      <c r="AF23" s="44" t="s">
        <v>714</v>
      </c>
      <c r="AG23" s="48"/>
    </row>
    <row r="24" spans="1:33" s="18" customFormat="1" ht="34.5" x14ac:dyDescent="0.25">
      <c r="A24" s="33">
        <v>45713</v>
      </c>
      <c r="B24" s="22" t="s">
        <v>668</v>
      </c>
      <c r="C24" s="21" t="s">
        <v>673</v>
      </c>
      <c r="D24" s="23" t="s">
        <v>733</v>
      </c>
      <c r="E24" s="22" t="s">
        <v>685</v>
      </c>
      <c r="F24" s="20" t="s">
        <v>734</v>
      </c>
      <c r="G24" s="20" t="s">
        <v>735</v>
      </c>
      <c r="H24" s="19" t="s">
        <v>469</v>
      </c>
      <c r="I24" s="44"/>
      <c r="J24" s="44"/>
      <c r="K24" s="44"/>
      <c r="L24" s="44"/>
      <c r="M24" s="44"/>
      <c r="N24" s="44"/>
      <c r="O24" s="44"/>
      <c r="P24" s="44"/>
      <c r="Q24" s="44"/>
      <c r="R24" s="44"/>
      <c r="S24" s="44"/>
      <c r="T24" s="44"/>
      <c r="U24" s="44"/>
      <c r="V24" s="44"/>
      <c r="W24" s="44"/>
      <c r="X24" s="44"/>
      <c r="Y24" s="44"/>
      <c r="Z24" s="6"/>
      <c r="AA24" s="44"/>
      <c r="AB24" s="44"/>
      <c r="AC24" s="44"/>
      <c r="AD24" s="44"/>
      <c r="AE24" s="44">
        <f>SUM(ListeInventaire642[[#This Row],[Gravité Réelle]:[Gravité potentielle]])</f>
        <v>0</v>
      </c>
      <c r="AF24" s="44" t="s">
        <v>664</v>
      </c>
      <c r="AG24" s="48"/>
    </row>
    <row r="25" spans="1:33" s="18" customFormat="1" ht="155.25" x14ac:dyDescent="0.25">
      <c r="A25" s="33">
        <v>45714</v>
      </c>
      <c r="B25" s="22" t="s">
        <v>668</v>
      </c>
      <c r="C25" s="112" t="s">
        <v>673</v>
      </c>
      <c r="D25" s="23" t="s">
        <v>736</v>
      </c>
      <c r="E25" s="22" t="s">
        <v>737</v>
      </c>
      <c r="F25" s="20" t="s">
        <v>738</v>
      </c>
      <c r="G25" s="20" t="s">
        <v>739</v>
      </c>
      <c r="H25" s="19" t="s">
        <v>501</v>
      </c>
      <c r="I25" s="44"/>
      <c r="J25" s="44"/>
      <c r="K25" s="44"/>
      <c r="L25" s="44"/>
      <c r="M25" s="44"/>
      <c r="N25" s="44"/>
      <c r="O25" s="44"/>
      <c r="P25" s="44"/>
      <c r="Q25" s="44"/>
      <c r="R25" s="44"/>
      <c r="S25" s="44"/>
      <c r="T25" s="44"/>
      <c r="U25" s="44"/>
      <c r="V25" s="44"/>
      <c r="W25" s="44"/>
      <c r="X25" s="44"/>
      <c r="Y25" s="44"/>
      <c r="Z25" s="44"/>
      <c r="AA25" s="44"/>
      <c r="AB25" s="44"/>
      <c r="AC25" s="44"/>
      <c r="AD25" s="44"/>
      <c r="AE25" s="44">
        <f>SUM(ListeInventaire642[[#This Row],[Gravité Réelle]:[Gravité potentielle]])</f>
        <v>0</v>
      </c>
      <c r="AF25" s="44" t="s">
        <v>664</v>
      </c>
      <c r="AG25" s="48"/>
    </row>
    <row r="26" spans="1:33" s="18" customFormat="1" ht="69" x14ac:dyDescent="0.25">
      <c r="A26" s="33">
        <v>45715</v>
      </c>
      <c r="B26" s="22" t="s">
        <v>668</v>
      </c>
      <c r="C26" s="21" t="s">
        <v>658</v>
      </c>
      <c r="D26" s="23" t="s">
        <v>740</v>
      </c>
      <c r="E26" s="22" t="s">
        <v>685</v>
      </c>
      <c r="F26" s="20" t="s">
        <v>741</v>
      </c>
      <c r="G26" s="20" t="s">
        <v>735</v>
      </c>
      <c r="H26" s="19" t="s">
        <v>97</v>
      </c>
      <c r="I26" s="44"/>
      <c r="J26" s="44"/>
      <c r="K26" s="44"/>
      <c r="L26" s="44"/>
      <c r="M26" s="44"/>
      <c r="N26" s="44"/>
      <c r="O26" s="44"/>
      <c r="P26" s="44"/>
      <c r="Q26" s="44"/>
      <c r="R26" s="44"/>
      <c r="S26" s="44"/>
      <c r="T26" s="44"/>
      <c r="U26" s="44"/>
      <c r="V26" s="44"/>
      <c r="W26" s="44"/>
      <c r="X26" s="44"/>
      <c r="Y26" s="44"/>
      <c r="Z26" s="6"/>
      <c r="AA26" s="44"/>
      <c r="AB26" s="44"/>
      <c r="AC26" s="44"/>
      <c r="AD26" s="44"/>
      <c r="AE26" s="44">
        <f>SUM(ListeInventaire642[[#This Row],[Gravité Réelle]:[Gravité potentielle]])</f>
        <v>0</v>
      </c>
      <c r="AF26" s="44" t="s">
        <v>664</v>
      </c>
      <c r="AG26" s="48"/>
    </row>
    <row r="27" spans="1:33" s="18" customFormat="1" ht="48.6" customHeight="1" x14ac:dyDescent="0.25">
      <c r="A27" s="33">
        <v>45726</v>
      </c>
      <c r="B27" s="22" t="s">
        <v>35</v>
      </c>
      <c r="C27" s="21" t="s">
        <v>673</v>
      </c>
      <c r="D27" s="23" t="s">
        <v>742</v>
      </c>
      <c r="E27" s="22" t="s">
        <v>43</v>
      </c>
      <c r="F27" s="20" t="s">
        <v>743</v>
      </c>
      <c r="G27" s="20" t="s">
        <v>744</v>
      </c>
      <c r="H27" s="19" t="s">
        <v>33</v>
      </c>
      <c r="I27" s="44"/>
      <c r="J27" s="44"/>
      <c r="K27" s="44"/>
      <c r="L27" s="44"/>
      <c r="M27" s="44"/>
      <c r="N27" s="44"/>
      <c r="O27" s="44"/>
      <c r="P27" s="44"/>
      <c r="Q27" s="44" t="s">
        <v>663</v>
      </c>
      <c r="R27" s="44"/>
      <c r="S27" s="44"/>
      <c r="T27" s="44"/>
      <c r="U27" s="44"/>
      <c r="V27" s="44"/>
      <c r="W27" s="44"/>
      <c r="X27" s="44"/>
      <c r="Y27" s="44"/>
      <c r="Z27" s="6" t="s">
        <v>48</v>
      </c>
      <c r="AA27" s="44">
        <v>10</v>
      </c>
      <c r="AB27" s="44">
        <v>20</v>
      </c>
      <c r="AC27" s="44">
        <v>10</v>
      </c>
      <c r="AD27" s="44">
        <v>50</v>
      </c>
      <c r="AE27" s="44">
        <f>SUM(ListeInventaire642[[#This Row],[Gravité Réelle]:[Gravité potentielle]])</f>
        <v>90</v>
      </c>
      <c r="AF27" s="44" t="s">
        <v>714</v>
      </c>
      <c r="AG27" s="48"/>
    </row>
    <row r="28" spans="1:33" s="18" customFormat="1" ht="48.6" customHeight="1" x14ac:dyDescent="0.25">
      <c r="A28" s="33">
        <v>45726</v>
      </c>
      <c r="B28" s="22" t="s">
        <v>51</v>
      </c>
      <c r="C28" s="112" t="s">
        <v>658</v>
      </c>
      <c r="D28" s="23" t="s">
        <v>745</v>
      </c>
      <c r="E28" s="22" t="s">
        <v>746</v>
      </c>
      <c r="F28" s="20" t="s">
        <v>747</v>
      </c>
      <c r="G28" s="20" t="s">
        <v>748</v>
      </c>
      <c r="H28" s="19" t="s">
        <v>33</v>
      </c>
      <c r="I28" s="44"/>
      <c r="J28" s="44"/>
      <c r="K28" s="44" t="s">
        <v>663</v>
      </c>
      <c r="L28" s="44"/>
      <c r="M28" s="44"/>
      <c r="N28" s="44"/>
      <c r="O28" s="44" t="s">
        <v>663</v>
      </c>
      <c r="P28" s="44"/>
      <c r="Q28" s="44"/>
      <c r="R28" s="44"/>
      <c r="S28" s="44"/>
      <c r="T28" s="44"/>
      <c r="U28" s="44"/>
      <c r="V28" s="44"/>
      <c r="W28" s="44"/>
      <c r="X28" s="44"/>
      <c r="Y28" s="44"/>
      <c r="Z28" s="44" t="s">
        <v>48</v>
      </c>
      <c r="AA28" s="44">
        <v>10</v>
      </c>
      <c r="AB28" s="44">
        <v>10</v>
      </c>
      <c r="AC28" s="44">
        <v>0</v>
      </c>
      <c r="AD28" s="44">
        <v>50</v>
      </c>
      <c r="AE28" s="44">
        <f>SUM(ListeInventaire642[[#This Row],[Gravité Réelle]:[Gravité potentielle]])</f>
        <v>70</v>
      </c>
      <c r="AF28" s="44" t="s">
        <v>664</v>
      </c>
      <c r="AG28" s="48"/>
    </row>
    <row r="29" spans="1:33" s="18" customFormat="1" ht="51.75" x14ac:dyDescent="0.25">
      <c r="A29" s="33">
        <v>45727</v>
      </c>
      <c r="B29" s="22" t="s">
        <v>35</v>
      </c>
      <c r="C29" s="21" t="s">
        <v>658</v>
      </c>
      <c r="D29" s="23" t="s">
        <v>749</v>
      </c>
      <c r="E29" s="22" t="s">
        <v>72</v>
      </c>
      <c r="F29" s="20" t="s">
        <v>750</v>
      </c>
      <c r="G29" s="20" t="s">
        <v>679</v>
      </c>
      <c r="H29" s="19" t="s">
        <v>33</v>
      </c>
      <c r="I29" s="44"/>
      <c r="J29" s="44"/>
      <c r="K29" s="44"/>
      <c r="L29" s="44"/>
      <c r="M29" s="44"/>
      <c r="N29" s="44"/>
      <c r="O29" s="44" t="s">
        <v>663</v>
      </c>
      <c r="P29" s="44"/>
      <c r="Q29" s="44"/>
      <c r="R29" s="44"/>
      <c r="S29" s="44"/>
      <c r="T29" s="44"/>
      <c r="U29" s="44"/>
      <c r="V29" s="44"/>
      <c r="W29" s="44"/>
      <c r="X29" s="44"/>
      <c r="Y29" s="44"/>
      <c r="Z29" s="6" t="s">
        <v>48</v>
      </c>
      <c r="AA29" s="44">
        <v>10</v>
      </c>
      <c r="AB29" s="44">
        <v>20</v>
      </c>
      <c r="AC29" s="44">
        <v>10</v>
      </c>
      <c r="AD29" s="44">
        <v>30</v>
      </c>
      <c r="AE29" s="44">
        <f>SUM(ListeInventaire642[[#This Row],[Gravité Réelle]:[Gravité potentielle]])</f>
        <v>70</v>
      </c>
      <c r="AF29" s="44" t="s">
        <v>664</v>
      </c>
      <c r="AG29" s="48"/>
    </row>
    <row r="30" spans="1:33" s="18" customFormat="1" ht="162" customHeight="1" x14ac:dyDescent="0.25">
      <c r="A30" s="33">
        <v>45728</v>
      </c>
      <c r="B30" s="22" t="s">
        <v>35</v>
      </c>
      <c r="C30" s="21" t="s">
        <v>658</v>
      </c>
      <c r="D30" s="23" t="s">
        <v>751</v>
      </c>
      <c r="E30" s="22" t="s">
        <v>660</v>
      </c>
      <c r="F30" s="20" t="s">
        <v>752</v>
      </c>
      <c r="G30" s="20" t="s">
        <v>662</v>
      </c>
      <c r="H30" s="19" t="s">
        <v>33</v>
      </c>
      <c r="I30" s="44"/>
      <c r="J30" s="44"/>
      <c r="K30" s="44"/>
      <c r="L30" s="44" t="s">
        <v>663</v>
      </c>
      <c r="M30" s="44"/>
      <c r="N30" s="44"/>
      <c r="O30" s="44"/>
      <c r="P30" s="44"/>
      <c r="Q30" s="44"/>
      <c r="R30" s="44"/>
      <c r="S30" s="44"/>
      <c r="T30" s="44"/>
      <c r="U30" s="44"/>
      <c r="V30" s="44"/>
      <c r="W30" s="44"/>
      <c r="X30" s="44"/>
      <c r="Y30" s="44"/>
      <c r="Z30" s="6" t="s">
        <v>48</v>
      </c>
      <c r="AA30" s="44">
        <v>10</v>
      </c>
      <c r="AB30" s="44">
        <v>20</v>
      </c>
      <c r="AC30" s="44">
        <v>10</v>
      </c>
      <c r="AD30" s="44">
        <v>30</v>
      </c>
      <c r="AE30" s="44">
        <f>SUM(ListeInventaire642[[#This Row],[Gravité Réelle]:[Gravité potentielle]])</f>
        <v>70</v>
      </c>
      <c r="AF30" s="44" t="s">
        <v>664</v>
      </c>
      <c r="AG30" s="48"/>
    </row>
    <row r="31" spans="1:33" s="18" customFormat="1" ht="138" x14ac:dyDescent="0.25">
      <c r="A31" s="33">
        <v>45730</v>
      </c>
      <c r="B31" s="22" t="s">
        <v>668</v>
      </c>
      <c r="C31" s="21" t="s">
        <v>673</v>
      </c>
      <c r="D31" s="23" t="s">
        <v>753</v>
      </c>
      <c r="E31" s="22" t="s">
        <v>754</v>
      </c>
      <c r="F31" s="20" t="s">
        <v>755</v>
      </c>
      <c r="G31" s="20" t="s">
        <v>756</v>
      </c>
      <c r="H31" s="19" t="s">
        <v>86</v>
      </c>
      <c r="I31" s="44"/>
      <c r="J31" s="44"/>
      <c r="K31" s="44"/>
      <c r="L31" s="44"/>
      <c r="M31" s="44"/>
      <c r="N31" s="44"/>
      <c r="O31" s="44"/>
      <c r="P31" s="44"/>
      <c r="Q31" s="44"/>
      <c r="R31" s="44"/>
      <c r="S31" s="44"/>
      <c r="T31" s="44"/>
      <c r="U31" s="44"/>
      <c r="V31" s="44"/>
      <c r="W31" s="44"/>
      <c r="X31" s="44"/>
      <c r="Y31" s="44" t="s">
        <v>663</v>
      </c>
      <c r="Z31" s="6" t="s">
        <v>48</v>
      </c>
      <c r="AA31" s="44"/>
      <c r="AB31" s="44"/>
      <c r="AC31" s="44"/>
      <c r="AD31" s="44"/>
      <c r="AE31" s="44">
        <f>SUM(ListeInventaire642[[#This Row],[Gravité Réelle]:[Gravité potentielle]])</f>
        <v>0</v>
      </c>
      <c r="AF31" s="44" t="s">
        <v>664</v>
      </c>
      <c r="AG31" s="48"/>
    </row>
    <row r="32" spans="1:33" s="18" customFormat="1" ht="48.6" customHeight="1" x14ac:dyDescent="0.25">
      <c r="A32" s="33">
        <v>45735</v>
      </c>
      <c r="B32" s="22" t="s">
        <v>668</v>
      </c>
      <c r="C32" s="21" t="s">
        <v>658</v>
      </c>
      <c r="D32" s="23" t="s">
        <v>757</v>
      </c>
      <c r="E32" s="22" t="s">
        <v>758</v>
      </c>
      <c r="F32" s="20" t="s">
        <v>759</v>
      </c>
      <c r="G32" s="20" t="s">
        <v>760</v>
      </c>
      <c r="H32" s="19" t="s">
        <v>469</v>
      </c>
      <c r="I32" s="44"/>
      <c r="J32" s="44"/>
      <c r="K32" s="44"/>
      <c r="L32" s="44"/>
      <c r="M32" s="44"/>
      <c r="N32" s="44"/>
      <c r="O32" s="44" t="s">
        <v>663</v>
      </c>
      <c r="P32" s="44"/>
      <c r="Q32" s="44"/>
      <c r="R32" s="44"/>
      <c r="S32" s="44"/>
      <c r="T32" s="44"/>
      <c r="U32" s="44"/>
      <c r="V32" s="44"/>
      <c r="W32" s="44"/>
      <c r="X32" s="44"/>
      <c r="Y32" s="44"/>
      <c r="Z32" s="6" t="s">
        <v>48</v>
      </c>
      <c r="AA32" s="44"/>
      <c r="AB32" s="44"/>
      <c r="AC32" s="44"/>
      <c r="AD32" s="44"/>
      <c r="AE32" s="44">
        <f>SUM(ListeInventaire642[[#This Row],[Gravité Réelle]:[Gravité potentielle]])</f>
        <v>0</v>
      </c>
      <c r="AF32" s="44" t="s">
        <v>664</v>
      </c>
      <c r="AG32" s="48"/>
    </row>
    <row r="33" spans="1:33" s="18" customFormat="1" ht="69" x14ac:dyDescent="0.25">
      <c r="A33" s="33">
        <v>45736</v>
      </c>
      <c r="B33" s="22" t="s">
        <v>124</v>
      </c>
      <c r="C33" s="21" t="s">
        <v>658</v>
      </c>
      <c r="D33" s="23" t="s">
        <v>761</v>
      </c>
      <c r="E33" s="22" t="s">
        <v>762</v>
      </c>
      <c r="F33" s="20" t="s">
        <v>763</v>
      </c>
      <c r="G33" s="20" t="s">
        <v>764</v>
      </c>
      <c r="H33" s="19" t="s">
        <v>33</v>
      </c>
      <c r="I33" s="44"/>
      <c r="J33" s="44"/>
      <c r="K33" s="44"/>
      <c r="L33" s="44"/>
      <c r="M33" s="44"/>
      <c r="N33" s="44"/>
      <c r="O33" s="44" t="s">
        <v>663</v>
      </c>
      <c r="P33" s="44"/>
      <c r="Q33" s="44"/>
      <c r="R33" s="44"/>
      <c r="S33" s="44"/>
      <c r="T33" s="44"/>
      <c r="U33" s="44"/>
      <c r="V33" s="44"/>
      <c r="W33" s="44"/>
      <c r="X33" s="44"/>
      <c r="Y33" s="44"/>
      <c r="Z33" s="6" t="s">
        <v>48</v>
      </c>
      <c r="AA33" s="44"/>
      <c r="AB33" s="44"/>
      <c r="AC33" s="44"/>
      <c r="AD33" s="44"/>
      <c r="AE33" s="44">
        <f>SUM(ListeInventaire642[[#This Row],[Gravité Réelle]:[Gravité potentielle]])</f>
        <v>0</v>
      </c>
      <c r="AF33" s="44" t="s">
        <v>664</v>
      </c>
      <c r="AG33" s="48"/>
    </row>
    <row r="34" spans="1:33" s="18" customFormat="1" ht="34.5" x14ac:dyDescent="0.25">
      <c r="A34" s="33">
        <v>45736</v>
      </c>
      <c r="B34" s="22" t="s">
        <v>668</v>
      </c>
      <c r="C34" s="21" t="s">
        <v>673</v>
      </c>
      <c r="D34" s="23" t="s">
        <v>765</v>
      </c>
      <c r="E34" s="22" t="s">
        <v>59</v>
      </c>
      <c r="F34" s="20" t="s">
        <v>766</v>
      </c>
      <c r="G34" s="20" t="s">
        <v>693</v>
      </c>
      <c r="H34" s="19" t="s">
        <v>33</v>
      </c>
      <c r="I34" s="44"/>
      <c r="J34" s="44"/>
      <c r="K34" s="44"/>
      <c r="L34" s="44"/>
      <c r="M34" s="44"/>
      <c r="N34" s="44"/>
      <c r="O34" s="44" t="s">
        <v>663</v>
      </c>
      <c r="P34" s="44"/>
      <c r="Q34" s="44"/>
      <c r="R34" s="44"/>
      <c r="S34" s="44"/>
      <c r="T34" s="44"/>
      <c r="U34" s="44"/>
      <c r="V34" s="44"/>
      <c r="W34" s="44"/>
      <c r="X34" s="44"/>
      <c r="Y34" s="44"/>
      <c r="Z34" s="6" t="s">
        <v>48</v>
      </c>
      <c r="AA34" s="44"/>
      <c r="AB34" s="44"/>
      <c r="AC34" s="44"/>
      <c r="AD34" s="44"/>
      <c r="AE34" s="44">
        <f>SUM(ListeInventaire642[[#This Row],[Gravité Réelle]:[Gravité potentielle]])</f>
        <v>0</v>
      </c>
      <c r="AF34" s="44" t="s">
        <v>664</v>
      </c>
      <c r="AG34" s="48"/>
    </row>
    <row r="35" spans="1:33" s="18" customFormat="1" ht="127.5" customHeight="1" x14ac:dyDescent="0.25">
      <c r="A35" s="33">
        <v>45736</v>
      </c>
      <c r="B35" s="22" t="s">
        <v>668</v>
      </c>
      <c r="C35" s="21" t="s">
        <v>658</v>
      </c>
      <c r="D35" s="306" t="s">
        <v>767</v>
      </c>
      <c r="E35" s="22" t="s">
        <v>59</v>
      </c>
      <c r="F35" s="20" t="s">
        <v>768</v>
      </c>
      <c r="G35" s="20" t="s">
        <v>769</v>
      </c>
      <c r="H35" s="19" t="s">
        <v>33</v>
      </c>
      <c r="I35" s="44"/>
      <c r="J35" s="44" t="s">
        <v>663</v>
      </c>
      <c r="K35" s="44"/>
      <c r="L35" s="44"/>
      <c r="M35" s="44"/>
      <c r="N35" s="44"/>
      <c r="O35" s="44"/>
      <c r="P35" s="44"/>
      <c r="Q35" s="44"/>
      <c r="R35" s="44"/>
      <c r="S35" s="44"/>
      <c r="T35" s="44"/>
      <c r="U35" s="44"/>
      <c r="V35" s="44"/>
      <c r="W35" s="44"/>
      <c r="X35" s="44"/>
      <c r="Y35" s="44"/>
      <c r="Z35" s="6"/>
      <c r="AA35" s="44"/>
      <c r="AB35" s="44"/>
      <c r="AC35" s="44"/>
      <c r="AD35" s="44"/>
      <c r="AE35" s="44">
        <f>SUM(ListeInventaire642[[#This Row],[Gravité Réelle]:[Gravité potentielle]])</f>
        <v>0</v>
      </c>
      <c r="AF35" s="44" t="s">
        <v>664</v>
      </c>
      <c r="AG35" s="48"/>
    </row>
    <row r="36" spans="1:33" s="18" customFormat="1" ht="127.5" customHeight="1" x14ac:dyDescent="0.25">
      <c r="A36" s="33">
        <v>45740</v>
      </c>
      <c r="B36" s="22" t="s">
        <v>668</v>
      </c>
      <c r="C36" s="21" t="s">
        <v>658</v>
      </c>
      <c r="D36" s="23" t="s">
        <v>770</v>
      </c>
      <c r="E36" s="22" t="s">
        <v>771</v>
      </c>
      <c r="F36" s="20" t="s">
        <v>772</v>
      </c>
      <c r="G36" s="20" t="s">
        <v>773</v>
      </c>
      <c r="H36" s="19" t="s">
        <v>33</v>
      </c>
      <c r="I36" s="44"/>
      <c r="J36" s="44" t="s">
        <v>663</v>
      </c>
      <c r="K36" s="44"/>
      <c r="L36" s="44"/>
      <c r="M36" s="44"/>
      <c r="N36" s="44"/>
      <c r="O36" s="44"/>
      <c r="P36" s="44"/>
      <c r="Q36" s="44"/>
      <c r="R36" s="44"/>
      <c r="S36" s="44"/>
      <c r="T36" s="44"/>
      <c r="U36" s="44"/>
      <c r="V36" s="44"/>
      <c r="W36" s="44"/>
      <c r="X36" s="44"/>
      <c r="Y36" s="44"/>
      <c r="Z36" s="6" t="s">
        <v>48</v>
      </c>
      <c r="AA36" s="44"/>
      <c r="AB36" s="44"/>
      <c r="AC36" s="44"/>
      <c r="AD36" s="44"/>
      <c r="AE36" s="44">
        <f>SUM(ListeInventaire642[[#This Row],[Gravité Réelle]:[Gravité potentielle]])</f>
        <v>0</v>
      </c>
      <c r="AF36" s="44" t="s">
        <v>664</v>
      </c>
      <c r="AG36" s="48"/>
    </row>
    <row r="37" spans="1:33" s="18" customFormat="1" ht="48.6" customHeight="1" x14ac:dyDescent="0.25">
      <c r="A37" s="33">
        <v>45747</v>
      </c>
      <c r="B37" s="22" t="s">
        <v>51</v>
      </c>
      <c r="C37" s="21" t="s">
        <v>658</v>
      </c>
      <c r="D37" s="23" t="s">
        <v>774</v>
      </c>
      <c r="E37" s="22" t="s">
        <v>775</v>
      </c>
      <c r="F37" s="20" t="s">
        <v>776</v>
      </c>
      <c r="G37" s="20" t="s">
        <v>777</v>
      </c>
      <c r="H37" s="19" t="s">
        <v>33</v>
      </c>
      <c r="I37" s="44" t="s">
        <v>663</v>
      </c>
      <c r="J37" s="44"/>
      <c r="K37" s="44"/>
      <c r="L37" s="44"/>
      <c r="M37" s="44"/>
      <c r="N37" s="44"/>
      <c r="O37" s="44"/>
      <c r="P37" s="44"/>
      <c r="Q37" s="44"/>
      <c r="R37" s="44"/>
      <c r="S37" s="44"/>
      <c r="T37" s="44"/>
      <c r="U37" s="44"/>
      <c r="V37" s="44"/>
      <c r="W37" s="44"/>
      <c r="X37" s="44"/>
      <c r="Y37" s="44"/>
      <c r="Z37" s="6" t="s">
        <v>48</v>
      </c>
      <c r="AA37" s="44">
        <v>10</v>
      </c>
      <c r="AB37" s="44">
        <v>30</v>
      </c>
      <c r="AC37" s="44">
        <v>10</v>
      </c>
      <c r="AD37" s="44">
        <v>30</v>
      </c>
      <c r="AE37" s="44">
        <f>SUM(ListeInventaire642[[#This Row],[Gravité Réelle]:[Gravité potentielle]])</f>
        <v>80</v>
      </c>
      <c r="AF37" s="44" t="s">
        <v>664</v>
      </c>
      <c r="AG37" s="48"/>
    </row>
    <row r="38" spans="1:33" s="18" customFormat="1" ht="48.6" customHeight="1" x14ac:dyDescent="0.25">
      <c r="A38" s="33">
        <v>45754</v>
      </c>
      <c r="B38" s="22" t="s">
        <v>51</v>
      </c>
      <c r="C38" s="21" t="s">
        <v>658</v>
      </c>
      <c r="D38" s="23" t="s">
        <v>778</v>
      </c>
      <c r="E38" s="22" t="s">
        <v>43</v>
      </c>
      <c r="F38" s="20" t="s">
        <v>779</v>
      </c>
      <c r="G38" s="20" t="s">
        <v>780</v>
      </c>
      <c r="H38" s="19" t="s">
        <v>33</v>
      </c>
      <c r="I38" s="44"/>
      <c r="J38" s="44"/>
      <c r="K38" s="44" t="s">
        <v>663</v>
      </c>
      <c r="L38" s="44"/>
      <c r="M38" s="44"/>
      <c r="N38" s="44"/>
      <c r="O38" s="44" t="s">
        <v>663</v>
      </c>
      <c r="P38" s="44"/>
      <c r="Q38" s="44"/>
      <c r="R38" s="44"/>
      <c r="S38" s="44"/>
      <c r="T38" s="44"/>
      <c r="U38" s="44"/>
      <c r="V38" s="44"/>
      <c r="W38" s="44"/>
      <c r="X38" s="44"/>
      <c r="Y38" s="44"/>
      <c r="Z38" s="44" t="s">
        <v>48</v>
      </c>
      <c r="AA38" s="44">
        <v>10</v>
      </c>
      <c r="AB38" s="44">
        <v>10</v>
      </c>
      <c r="AC38" s="44">
        <v>0</v>
      </c>
      <c r="AD38" s="44">
        <v>30</v>
      </c>
      <c r="AE38" s="44">
        <f>SUM(ListeInventaire642[[#This Row],[Gravité Réelle]:[Gravité potentielle]])</f>
        <v>50</v>
      </c>
      <c r="AF38" s="44" t="s">
        <v>664</v>
      </c>
      <c r="AG38" s="48"/>
    </row>
    <row r="39" spans="1:33" s="18" customFormat="1" ht="48.6" customHeight="1" x14ac:dyDescent="0.25">
      <c r="A39" s="33">
        <v>45756</v>
      </c>
      <c r="B39" s="22" t="s">
        <v>668</v>
      </c>
      <c r="C39" s="21" t="s">
        <v>658</v>
      </c>
      <c r="D39" s="382" t="s">
        <v>781</v>
      </c>
      <c r="E39" s="22" t="s">
        <v>59</v>
      </c>
      <c r="F39" s="20" t="s">
        <v>782</v>
      </c>
      <c r="G39" s="20" t="s">
        <v>783</v>
      </c>
      <c r="H39" s="19" t="s">
        <v>33</v>
      </c>
      <c r="I39" s="44"/>
      <c r="J39" s="44"/>
      <c r="K39" s="44"/>
      <c r="L39" s="44"/>
      <c r="M39" s="44"/>
      <c r="N39" s="44"/>
      <c r="O39" s="44"/>
      <c r="P39" s="44"/>
      <c r="Q39" s="44" t="s">
        <v>663</v>
      </c>
      <c r="R39" s="44"/>
      <c r="S39" s="44"/>
      <c r="T39" s="44"/>
      <c r="U39" s="44"/>
      <c r="V39" s="44"/>
      <c r="W39" s="44"/>
      <c r="X39" s="44"/>
      <c r="Y39" s="44"/>
      <c r="Z39" s="6" t="s">
        <v>48</v>
      </c>
      <c r="AA39" s="44">
        <v>10</v>
      </c>
      <c r="AB39" s="44">
        <v>10</v>
      </c>
      <c r="AC39" s="44">
        <v>10</v>
      </c>
      <c r="AD39" s="44">
        <v>30</v>
      </c>
      <c r="AE39" s="44">
        <f>SUM(ListeInventaire642[[#This Row],[Gravité Réelle]:[Gravité potentielle]])</f>
        <v>60</v>
      </c>
      <c r="AF39" s="44" t="s">
        <v>664</v>
      </c>
      <c r="AG39" s="48"/>
    </row>
    <row r="40" spans="1:33" s="18" customFormat="1" ht="48.6" customHeight="1" x14ac:dyDescent="0.25">
      <c r="A40" s="33">
        <v>45756</v>
      </c>
      <c r="B40" s="22" t="s">
        <v>35</v>
      </c>
      <c r="C40" s="21" t="s">
        <v>658</v>
      </c>
      <c r="D40" s="23" t="s">
        <v>784</v>
      </c>
      <c r="E40" s="22" t="s">
        <v>785</v>
      </c>
      <c r="F40" s="20" t="s">
        <v>786</v>
      </c>
      <c r="G40" s="20" t="s">
        <v>787</v>
      </c>
      <c r="H40" s="19" t="s">
        <v>33</v>
      </c>
      <c r="I40" s="44"/>
      <c r="J40" s="44"/>
      <c r="K40" s="44"/>
      <c r="L40" s="44"/>
      <c r="M40" s="44"/>
      <c r="N40" s="44"/>
      <c r="O40" s="44" t="s">
        <v>663</v>
      </c>
      <c r="P40" s="44"/>
      <c r="Q40" s="44"/>
      <c r="R40" s="44"/>
      <c r="S40" s="44"/>
      <c r="T40" s="44"/>
      <c r="U40" s="44"/>
      <c r="V40" s="44"/>
      <c r="W40" s="44"/>
      <c r="X40" s="44"/>
      <c r="Y40" s="44"/>
      <c r="Z40" s="6" t="s">
        <v>48</v>
      </c>
      <c r="AA40" s="44">
        <v>10</v>
      </c>
      <c r="AB40" s="44">
        <v>20</v>
      </c>
      <c r="AC40" s="44">
        <v>0</v>
      </c>
      <c r="AD40" s="44">
        <v>40</v>
      </c>
      <c r="AE40" s="44">
        <f>SUM(ListeInventaire642[[#This Row],[Gravité Réelle]:[Gravité potentielle]])</f>
        <v>70</v>
      </c>
      <c r="AF40" s="44" t="s">
        <v>664</v>
      </c>
      <c r="AG40" s="48"/>
    </row>
    <row r="41" spans="1:33" s="18" customFormat="1" ht="108" x14ac:dyDescent="0.25">
      <c r="A41" s="33">
        <v>45763</v>
      </c>
      <c r="B41" s="22" t="s">
        <v>668</v>
      </c>
      <c r="C41" s="21" t="s">
        <v>658</v>
      </c>
      <c r="D41" s="220" t="s">
        <v>788</v>
      </c>
      <c r="E41" s="20" t="s">
        <v>789</v>
      </c>
      <c r="F41" s="9" t="s">
        <v>790</v>
      </c>
      <c r="G41" s="20" t="s">
        <v>697</v>
      </c>
      <c r="H41" s="19" t="s">
        <v>86</v>
      </c>
      <c r="I41" s="44"/>
      <c r="J41" s="44"/>
      <c r="K41" s="44"/>
      <c r="L41" s="44"/>
      <c r="M41" s="44"/>
      <c r="N41" s="44"/>
      <c r="O41" s="44"/>
      <c r="P41" s="44"/>
      <c r="Q41" s="44"/>
      <c r="R41" s="44"/>
      <c r="S41" s="44"/>
      <c r="T41" s="44"/>
      <c r="U41" s="44"/>
      <c r="V41" s="44"/>
      <c r="W41" s="44"/>
      <c r="X41" s="44"/>
      <c r="Y41" s="44" t="s">
        <v>663</v>
      </c>
      <c r="Z41" s="44" t="s">
        <v>48</v>
      </c>
      <c r="AA41" s="44">
        <v>10</v>
      </c>
      <c r="AB41" s="44">
        <v>20</v>
      </c>
      <c r="AC41" s="44">
        <v>10</v>
      </c>
      <c r="AD41" s="44">
        <v>50</v>
      </c>
      <c r="AE41" s="44">
        <f>SUM(ListeInventaire642[[#This Row],[Gravité Réelle]:[Gravité potentielle]])</f>
        <v>90</v>
      </c>
      <c r="AF41" s="44" t="s">
        <v>714</v>
      </c>
      <c r="AG41" s="48"/>
    </row>
    <row r="42" spans="1:33" s="18" customFormat="1" ht="48.6" customHeight="1" x14ac:dyDescent="0.25">
      <c r="A42" s="33">
        <v>45764</v>
      </c>
      <c r="B42" s="22" t="s">
        <v>668</v>
      </c>
      <c r="C42" s="6" t="s">
        <v>673</v>
      </c>
      <c r="D42" s="220" t="s">
        <v>791</v>
      </c>
      <c r="E42" s="22" t="s">
        <v>771</v>
      </c>
      <c r="F42" s="12" t="s">
        <v>792</v>
      </c>
      <c r="G42" s="20" t="s">
        <v>793</v>
      </c>
      <c r="H42" s="19" t="s">
        <v>501</v>
      </c>
      <c r="I42" s="44"/>
      <c r="J42" s="44"/>
      <c r="K42" s="44"/>
      <c r="L42" s="44"/>
      <c r="M42" s="44"/>
      <c r="N42" s="44"/>
      <c r="O42" s="44"/>
      <c r="P42" s="44"/>
      <c r="Q42" s="44"/>
      <c r="R42" s="44"/>
      <c r="S42" s="44"/>
      <c r="T42" s="44"/>
      <c r="U42" s="44"/>
      <c r="V42" s="44"/>
      <c r="W42" s="44"/>
      <c r="X42" s="44"/>
      <c r="Y42" s="44"/>
      <c r="Z42" s="6"/>
      <c r="AA42" s="44"/>
      <c r="AB42" s="44"/>
      <c r="AC42" s="44"/>
      <c r="AD42" s="44"/>
      <c r="AE42" s="44">
        <f>SUM(ListeInventaire642[[#This Row],[Gravité Réelle]:[Gravité potentielle]])</f>
        <v>0</v>
      </c>
      <c r="AF42" s="44" t="s">
        <v>664</v>
      </c>
      <c r="AG42" s="48"/>
    </row>
    <row r="43" spans="1:33" s="18" customFormat="1" ht="48.6" customHeight="1" x14ac:dyDescent="0.25">
      <c r="A43" s="33">
        <v>45764</v>
      </c>
      <c r="B43" s="22" t="s">
        <v>668</v>
      </c>
      <c r="C43" s="112" t="s">
        <v>673</v>
      </c>
      <c r="D43" s="220" t="s">
        <v>794</v>
      </c>
      <c r="E43" s="22" t="s">
        <v>59</v>
      </c>
      <c r="F43" s="20" t="s">
        <v>795</v>
      </c>
      <c r="G43" s="20" t="s">
        <v>693</v>
      </c>
      <c r="H43" s="19" t="s">
        <v>33</v>
      </c>
      <c r="I43" s="44"/>
      <c r="J43" s="44"/>
      <c r="K43" s="44"/>
      <c r="L43" s="44"/>
      <c r="M43" s="44"/>
      <c r="N43" s="44"/>
      <c r="O43" s="44"/>
      <c r="P43" s="44"/>
      <c r="Q43" s="44"/>
      <c r="R43" s="44"/>
      <c r="S43" s="44"/>
      <c r="T43" s="44"/>
      <c r="U43" s="44"/>
      <c r="V43" s="44"/>
      <c r="W43" s="44"/>
      <c r="X43" s="44"/>
      <c r="Y43" s="44"/>
      <c r="Z43" s="44"/>
      <c r="AA43" s="44"/>
      <c r="AB43" s="44"/>
      <c r="AC43" s="44"/>
      <c r="AD43" s="44"/>
      <c r="AE43" s="44">
        <f>SUM(ListeInventaire642[[#This Row],[Gravité Réelle]:[Gravité potentielle]])</f>
        <v>0</v>
      </c>
      <c r="AF43" s="44" t="s">
        <v>664</v>
      </c>
      <c r="AG43" s="48"/>
    </row>
    <row r="44" spans="1:33" s="18" customFormat="1" ht="48.6" customHeight="1" x14ac:dyDescent="0.25">
      <c r="A44" s="33">
        <v>45765</v>
      </c>
      <c r="B44" s="22" t="s">
        <v>668</v>
      </c>
      <c r="C44" s="112" t="s">
        <v>673</v>
      </c>
      <c r="D44" s="23" t="s">
        <v>796</v>
      </c>
      <c r="E44" s="22" t="s">
        <v>59</v>
      </c>
      <c r="F44" s="20" t="s">
        <v>797</v>
      </c>
      <c r="G44" s="20" t="s">
        <v>769</v>
      </c>
      <c r="H44" s="19" t="s">
        <v>501</v>
      </c>
      <c r="I44" s="44"/>
      <c r="J44" s="44"/>
      <c r="K44" s="44"/>
      <c r="L44" s="44"/>
      <c r="M44" s="44"/>
      <c r="N44" s="44"/>
      <c r="O44" s="44"/>
      <c r="P44" s="44"/>
      <c r="Q44" s="44"/>
      <c r="R44" s="44"/>
      <c r="S44" s="44"/>
      <c r="T44" s="44"/>
      <c r="U44" s="44"/>
      <c r="V44" s="44"/>
      <c r="W44" s="44"/>
      <c r="X44" s="44"/>
      <c r="Y44" s="44"/>
      <c r="Z44" s="44"/>
      <c r="AA44" s="44"/>
      <c r="AB44" s="44"/>
      <c r="AC44" s="44"/>
      <c r="AD44" s="44"/>
      <c r="AE44" s="44">
        <f>SUM(ListeInventaire642[[#This Row],[Gravité Réelle]:[Gravité potentielle]])</f>
        <v>0</v>
      </c>
      <c r="AF44" s="44" t="s">
        <v>664</v>
      </c>
      <c r="AG44" s="48"/>
    </row>
    <row r="45" spans="1:33" s="18" customFormat="1" ht="409.5" x14ac:dyDescent="0.25">
      <c r="A45" s="33">
        <v>45775</v>
      </c>
      <c r="B45" s="22" t="s">
        <v>668</v>
      </c>
      <c r="C45" s="112" t="s">
        <v>658</v>
      </c>
      <c r="D45" s="23" t="s">
        <v>798</v>
      </c>
      <c r="E45" s="22" t="s">
        <v>799</v>
      </c>
      <c r="F45" s="20" t="s">
        <v>800</v>
      </c>
      <c r="G45" s="20" t="s">
        <v>801</v>
      </c>
      <c r="H45" s="19" t="s">
        <v>348</v>
      </c>
      <c r="I45" s="44"/>
      <c r="J45" s="44"/>
      <c r="K45" s="44" t="s">
        <v>663</v>
      </c>
      <c r="L45" s="44"/>
      <c r="M45" s="44"/>
      <c r="N45" s="44"/>
      <c r="O45" s="44" t="s">
        <v>663</v>
      </c>
      <c r="P45" s="44"/>
      <c r="Q45" s="44"/>
      <c r="R45" s="44"/>
      <c r="S45" s="44"/>
      <c r="T45" s="44"/>
      <c r="U45" s="44"/>
      <c r="V45" s="44"/>
      <c r="W45" s="44"/>
      <c r="X45" s="44"/>
      <c r="Y45" s="44"/>
      <c r="Z45" s="44" t="s">
        <v>48</v>
      </c>
      <c r="AA45" s="44"/>
      <c r="AB45" s="44"/>
      <c r="AC45" s="44"/>
      <c r="AD45" s="44"/>
      <c r="AE45" s="44">
        <f>SUM(ListeInventaire642[[#This Row],[Gravité Réelle]:[Gravité potentielle]])</f>
        <v>0</v>
      </c>
      <c r="AF45" s="44" t="s">
        <v>664</v>
      </c>
      <c r="AG45" s="48"/>
    </row>
    <row r="46" spans="1:33" s="18" customFormat="1" ht="54" x14ac:dyDescent="0.25">
      <c r="A46" s="33">
        <v>45782</v>
      </c>
      <c r="B46" s="22" t="s">
        <v>668</v>
      </c>
      <c r="C46" s="112" t="s">
        <v>673</v>
      </c>
      <c r="D46" s="398" t="s">
        <v>802</v>
      </c>
      <c r="E46" s="22" t="s">
        <v>789</v>
      </c>
      <c r="F46" s="20" t="s">
        <v>803</v>
      </c>
      <c r="G46" s="20" t="s">
        <v>804</v>
      </c>
      <c r="H46" s="19" t="s">
        <v>86</v>
      </c>
      <c r="I46" s="44"/>
      <c r="J46" s="44"/>
      <c r="K46" s="44"/>
      <c r="L46" s="44"/>
      <c r="M46" s="44"/>
      <c r="N46" s="44"/>
      <c r="O46" s="44" t="s">
        <v>663</v>
      </c>
      <c r="P46" s="44"/>
      <c r="Q46" s="44"/>
      <c r="R46" s="44"/>
      <c r="S46" s="44"/>
      <c r="T46" s="44"/>
      <c r="U46" s="44"/>
      <c r="V46" s="44"/>
      <c r="W46" s="44"/>
      <c r="X46" s="44"/>
      <c r="Y46" s="44"/>
      <c r="Z46" s="44" t="s">
        <v>48</v>
      </c>
      <c r="AA46" s="44">
        <v>10</v>
      </c>
      <c r="AB46" s="44">
        <v>20</v>
      </c>
      <c r="AC46" s="44">
        <v>10</v>
      </c>
      <c r="AD46" s="44">
        <v>20</v>
      </c>
      <c r="AE46" s="44">
        <f>SUM(ListeInventaire642[[#This Row],[Gravité Réelle]:[Gravité potentielle]])</f>
        <v>60</v>
      </c>
      <c r="AF46" s="44" t="s">
        <v>664</v>
      </c>
      <c r="AG46" s="48"/>
    </row>
    <row r="47" spans="1:33" s="18" customFormat="1" ht="48.6" customHeight="1" x14ac:dyDescent="0.25">
      <c r="A47" s="33">
        <v>45789</v>
      </c>
      <c r="B47" s="22" t="s">
        <v>35</v>
      </c>
      <c r="C47" s="112" t="s">
        <v>658</v>
      </c>
      <c r="D47" s="23" t="s">
        <v>805</v>
      </c>
      <c r="E47" s="22" t="s">
        <v>660</v>
      </c>
      <c r="F47" s="20" t="s">
        <v>806</v>
      </c>
      <c r="G47" s="20" t="s">
        <v>676</v>
      </c>
      <c r="H47" s="19" t="s">
        <v>33</v>
      </c>
      <c r="I47" s="44"/>
      <c r="J47" s="44"/>
      <c r="K47" s="44"/>
      <c r="L47" s="44"/>
      <c r="M47" s="44"/>
      <c r="N47" s="44"/>
      <c r="O47" s="44"/>
      <c r="P47" s="44"/>
      <c r="Q47" s="44"/>
      <c r="R47" s="44"/>
      <c r="S47" s="44"/>
      <c r="T47" s="44"/>
      <c r="U47" s="44"/>
      <c r="V47" s="44"/>
      <c r="W47" s="44"/>
      <c r="X47" s="44"/>
      <c r="Y47" s="44" t="s">
        <v>663</v>
      </c>
      <c r="Z47" s="44" t="s">
        <v>48</v>
      </c>
      <c r="AA47" s="44">
        <v>30</v>
      </c>
      <c r="AB47" s="44">
        <v>10</v>
      </c>
      <c r="AC47" s="44">
        <v>20</v>
      </c>
      <c r="AD47" s="44">
        <v>50</v>
      </c>
      <c r="AE47" s="44">
        <f>SUM(ListeInventaire642[[#This Row],[Gravité Réelle]:[Gravité potentielle]])</f>
        <v>110</v>
      </c>
      <c r="AF47" s="44" t="s">
        <v>714</v>
      </c>
      <c r="AG47" s="48"/>
    </row>
    <row r="48" spans="1:33" s="18" customFormat="1" ht="30" customHeight="1" x14ac:dyDescent="0.25">
      <c r="A48" s="33">
        <v>45791</v>
      </c>
      <c r="B48" s="22" t="s">
        <v>35</v>
      </c>
      <c r="C48" s="21" t="s">
        <v>658</v>
      </c>
      <c r="D48" s="23" t="s">
        <v>807</v>
      </c>
      <c r="E48" s="22" t="s">
        <v>660</v>
      </c>
      <c r="F48" s="20" t="s">
        <v>808</v>
      </c>
      <c r="G48" s="20" t="s">
        <v>676</v>
      </c>
      <c r="H48" s="19" t="s">
        <v>33</v>
      </c>
      <c r="I48" s="44"/>
      <c r="J48" s="44"/>
      <c r="K48" s="44"/>
      <c r="L48" s="44"/>
      <c r="M48" s="44"/>
      <c r="N48" s="44"/>
      <c r="O48" s="44"/>
      <c r="P48" s="44"/>
      <c r="Q48" s="44"/>
      <c r="R48" s="44"/>
      <c r="S48" s="44"/>
      <c r="T48" s="44"/>
      <c r="U48" s="44"/>
      <c r="V48" s="44"/>
      <c r="W48" s="44"/>
      <c r="X48" s="44"/>
      <c r="Y48" s="44" t="s">
        <v>663</v>
      </c>
      <c r="Z48" s="44" t="s">
        <v>48</v>
      </c>
      <c r="AA48" s="44">
        <v>30</v>
      </c>
      <c r="AB48" s="44">
        <v>10</v>
      </c>
      <c r="AC48" s="44">
        <v>10</v>
      </c>
      <c r="AD48" s="44">
        <v>50</v>
      </c>
      <c r="AE48" s="44">
        <f>SUM(ListeInventaire642[[#This Row],[Gravité Réelle]:[Gravité potentielle]])</f>
        <v>100</v>
      </c>
      <c r="AF48" s="44" t="s">
        <v>714</v>
      </c>
      <c r="AG48" s="48"/>
    </row>
    <row r="49" spans="1:33" s="18" customFormat="1" ht="48.6" customHeight="1" x14ac:dyDescent="0.25">
      <c r="A49" s="33">
        <v>45792</v>
      </c>
      <c r="B49" s="22" t="s">
        <v>35</v>
      </c>
      <c r="C49" s="21" t="s">
        <v>658</v>
      </c>
      <c r="D49" s="23" t="s">
        <v>809</v>
      </c>
      <c r="E49" s="22" t="s">
        <v>72</v>
      </c>
      <c r="F49" s="20" t="s">
        <v>810</v>
      </c>
      <c r="G49" s="20" t="s">
        <v>811</v>
      </c>
      <c r="H49" s="19" t="s">
        <v>33</v>
      </c>
      <c r="I49" s="44"/>
      <c r="J49" s="44"/>
      <c r="K49" s="44"/>
      <c r="L49" s="44"/>
      <c r="M49" s="44"/>
      <c r="N49" s="44"/>
      <c r="O49" s="44"/>
      <c r="P49" s="44"/>
      <c r="Q49" s="44"/>
      <c r="R49" s="44"/>
      <c r="S49" s="44"/>
      <c r="T49" s="44"/>
      <c r="U49" s="44"/>
      <c r="V49" s="44"/>
      <c r="W49" s="44"/>
      <c r="X49" s="44"/>
      <c r="Y49" s="44" t="s">
        <v>663</v>
      </c>
      <c r="Z49" s="44" t="s">
        <v>48</v>
      </c>
      <c r="AA49" s="44">
        <v>30</v>
      </c>
      <c r="AB49" s="44">
        <v>10</v>
      </c>
      <c r="AC49" s="44">
        <v>10</v>
      </c>
      <c r="AD49" s="44">
        <v>50</v>
      </c>
      <c r="AE49" s="44">
        <f>SUM(ListeInventaire642[[#This Row],[Gravité Réelle]:[Gravité potentielle]])</f>
        <v>100</v>
      </c>
      <c r="AF49" s="44" t="s">
        <v>714</v>
      </c>
      <c r="AG49" s="48"/>
    </row>
    <row r="50" spans="1:33" s="18" customFormat="1" ht="48.6" customHeight="1" x14ac:dyDescent="0.25">
      <c r="A50" s="33">
        <v>45792</v>
      </c>
      <c r="B50" s="22" t="s">
        <v>35</v>
      </c>
      <c r="C50" s="112" t="s">
        <v>658</v>
      </c>
      <c r="D50" s="23" t="s">
        <v>812</v>
      </c>
      <c r="E50" s="22" t="s">
        <v>72</v>
      </c>
      <c r="F50" s="20" t="s">
        <v>813</v>
      </c>
      <c r="G50" s="20" t="s">
        <v>679</v>
      </c>
      <c r="H50" s="19" t="s">
        <v>33</v>
      </c>
      <c r="I50" s="44"/>
      <c r="J50" s="44"/>
      <c r="K50" s="44"/>
      <c r="L50" s="44"/>
      <c r="M50" s="44"/>
      <c r="N50" s="44"/>
      <c r="O50" s="44"/>
      <c r="P50" s="44"/>
      <c r="Q50" s="44"/>
      <c r="R50" s="44"/>
      <c r="S50" s="44"/>
      <c r="T50" s="44"/>
      <c r="U50" s="44"/>
      <c r="V50" s="44"/>
      <c r="W50" s="44"/>
      <c r="X50" s="44"/>
      <c r="Y50" s="44" t="s">
        <v>663</v>
      </c>
      <c r="Z50" s="44" t="s">
        <v>48</v>
      </c>
      <c r="AA50" s="44">
        <v>30</v>
      </c>
      <c r="AB50" s="44">
        <v>10</v>
      </c>
      <c r="AC50" s="44">
        <v>20</v>
      </c>
      <c r="AD50" s="44">
        <v>50</v>
      </c>
      <c r="AE50" s="44">
        <f>SUM(ListeInventaire642[[#This Row],[Gravité Réelle]:[Gravité potentielle]])</f>
        <v>110</v>
      </c>
      <c r="AF50" s="44" t="s">
        <v>714</v>
      </c>
      <c r="AG50" s="48"/>
    </row>
    <row r="51" spans="1:33" s="18" customFormat="1" ht="49.5" x14ac:dyDescent="0.25">
      <c r="A51" s="33">
        <v>45796</v>
      </c>
      <c r="B51" s="22" t="s">
        <v>35</v>
      </c>
      <c r="C51" s="112" t="s">
        <v>673</v>
      </c>
      <c r="D51" s="23" t="s">
        <v>814</v>
      </c>
      <c r="E51" s="22" t="s">
        <v>72</v>
      </c>
      <c r="F51" s="20" t="s">
        <v>815</v>
      </c>
      <c r="G51" s="20" t="s">
        <v>816</v>
      </c>
      <c r="H51" s="19" t="s">
        <v>33</v>
      </c>
      <c r="I51" s="44"/>
      <c r="J51" s="44" t="s">
        <v>663</v>
      </c>
      <c r="K51" s="44"/>
      <c r="L51" s="44"/>
      <c r="M51" s="44"/>
      <c r="N51" s="44"/>
      <c r="O51" s="44"/>
      <c r="P51" s="44"/>
      <c r="Q51" s="44"/>
      <c r="R51" s="44"/>
      <c r="S51" s="44"/>
      <c r="T51" s="44"/>
      <c r="U51" s="44"/>
      <c r="V51" s="44"/>
      <c r="W51" s="44"/>
      <c r="X51" s="44"/>
      <c r="Y51" s="44"/>
      <c r="Z51" s="44" t="s">
        <v>48</v>
      </c>
      <c r="AA51" s="44">
        <v>10</v>
      </c>
      <c r="AB51" s="44">
        <v>20</v>
      </c>
      <c r="AC51" s="44">
        <v>0</v>
      </c>
      <c r="AD51" s="44">
        <v>30</v>
      </c>
      <c r="AE51" s="44">
        <f>SUM(ListeInventaire642[[#This Row],[Gravité Réelle]:[Gravité potentielle]])</f>
        <v>60</v>
      </c>
      <c r="AF51" s="44" t="s">
        <v>664</v>
      </c>
      <c r="AG51" s="48"/>
    </row>
    <row r="52" spans="1:33" s="18" customFormat="1" ht="51.75" x14ac:dyDescent="0.25">
      <c r="A52" s="33">
        <v>45796</v>
      </c>
      <c r="B52" s="22" t="s">
        <v>668</v>
      </c>
      <c r="C52" s="112" t="s">
        <v>673</v>
      </c>
      <c r="D52" s="23" t="s">
        <v>817</v>
      </c>
      <c r="E52" s="22" t="s">
        <v>59</v>
      </c>
      <c r="F52" s="20" t="s">
        <v>818</v>
      </c>
      <c r="G52" s="20" t="s">
        <v>700</v>
      </c>
      <c r="H52" s="19" t="s">
        <v>33</v>
      </c>
      <c r="I52" s="44"/>
      <c r="J52" s="44"/>
      <c r="K52" s="44" t="s">
        <v>663</v>
      </c>
      <c r="L52" s="44"/>
      <c r="M52" s="44"/>
      <c r="N52" s="44"/>
      <c r="O52" s="44"/>
      <c r="P52" s="44"/>
      <c r="Q52" s="44"/>
      <c r="R52" s="44"/>
      <c r="S52" s="44"/>
      <c r="T52" s="44"/>
      <c r="U52" s="44"/>
      <c r="V52" s="44"/>
      <c r="W52" s="44"/>
      <c r="X52" s="44"/>
      <c r="Y52" s="44"/>
      <c r="Z52" s="44" t="s">
        <v>39</v>
      </c>
      <c r="AA52" s="44">
        <v>10</v>
      </c>
      <c r="AB52" s="44">
        <v>10</v>
      </c>
      <c r="AC52" s="44">
        <v>10</v>
      </c>
      <c r="AD52" s="44">
        <v>50</v>
      </c>
      <c r="AE52" s="44">
        <f>SUM(ListeInventaire642[[#This Row],[Gravité Réelle]:[Gravité potentielle]])</f>
        <v>80</v>
      </c>
      <c r="AF52" s="44" t="s">
        <v>664</v>
      </c>
      <c r="AG52" s="48"/>
    </row>
    <row r="53" spans="1:33" s="18" customFormat="1" ht="48.6" customHeight="1" x14ac:dyDescent="0.25">
      <c r="A53" s="33">
        <v>45798</v>
      </c>
      <c r="B53" s="22" t="s">
        <v>35</v>
      </c>
      <c r="C53" s="112" t="s">
        <v>673</v>
      </c>
      <c r="D53" s="23" t="s">
        <v>819</v>
      </c>
      <c r="E53" s="22" t="s">
        <v>43</v>
      </c>
      <c r="F53" s="20" t="s">
        <v>820</v>
      </c>
      <c r="G53" s="20" t="s">
        <v>821</v>
      </c>
      <c r="H53" s="19" t="s">
        <v>33</v>
      </c>
      <c r="I53" s="44"/>
      <c r="J53" s="44"/>
      <c r="K53" s="44"/>
      <c r="L53" s="44"/>
      <c r="M53" s="44"/>
      <c r="N53" s="44"/>
      <c r="O53" s="44"/>
      <c r="P53" s="44"/>
      <c r="Q53" s="44" t="s">
        <v>663</v>
      </c>
      <c r="R53" s="44"/>
      <c r="S53" s="44"/>
      <c r="T53" s="44"/>
      <c r="U53" s="44"/>
      <c r="V53" s="44"/>
      <c r="W53" s="44"/>
      <c r="X53" s="44"/>
      <c r="Y53" s="44"/>
      <c r="Z53" s="44" t="s">
        <v>48</v>
      </c>
      <c r="AA53" s="44">
        <v>10</v>
      </c>
      <c r="AB53" s="44">
        <v>10</v>
      </c>
      <c r="AC53" s="44">
        <v>0</v>
      </c>
      <c r="AD53" s="44">
        <v>30</v>
      </c>
      <c r="AE53" s="44">
        <f>SUM(ListeInventaire642[[#This Row],[Gravité Réelle]:[Gravité potentielle]])</f>
        <v>50</v>
      </c>
      <c r="AF53" s="44" t="s">
        <v>664</v>
      </c>
      <c r="AG53" s="48"/>
    </row>
    <row r="54" spans="1:33" s="18" customFormat="1" ht="155.25" x14ac:dyDescent="0.25">
      <c r="A54" s="33">
        <v>45799</v>
      </c>
      <c r="B54" s="22" t="s">
        <v>668</v>
      </c>
      <c r="C54" s="112" t="s">
        <v>673</v>
      </c>
      <c r="D54" s="23" t="s">
        <v>822</v>
      </c>
      <c r="E54" s="22" t="s">
        <v>789</v>
      </c>
      <c r="F54" s="20" t="s">
        <v>823</v>
      </c>
      <c r="G54" s="20" t="s">
        <v>824</v>
      </c>
      <c r="H54" s="19" t="s">
        <v>86</v>
      </c>
      <c r="I54" s="44"/>
      <c r="J54" s="44"/>
      <c r="K54" s="44"/>
      <c r="L54" s="44"/>
      <c r="M54" s="44"/>
      <c r="N54" s="44"/>
      <c r="O54" s="44"/>
      <c r="P54" s="44"/>
      <c r="Q54" s="44"/>
      <c r="R54" s="44"/>
      <c r="S54" s="44"/>
      <c r="T54" s="44"/>
      <c r="U54" s="44"/>
      <c r="V54" s="44"/>
      <c r="W54" s="44"/>
      <c r="X54" s="44"/>
      <c r="Y54" s="44" t="s">
        <v>663</v>
      </c>
      <c r="Z54" s="44" t="s">
        <v>48</v>
      </c>
      <c r="AA54" s="44">
        <v>10</v>
      </c>
      <c r="AB54" s="44">
        <v>20</v>
      </c>
      <c r="AC54" s="44">
        <v>10</v>
      </c>
      <c r="AD54" s="44">
        <v>40</v>
      </c>
      <c r="AE54" s="44">
        <f>SUM(ListeInventaire642[[#This Row],[Gravité Réelle]:[Gravité potentielle]])</f>
        <v>80</v>
      </c>
      <c r="AF54" s="44" t="s">
        <v>664</v>
      </c>
      <c r="AG54" s="48"/>
    </row>
    <row r="55" spans="1:33" s="18" customFormat="1" ht="33" x14ac:dyDescent="0.25">
      <c r="A55" s="33">
        <v>45803</v>
      </c>
      <c r="B55" s="22" t="s">
        <v>35</v>
      </c>
      <c r="C55" s="112" t="s">
        <v>673</v>
      </c>
      <c r="D55" s="23" t="s">
        <v>825</v>
      </c>
      <c r="E55" s="22" t="s">
        <v>152</v>
      </c>
      <c r="F55" s="20" t="s">
        <v>826</v>
      </c>
      <c r="G55" s="20" t="s">
        <v>827</v>
      </c>
      <c r="H55" s="19" t="s">
        <v>33</v>
      </c>
      <c r="I55" s="44"/>
      <c r="J55" s="44"/>
      <c r="K55" s="44"/>
      <c r="L55" s="44"/>
      <c r="M55" s="44"/>
      <c r="N55" s="44"/>
      <c r="O55" s="44"/>
      <c r="P55" s="44"/>
      <c r="Q55" s="44"/>
      <c r="R55" s="44"/>
      <c r="S55" s="44"/>
      <c r="T55" s="44"/>
      <c r="U55" s="44"/>
      <c r="V55" s="44"/>
      <c r="W55" s="44"/>
      <c r="X55" s="44" t="s">
        <v>663</v>
      </c>
      <c r="Y55" s="44"/>
      <c r="Z55" s="44" t="s">
        <v>48</v>
      </c>
      <c r="AA55" s="44">
        <v>10</v>
      </c>
      <c r="AB55" s="44">
        <v>30</v>
      </c>
      <c r="AC55" s="44">
        <v>20</v>
      </c>
      <c r="AD55" s="44">
        <v>30</v>
      </c>
      <c r="AE55" s="44">
        <f>SUM(ListeInventaire642[[#This Row],[Gravité Réelle]:[Gravité potentielle]])</f>
        <v>90</v>
      </c>
      <c r="AF55" s="44" t="s">
        <v>714</v>
      </c>
      <c r="AG55" s="48"/>
    </row>
    <row r="56" spans="1:33" s="18" customFormat="1" ht="69.599999999999994" customHeight="1" x14ac:dyDescent="0.25">
      <c r="A56" s="33">
        <v>45804</v>
      </c>
      <c r="B56" s="22" t="s">
        <v>35</v>
      </c>
      <c r="C56" s="112" t="s">
        <v>673</v>
      </c>
      <c r="D56" s="23" t="s">
        <v>828</v>
      </c>
      <c r="E56" s="22" t="s">
        <v>152</v>
      </c>
      <c r="F56" s="20" t="s">
        <v>829</v>
      </c>
      <c r="G56" s="20" t="s">
        <v>827</v>
      </c>
      <c r="H56" s="19" t="s">
        <v>33</v>
      </c>
      <c r="I56" s="44"/>
      <c r="J56" s="44"/>
      <c r="K56" s="44"/>
      <c r="L56" s="44"/>
      <c r="M56" s="44"/>
      <c r="N56" s="44"/>
      <c r="O56" s="44"/>
      <c r="P56" s="44"/>
      <c r="Q56" s="44"/>
      <c r="R56" s="44"/>
      <c r="S56" s="44"/>
      <c r="T56" s="44" t="s">
        <v>663</v>
      </c>
      <c r="U56" s="44"/>
      <c r="V56" s="44"/>
      <c r="W56" s="44"/>
      <c r="X56" s="44"/>
      <c r="Y56" s="44"/>
      <c r="Z56" s="44" t="s">
        <v>48</v>
      </c>
      <c r="AA56" s="44">
        <v>10</v>
      </c>
      <c r="AB56" s="44">
        <v>10</v>
      </c>
      <c r="AC56" s="44">
        <v>0</v>
      </c>
      <c r="AD56" s="44">
        <v>30</v>
      </c>
      <c r="AE56" s="44">
        <f>SUM(ListeInventaire642[[#This Row],[Gravité Réelle]:[Gravité potentielle]])</f>
        <v>50</v>
      </c>
      <c r="AF56" s="44" t="s">
        <v>664</v>
      </c>
      <c r="AG56" s="48"/>
    </row>
    <row r="57" spans="1:33" s="18" customFormat="1" ht="48.6" customHeight="1" x14ac:dyDescent="0.25">
      <c r="A57" s="33">
        <v>45806</v>
      </c>
      <c r="B57" s="22" t="s">
        <v>124</v>
      </c>
      <c r="C57" s="210" t="s">
        <v>673</v>
      </c>
      <c r="D57" s="23" t="s">
        <v>830</v>
      </c>
      <c r="E57" s="22" t="s">
        <v>831</v>
      </c>
      <c r="F57" s="12" t="s">
        <v>832</v>
      </c>
      <c r="G57" s="19" t="s">
        <v>833</v>
      </c>
      <c r="H57" s="19" t="s">
        <v>33</v>
      </c>
      <c r="I57" s="44"/>
      <c r="J57" s="44"/>
      <c r="K57" s="44"/>
      <c r="L57" s="44"/>
      <c r="M57" s="44"/>
      <c r="N57" s="44"/>
      <c r="O57" s="44" t="s">
        <v>663</v>
      </c>
      <c r="P57" s="44"/>
      <c r="Q57" s="44"/>
      <c r="R57" s="44"/>
      <c r="S57" s="44"/>
      <c r="T57" s="44"/>
      <c r="U57" s="44"/>
      <c r="V57" s="44"/>
      <c r="W57" s="44"/>
      <c r="X57" s="44"/>
      <c r="Y57" s="44"/>
      <c r="Z57" s="44" t="s">
        <v>48</v>
      </c>
      <c r="AA57" s="44">
        <v>10</v>
      </c>
      <c r="AB57" s="44">
        <v>20</v>
      </c>
      <c r="AC57" s="44">
        <v>10</v>
      </c>
      <c r="AD57" s="44">
        <v>20</v>
      </c>
      <c r="AE57" s="44">
        <f>SUM(ListeInventaire642[[#This Row],[Gravité Réelle]:[Gravité potentielle]])</f>
        <v>60</v>
      </c>
      <c r="AF57" s="44" t="s">
        <v>664</v>
      </c>
      <c r="AG57" s="48"/>
    </row>
    <row r="58" spans="1:33" s="18" customFormat="1" ht="48.6" customHeight="1" x14ac:dyDescent="0.25">
      <c r="A58" s="33">
        <v>45810</v>
      </c>
      <c r="B58" s="22" t="s">
        <v>668</v>
      </c>
      <c r="C58" s="113" t="s">
        <v>658</v>
      </c>
      <c r="D58" s="23" t="s">
        <v>834</v>
      </c>
      <c r="E58" s="19" t="s">
        <v>789</v>
      </c>
      <c r="F58" s="20" t="s">
        <v>835</v>
      </c>
      <c r="G58" s="19" t="s">
        <v>824</v>
      </c>
      <c r="H58" s="19" t="s">
        <v>86</v>
      </c>
      <c r="I58" s="44"/>
      <c r="J58" s="44"/>
      <c r="K58" s="44"/>
      <c r="L58" s="44"/>
      <c r="M58" s="44"/>
      <c r="N58" s="44"/>
      <c r="O58" s="44"/>
      <c r="P58" s="44"/>
      <c r="Q58" s="44"/>
      <c r="R58" s="44"/>
      <c r="S58" s="44"/>
      <c r="T58" s="44" t="s">
        <v>663</v>
      </c>
      <c r="U58" s="44"/>
      <c r="V58" s="44"/>
      <c r="W58" s="44"/>
      <c r="X58" s="44"/>
      <c r="Y58" s="44"/>
      <c r="Z58" s="44" t="s">
        <v>48</v>
      </c>
      <c r="AA58" s="44">
        <v>30</v>
      </c>
      <c r="AB58" s="44">
        <v>20</v>
      </c>
      <c r="AC58" s="44">
        <v>20</v>
      </c>
      <c r="AD58" s="44">
        <v>30</v>
      </c>
      <c r="AE58" s="44">
        <f>SUM(ListeInventaire642[[#This Row],[Gravité Réelle]:[Gravité potentielle]])</f>
        <v>100</v>
      </c>
      <c r="AF58" s="44" t="s">
        <v>714</v>
      </c>
      <c r="AG58" s="48"/>
    </row>
    <row r="59" spans="1:33" s="18" customFormat="1" ht="48.6" customHeight="1" x14ac:dyDescent="0.3">
      <c r="A59" s="33">
        <v>45811</v>
      </c>
      <c r="B59" s="22" t="s">
        <v>668</v>
      </c>
      <c r="C59" s="112" t="s">
        <v>673</v>
      </c>
      <c r="D59" s="415" t="s">
        <v>836</v>
      </c>
      <c r="E59" s="22" t="s">
        <v>59</v>
      </c>
      <c r="F59" s="20" t="s">
        <v>837</v>
      </c>
      <c r="G59" s="20" t="s">
        <v>838</v>
      </c>
      <c r="H59" s="19" t="s">
        <v>33</v>
      </c>
      <c r="I59" s="44"/>
      <c r="J59" s="44"/>
      <c r="K59" s="44"/>
      <c r="L59" s="44"/>
      <c r="M59" s="44"/>
      <c r="N59" s="44"/>
      <c r="O59" s="44"/>
      <c r="P59" s="44"/>
      <c r="Q59" s="44"/>
      <c r="R59" s="44" t="s">
        <v>663</v>
      </c>
      <c r="S59" s="44"/>
      <c r="T59" s="44"/>
      <c r="U59" s="44"/>
      <c r="V59" s="44"/>
      <c r="W59" s="44"/>
      <c r="X59" s="44"/>
      <c r="Y59" s="44"/>
      <c r="Z59" s="44"/>
      <c r="AA59" s="44">
        <v>10</v>
      </c>
      <c r="AB59" s="44">
        <v>10</v>
      </c>
      <c r="AC59" s="44">
        <v>20</v>
      </c>
      <c r="AD59" s="44">
        <v>40</v>
      </c>
      <c r="AE59" s="44">
        <f>SUM(ListeInventaire642[[#This Row],[Gravité Réelle]:[Gravité potentielle]])</f>
        <v>80</v>
      </c>
      <c r="AF59" s="44" t="s">
        <v>664</v>
      </c>
      <c r="AG59" s="48"/>
    </row>
    <row r="60" spans="1:33" s="18" customFormat="1" ht="48.6" customHeight="1" x14ac:dyDescent="0.25">
      <c r="A60" s="33">
        <v>45811</v>
      </c>
      <c r="B60" s="22" t="s">
        <v>668</v>
      </c>
      <c r="C60" s="112" t="s">
        <v>658</v>
      </c>
      <c r="D60" s="23" t="s">
        <v>836</v>
      </c>
      <c r="E60" s="22" t="s">
        <v>59</v>
      </c>
      <c r="F60" s="20" t="s">
        <v>839</v>
      </c>
      <c r="G60" s="20" t="s">
        <v>769</v>
      </c>
      <c r="H60" s="19" t="s">
        <v>33</v>
      </c>
      <c r="I60" s="44"/>
      <c r="J60" s="44"/>
      <c r="K60" s="44"/>
      <c r="L60" s="44"/>
      <c r="M60" s="44"/>
      <c r="N60" s="44"/>
      <c r="O60" s="44"/>
      <c r="P60" s="44"/>
      <c r="Q60" s="44"/>
      <c r="R60" s="44"/>
      <c r="S60" s="44"/>
      <c r="T60" s="44"/>
      <c r="U60" s="44"/>
      <c r="V60" s="44"/>
      <c r="W60" s="44"/>
      <c r="X60" s="44"/>
      <c r="Y60" s="44"/>
      <c r="Z60" s="44"/>
      <c r="AA60" s="44"/>
      <c r="AB60" s="44"/>
      <c r="AC60" s="44"/>
      <c r="AD60" s="44"/>
      <c r="AE60" s="44">
        <f>SUM(ListeInventaire642[[#This Row],[Gravité Réelle]:[Gravité potentielle]])</f>
        <v>0</v>
      </c>
      <c r="AF60" s="44" t="s">
        <v>664</v>
      </c>
      <c r="AG60" s="48"/>
    </row>
    <row r="61" spans="1:33" s="18" customFormat="1" ht="48.6" customHeight="1" x14ac:dyDescent="0.25">
      <c r="A61" s="33">
        <v>45812</v>
      </c>
      <c r="B61" s="22" t="s">
        <v>668</v>
      </c>
      <c r="C61" s="113" t="s">
        <v>658</v>
      </c>
      <c r="D61" s="434" t="s">
        <v>840</v>
      </c>
      <c r="E61" s="22" t="s">
        <v>59</v>
      </c>
      <c r="F61" s="20" t="s">
        <v>841</v>
      </c>
      <c r="G61" s="20" t="s">
        <v>801</v>
      </c>
      <c r="H61" s="19" t="s">
        <v>33</v>
      </c>
      <c r="I61" s="44"/>
      <c r="J61" s="44"/>
      <c r="K61" s="44"/>
      <c r="L61" s="44"/>
      <c r="M61" s="44"/>
      <c r="N61" s="44"/>
      <c r="O61" s="44"/>
      <c r="P61" s="44"/>
      <c r="Q61" s="44"/>
      <c r="R61" s="44"/>
      <c r="S61" s="44"/>
      <c r="T61" s="44"/>
      <c r="U61" s="44"/>
      <c r="V61" s="44"/>
      <c r="W61" s="44"/>
      <c r="X61" s="44"/>
      <c r="Y61" s="44"/>
      <c r="Z61" s="44"/>
      <c r="AA61" s="44"/>
      <c r="AB61" s="44"/>
      <c r="AC61" s="44"/>
      <c r="AD61" s="44"/>
      <c r="AE61" s="44">
        <f>SUM(ListeInventaire642[[#This Row],[Gravité Réelle]:[Gravité potentielle]])</f>
        <v>0</v>
      </c>
      <c r="AF61" s="44" t="s">
        <v>664</v>
      </c>
      <c r="AG61" s="48"/>
    </row>
    <row r="62" spans="1:33" s="18" customFormat="1" ht="48.6" customHeight="1" x14ac:dyDescent="0.3">
      <c r="A62" s="33">
        <v>45819</v>
      </c>
      <c r="B62" s="22" t="s">
        <v>51</v>
      </c>
      <c r="C62" s="113" t="s">
        <v>658</v>
      </c>
      <c r="D62" s="415" t="s">
        <v>842</v>
      </c>
      <c r="E62" s="19" t="s">
        <v>843</v>
      </c>
      <c r="F62" s="20" t="s">
        <v>844</v>
      </c>
      <c r="G62" s="19" t="s">
        <v>845</v>
      </c>
      <c r="H62" s="19" t="s">
        <v>33</v>
      </c>
      <c r="I62" s="44"/>
      <c r="J62" s="44"/>
      <c r="K62" s="44"/>
      <c r="L62" s="44"/>
      <c r="M62" s="44"/>
      <c r="N62" s="44"/>
      <c r="O62" s="44"/>
      <c r="P62" s="44"/>
      <c r="Q62" s="44"/>
      <c r="R62" s="44"/>
      <c r="S62" s="44"/>
      <c r="T62" s="44"/>
      <c r="U62" s="44"/>
      <c r="V62" s="44"/>
      <c r="W62" s="44"/>
      <c r="X62" s="44"/>
      <c r="Y62" s="44"/>
      <c r="Z62" s="44"/>
      <c r="AA62" s="44"/>
      <c r="AB62" s="44"/>
      <c r="AC62" s="44"/>
      <c r="AD62" s="44"/>
      <c r="AE62" s="44">
        <f>SUM(ListeInventaire642[[#This Row],[Gravité Réelle]:[Gravité potentielle]])</f>
        <v>0</v>
      </c>
      <c r="AF62" s="44" t="s">
        <v>664</v>
      </c>
      <c r="AG62" s="48"/>
    </row>
    <row r="63" spans="1:33" s="18" customFormat="1" ht="48.6" customHeight="1" x14ac:dyDescent="0.25">
      <c r="A63" s="33">
        <v>45821</v>
      </c>
      <c r="B63" s="22" t="s">
        <v>35</v>
      </c>
      <c r="C63" s="112" t="s">
        <v>658</v>
      </c>
      <c r="D63" s="23" t="s">
        <v>846</v>
      </c>
      <c r="E63" s="22" t="s">
        <v>72</v>
      </c>
      <c r="F63" s="20" t="s">
        <v>847</v>
      </c>
      <c r="G63" s="20" t="s">
        <v>848</v>
      </c>
      <c r="H63" s="19" t="s">
        <v>33</v>
      </c>
      <c r="I63" s="44"/>
      <c r="J63" s="44"/>
      <c r="K63" s="44"/>
      <c r="L63" s="44"/>
      <c r="M63" s="44"/>
      <c r="N63" s="44"/>
      <c r="O63" s="44"/>
      <c r="P63" s="44"/>
      <c r="Q63" s="44" t="s">
        <v>663</v>
      </c>
      <c r="R63" s="44"/>
      <c r="S63" s="44"/>
      <c r="T63" s="44"/>
      <c r="U63" s="44"/>
      <c r="V63" s="44"/>
      <c r="W63" s="44"/>
      <c r="X63" s="44" t="s">
        <v>663</v>
      </c>
      <c r="Y63" s="44"/>
      <c r="Z63" s="44"/>
      <c r="AA63" s="44"/>
      <c r="AB63" s="44"/>
      <c r="AC63" s="44"/>
      <c r="AD63" s="44"/>
      <c r="AE63" s="44">
        <f>SUM(ListeInventaire642[[#This Row],[Gravité Réelle]:[Gravité potentielle]])</f>
        <v>0</v>
      </c>
      <c r="AF63" s="44" t="s">
        <v>664</v>
      </c>
      <c r="AG63" s="48"/>
    </row>
    <row r="64" spans="1:33" s="18" customFormat="1" ht="48.6" customHeight="1" x14ac:dyDescent="0.25">
      <c r="A64" s="33">
        <v>45824</v>
      </c>
      <c r="B64" s="22" t="s">
        <v>849</v>
      </c>
      <c r="C64" s="21" t="s">
        <v>673</v>
      </c>
      <c r="D64" s="23" t="s">
        <v>850</v>
      </c>
      <c r="E64" s="22" t="s">
        <v>851</v>
      </c>
      <c r="F64" s="20" t="s">
        <v>852</v>
      </c>
      <c r="G64" s="20" t="s">
        <v>853</v>
      </c>
      <c r="H64" s="19" t="s">
        <v>33</v>
      </c>
      <c r="I64" s="44"/>
      <c r="J64" s="44"/>
      <c r="K64" s="44"/>
      <c r="L64" s="44"/>
      <c r="M64" s="44" t="s">
        <v>663</v>
      </c>
      <c r="N64" s="44"/>
      <c r="O64" s="44"/>
      <c r="P64" s="44" t="s">
        <v>663</v>
      </c>
      <c r="Q64" s="44"/>
      <c r="R64" s="44"/>
      <c r="S64" s="44"/>
      <c r="T64" s="44"/>
      <c r="U64" s="44"/>
      <c r="V64" s="44"/>
      <c r="W64" s="44"/>
      <c r="X64" s="44"/>
      <c r="Y64" s="44"/>
      <c r="Z64" s="44"/>
      <c r="AA64" s="44"/>
      <c r="AB64" s="44"/>
      <c r="AC64" s="44"/>
      <c r="AD64" s="44"/>
      <c r="AE64" s="44">
        <f>SUM(ListeInventaire642[[#This Row],[Gravité Réelle]:[Gravité potentielle]])</f>
        <v>0</v>
      </c>
      <c r="AF64" s="44" t="s">
        <v>664</v>
      </c>
      <c r="AG64" s="48"/>
    </row>
    <row r="65" spans="1:33" s="18" customFormat="1" ht="33" x14ac:dyDescent="0.25">
      <c r="A65" s="33">
        <v>45825</v>
      </c>
      <c r="B65" s="22" t="s">
        <v>124</v>
      </c>
      <c r="C65" s="112" t="s">
        <v>673</v>
      </c>
      <c r="D65" s="23" t="s">
        <v>854</v>
      </c>
      <c r="E65" s="22" t="s">
        <v>171</v>
      </c>
      <c r="F65" s="20" t="s">
        <v>855</v>
      </c>
      <c r="G65" s="20" t="s">
        <v>833</v>
      </c>
      <c r="H65" s="19" t="s">
        <v>33</v>
      </c>
      <c r="I65" s="44"/>
      <c r="J65" s="44"/>
      <c r="K65" s="44"/>
      <c r="L65" s="44"/>
      <c r="M65" s="44"/>
      <c r="N65" s="44"/>
      <c r="O65" s="44"/>
      <c r="P65" s="44"/>
      <c r="Q65" s="44"/>
      <c r="R65" s="44"/>
      <c r="S65" s="44"/>
      <c r="T65" s="44"/>
      <c r="U65" s="44"/>
      <c r="V65" s="44"/>
      <c r="W65" s="44" t="s">
        <v>663</v>
      </c>
      <c r="X65" s="44"/>
      <c r="Y65" s="44" t="s">
        <v>663</v>
      </c>
      <c r="Z65" s="44" t="s">
        <v>48</v>
      </c>
      <c r="AA65" s="44">
        <v>30</v>
      </c>
      <c r="AB65" s="44">
        <v>20</v>
      </c>
      <c r="AC65" s="44">
        <v>10</v>
      </c>
      <c r="AD65" s="44">
        <v>50</v>
      </c>
      <c r="AE65" s="44">
        <f>SUM(ListeInventaire642[[#This Row],[Gravité Réelle]:[Gravité potentielle]])</f>
        <v>110</v>
      </c>
      <c r="AF65" s="44" t="s">
        <v>714</v>
      </c>
      <c r="AG65" s="48"/>
    </row>
    <row r="66" spans="1:33" s="18" customFormat="1" ht="17.25" x14ac:dyDescent="0.25">
      <c r="A66" s="33">
        <v>45826</v>
      </c>
      <c r="B66" s="22" t="s">
        <v>35</v>
      </c>
      <c r="C66" s="112" t="s">
        <v>658</v>
      </c>
      <c r="D66" s="23" t="s">
        <v>856</v>
      </c>
      <c r="E66" s="22" t="s">
        <v>857</v>
      </c>
      <c r="F66" s="20" t="s">
        <v>858</v>
      </c>
      <c r="G66" s="20" t="s">
        <v>859</v>
      </c>
      <c r="H66" s="19" t="s">
        <v>33</v>
      </c>
      <c r="I66" s="44"/>
      <c r="J66" s="44" t="s">
        <v>663</v>
      </c>
      <c r="K66" s="44"/>
      <c r="L66" s="44"/>
      <c r="M66" s="44"/>
      <c r="N66" s="44"/>
      <c r="O66" s="44"/>
      <c r="P66" s="44"/>
      <c r="Q66" s="44"/>
      <c r="R66" s="44"/>
      <c r="S66" s="44"/>
      <c r="T66" s="44"/>
      <c r="U66" s="44"/>
      <c r="V66" s="44"/>
      <c r="W66" s="44"/>
      <c r="X66" s="44"/>
      <c r="Y66" s="44"/>
      <c r="Z66" s="44"/>
      <c r="AA66" s="44"/>
      <c r="AB66" s="44"/>
      <c r="AC66" s="44"/>
      <c r="AD66" s="44"/>
      <c r="AE66" s="44">
        <f>SUM(ListeInventaire642[[#This Row],[Gravité Réelle]:[Gravité potentielle]])</f>
        <v>0</v>
      </c>
      <c r="AF66" s="44" t="s">
        <v>664</v>
      </c>
      <c r="AG66" s="48"/>
    </row>
    <row r="67" spans="1:33" s="18" customFormat="1" ht="51.75" x14ac:dyDescent="0.25">
      <c r="A67" s="33">
        <v>45838</v>
      </c>
      <c r="B67" s="22" t="s">
        <v>668</v>
      </c>
      <c r="C67" s="112" t="s">
        <v>673</v>
      </c>
      <c r="D67" s="23" t="s">
        <v>860</v>
      </c>
      <c r="E67" s="19" t="s">
        <v>59</v>
      </c>
      <c r="F67" s="20" t="s">
        <v>861</v>
      </c>
      <c r="G67" s="20" t="s">
        <v>862</v>
      </c>
      <c r="H67" s="19" t="s">
        <v>33</v>
      </c>
      <c r="I67" s="44"/>
      <c r="J67" s="44"/>
      <c r="K67" s="44"/>
      <c r="L67" s="44"/>
      <c r="M67" s="44"/>
      <c r="N67" s="44"/>
      <c r="O67" s="44"/>
      <c r="P67" s="44"/>
      <c r="Q67" s="44"/>
      <c r="R67" s="44"/>
      <c r="S67" s="44"/>
      <c r="T67" s="44" t="s">
        <v>663</v>
      </c>
      <c r="U67" s="44"/>
      <c r="V67" s="44"/>
      <c r="W67" s="44"/>
      <c r="X67" s="44"/>
      <c r="Y67" s="44" t="s">
        <v>663</v>
      </c>
      <c r="Z67" s="44"/>
      <c r="AA67" s="44"/>
      <c r="AB67" s="44"/>
      <c r="AC67" s="44"/>
      <c r="AD67" s="44"/>
      <c r="AE67" s="44">
        <f>SUM(ListeInventaire642[[#This Row],[Gravité Réelle]:[Gravité potentielle]])</f>
        <v>0</v>
      </c>
      <c r="AF67" s="44" t="s">
        <v>664</v>
      </c>
      <c r="AG67" s="48"/>
    </row>
    <row r="68" spans="1:33" s="18" customFormat="1" ht="51.75" x14ac:dyDescent="0.25">
      <c r="A68" s="33">
        <v>45838</v>
      </c>
      <c r="B68" s="22" t="s">
        <v>668</v>
      </c>
      <c r="C68" s="113" t="s">
        <v>673</v>
      </c>
      <c r="D68" s="23" t="s">
        <v>863</v>
      </c>
      <c r="E68" s="19" t="s">
        <v>864</v>
      </c>
      <c r="F68" s="20" t="s">
        <v>865</v>
      </c>
      <c r="G68" s="20" t="s">
        <v>824</v>
      </c>
      <c r="H68" s="19" t="s">
        <v>86</v>
      </c>
      <c r="I68" s="44"/>
      <c r="J68" s="44"/>
      <c r="K68" s="44"/>
      <c r="L68" s="44"/>
      <c r="M68" s="44"/>
      <c r="N68" s="44"/>
      <c r="O68" s="44"/>
      <c r="P68" s="44"/>
      <c r="Q68" s="44"/>
      <c r="R68" s="44" t="s">
        <v>663</v>
      </c>
      <c r="S68" s="44"/>
      <c r="T68" s="44"/>
      <c r="U68" s="44"/>
      <c r="V68" s="44"/>
      <c r="W68" s="44"/>
      <c r="X68" s="44"/>
      <c r="Y68" s="44"/>
      <c r="Z68" s="44"/>
      <c r="AA68" s="44"/>
      <c r="AB68" s="44"/>
      <c r="AC68" s="44"/>
      <c r="AD68" s="44"/>
      <c r="AE68" s="44">
        <f>SUM(ListeInventaire642[[#This Row],[Gravité Réelle]:[Gravité potentielle]])</f>
        <v>0</v>
      </c>
      <c r="AF68" s="44" t="s">
        <v>664</v>
      </c>
      <c r="AG68" s="48"/>
    </row>
    <row r="69" spans="1:33" s="18" customFormat="1" ht="48.6" customHeight="1" x14ac:dyDescent="0.25">
      <c r="A69" s="33">
        <v>45839</v>
      </c>
      <c r="B69" s="22" t="s">
        <v>668</v>
      </c>
      <c r="C69" s="113" t="s">
        <v>673</v>
      </c>
      <c r="D69" s="23" t="s">
        <v>866</v>
      </c>
      <c r="E69" s="19" t="s">
        <v>59</v>
      </c>
      <c r="F69" s="20" t="s">
        <v>867</v>
      </c>
      <c r="G69" s="20" t="s">
        <v>769</v>
      </c>
      <c r="H69" s="19" t="s">
        <v>33</v>
      </c>
      <c r="I69" s="44"/>
      <c r="J69" s="44"/>
      <c r="K69" s="44"/>
      <c r="L69" s="44"/>
      <c r="M69" s="44"/>
      <c r="N69" s="44"/>
      <c r="O69" s="44"/>
      <c r="P69" s="44"/>
      <c r="Q69" s="44"/>
      <c r="R69" s="44"/>
      <c r="S69" s="44"/>
      <c r="T69" s="44" t="s">
        <v>663</v>
      </c>
      <c r="U69" s="44"/>
      <c r="V69" s="44"/>
      <c r="W69" s="44"/>
      <c r="X69" s="44"/>
      <c r="Y69" s="44" t="s">
        <v>663</v>
      </c>
      <c r="Z69" s="44"/>
      <c r="AA69" s="44"/>
      <c r="AB69" s="44"/>
      <c r="AC69" s="44"/>
      <c r="AD69" s="44"/>
      <c r="AE69" s="44">
        <f>SUM(ListeInventaire642[[#This Row],[Gravité Réelle]:[Gravité potentielle]])</f>
        <v>0</v>
      </c>
      <c r="AF69" s="44" t="s">
        <v>664</v>
      </c>
      <c r="AG69" s="48"/>
    </row>
    <row r="70" spans="1:33" s="18" customFormat="1" ht="48.6" customHeight="1" x14ac:dyDescent="0.25">
      <c r="A70" s="33">
        <v>45842</v>
      </c>
      <c r="B70" s="22" t="s">
        <v>35</v>
      </c>
      <c r="C70" s="113" t="s">
        <v>673</v>
      </c>
      <c r="D70" s="23" t="s">
        <v>868</v>
      </c>
      <c r="E70" s="19" t="s">
        <v>869</v>
      </c>
      <c r="F70" s="20" t="s">
        <v>870</v>
      </c>
      <c r="G70" s="20" t="s">
        <v>871</v>
      </c>
      <c r="H70" s="19" t="s">
        <v>33</v>
      </c>
      <c r="I70" s="44"/>
      <c r="J70" s="44"/>
      <c r="K70" s="44"/>
      <c r="L70" s="44" t="s">
        <v>663</v>
      </c>
      <c r="M70" s="44"/>
      <c r="N70" s="44"/>
      <c r="O70" s="44"/>
      <c r="P70" s="44"/>
      <c r="Q70" s="44"/>
      <c r="R70" s="44"/>
      <c r="S70" s="44"/>
      <c r="T70" s="44"/>
      <c r="U70" s="44"/>
      <c r="V70" s="44"/>
      <c r="W70" s="44"/>
      <c r="X70" s="44"/>
      <c r="Y70" s="44"/>
      <c r="Z70" s="44" t="s">
        <v>39</v>
      </c>
      <c r="AA70" s="44">
        <v>10</v>
      </c>
      <c r="AB70" s="44">
        <v>10</v>
      </c>
      <c r="AC70" s="44">
        <v>0</v>
      </c>
      <c r="AD70" s="44">
        <v>30</v>
      </c>
      <c r="AE70" s="44">
        <f>SUM(ListeInventaire642[[#This Row],[Gravité Réelle]:[Gravité potentielle]])</f>
        <v>50</v>
      </c>
      <c r="AF70" s="44" t="s">
        <v>664</v>
      </c>
      <c r="AG70" s="48"/>
    </row>
    <row r="71" spans="1:33" s="18" customFormat="1" ht="48.6" customHeight="1" x14ac:dyDescent="0.25">
      <c r="A71" s="33">
        <v>45845</v>
      </c>
      <c r="B71" s="22" t="s">
        <v>51</v>
      </c>
      <c r="C71" s="112" t="s">
        <v>673</v>
      </c>
      <c r="D71" s="23" t="s">
        <v>872</v>
      </c>
      <c r="E71" s="22" t="s">
        <v>873</v>
      </c>
      <c r="F71" s="20" t="s">
        <v>874</v>
      </c>
      <c r="G71" s="20" t="s">
        <v>780</v>
      </c>
      <c r="H71" s="19" t="s">
        <v>33</v>
      </c>
      <c r="I71" s="44"/>
      <c r="J71" s="44"/>
      <c r="K71" s="44"/>
      <c r="L71" s="44"/>
      <c r="M71" s="44"/>
      <c r="N71" s="44"/>
      <c r="O71" s="44"/>
      <c r="P71" s="44"/>
      <c r="Q71" s="44"/>
      <c r="R71" s="44"/>
      <c r="S71" s="44"/>
      <c r="T71" s="44"/>
      <c r="U71" s="44"/>
      <c r="V71" s="44"/>
      <c r="W71" s="44"/>
      <c r="X71" s="44" t="s">
        <v>663</v>
      </c>
      <c r="Y71" s="44"/>
      <c r="Z71" s="44" t="s">
        <v>48</v>
      </c>
      <c r="AA71" s="44">
        <v>10</v>
      </c>
      <c r="AB71" s="44">
        <v>30</v>
      </c>
      <c r="AC71" s="44">
        <v>20</v>
      </c>
      <c r="AD71" s="44">
        <v>20</v>
      </c>
      <c r="AE71" s="44">
        <f>SUM(ListeInventaire642[[#This Row],[Gravité Réelle]:[Gravité potentielle]])</f>
        <v>80</v>
      </c>
      <c r="AF71" s="44" t="s">
        <v>664</v>
      </c>
      <c r="AG71" s="48"/>
    </row>
    <row r="72" spans="1:33" s="18" customFormat="1" ht="17.25" x14ac:dyDescent="0.25">
      <c r="A72" s="33">
        <v>45849</v>
      </c>
      <c r="B72" s="22" t="s">
        <v>51</v>
      </c>
      <c r="C72" s="113" t="s">
        <v>658</v>
      </c>
      <c r="D72" s="23" t="s">
        <v>875</v>
      </c>
      <c r="E72" s="19" t="s">
        <v>876</v>
      </c>
      <c r="F72" s="20" t="s">
        <v>877</v>
      </c>
      <c r="G72" s="20" t="s">
        <v>853</v>
      </c>
      <c r="H72" s="19" t="s">
        <v>33</v>
      </c>
      <c r="I72" s="44"/>
      <c r="J72" s="44"/>
      <c r="K72" s="44"/>
      <c r="L72" s="44"/>
      <c r="M72" s="44"/>
      <c r="N72" s="44"/>
      <c r="O72" s="44" t="s">
        <v>663</v>
      </c>
      <c r="P72" s="44"/>
      <c r="Q72" s="44"/>
      <c r="R72" s="44"/>
      <c r="S72" s="44"/>
      <c r="T72" s="44"/>
      <c r="U72" s="44"/>
      <c r="V72" s="44"/>
      <c r="W72" s="44"/>
      <c r="X72" s="44"/>
      <c r="Y72" s="44"/>
      <c r="Z72" s="44" t="s">
        <v>48</v>
      </c>
      <c r="AA72" s="44">
        <v>50</v>
      </c>
      <c r="AB72" s="44">
        <v>10</v>
      </c>
      <c r="AC72" s="44">
        <v>20</v>
      </c>
      <c r="AD72" s="44">
        <v>30</v>
      </c>
      <c r="AE72" s="44">
        <f>SUM(ListeInventaire642[[#This Row],[Gravité Réelle]:[Gravité potentielle]])</f>
        <v>110</v>
      </c>
      <c r="AF72" s="44" t="s">
        <v>714</v>
      </c>
      <c r="AG72" s="48"/>
    </row>
    <row r="73" spans="1:33" s="18" customFormat="1" ht="48.6" customHeight="1" x14ac:dyDescent="0.25">
      <c r="A73" s="33">
        <v>45849</v>
      </c>
      <c r="B73" s="22" t="s">
        <v>51</v>
      </c>
      <c r="C73" s="113" t="s">
        <v>673</v>
      </c>
      <c r="D73" s="23" t="s">
        <v>878</v>
      </c>
      <c r="E73" s="19" t="s">
        <v>876</v>
      </c>
      <c r="F73" s="20" t="s">
        <v>879</v>
      </c>
      <c r="G73" s="20" t="s">
        <v>853</v>
      </c>
      <c r="H73" s="19" t="s">
        <v>33</v>
      </c>
      <c r="I73" s="44"/>
      <c r="J73" s="44"/>
      <c r="K73" s="44"/>
      <c r="L73" s="44"/>
      <c r="M73" s="44"/>
      <c r="N73" s="44"/>
      <c r="O73" s="44"/>
      <c r="P73" s="44"/>
      <c r="Q73" s="44"/>
      <c r="R73" s="44"/>
      <c r="S73" s="44"/>
      <c r="T73" s="44"/>
      <c r="U73" s="44"/>
      <c r="V73" s="44"/>
      <c r="W73" s="44"/>
      <c r="X73" s="44" t="s">
        <v>663</v>
      </c>
      <c r="Y73" s="44"/>
      <c r="Z73" s="44" t="s">
        <v>48</v>
      </c>
      <c r="AA73" s="44">
        <v>10</v>
      </c>
      <c r="AB73" s="44">
        <v>20</v>
      </c>
      <c r="AC73" s="44">
        <v>20</v>
      </c>
      <c r="AD73" s="44">
        <v>20</v>
      </c>
      <c r="AE73" s="44">
        <f>SUM(ListeInventaire642[[#This Row],[Gravité Réelle]:[Gravité potentielle]])</f>
        <v>70</v>
      </c>
      <c r="AF73" s="44" t="s">
        <v>664</v>
      </c>
      <c r="AG73" s="48"/>
    </row>
    <row r="74" spans="1:33" s="18" customFormat="1" ht="48.6" customHeight="1" x14ac:dyDescent="0.25">
      <c r="A74" s="33">
        <v>45853</v>
      </c>
      <c r="B74" s="22" t="s">
        <v>35</v>
      </c>
      <c r="C74" s="113" t="s">
        <v>658</v>
      </c>
      <c r="D74" s="23" t="s">
        <v>880</v>
      </c>
      <c r="E74" s="19" t="s">
        <v>881</v>
      </c>
      <c r="F74" s="20" t="s">
        <v>882</v>
      </c>
      <c r="G74" s="19" t="s">
        <v>883</v>
      </c>
      <c r="H74" s="19" t="s">
        <v>33</v>
      </c>
      <c r="I74" s="44"/>
      <c r="J74" s="44"/>
      <c r="K74" s="44"/>
      <c r="L74" s="44"/>
      <c r="M74" s="44"/>
      <c r="N74" s="44"/>
      <c r="O74" s="44"/>
      <c r="P74" s="44"/>
      <c r="Q74" s="44" t="s">
        <v>663</v>
      </c>
      <c r="R74" s="44"/>
      <c r="S74" s="44"/>
      <c r="T74" s="44"/>
      <c r="U74" s="44"/>
      <c r="V74" s="44"/>
      <c r="W74" s="44"/>
      <c r="X74" s="44"/>
      <c r="Y74" s="44"/>
      <c r="Z74" s="44" t="s">
        <v>48</v>
      </c>
      <c r="AA74" s="44">
        <v>10</v>
      </c>
      <c r="AB74" s="44">
        <v>10</v>
      </c>
      <c r="AC74" s="44">
        <v>0</v>
      </c>
      <c r="AD74" s="44">
        <v>50</v>
      </c>
      <c r="AE74" s="44">
        <f>SUM(ListeInventaire642[[#This Row],[Gravité Réelle]:[Gravité potentielle]])</f>
        <v>70</v>
      </c>
      <c r="AF74" s="44" t="s">
        <v>664</v>
      </c>
      <c r="AG74" s="48"/>
    </row>
    <row r="75" spans="1:33" s="18" customFormat="1" ht="51.75" x14ac:dyDescent="0.25">
      <c r="A75" s="33">
        <v>45854</v>
      </c>
      <c r="B75" s="22" t="s">
        <v>35</v>
      </c>
      <c r="C75" s="113" t="s">
        <v>658</v>
      </c>
      <c r="D75" s="23" t="s">
        <v>884</v>
      </c>
      <c r="E75" s="19" t="s">
        <v>43</v>
      </c>
      <c r="F75" s="20" t="s">
        <v>885</v>
      </c>
      <c r="G75" s="19" t="s">
        <v>886</v>
      </c>
      <c r="H75" s="19" t="s">
        <v>33</v>
      </c>
      <c r="I75" s="44"/>
      <c r="J75" s="44"/>
      <c r="K75" s="44"/>
      <c r="L75" s="44"/>
      <c r="M75" s="44"/>
      <c r="N75" s="44"/>
      <c r="O75" s="44" t="s">
        <v>663</v>
      </c>
      <c r="P75" s="44"/>
      <c r="Q75" s="44"/>
      <c r="R75" s="44"/>
      <c r="S75" s="44"/>
      <c r="T75" s="44"/>
      <c r="U75" s="44"/>
      <c r="V75" s="44"/>
      <c r="W75" s="44"/>
      <c r="X75" s="44"/>
      <c r="Y75" s="44"/>
      <c r="Z75" s="44" t="s">
        <v>48</v>
      </c>
      <c r="AA75" s="44">
        <v>50</v>
      </c>
      <c r="AB75" s="44">
        <v>20</v>
      </c>
      <c r="AC75" s="44">
        <v>0</v>
      </c>
      <c r="AD75" s="44">
        <v>30</v>
      </c>
      <c r="AE75" s="44">
        <f>SUM(ListeInventaire642[[#This Row],[Gravité Réelle]:[Gravité potentielle]])</f>
        <v>100</v>
      </c>
      <c r="AF75" s="44" t="s">
        <v>714</v>
      </c>
      <c r="AG75" s="48"/>
    </row>
    <row r="76" spans="1:33" s="18" customFormat="1" ht="63.6" customHeight="1" x14ac:dyDescent="0.25">
      <c r="A76" s="208">
        <v>45860</v>
      </c>
      <c r="B76" s="22" t="s">
        <v>35</v>
      </c>
      <c r="C76" s="113" t="s">
        <v>673</v>
      </c>
      <c r="D76" s="23" t="s">
        <v>887</v>
      </c>
      <c r="E76" s="19" t="s">
        <v>888</v>
      </c>
      <c r="F76" s="33" t="s">
        <v>889</v>
      </c>
      <c r="G76" s="20" t="s">
        <v>848</v>
      </c>
      <c r="H76" s="19" t="s">
        <v>33</v>
      </c>
      <c r="I76" s="44"/>
      <c r="J76" s="44"/>
      <c r="K76" s="44"/>
      <c r="L76" s="44"/>
      <c r="M76" s="44"/>
      <c r="N76" s="44"/>
      <c r="O76" s="44"/>
      <c r="P76" s="44"/>
      <c r="Q76" s="44"/>
      <c r="R76" s="44"/>
      <c r="S76" s="44"/>
      <c r="T76" s="44"/>
      <c r="U76" s="44"/>
      <c r="V76" s="44"/>
      <c r="W76" s="44"/>
      <c r="X76" s="44" t="s">
        <v>663</v>
      </c>
      <c r="Y76" s="44"/>
      <c r="Z76" s="44" t="s">
        <v>48</v>
      </c>
      <c r="AA76" s="44">
        <v>10</v>
      </c>
      <c r="AB76" s="44">
        <v>30</v>
      </c>
      <c r="AC76" s="44">
        <v>30</v>
      </c>
      <c r="AD76" s="44">
        <v>20</v>
      </c>
      <c r="AE76" s="44">
        <f>SUM(ListeInventaire642[[#This Row],[Gravité Réelle]:[Gravité potentielle]])</f>
        <v>90</v>
      </c>
      <c r="AF76" s="44" t="s">
        <v>714</v>
      </c>
      <c r="AG76" s="48"/>
    </row>
    <row r="77" spans="1:33" s="18" customFormat="1" ht="103.5" x14ac:dyDescent="0.25">
      <c r="A77" s="33">
        <v>45861</v>
      </c>
      <c r="B77" s="22" t="s">
        <v>668</v>
      </c>
      <c r="C77" s="113" t="s">
        <v>673</v>
      </c>
      <c r="D77" s="23" t="s">
        <v>890</v>
      </c>
      <c r="E77" s="19" t="s">
        <v>891</v>
      </c>
      <c r="F77" s="20" t="s">
        <v>892</v>
      </c>
      <c r="G77" s="19" t="s">
        <v>893</v>
      </c>
      <c r="H77" s="19" t="s">
        <v>469</v>
      </c>
      <c r="I77" s="44"/>
      <c r="J77" s="44"/>
      <c r="K77" s="44"/>
      <c r="L77" s="44"/>
      <c r="M77" s="44"/>
      <c r="N77" s="44"/>
      <c r="O77" s="44"/>
      <c r="P77" s="44"/>
      <c r="Q77" s="44"/>
      <c r="R77" s="44"/>
      <c r="S77" s="44"/>
      <c r="T77" s="44"/>
      <c r="U77" s="44"/>
      <c r="V77" s="44"/>
      <c r="W77" s="44"/>
      <c r="X77" s="44" t="s">
        <v>663</v>
      </c>
      <c r="Y77" s="44"/>
      <c r="Z77" s="44" t="s">
        <v>48</v>
      </c>
      <c r="AA77" s="44">
        <v>10</v>
      </c>
      <c r="AB77" s="44">
        <v>10</v>
      </c>
      <c r="AC77" s="44">
        <v>10</v>
      </c>
      <c r="AD77" s="44">
        <v>40</v>
      </c>
      <c r="AE77" s="44">
        <f>SUM(ListeInventaire642[[#This Row],[Gravité Réelle]:[Gravité potentielle]])</f>
        <v>70</v>
      </c>
      <c r="AF77" s="44" t="s">
        <v>664</v>
      </c>
      <c r="AG77" s="48"/>
    </row>
    <row r="78" spans="1:33" s="18" customFormat="1" ht="103.5" x14ac:dyDescent="0.25">
      <c r="A78" s="33">
        <v>45861</v>
      </c>
      <c r="B78" s="22" t="s">
        <v>668</v>
      </c>
      <c r="C78" s="113" t="s">
        <v>658</v>
      </c>
      <c r="D78" s="23" t="s">
        <v>894</v>
      </c>
      <c r="E78" s="19" t="s">
        <v>891</v>
      </c>
      <c r="F78" s="20" t="s">
        <v>895</v>
      </c>
      <c r="G78" s="19" t="s">
        <v>893</v>
      </c>
      <c r="H78" s="19" t="s">
        <v>469</v>
      </c>
      <c r="I78" s="44"/>
      <c r="J78" s="44"/>
      <c r="K78" s="44"/>
      <c r="L78" s="44"/>
      <c r="M78" s="44"/>
      <c r="N78" s="44"/>
      <c r="O78" s="44"/>
      <c r="P78" s="44"/>
      <c r="Q78" s="44"/>
      <c r="R78" s="44"/>
      <c r="S78" s="44"/>
      <c r="T78" s="44"/>
      <c r="U78" s="44"/>
      <c r="V78" s="44"/>
      <c r="W78" s="44"/>
      <c r="X78" s="44" t="s">
        <v>663</v>
      </c>
      <c r="Y78" s="44"/>
      <c r="Z78" s="44"/>
      <c r="AA78" s="44"/>
      <c r="AB78" s="44"/>
      <c r="AC78" s="44"/>
      <c r="AD78" s="44"/>
      <c r="AE78" s="44">
        <f>SUM(ListeInventaire642[[#This Row],[Gravité Réelle]:[Gravité potentielle]])</f>
        <v>0</v>
      </c>
      <c r="AF78" s="44" t="s">
        <v>664</v>
      </c>
      <c r="AG78" s="48"/>
    </row>
    <row r="79" spans="1:33" s="18" customFormat="1" ht="48.6" customHeight="1" x14ac:dyDescent="0.25">
      <c r="A79" s="33">
        <v>45866</v>
      </c>
      <c r="B79" s="22" t="s">
        <v>35</v>
      </c>
      <c r="C79" s="113" t="s">
        <v>673</v>
      </c>
      <c r="D79" s="23" t="s">
        <v>896</v>
      </c>
      <c r="E79" s="19" t="s">
        <v>897</v>
      </c>
      <c r="F79" s="20" t="s">
        <v>898</v>
      </c>
      <c r="G79" s="20" t="s">
        <v>899</v>
      </c>
      <c r="H79" s="19" t="s">
        <v>33</v>
      </c>
      <c r="I79" s="44"/>
      <c r="J79" s="44"/>
      <c r="K79" s="44"/>
      <c r="L79" s="44"/>
      <c r="M79" s="44"/>
      <c r="N79" s="44"/>
      <c r="O79" s="44"/>
      <c r="P79" s="44"/>
      <c r="Q79" s="44"/>
      <c r="R79" s="44"/>
      <c r="S79" s="44"/>
      <c r="T79" s="44"/>
      <c r="U79" s="44"/>
      <c r="V79" s="44"/>
      <c r="W79" s="44"/>
      <c r="X79" s="44" t="s">
        <v>663</v>
      </c>
      <c r="Y79" s="44"/>
      <c r="Z79" s="44" t="s">
        <v>48</v>
      </c>
      <c r="AA79" s="44">
        <v>30</v>
      </c>
      <c r="AB79" s="44">
        <v>30</v>
      </c>
      <c r="AC79" s="44">
        <v>20</v>
      </c>
      <c r="AD79" s="44">
        <v>40</v>
      </c>
      <c r="AE79" s="44">
        <f>SUM(ListeInventaire642[[#This Row],[Gravité Réelle]:[Gravité potentielle]])</f>
        <v>120</v>
      </c>
      <c r="AF79" s="44" t="s">
        <v>664</v>
      </c>
      <c r="AG79" s="48"/>
    </row>
    <row r="80" spans="1:33" s="18" customFormat="1" ht="48.6" customHeight="1" x14ac:dyDescent="0.25">
      <c r="A80" s="33">
        <v>45866</v>
      </c>
      <c r="B80" s="22" t="s">
        <v>35</v>
      </c>
      <c r="C80" s="113" t="s">
        <v>673</v>
      </c>
      <c r="D80" s="23" t="s">
        <v>900</v>
      </c>
      <c r="E80" s="19" t="s">
        <v>901</v>
      </c>
      <c r="F80" s="20" t="s">
        <v>902</v>
      </c>
      <c r="G80" s="20" t="s">
        <v>811</v>
      </c>
      <c r="H80" s="19" t="s">
        <v>33</v>
      </c>
      <c r="I80" s="44"/>
      <c r="J80" s="44"/>
      <c r="K80" s="44"/>
      <c r="L80" s="44"/>
      <c r="M80" s="44"/>
      <c r="N80" s="44"/>
      <c r="O80" s="44"/>
      <c r="P80" s="44"/>
      <c r="Q80" s="44"/>
      <c r="R80" s="44"/>
      <c r="S80" s="44"/>
      <c r="T80" s="44"/>
      <c r="U80" s="44" t="s">
        <v>663</v>
      </c>
      <c r="V80" s="44"/>
      <c r="W80" s="44"/>
      <c r="X80" s="44"/>
      <c r="Y80" s="44"/>
      <c r="Z80" s="44" t="s">
        <v>48</v>
      </c>
      <c r="AA80" s="44">
        <v>30</v>
      </c>
      <c r="AB80" s="44">
        <v>20</v>
      </c>
      <c r="AC80" s="44">
        <v>0</v>
      </c>
      <c r="AD80" s="44">
        <v>20</v>
      </c>
      <c r="AE80" s="44">
        <f>SUM(ListeInventaire642[[#This Row],[Gravité Réelle]:[Gravité potentielle]])</f>
        <v>70</v>
      </c>
      <c r="AF80" s="44" t="s">
        <v>664</v>
      </c>
      <c r="AG80" s="48"/>
    </row>
    <row r="81" spans="1:33" s="18" customFormat="1" ht="34.5" x14ac:dyDescent="0.25">
      <c r="A81" s="33">
        <v>45868</v>
      </c>
      <c r="B81" s="22" t="s">
        <v>35</v>
      </c>
      <c r="C81" s="113" t="s">
        <v>658</v>
      </c>
      <c r="D81" s="23" t="s">
        <v>903</v>
      </c>
      <c r="E81" s="19" t="s">
        <v>785</v>
      </c>
      <c r="F81" s="20" t="s">
        <v>904</v>
      </c>
      <c r="G81" s="19" t="s">
        <v>676</v>
      </c>
      <c r="H81" s="19" t="s">
        <v>33</v>
      </c>
      <c r="I81" s="44"/>
      <c r="J81" s="44"/>
      <c r="K81" s="44" t="s">
        <v>663</v>
      </c>
      <c r="L81" s="44"/>
      <c r="M81" s="44"/>
      <c r="N81" s="44"/>
      <c r="O81" s="44"/>
      <c r="P81" s="44"/>
      <c r="Q81" s="44"/>
      <c r="R81" s="44"/>
      <c r="S81" s="44"/>
      <c r="T81" s="44"/>
      <c r="U81" s="44"/>
      <c r="V81" s="44"/>
      <c r="W81" s="44"/>
      <c r="X81" s="44"/>
      <c r="Y81" s="44"/>
      <c r="Z81" s="44" t="s">
        <v>48</v>
      </c>
      <c r="AA81" s="44">
        <v>30</v>
      </c>
      <c r="AB81" s="44">
        <v>10</v>
      </c>
      <c r="AC81" s="44">
        <v>10</v>
      </c>
      <c r="AD81" s="44">
        <v>50</v>
      </c>
      <c r="AE81" s="44">
        <f>SUM(ListeInventaire642[[#This Row],[Gravité Réelle]:[Gravité potentielle]])</f>
        <v>100</v>
      </c>
      <c r="AF81" s="44" t="s">
        <v>664</v>
      </c>
      <c r="AG81" s="48"/>
    </row>
    <row r="82" spans="1:33" s="18" customFormat="1" ht="48.6" customHeight="1" x14ac:dyDescent="0.25">
      <c r="A82" s="33">
        <v>45869</v>
      </c>
      <c r="B82" s="22" t="s">
        <v>60</v>
      </c>
      <c r="C82" s="113" t="s">
        <v>658</v>
      </c>
      <c r="D82" s="23" t="s">
        <v>905</v>
      </c>
      <c r="E82" s="19" t="s">
        <v>59</v>
      </c>
      <c r="F82" s="20" t="s">
        <v>906</v>
      </c>
      <c r="G82" s="19" t="s">
        <v>801</v>
      </c>
      <c r="H82" s="19" t="s">
        <v>501</v>
      </c>
      <c r="I82" s="44"/>
      <c r="J82" s="44"/>
      <c r="K82" s="44"/>
      <c r="L82" s="44"/>
      <c r="M82" s="44"/>
      <c r="N82" s="44"/>
      <c r="O82" s="44"/>
      <c r="P82" s="44"/>
      <c r="Q82" s="44"/>
      <c r="R82" s="44"/>
      <c r="S82" s="44"/>
      <c r="T82" s="44"/>
      <c r="U82" s="44"/>
      <c r="V82" s="44"/>
      <c r="W82" s="44"/>
      <c r="X82" s="44"/>
      <c r="Y82" s="44"/>
      <c r="Z82" s="44"/>
      <c r="AA82" s="44"/>
      <c r="AB82" s="44"/>
      <c r="AC82" s="44"/>
      <c r="AD82" s="44"/>
      <c r="AE82" s="44">
        <f>SUM(ListeInventaire642[[#This Row],[Gravité Réelle]:[Gravité potentielle]])</f>
        <v>0</v>
      </c>
      <c r="AF82" s="44" t="s">
        <v>664</v>
      </c>
      <c r="AG82" s="48"/>
    </row>
    <row r="83" spans="1:33" s="18" customFormat="1" ht="51.75" x14ac:dyDescent="0.25">
      <c r="A83" s="33">
        <v>45870</v>
      </c>
      <c r="B83" s="22" t="s">
        <v>907</v>
      </c>
      <c r="C83" s="113" t="s">
        <v>673</v>
      </c>
      <c r="D83" s="23" t="s">
        <v>908</v>
      </c>
      <c r="E83" s="19" t="s">
        <v>34</v>
      </c>
      <c r="F83" s="20" t="s">
        <v>909</v>
      </c>
      <c r="G83" s="19" t="s">
        <v>85</v>
      </c>
      <c r="H83" s="19" t="s">
        <v>86</v>
      </c>
      <c r="I83" s="44"/>
      <c r="J83" s="44"/>
      <c r="K83" s="44"/>
      <c r="L83" s="44"/>
      <c r="M83" s="44"/>
      <c r="N83" s="44"/>
      <c r="O83" s="44"/>
      <c r="P83" s="44"/>
      <c r="Q83" s="44" t="s">
        <v>663</v>
      </c>
      <c r="R83" s="44"/>
      <c r="S83" s="44"/>
      <c r="T83" s="44"/>
      <c r="U83" s="44"/>
      <c r="V83" s="44"/>
      <c r="W83" s="44"/>
      <c r="X83" s="44"/>
      <c r="Y83" s="44"/>
      <c r="Z83" s="44" t="s">
        <v>48</v>
      </c>
      <c r="AA83" s="44">
        <v>10</v>
      </c>
      <c r="AB83" s="44">
        <v>20</v>
      </c>
      <c r="AC83" s="44">
        <v>0</v>
      </c>
      <c r="AD83" s="44">
        <v>20</v>
      </c>
      <c r="AE83" s="44">
        <f>SUM(ListeInventaire642[[#This Row],[Gravité Réelle]:[Gravité potentielle]])</f>
        <v>50</v>
      </c>
      <c r="AF83" s="44" t="s">
        <v>664</v>
      </c>
      <c r="AG83" s="48"/>
    </row>
    <row r="84" spans="1:33" s="18" customFormat="1" ht="48.6" customHeight="1" x14ac:dyDescent="0.25">
      <c r="A84" s="33">
        <v>45870</v>
      </c>
      <c r="B84" s="22" t="s">
        <v>35</v>
      </c>
      <c r="C84" s="113" t="s">
        <v>673</v>
      </c>
      <c r="D84" s="23" t="s">
        <v>910</v>
      </c>
      <c r="E84" s="19" t="s">
        <v>34</v>
      </c>
      <c r="F84" s="20" t="s">
        <v>911</v>
      </c>
      <c r="G84" s="19" t="s">
        <v>912</v>
      </c>
      <c r="H84" s="19" t="s">
        <v>33</v>
      </c>
      <c r="I84" s="44"/>
      <c r="J84" s="44"/>
      <c r="K84" s="44"/>
      <c r="L84" s="44"/>
      <c r="M84" s="44"/>
      <c r="N84" s="44"/>
      <c r="O84" s="44"/>
      <c r="P84" s="44"/>
      <c r="Q84" s="44" t="s">
        <v>663</v>
      </c>
      <c r="R84" s="44"/>
      <c r="S84" s="44"/>
      <c r="T84" s="44"/>
      <c r="U84" s="44"/>
      <c r="V84" s="44"/>
      <c r="W84" s="44"/>
      <c r="X84" s="44"/>
      <c r="Y84" s="44"/>
      <c r="Z84" s="44" t="s">
        <v>48</v>
      </c>
      <c r="AA84" s="44">
        <v>10</v>
      </c>
      <c r="AB84" s="44">
        <v>20</v>
      </c>
      <c r="AC84" s="44">
        <v>0</v>
      </c>
      <c r="AD84" s="44">
        <v>20</v>
      </c>
      <c r="AE84" s="44">
        <f>SUM(ListeInventaire642[[#This Row],[Gravité Réelle]:[Gravité potentielle]])</f>
        <v>50</v>
      </c>
      <c r="AF84" s="44" t="s">
        <v>664</v>
      </c>
      <c r="AG84" s="48"/>
    </row>
    <row r="85" spans="1:33" s="18" customFormat="1" ht="48.6" customHeight="1" x14ac:dyDescent="0.25">
      <c r="A85" s="33">
        <v>45870</v>
      </c>
      <c r="B85" s="22" t="s">
        <v>35</v>
      </c>
      <c r="C85" s="113" t="s">
        <v>673</v>
      </c>
      <c r="D85" s="23" t="s">
        <v>913</v>
      </c>
      <c r="E85" s="19" t="s">
        <v>34</v>
      </c>
      <c r="F85" s="20" t="s">
        <v>911</v>
      </c>
      <c r="G85" s="19" t="s">
        <v>914</v>
      </c>
      <c r="H85" s="19" t="s">
        <v>33</v>
      </c>
      <c r="I85" s="44"/>
      <c r="J85" s="44"/>
      <c r="K85" s="44"/>
      <c r="L85" s="44"/>
      <c r="M85" s="44"/>
      <c r="N85" s="44"/>
      <c r="O85" s="44"/>
      <c r="P85" s="44"/>
      <c r="Q85" s="44" t="s">
        <v>663</v>
      </c>
      <c r="R85" s="44"/>
      <c r="S85" s="44"/>
      <c r="T85" s="44"/>
      <c r="U85" s="44"/>
      <c r="V85" s="44"/>
      <c r="W85" s="44"/>
      <c r="X85" s="44"/>
      <c r="Y85" s="44"/>
      <c r="Z85" s="44" t="s">
        <v>48</v>
      </c>
      <c r="AA85" s="44">
        <v>10</v>
      </c>
      <c r="AB85" s="44">
        <v>20</v>
      </c>
      <c r="AC85" s="44">
        <v>0</v>
      </c>
      <c r="AD85" s="44">
        <v>20</v>
      </c>
      <c r="AE85" s="44">
        <f>SUM(ListeInventaire642[[#This Row],[Gravité Réelle]:[Gravité potentielle]])</f>
        <v>50</v>
      </c>
      <c r="AF85" s="44" t="s">
        <v>664</v>
      </c>
      <c r="AG85" s="48"/>
    </row>
    <row r="86" spans="1:33" s="18" customFormat="1" ht="48.6" customHeight="1" x14ac:dyDescent="0.25">
      <c r="A86" s="33">
        <v>45870</v>
      </c>
      <c r="B86" s="22" t="s">
        <v>907</v>
      </c>
      <c r="C86" s="113" t="s">
        <v>673</v>
      </c>
      <c r="D86" s="23" t="s">
        <v>915</v>
      </c>
      <c r="E86" s="19" t="s">
        <v>34</v>
      </c>
      <c r="F86" s="20" t="s">
        <v>916</v>
      </c>
      <c r="G86" s="20" t="s">
        <v>85</v>
      </c>
      <c r="H86" s="19" t="s">
        <v>86</v>
      </c>
      <c r="I86" s="44"/>
      <c r="J86" s="44"/>
      <c r="K86" s="44"/>
      <c r="L86" s="44"/>
      <c r="M86" s="44"/>
      <c r="N86" s="44"/>
      <c r="O86" s="44"/>
      <c r="P86" s="44"/>
      <c r="Q86" s="44" t="s">
        <v>663</v>
      </c>
      <c r="R86" s="44"/>
      <c r="S86" s="44"/>
      <c r="T86" s="44"/>
      <c r="U86" s="44" t="s">
        <v>663</v>
      </c>
      <c r="V86" s="44"/>
      <c r="W86" s="44"/>
      <c r="X86" s="44"/>
      <c r="Y86" s="44"/>
      <c r="Z86" s="44" t="s">
        <v>48</v>
      </c>
      <c r="AA86" s="44">
        <v>10</v>
      </c>
      <c r="AB86" s="44">
        <v>10</v>
      </c>
      <c r="AC86" s="44">
        <v>10</v>
      </c>
      <c r="AD86" s="44">
        <v>50</v>
      </c>
      <c r="AE86" s="44">
        <f>SUM(ListeInventaire642[[#This Row],[Gravité Réelle]:[Gravité potentielle]])</f>
        <v>80</v>
      </c>
      <c r="AF86" s="44" t="s">
        <v>664</v>
      </c>
      <c r="AG86" s="48"/>
    </row>
    <row r="87" spans="1:33" s="18" customFormat="1" ht="51.75" x14ac:dyDescent="0.25">
      <c r="A87" s="33">
        <v>45873</v>
      </c>
      <c r="B87" s="22" t="s">
        <v>35</v>
      </c>
      <c r="C87" s="113" t="s">
        <v>658</v>
      </c>
      <c r="D87" s="23" t="s">
        <v>917</v>
      </c>
      <c r="E87" s="19" t="s">
        <v>43</v>
      </c>
      <c r="F87" s="20" t="s">
        <v>918</v>
      </c>
      <c r="G87" s="19" t="s">
        <v>919</v>
      </c>
      <c r="H87" s="19" t="s">
        <v>33</v>
      </c>
      <c r="I87" s="44"/>
      <c r="J87" s="44"/>
      <c r="K87" s="44" t="s">
        <v>663</v>
      </c>
      <c r="L87" s="44"/>
      <c r="M87" s="44"/>
      <c r="N87" s="44"/>
      <c r="O87" s="44"/>
      <c r="P87" s="44"/>
      <c r="Q87" s="44"/>
      <c r="R87" s="44"/>
      <c r="S87" s="44"/>
      <c r="T87" s="44"/>
      <c r="U87" s="44"/>
      <c r="V87" s="44"/>
      <c r="W87" s="44"/>
      <c r="X87" s="44"/>
      <c r="Y87" s="44"/>
      <c r="Z87" s="44" t="s">
        <v>48</v>
      </c>
      <c r="AA87" s="44">
        <v>30</v>
      </c>
      <c r="AB87" s="44">
        <v>10</v>
      </c>
      <c r="AC87" s="44">
        <v>0</v>
      </c>
      <c r="AD87" s="44">
        <v>20</v>
      </c>
      <c r="AE87" s="44">
        <f>SUM(ListeInventaire642[[#This Row],[Gravité Réelle]:[Gravité potentielle]])</f>
        <v>60</v>
      </c>
      <c r="AF87" s="44" t="s">
        <v>664</v>
      </c>
      <c r="AG87" s="48"/>
    </row>
    <row r="88" spans="1:33" s="18" customFormat="1" ht="69" x14ac:dyDescent="0.25">
      <c r="A88" s="33">
        <v>45874</v>
      </c>
      <c r="B88" s="22" t="s">
        <v>668</v>
      </c>
      <c r="C88" s="113" t="s">
        <v>673</v>
      </c>
      <c r="D88" s="23" t="s">
        <v>920</v>
      </c>
      <c r="E88" s="19" t="s">
        <v>789</v>
      </c>
      <c r="F88" s="20" t="s">
        <v>921</v>
      </c>
      <c r="G88" s="19" t="s">
        <v>697</v>
      </c>
      <c r="H88" s="19" t="s">
        <v>711</v>
      </c>
      <c r="I88" s="44"/>
      <c r="J88" s="44"/>
      <c r="K88" s="44"/>
      <c r="L88" s="44"/>
      <c r="M88" s="44"/>
      <c r="N88" s="44"/>
      <c r="O88" s="44"/>
      <c r="P88" s="44"/>
      <c r="Q88" s="44"/>
      <c r="R88" s="44"/>
      <c r="S88" s="44"/>
      <c r="T88" s="44"/>
      <c r="U88" s="44"/>
      <c r="V88" s="44"/>
      <c r="W88" s="44"/>
      <c r="X88" s="44"/>
      <c r="Y88" s="44" t="s">
        <v>663</v>
      </c>
      <c r="Z88" s="44"/>
      <c r="AA88" s="44"/>
      <c r="AB88" s="44"/>
      <c r="AC88" s="44"/>
      <c r="AD88" s="44"/>
      <c r="AE88" s="44">
        <f>SUM(ListeInventaire642[[#This Row],[Gravité Réelle]:[Gravité potentielle]])</f>
        <v>0</v>
      </c>
      <c r="AF88" s="44" t="s">
        <v>664</v>
      </c>
      <c r="AG88" s="48"/>
    </row>
    <row r="89" spans="1:33" s="18" customFormat="1" ht="86.25" x14ac:dyDescent="0.25">
      <c r="A89" s="33">
        <v>45875</v>
      </c>
      <c r="B89" s="22" t="s">
        <v>35</v>
      </c>
      <c r="C89" s="113" t="s">
        <v>658</v>
      </c>
      <c r="D89" s="23" t="s">
        <v>922</v>
      </c>
      <c r="E89" s="19" t="s">
        <v>43</v>
      </c>
      <c r="F89" s="20" t="s">
        <v>923</v>
      </c>
      <c r="G89" s="19" t="s">
        <v>924</v>
      </c>
      <c r="H89" s="19" t="s">
        <v>33</v>
      </c>
      <c r="I89" s="44"/>
      <c r="J89" s="44"/>
      <c r="K89" s="44"/>
      <c r="L89" s="44"/>
      <c r="M89" s="44"/>
      <c r="N89" s="44"/>
      <c r="O89" s="44"/>
      <c r="P89" s="44"/>
      <c r="Q89" s="44" t="s">
        <v>663</v>
      </c>
      <c r="R89" s="44"/>
      <c r="S89" s="44"/>
      <c r="T89" s="44"/>
      <c r="U89" s="44"/>
      <c r="V89" s="44"/>
      <c r="W89" s="44"/>
      <c r="X89" s="44"/>
      <c r="Y89" s="44"/>
      <c r="Z89" s="44" t="s">
        <v>48</v>
      </c>
      <c r="AA89" s="44">
        <v>10</v>
      </c>
      <c r="AB89" s="44">
        <v>10</v>
      </c>
      <c r="AC89" s="44">
        <v>0</v>
      </c>
      <c r="AD89" s="44">
        <v>40</v>
      </c>
      <c r="AE89" s="44">
        <f>SUM(ListeInventaire642[[#This Row],[Gravité Réelle]:[Gravité potentielle]])</f>
        <v>60</v>
      </c>
      <c r="AF89" s="44" t="s">
        <v>664</v>
      </c>
      <c r="AG89" s="48"/>
    </row>
    <row r="90" spans="1:33" s="18" customFormat="1" ht="51.75" x14ac:dyDescent="0.25">
      <c r="A90" s="33">
        <v>45876</v>
      </c>
      <c r="B90" s="22" t="s">
        <v>35</v>
      </c>
      <c r="C90" s="113" t="s">
        <v>673</v>
      </c>
      <c r="D90" s="23" t="s">
        <v>925</v>
      </c>
      <c r="E90" s="19" t="s">
        <v>43</v>
      </c>
      <c r="F90" s="20" t="s">
        <v>926</v>
      </c>
      <c r="G90" s="20" t="s">
        <v>927</v>
      </c>
      <c r="H90" s="19" t="s">
        <v>33</v>
      </c>
      <c r="I90" s="44"/>
      <c r="J90" s="44"/>
      <c r="K90" s="44"/>
      <c r="L90" s="44"/>
      <c r="M90" s="44"/>
      <c r="N90" s="44"/>
      <c r="O90" s="44"/>
      <c r="P90" s="44"/>
      <c r="Q90" s="44"/>
      <c r="R90" s="44"/>
      <c r="S90" s="44"/>
      <c r="T90" s="44"/>
      <c r="U90" s="44"/>
      <c r="V90" s="44"/>
      <c r="W90" s="44"/>
      <c r="X90" s="44"/>
      <c r="Y90" s="44"/>
      <c r="Z90" s="44" t="s">
        <v>48</v>
      </c>
      <c r="AA90" s="44">
        <v>30</v>
      </c>
      <c r="AB90" s="44">
        <v>20</v>
      </c>
      <c r="AC90" s="44">
        <v>20</v>
      </c>
      <c r="AD90" s="44">
        <v>20</v>
      </c>
      <c r="AE90" s="44">
        <f>SUM(ListeInventaire642[[#This Row],[Gravité Réelle]:[Gravité potentielle]])</f>
        <v>90</v>
      </c>
      <c r="AF90" s="44" t="s">
        <v>714</v>
      </c>
      <c r="AG90" s="48"/>
    </row>
    <row r="91" spans="1:33" s="18" customFormat="1" ht="48.6" customHeight="1" x14ac:dyDescent="0.25">
      <c r="A91" s="33">
        <v>45877</v>
      </c>
      <c r="B91" s="22" t="s">
        <v>668</v>
      </c>
      <c r="C91" s="113" t="s">
        <v>673</v>
      </c>
      <c r="D91" s="23" t="s">
        <v>928</v>
      </c>
      <c r="E91" s="19" t="s">
        <v>685</v>
      </c>
      <c r="F91" s="20" t="s">
        <v>929</v>
      </c>
      <c r="G91" s="19" t="s">
        <v>735</v>
      </c>
      <c r="H91" s="19" t="s">
        <v>33</v>
      </c>
      <c r="I91" s="44"/>
      <c r="J91" s="44"/>
      <c r="K91" s="44"/>
      <c r="L91" s="44"/>
      <c r="M91" s="44"/>
      <c r="N91" s="44"/>
      <c r="O91" s="44" t="s">
        <v>663</v>
      </c>
      <c r="P91" s="44"/>
      <c r="Q91" s="44"/>
      <c r="R91" s="44"/>
      <c r="S91" s="44"/>
      <c r="T91" s="44"/>
      <c r="U91" s="44"/>
      <c r="V91" s="44"/>
      <c r="W91" s="44"/>
      <c r="X91" s="44"/>
      <c r="Y91" s="44"/>
      <c r="Z91" s="44"/>
      <c r="AA91" s="44"/>
      <c r="AB91" s="44"/>
      <c r="AC91" s="44"/>
      <c r="AD91" s="44"/>
      <c r="AE91" s="44">
        <f>SUM(ListeInventaire642[[#This Row],[Gravité Réelle]:[Gravité potentielle]])</f>
        <v>0</v>
      </c>
      <c r="AF91" s="44" t="s">
        <v>664</v>
      </c>
      <c r="AG91" s="48"/>
    </row>
    <row r="92" spans="1:33" s="18" customFormat="1" ht="69" x14ac:dyDescent="0.25">
      <c r="A92" s="33">
        <v>45877</v>
      </c>
      <c r="B92" s="22" t="s">
        <v>35</v>
      </c>
      <c r="C92" s="113" t="s">
        <v>673</v>
      </c>
      <c r="D92" s="23" t="s">
        <v>930</v>
      </c>
      <c r="E92" s="19" t="s">
        <v>931</v>
      </c>
      <c r="F92" s="20" t="s">
        <v>932</v>
      </c>
      <c r="G92" s="19" t="s">
        <v>933</v>
      </c>
      <c r="H92" s="19" t="s">
        <v>33</v>
      </c>
      <c r="I92" s="44"/>
      <c r="J92" s="44"/>
      <c r="K92" s="44"/>
      <c r="L92" s="44"/>
      <c r="M92" s="44"/>
      <c r="N92" s="44"/>
      <c r="O92" s="44"/>
      <c r="P92" s="44"/>
      <c r="Q92" s="44"/>
      <c r="R92" s="44"/>
      <c r="S92" s="44"/>
      <c r="T92" s="44"/>
      <c r="U92" s="44"/>
      <c r="V92" s="44" t="s">
        <v>663</v>
      </c>
      <c r="W92" s="44"/>
      <c r="X92" s="44"/>
      <c r="Y92" s="44"/>
      <c r="Z92" s="44" t="s">
        <v>48</v>
      </c>
      <c r="AA92" s="44">
        <v>10</v>
      </c>
      <c r="AB92" s="44">
        <v>20</v>
      </c>
      <c r="AC92" s="44">
        <v>10</v>
      </c>
      <c r="AD92" s="44">
        <v>30</v>
      </c>
      <c r="AE92" s="44">
        <f>SUM(ListeInventaire642[[#This Row],[Gravité Réelle]:[Gravité potentielle]])</f>
        <v>70</v>
      </c>
      <c r="AF92" s="44" t="s">
        <v>664</v>
      </c>
      <c r="AG92" s="48"/>
    </row>
    <row r="93" spans="1:33" s="18" customFormat="1" ht="33" x14ac:dyDescent="0.25">
      <c r="A93" s="33">
        <v>45881</v>
      </c>
      <c r="B93" s="22" t="s">
        <v>35</v>
      </c>
      <c r="C93" s="113" t="s">
        <v>673</v>
      </c>
      <c r="D93" s="23" t="s">
        <v>934</v>
      </c>
      <c r="E93" s="19" t="s">
        <v>935</v>
      </c>
      <c r="F93" s="20" t="s">
        <v>936</v>
      </c>
      <c r="G93" s="20" t="s">
        <v>937</v>
      </c>
      <c r="H93" s="19" t="s">
        <v>33</v>
      </c>
      <c r="I93" s="44"/>
      <c r="J93" s="44"/>
      <c r="K93" s="44"/>
      <c r="L93" s="44"/>
      <c r="M93" s="44"/>
      <c r="N93" s="44"/>
      <c r="O93" s="44"/>
      <c r="P93" s="44"/>
      <c r="Q93" s="44"/>
      <c r="R93" s="44"/>
      <c r="S93" s="44"/>
      <c r="T93" s="44"/>
      <c r="U93" s="44" t="s">
        <v>663</v>
      </c>
      <c r="V93" s="44"/>
      <c r="W93" s="44"/>
      <c r="X93" s="44"/>
      <c r="Y93" s="44"/>
      <c r="Z93" s="44" t="s">
        <v>48</v>
      </c>
      <c r="AA93" s="44">
        <v>10</v>
      </c>
      <c r="AB93" s="44">
        <v>30</v>
      </c>
      <c r="AC93" s="44">
        <v>10</v>
      </c>
      <c r="AD93" s="44">
        <v>30</v>
      </c>
      <c r="AE93" s="44">
        <f>SUM(ListeInventaire642[[#This Row],[Gravité Réelle]:[Gravité potentielle]])</f>
        <v>80</v>
      </c>
      <c r="AF93" s="44" t="s">
        <v>664</v>
      </c>
      <c r="AG93" s="48"/>
    </row>
    <row r="94" spans="1:33" s="18" customFormat="1" ht="86.25" customHeight="1" x14ac:dyDescent="0.25">
      <c r="A94" s="33">
        <v>45885</v>
      </c>
      <c r="B94" s="22" t="s">
        <v>668</v>
      </c>
      <c r="C94" s="113" t="s">
        <v>658</v>
      </c>
      <c r="D94" s="199" t="s">
        <v>938</v>
      </c>
      <c r="E94" s="19" t="s">
        <v>59</v>
      </c>
      <c r="F94" s="20" t="s">
        <v>939</v>
      </c>
      <c r="G94" s="20" t="s">
        <v>801</v>
      </c>
      <c r="H94" s="19" t="s">
        <v>33</v>
      </c>
      <c r="I94" s="44"/>
      <c r="J94" s="44"/>
      <c r="K94" s="44"/>
      <c r="L94" s="44"/>
      <c r="M94" s="44"/>
      <c r="N94" s="44"/>
      <c r="O94" s="44" t="s">
        <v>663</v>
      </c>
      <c r="P94" s="44"/>
      <c r="Q94" s="44"/>
      <c r="R94" s="44"/>
      <c r="S94" s="44"/>
      <c r="T94" s="44"/>
      <c r="U94" s="44"/>
      <c r="V94" s="44"/>
      <c r="W94" s="44"/>
      <c r="X94" s="44"/>
      <c r="Y94" s="44"/>
      <c r="Z94" s="44" t="s">
        <v>48</v>
      </c>
      <c r="AA94" s="44">
        <v>30</v>
      </c>
      <c r="AB94" s="44">
        <v>10</v>
      </c>
      <c r="AC94" s="44">
        <v>0</v>
      </c>
      <c r="AD94" s="44">
        <v>20</v>
      </c>
      <c r="AE94" s="44">
        <f>SUM(ListeInventaire642[[#This Row],[Gravité Réelle]:[Gravité potentielle]])</f>
        <v>60</v>
      </c>
      <c r="AF94" s="44" t="s">
        <v>664</v>
      </c>
      <c r="AG94" s="48"/>
    </row>
    <row r="95" spans="1:33" s="18" customFormat="1" ht="86.25" customHeight="1" x14ac:dyDescent="0.25">
      <c r="A95" s="33">
        <v>45890</v>
      </c>
      <c r="B95" s="22" t="s">
        <v>668</v>
      </c>
      <c r="C95" s="113" t="s">
        <v>673</v>
      </c>
      <c r="D95" s="23" t="s">
        <v>940</v>
      </c>
      <c r="E95" s="19" t="s">
        <v>789</v>
      </c>
      <c r="F95" s="20" t="s">
        <v>941</v>
      </c>
      <c r="G95" s="20" t="s">
        <v>942</v>
      </c>
      <c r="H95" s="19" t="s">
        <v>86</v>
      </c>
      <c r="I95" s="44"/>
      <c r="J95" s="44"/>
      <c r="K95" s="44"/>
      <c r="L95" s="44"/>
      <c r="M95" s="44"/>
      <c r="N95" s="44"/>
      <c r="O95" s="44" t="s">
        <v>663</v>
      </c>
      <c r="P95" s="44"/>
      <c r="Q95" s="44"/>
      <c r="R95" s="44"/>
      <c r="S95" s="44"/>
      <c r="T95" s="44"/>
      <c r="U95" s="44"/>
      <c r="V95" s="44"/>
      <c r="W95" s="44"/>
      <c r="X95" s="44"/>
      <c r="Y95" s="44"/>
      <c r="Z95" s="44" t="s">
        <v>48</v>
      </c>
      <c r="AA95" s="44">
        <v>10</v>
      </c>
      <c r="AB95" s="44">
        <v>20</v>
      </c>
      <c r="AC95" s="44">
        <v>20</v>
      </c>
      <c r="AD95" s="44">
        <v>20</v>
      </c>
      <c r="AE95" s="44">
        <f>SUM(ListeInventaire642[[#This Row],[Gravité Réelle]:[Gravité potentielle]])</f>
        <v>70</v>
      </c>
      <c r="AF95" s="44" t="s">
        <v>664</v>
      </c>
      <c r="AG95" s="48"/>
    </row>
    <row r="96" spans="1:33" s="18" customFormat="1" ht="86.25" customHeight="1" x14ac:dyDescent="0.25">
      <c r="A96" s="33">
        <v>45890</v>
      </c>
      <c r="B96" s="22" t="s">
        <v>668</v>
      </c>
      <c r="C96" s="113" t="s">
        <v>673</v>
      </c>
      <c r="D96" s="281" t="s">
        <v>943</v>
      </c>
      <c r="E96" s="19" t="s">
        <v>59</v>
      </c>
      <c r="F96" s="20" t="s">
        <v>944</v>
      </c>
      <c r="G96" s="20" t="s">
        <v>801</v>
      </c>
      <c r="H96" s="19" t="s">
        <v>33</v>
      </c>
      <c r="I96" s="44"/>
      <c r="J96" s="44"/>
      <c r="K96" s="44"/>
      <c r="L96" s="44"/>
      <c r="M96" s="44"/>
      <c r="N96" s="44"/>
      <c r="O96" s="44" t="s">
        <v>663</v>
      </c>
      <c r="P96" s="44"/>
      <c r="Q96" s="44"/>
      <c r="R96" s="44"/>
      <c r="S96" s="44"/>
      <c r="T96" s="44"/>
      <c r="U96" s="44"/>
      <c r="V96" s="44"/>
      <c r="W96" s="44"/>
      <c r="X96" s="44"/>
      <c r="Y96" s="44"/>
      <c r="Z96" s="44" t="s">
        <v>48</v>
      </c>
      <c r="AA96" s="44">
        <v>10</v>
      </c>
      <c r="AB96" s="44">
        <v>20</v>
      </c>
      <c r="AC96" s="44">
        <v>20</v>
      </c>
      <c r="AD96" s="44">
        <v>40</v>
      </c>
      <c r="AE96" s="44">
        <f>SUM(ListeInventaire642[[#This Row],[Gravité Réelle]:[Gravité potentielle]])</f>
        <v>90</v>
      </c>
      <c r="AF96" s="44" t="s">
        <v>664</v>
      </c>
      <c r="AG96" s="48"/>
    </row>
    <row r="97" spans="1:33" s="18" customFormat="1" ht="48.6" customHeight="1" x14ac:dyDescent="0.25">
      <c r="A97" s="33">
        <v>45890</v>
      </c>
      <c r="B97" s="22" t="s">
        <v>51</v>
      </c>
      <c r="C97" s="113" t="s">
        <v>673</v>
      </c>
      <c r="D97" s="23" t="s">
        <v>945</v>
      </c>
      <c r="E97" s="19" t="s">
        <v>946</v>
      </c>
      <c r="F97" s="12" t="s">
        <v>947</v>
      </c>
      <c r="G97" s="20" t="s">
        <v>948</v>
      </c>
      <c r="H97" s="19" t="s">
        <v>33</v>
      </c>
      <c r="I97" s="44"/>
      <c r="J97" s="44"/>
      <c r="K97" s="44"/>
      <c r="L97" s="44"/>
      <c r="M97" s="44"/>
      <c r="N97" s="44"/>
      <c r="O97" s="44"/>
      <c r="P97" s="44"/>
      <c r="Q97" s="44"/>
      <c r="R97" s="44"/>
      <c r="S97" s="44"/>
      <c r="T97" s="44"/>
      <c r="U97" s="44"/>
      <c r="V97" s="44"/>
      <c r="W97" s="44"/>
      <c r="X97" s="44" t="s">
        <v>663</v>
      </c>
      <c r="Y97" s="44"/>
      <c r="Z97" s="44" t="s">
        <v>48</v>
      </c>
      <c r="AA97" s="44">
        <v>10</v>
      </c>
      <c r="AB97" s="44">
        <v>30</v>
      </c>
      <c r="AC97" s="44">
        <v>30</v>
      </c>
      <c r="AD97" s="44">
        <v>40</v>
      </c>
      <c r="AE97" s="44">
        <f>SUM(ListeInventaire642[[#This Row],[Gravité Réelle]:[Gravité potentielle]])</f>
        <v>110</v>
      </c>
      <c r="AF97" s="44" t="s">
        <v>664</v>
      </c>
      <c r="AG97" s="48"/>
    </row>
    <row r="98" spans="1:33" s="18" customFormat="1" ht="293.25" x14ac:dyDescent="0.25">
      <c r="A98" s="33">
        <v>45897</v>
      </c>
      <c r="B98" s="22" t="s">
        <v>668</v>
      </c>
      <c r="C98" s="113" t="s">
        <v>658</v>
      </c>
      <c r="D98" s="23" t="s">
        <v>949</v>
      </c>
      <c r="E98" s="19" t="s">
        <v>950</v>
      </c>
      <c r="F98" s="20" t="s">
        <v>951</v>
      </c>
      <c r="G98" s="20" t="s">
        <v>952</v>
      </c>
      <c r="H98" s="19" t="s">
        <v>501</v>
      </c>
      <c r="I98" s="44"/>
      <c r="J98" s="44"/>
      <c r="K98" s="44"/>
      <c r="L98" s="44"/>
      <c r="M98" s="44"/>
      <c r="N98" s="44"/>
      <c r="O98" s="44"/>
      <c r="P98" s="44"/>
      <c r="Q98" s="44"/>
      <c r="R98" s="44"/>
      <c r="S98" s="44"/>
      <c r="T98" s="44"/>
      <c r="U98" s="44"/>
      <c r="V98" s="44"/>
      <c r="W98" s="44"/>
      <c r="X98" s="44"/>
      <c r="Y98" s="44"/>
      <c r="Z98" s="44"/>
      <c r="AA98" s="44"/>
      <c r="AB98" s="44"/>
      <c r="AC98" s="44"/>
      <c r="AD98" s="44"/>
      <c r="AE98" s="44">
        <f>SUM(ListeInventaire642[[#This Row],[Gravité Réelle]:[Gravité potentielle]])</f>
        <v>0</v>
      </c>
      <c r="AF98" s="44" t="s">
        <v>664</v>
      </c>
      <c r="AG98" s="48"/>
    </row>
    <row r="99" spans="1:33" s="18" customFormat="1" ht="33" x14ac:dyDescent="0.25">
      <c r="A99" s="33">
        <v>45903</v>
      </c>
      <c r="B99" s="22" t="s">
        <v>86</v>
      </c>
      <c r="C99" s="114" t="s">
        <v>673</v>
      </c>
      <c r="D99" s="23" t="s">
        <v>953</v>
      </c>
      <c r="E99" s="19" t="s">
        <v>954</v>
      </c>
      <c r="F99" s="12" t="s">
        <v>955</v>
      </c>
      <c r="G99" s="20" t="s">
        <v>956</v>
      </c>
      <c r="H99" s="19" t="s">
        <v>86</v>
      </c>
      <c r="I99" s="44"/>
      <c r="J99" s="44"/>
      <c r="K99" s="44" t="s">
        <v>663</v>
      </c>
      <c r="L99" s="44"/>
      <c r="M99" s="44"/>
      <c r="N99" s="44"/>
      <c r="O99" s="44"/>
      <c r="P99" s="44"/>
      <c r="Q99" s="44"/>
      <c r="R99" s="44"/>
      <c r="S99" s="44"/>
      <c r="T99" s="44"/>
      <c r="U99" s="44"/>
      <c r="V99" s="44"/>
      <c r="W99" s="44"/>
      <c r="X99" s="44"/>
      <c r="Y99" s="44"/>
      <c r="Z99" s="44" t="s">
        <v>48</v>
      </c>
      <c r="AA99" s="44"/>
      <c r="AB99" s="44">
        <v>20</v>
      </c>
      <c r="AC99" s="44">
        <v>10</v>
      </c>
      <c r="AD99" s="44">
        <v>30</v>
      </c>
      <c r="AE99" s="44">
        <f>SUM(ListeInventaire642[[#This Row],[Gravité Réelle]:[Gravité potentielle]])</f>
        <v>60</v>
      </c>
      <c r="AF99" s="44" t="s">
        <v>664</v>
      </c>
      <c r="AG99" s="48"/>
    </row>
    <row r="100" spans="1:33" s="18" customFormat="1" ht="258.75" x14ac:dyDescent="0.25">
      <c r="A100" s="33">
        <v>45905</v>
      </c>
      <c r="B100" s="22" t="s">
        <v>668</v>
      </c>
      <c r="C100" s="113" t="s">
        <v>658</v>
      </c>
      <c r="D100" s="23" t="s">
        <v>957</v>
      </c>
      <c r="E100" s="19" t="s">
        <v>958</v>
      </c>
      <c r="F100" s="20" t="s">
        <v>959</v>
      </c>
      <c r="G100" s="20" t="s">
        <v>960</v>
      </c>
      <c r="H100" s="19" t="s">
        <v>501</v>
      </c>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f>SUM(ListeInventaire642[[#This Row],[Gravité Réelle]:[Gravité potentielle]])</f>
        <v>0</v>
      </c>
      <c r="AF100" s="44" t="s">
        <v>664</v>
      </c>
      <c r="AG100" s="48"/>
    </row>
    <row r="101" spans="1:33" s="18" customFormat="1" ht="48.6" customHeight="1" x14ac:dyDescent="0.25">
      <c r="A101" s="33">
        <v>45910</v>
      </c>
      <c r="B101" s="22" t="s">
        <v>60</v>
      </c>
      <c r="C101" s="113" t="s">
        <v>673</v>
      </c>
      <c r="D101" s="23" t="s">
        <v>961</v>
      </c>
      <c r="E101" s="19" t="s">
        <v>962</v>
      </c>
      <c r="F101" s="9" t="s">
        <v>963</v>
      </c>
      <c r="G101" s="19" t="s">
        <v>964</v>
      </c>
      <c r="H101" s="19" t="s">
        <v>33</v>
      </c>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f>SUM(ListeInventaire642[[#This Row],[Gravité Réelle]:[Gravité potentielle]])</f>
        <v>0</v>
      </c>
      <c r="AF101" s="44" t="s">
        <v>664</v>
      </c>
      <c r="AG101" s="48"/>
    </row>
    <row r="102" spans="1:33" s="18" customFormat="1" ht="48.6" customHeight="1" x14ac:dyDescent="0.25">
      <c r="A102" s="33">
        <v>45918</v>
      </c>
      <c r="B102" s="22" t="s">
        <v>51</v>
      </c>
      <c r="C102" s="114" t="s">
        <v>658</v>
      </c>
      <c r="D102" s="23" t="s">
        <v>965</v>
      </c>
      <c r="E102" s="19" t="s">
        <v>873</v>
      </c>
      <c r="F102" s="12" t="s">
        <v>966</v>
      </c>
      <c r="G102" s="20" t="s">
        <v>780</v>
      </c>
      <c r="H102" s="19" t="s">
        <v>33</v>
      </c>
      <c r="I102" s="44"/>
      <c r="J102" s="44"/>
      <c r="K102" s="44"/>
      <c r="L102" s="44"/>
      <c r="M102" s="44"/>
      <c r="N102" s="44"/>
      <c r="O102" s="44"/>
      <c r="P102" s="44"/>
      <c r="Q102" s="44"/>
      <c r="R102" s="44"/>
      <c r="S102" s="44"/>
      <c r="T102" s="44"/>
      <c r="U102" s="44"/>
      <c r="V102" s="44"/>
      <c r="W102" s="44"/>
      <c r="X102" s="44" t="s">
        <v>663</v>
      </c>
      <c r="Y102" s="44"/>
      <c r="Z102" s="44" t="s">
        <v>48</v>
      </c>
      <c r="AA102" s="44">
        <v>10</v>
      </c>
      <c r="AB102" s="44">
        <v>20</v>
      </c>
      <c r="AC102" s="44">
        <v>20</v>
      </c>
      <c r="AD102" s="44">
        <v>20</v>
      </c>
      <c r="AE102" s="44">
        <f>SUM(ListeInventaire642[[#This Row],[Gravité Réelle]:[Gravité potentielle]])</f>
        <v>70</v>
      </c>
      <c r="AF102" s="44" t="s">
        <v>664</v>
      </c>
      <c r="AG102" s="48"/>
    </row>
    <row r="103" spans="1:33" s="18" customFormat="1" ht="48.6" customHeight="1" x14ac:dyDescent="0.25">
      <c r="A103" s="33">
        <v>45918</v>
      </c>
      <c r="B103" s="22" t="s">
        <v>35</v>
      </c>
      <c r="C103" s="114" t="s">
        <v>673</v>
      </c>
      <c r="D103" s="23" t="s">
        <v>967</v>
      </c>
      <c r="E103" s="19" t="s">
        <v>72</v>
      </c>
      <c r="F103" s="12" t="s">
        <v>968</v>
      </c>
      <c r="G103" s="20" t="s">
        <v>811</v>
      </c>
      <c r="H103" s="19" t="s">
        <v>33</v>
      </c>
      <c r="I103" s="44"/>
      <c r="J103" s="44"/>
      <c r="K103" s="44"/>
      <c r="L103" s="44"/>
      <c r="M103" s="44"/>
      <c r="N103" s="44"/>
      <c r="O103" s="44"/>
      <c r="P103" s="44"/>
      <c r="Q103" s="44"/>
      <c r="R103" s="44"/>
      <c r="S103" s="44"/>
      <c r="T103" s="44"/>
      <c r="U103" s="44"/>
      <c r="V103" s="44"/>
      <c r="W103" s="44"/>
      <c r="X103" s="44" t="s">
        <v>663</v>
      </c>
      <c r="Y103" s="44"/>
      <c r="Z103" s="44" t="s">
        <v>48</v>
      </c>
      <c r="AA103" s="44">
        <v>10</v>
      </c>
      <c r="AB103" s="44">
        <v>20</v>
      </c>
      <c r="AC103" s="44">
        <v>20</v>
      </c>
      <c r="AD103" s="44">
        <v>20</v>
      </c>
      <c r="AE103" s="44">
        <f>SUM(ListeInventaire642[[#This Row],[Gravité Réelle]:[Gravité potentielle]])</f>
        <v>70</v>
      </c>
      <c r="AF103" s="44" t="s">
        <v>664</v>
      </c>
      <c r="AG103" s="48"/>
    </row>
    <row r="104" spans="1:33" s="18" customFormat="1" ht="51.75" x14ac:dyDescent="0.25">
      <c r="A104" s="33">
        <v>45918</v>
      </c>
      <c r="B104" s="22" t="s">
        <v>35</v>
      </c>
      <c r="C104" s="113" t="s">
        <v>658</v>
      </c>
      <c r="D104" s="23" t="s">
        <v>969</v>
      </c>
      <c r="E104" s="19" t="s">
        <v>72</v>
      </c>
      <c r="F104" s="12" t="s">
        <v>968</v>
      </c>
      <c r="G104" s="20" t="s">
        <v>811</v>
      </c>
      <c r="H104" s="19" t="s">
        <v>33</v>
      </c>
      <c r="I104" s="44"/>
      <c r="J104" s="44"/>
      <c r="K104" s="44"/>
      <c r="L104" s="44"/>
      <c r="M104" s="44"/>
      <c r="N104" s="44"/>
      <c r="O104" s="44" t="s">
        <v>663</v>
      </c>
      <c r="P104" s="44"/>
      <c r="Q104" s="44"/>
      <c r="R104" s="44"/>
      <c r="S104" s="44"/>
      <c r="T104" s="44"/>
      <c r="U104" s="44"/>
      <c r="V104" s="44"/>
      <c r="W104" s="44"/>
      <c r="X104" s="44"/>
      <c r="Y104" s="44"/>
      <c r="Z104" s="44" t="s">
        <v>39</v>
      </c>
      <c r="AA104" s="44">
        <v>10</v>
      </c>
      <c r="AB104" s="44">
        <v>30</v>
      </c>
      <c r="AC104" s="44">
        <v>0</v>
      </c>
      <c r="AD104" s="44">
        <v>50</v>
      </c>
      <c r="AE104" s="44">
        <f>SUM(ListeInventaire642[[#This Row],[Gravité Réelle]:[Gravité potentielle]])</f>
        <v>90</v>
      </c>
      <c r="AF104" s="44" t="s">
        <v>664</v>
      </c>
      <c r="AG104" s="48"/>
    </row>
    <row r="105" spans="1:33" s="18" customFormat="1" ht="48.6" customHeight="1" x14ac:dyDescent="0.25">
      <c r="A105" s="33">
        <v>45919</v>
      </c>
      <c r="B105" s="22" t="s">
        <v>35</v>
      </c>
      <c r="C105" s="113" t="s">
        <v>658</v>
      </c>
      <c r="D105" s="23" t="s">
        <v>970</v>
      </c>
      <c r="E105" s="19" t="s">
        <v>971</v>
      </c>
      <c r="F105" s="20" t="s">
        <v>972</v>
      </c>
      <c r="G105" s="19" t="s">
        <v>679</v>
      </c>
      <c r="H105" s="19" t="s">
        <v>33</v>
      </c>
      <c r="I105" s="44"/>
      <c r="J105" s="44"/>
      <c r="K105" s="44"/>
      <c r="L105" s="44"/>
      <c r="M105" s="44"/>
      <c r="N105" s="44"/>
      <c r="O105" s="44"/>
      <c r="P105" s="44"/>
      <c r="Q105" s="44"/>
      <c r="R105" s="44"/>
      <c r="S105" s="44"/>
      <c r="T105" s="44"/>
      <c r="U105" s="44"/>
      <c r="V105" s="44"/>
      <c r="W105" s="44"/>
      <c r="X105" s="44"/>
      <c r="Y105" s="44" t="s">
        <v>663</v>
      </c>
      <c r="Z105" s="44" t="s">
        <v>48</v>
      </c>
      <c r="AA105" s="44">
        <v>30</v>
      </c>
      <c r="AB105" s="44">
        <v>20</v>
      </c>
      <c r="AC105" s="44">
        <v>30</v>
      </c>
      <c r="AD105" s="44">
        <v>50</v>
      </c>
      <c r="AE105" s="44">
        <f>SUM(ListeInventaire642[[#This Row],[Gravité Réelle]:[Gravité potentielle]])</f>
        <v>130</v>
      </c>
      <c r="AF105" s="44" t="s">
        <v>664</v>
      </c>
      <c r="AG105" s="48"/>
    </row>
    <row r="106" spans="1:33" s="18" customFormat="1" ht="48.6" customHeight="1" x14ac:dyDescent="0.25">
      <c r="A106" s="33">
        <v>45919</v>
      </c>
      <c r="B106" s="22" t="s">
        <v>60</v>
      </c>
      <c r="C106" s="113" t="s">
        <v>658</v>
      </c>
      <c r="D106" s="23" t="s">
        <v>973</v>
      </c>
      <c r="E106" s="19" t="s">
        <v>974</v>
      </c>
      <c r="F106" s="20" t="s">
        <v>975</v>
      </c>
      <c r="G106" s="19" t="s">
        <v>793</v>
      </c>
      <c r="H106" s="19" t="s">
        <v>33</v>
      </c>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f>SUM(ListeInventaire642[[#This Row],[Gravité Réelle]:[Gravité potentielle]])</f>
        <v>0</v>
      </c>
      <c r="AF106" s="44" t="s">
        <v>664</v>
      </c>
      <c r="AG106" s="48"/>
    </row>
    <row r="107" spans="1:33" s="18" customFormat="1" ht="69" x14ac:dyDescent="0.25">
      <c r="A107" s="33">
        <v>45922</v>
      </c>
      <c r="B107" s="22" t="s">
        <v>60</v>
      </c>
      <c r="C107" s="113" t="s">
        <v>673</v>
      </c>
      <c r="D107" s="23" t="s">
        <v>976</v>
      </c>
      <c r="E107" s="19" t="s">
        <v>977</v>
      </c>
      <c r="F107" s="20" t="s">
        <v>978</v>
      </c>
      <c r="G107" s="20" t="s">
        <v>704</v>
      </c>
      <c r="H107" s="19" t="s">
        <v>501</v>
      </c>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f>SUM(ListeInventaire642[[#This Row],[Gravité Réelle]:[Gravité potentielle]])</f>
        <v>0</v>
      </c>
      <c r="AF107" s="44" t="s">
        <v>664</v>
      </c>
      <c r="AG107" s="48"/>
    </row>
    <row r="108" spans="1:33" s="18" customFormat="1" ht="48.6" customHeight="1" x14ac:dyDescent="0.25">
      <c r="A108" s="33">
        <v>45922</v>
      </c>
      <c r="B108" s="22" t="s">
        <v>35</v>
      </c>
      <c r="C108" s="114" t="s">
        <v>673</v>
      </c>
      <c r="D108" s="23" t="s">
        <v>979</v>
      </c>
      <c r="E108" s="19" t="s">
        <v>132</v>
      </c>
      <c r="F108" s="12" t="s">
        <v>980</v>
      </c>
      <c r="G108" s="20" t="s">
        <v>981</v>
      </c>
      <c r="H108" s="19" t="s">
        <v>33</v>
      </c>
      <c r="I108" s="44"/>
      <c r="J108" s="44"/>
      <c r="K108" s="44"/>
      <c r="L108" s="44"/>
      <c r="M108" s="44"/>
      <c r="N108" s="44"/>
      <c r="O108" s="44"/>
      <c r="P108" s="44"/>
      <c r="Q108" s="44"/>
      <c r="R108" s="44"/>
      <c r="S108" s="44"/>
      <c r="T108" s="44"/>
      <c r="U108" s="44"/>
      <c r="V108" s="44"/>
      <c r="W108" s="44"/>
      <c r="X108" s="44" t="s">
        <v>663</v>
      </c>
      <c r="Y108" s="44"/>
      <c r="Z108" s="44" t="s">
        <v>48</v>
      </c>
      <c r="AA108" s="44">
        <v>10</v>
      </c>
      <c r="AB108" s="44">
        <v>30</v>
      </c>
      <c r="AC108" s="44">
        <v>30</v>
      </c>
      <c r="AD108" s="44">
        <v>50</v>
      </c>
      <c r="AE108" s="44">
        <f>SUM(ListeInventaire642[[#This Row],[Gravité Réelle]:[Gravité potentielle]])</f>
        <v>120</v>
      </c>
      <c r="AF108" s="44" t="s">
        <v>664</v>
      </c>
      <c r="AG108" s="48"/>
    </row>
    <row r="109" spans="1:33" s="18" customFormat="1" ht="48.6" customHeight="1" x14ac:dyDescent="0.25">
      <c r="A109" s="33">
        <v>45930</v>
      </c>
      <c r="B109" s="22" t="s">
        <v>35</v>
      </c>
      <c r="C109" s="113" t="s">
        <v>673</v>
      </c>
      <c r="D109" s="23" t="s">
        <v>982</v>
      </c>
      <c r="E109" s="19" t="s">
        <v>180</v>
      </c>
      <c r="F109" s="20" t="s">
        <v>983</v>
      </c>
      <c r="G109" s="20" t="s">
        <v>984</v>
      </c>
      <c r="H109" s="19" t="s">
        <v>33</v>
      </c>
      <c r="I109" s="44"/>
      <c r="J109" s="44"/>
      <c r="K109" s="44"/>
      <c r="L109" s="44"/>
      <c r="M109" s="44"/>
      <c r="N109" s="44"/>
      <c r="O109" s="44" t="s">
        <v>663</v>
      </c>
      <c r="P109" s="44"/>
      <c r="Q109" s="44"/>
      <c r="R109" s="44"/>
      <c r="S109" s="44"/>
      <c r="T109" s="44"/>
      <c r="U109" s="44"/>
      <c r="V109" s="44"/>
      <c r="W109" s="44"/>
      <c r="X109" s="44"/>
      <c r="Y109" s="44"/>
      <c r="Z109" s="44" t="s">
        <v>48</v>
      </c>
      <c r="AA109" s="44">
        <v>10</v>
      </c>
      <c r="AB109" s="44">
        <v>20</v>
      </c>
      <c r="AC109" s="44">
        <v>0</v>
      </c>
      <c r="AD109" s="44">
        <v>40</v>
      </c>
      <c r="AE109" s="44">
        <f>SUM(ListeInventaire642[[#This Row],[Gravité Réelle]:[Gravité potentielle]])</f>
        <v>70</v>
      </c>
      <c r="AF109" s="44" t="s">
        <v>664</v>
      </c>
      <c r="AG109" s="48"/>
    </row>
    <row r="110" spans="1:33" s="18" customFormat="1" ht="48.6" customHeight="1" x14ac:dyDescent="0.25">
      <c r="A110" s="33">
        <v>45930</v>
      </c>
      <c r="B110" s="22" t="s">
        <v>35</v>
      </c>
      <c r="C110" s="113" t="s">
        <v>673</v>
      </c>
      <c r="D110" s="23" t="s">
        <v>985</v>
      </c>
      <c r="E110" s="19" t="s">
        <v>180</v>
      </c>
      <c r="F110" s="20" t="s">
        <v>983</v>
      </c>
      <c r="G110" s="20" t="s">
        <v>984</v>
      </c>
      <c r="H110" s="19" t="s">
        <v>33</v>
      </c>
      <c r="I110" s="44"/>
      <c r="J110" s="44"/>
      <c r="K110" s="44"/>
      <c r="L110" s="44"/>
      <c r="M110" s="44"/>
      <c r="N110" s="44"/>
      <c r="O110" s="44" t="s">
        <v>663</v>
      </c>
      <c r="P110" s="44"/>
      <c r="Q110" s="44"/>
      <c r="R110" s="44"/>
      <c r="S110" s="44"/>
      <c r="T110" s="44"/>
      <c r="U110" s="44"/>
      <c r="V110" s="44"/>
      <c r="W110" s="44"/>
      <c r="X110" s="44"/>
      <c r="Y110" s="44"/>
      <c r="Z110" s="44" t="s">
        <v>48</v>
      </c>
      <c r="AA110" s="44">
        <v>10</v>
      </c>
      <c r="AB110" s="44">
        <v>20</v>
      </c>
      <c r="AC110" s="44">
        <v>0</v>
      </c>
      <c r="AD110" s="44">
        <v>10</v>
      </c>
      <c r="AE110" s="44">
        <f>SUM(ListeInventaire642[[#This Row],[Gravité Réelle]:[Gravité potentielle]])</f>
        <v>40</v>
      </c>
      <c r="AF110" s="44" t="s">
        <v>664</v>
      </c>
      <c r="AG110" s="48"/>
    </row>
    <row r="111" spans="1:33" s="18" customFormat="1" ht="48.6" customHeight="1" x14ac:dyDescent="0.25">
      <c r="A111" s="33">
        <v>45930</v>
      </c>
      <c r="B111" s="22" t="s">
        <v>35</v>
      </c>
      <c r="C111" s="113" t="s">
        <v>673</v>
      </c>
      <c r="D111" s="23" t="s">
        <v>986</v>
      </c>
      <c r="E111" s="19" t="s">
        <v>180</v>
      </c>
      <c r="F111" s="20" t="s">
        <v>983</v>
      </c>
      <c r="G111" s="20" t="s">
        <v>984</v>
      </c>
      <c r="H111" s="19" t="s">
        <v>33</v>
      </c>
      <c r="I111" s="44"/>
      <c r="J111" s="44"/>
      <c r="K111" s="44"/>
      <c r="L111" s="44"/>
      <c r="M111" s="44"/>
      <c r="N111" s="44"/>
      <c r="O111" s="44"/>
      <c r="P111" s="44"/>
      <c r="Q111" s="44"/>
      <c r="R111" s="44"/>
      <c r="S111" s="44"/>
      <c r="T111" s="44" t="s">
        <v>663</v>
      </c>
      <c r="U111" s="44"/>
      <c r="V111" s="44"/>
      <c r="W111" s="44"/>
      <c r="X111" s="44"/>
      <c r="Y111" s="44"/>
      <c r="Z111" s="44" t="s">
        <v>48</v>
      </c>
      <c r="AA111" s="44">
        <v>10</v>
      </c>
      <c r="AB111" s="44">
        <v>10</v>
      </c>
      <c r="AC111" s="44">
        <v>0</v>
      </c>
      <c r="AD111" s="44">
        <v>40</v>
      </c>
      <c r="AE111" s="44">
        <f>SUM(ListeInventaire642[[#This Row],[Gravité Réelle]:[Gravité potentielle]])</f>
        <v>60</v>
      </c>
      <c r="AF111" s="44" t="s">
        <v>664</v>
      </c>
      <c r="AG111" s="48"/>
    </row>
    <row r="112" spans="1:33" s="18" customFormat="1" ht="48.6" customHeight="1" x14ac:dyDescent="0.25">
      <c r="A112" s="33">
        <v>45930</v>
      </c>
      <c r="B112" s="22" t="s">
        <v>35</v>
      </c>
      <c r="C112" s="113" t="s">
        <v>673</v>
      </c>
      <c r="D112" s="23" t="s">
        <v>987</v>
      </c>
      <c r="E112" s="19" t="s">
        <v>180</v>
      </c>
      <c r="F112" s="20" t="s">
        <v>983</v>
      </c>
      <c r="G112" s="20" t="s">
        <v>984</v>
      </c>
      <c r="H112" s="19" t="s">
        <v>33</v>
      </c>
      <c r="I112" s="44"/>
      <c r="J112" s="44"/>
      <c r="K112" s="44"/>
      <c r="L112" s="44"/>
      <c r="M112" s="44"/>
      <c r="N112" s="44"/>
      <c r="O112" s="44"/>
      <c r="P112" s="44"/>
      <c r="Q112" s="44"/>
      <c r="R112" s="44"/>
      <c r="S112" s="44"/>
      <c r="T112" s="44" t="s">
        <v>663</v>
      </c>
      <c r="U112" s="44"/>
      <c r="V112" s="44"/>
      <c r="W112" s="44"/>
      <c r="X112" s="44"/>
      <c r="Y112" s="44"/>
      <c r="Z112" s="44" t="s">
        <v>48</v>
      </c>
      <c r="AA112" s="44">
        <v>10</v>
      </c>
      <c r="AB112" s="44">
        <v>20</v>
      </c>
      <c r="AC112" s="44">
        <v>10</v>
      </c>
      <c r="AD112" s="44">
        <v>50</v>
      </c>
      <c r="AE112" s="44">
        <f>SUM(ListeInventaire642[[#This Row],[Gravité Réelle]:[Gravité potentielle]])</f>
        <v>90</v>
      </c>
      <c r="AF112" s="44" t="s">
        <v>664</v>
      </c>
      <c r="AG112" s="48"/>
    </row>
    <row r="113" spans="1:33" s="18" customFormat="1" ht="97.9" customHeight="1" x14ac:dyDescent="0.25">
      <c r="A113" s="33">
        <v>45930</v>
      </c>
      <c r="B113" s="22" t="s">
        <v>35</v>
      </c>
      <c r="C113" s="113" t="s">
        <v>673</v>
      </c>
      <c r="D113" s="23" t="s">
        <v>988</v>
      </c>
      <c r="E113" s="19" t="s">
        <v>180</v>
      </c>
      <c r="F113" s="20" t="s">
        <v>983</v>
      </c>
      <c r="G113" s="20" t="s">
        <v>984</v>
      </c>
      <c r="H113" s="19" t="s">
        <v>33</v>
      </c>
      <c r="I113" s="44"/>
      <c r="J113" s="44"/>
      <c r="K113" s="44"/>
      <c r="L113" s="44"/>
      <c r="M113" s="44"/>
      <c r="N113" s="44"/>
      <c r="O113" s="44"/>
      <c r="P113" s="44"/>
      <c r="Q113" s="44"/>
      <c r="R113" s="44"/>
      <c r="S113" s="44"/>
      <c r="T113" s="44"/>
      <c r="U113" s="44"/>
      <c r="V113" s="44" t="s">
        <v>663</v>
      </c>
      <c r="W113" s="44"/>
      <c r="X113" s="44"/>
      <c r="Y113" s="44"/>
      <c r="Z113" s="44" t="s">
        <v>48</v>
      </c>
      <c r="AA113" s="44">
        <v>10</v>
      </c>
      <c r="AB113" s="44">
        <v>30</v>
      </c>
      <c r="AC113" s="44">
        <v>0</v>
      </c>
      <c r="AD113" s="44">
        <v>30</v>
      </c>
      <c r="AE113" s="44">
        <f>SUM(ListeInventaire642[[#This Row],[Gravité Réelle]:[Gravité potentielle]])</f>
        <v>70</v>
      </c>
      <c r="AF113" s="44" t="s">
        <v>664</v>
      </c>
      <c r="AG113" s="48"/>
    </row>
    <row r="114" spans="1:33" s="18" customFormat="1" ht="34.5" x14ac:dyDescent="0.25">
      <c r="A114" s="33">
        <v>45930</v>
      </c>
      <c r="B114" s="22" t="s">
        <v>35</v>
      </c>
      <c r="C114" s="113" t="s">
        <v>673</v>
      </c>
      <c r="D114" s="23" t="s">
        <v>989</v>
      </c>
      <c r="E114" s="19" t="s">
        <v>180</v>
      </c>
      <c r="F114" s="20" t="s">
        <v>983</v>
      </c>
      <c r="G114" s="20" t="s">
        <v>984</v>
      </c>
      <c r="H114" s="19" t="s">
        <v>33</v>
      </c>
      <c r="I114" s="44"/>
      <c r="J114" s="44"/>
      <c r="K114" s="44" t="s">
        <v>663</v>
      </c>
      <c r="L114" s="44"/>
      <c r="M114" s="44"/>
      <c r="N114" s="44"/>
      <c r="O114" s="44"/>
      <c r="P114" s="44"/>
      <c r="Q114" s="44"/>
      <c r="R114" s="44"/>
      <c r="S114" s="44"/>
      <c r="T114" s="44"/>
      <c r="U114" s="44"/>
      <c r="V114" s="44"/>
      <c r="W114" s="44"/>
      <c r="X114" s="44"/>
      <c r="Y114" s="44"/>
      <c r="Z114" s="44" t="s">
        <v>39</v>
      </c>
      <c r="AA114" s="44">
        <v>10</v>
      </c>
      <c r="AB114" s="44">
        <v>20</v>
      </c>
      <c r="AC114" s="44">
        <v>0</v>
      </c>
      <c r="AD114" s="44">
        <v>50</v>
      </c>
      <c r="AE114" s="44">
        <f>SUM(ListeInventaire642[[#This Row],[Gravité Réelle]:[Gravité potentielle]])</f>
        <v>80</v>
      </c>
      <c r="AF114" s="44" t="s">
        <v>664</v>
      </c>
      <c r="AG114" s="48"/>
    </row>
    <row r="115" spans="1:33" s="18" customFormat="1" ht="48.6" customHeight="1" x14ac:dyDescent="0.25">
      <c r="A115" s="33">
        <v>45930</v>
      </c>
      <c r="B115" s="22" t="s">
        <v>35</v>
      </c>
      <c r="C115" s="113" t="s">
        <v>673</v>
      </c>
      <c r="D115" s="23" t="s">
        <v>990</v>
      </c>
      <c r="E115" s="19" t="s">
        <v>180</v>
      </c>
      <c r="F115" s="20" t="s">
        <v>983</v>
      </c>
      <c r="G115" s="20" t="s">
        <v>984</v>
      </c>
      <c r="H115" s="19" t="s">
        <v>33</v>
      </c>
      <c r="I115" s="44"/>
      <c r="J115" s="44"/>
      <c r="K115" s="44"/>
      <c r="L115" s="44"/>
      <c r="M115" s="44"/>
      <c r="N115" s="44"/>
      <c r="O115" s="44" t="s">
        <v>663</v>
      </c>
      <c r="P115" s="44"/>
      <c r="Q115" s="44"/>
      <c r="R115" s="44"/>
      <c r="S115" s="44"/>
      <c r="T115" s="44"/>
      <c r="U115" s="44"/>
      <c r="V115" s="44"/>
      <c r="W115" s="44"/>
      <c r="X115" s="44"/>
      <c r="Y115" s="44"/>
      <c r="Z115" s="44" t="s">
        <v>48</v>
      </c>
      <c r="AA115" s="44">
        <v>10</v>
      </c>
      <c r="AB115" s="44">
        <v>20</v>
      </c>
      <c r="AC115" s="44">
        <v>0</v>
      </c>
      <c r="AD115" s="44">
        <v>50</v>
      </c>
      <c r="AE115" s="44">
        <f>SUM(ListeInventaire642[[#This Row],[Gravité Réelle]:[Gravité potentielle]])</f>
        <v>80</v>
      </c>
      <c r="AF115" s="44" t="s">
        <v>664</v>
      </c>
      <c r="AG115" s="48"/>
    </row>
    <row r="116" spans="1:33" s="18" customFormat="1" ht="48.6" customHeight="1" x14ac:dyDescent="0.25">
      <c r="A116" s="33">
        <v>45930</v>
      </c>
      <c r="B116" s="22" t="s">
        <v>35</v>
      </c>
      <c r="C116" s="113" t="s">
        <v>673</v>
      </c>
      <c r="D116" s="23" t="s">
        <v>991</v>
      </c>
      <c r="E116" s="19" t="s">
        <v>180</v>
      </c>
      <c r="F116" s="20" t="s">
        <v>983</v>
      </c>
      <c r="G116" s="20" t="s">
        <v>984</v>
      </c>
      <c r="H116" s="19" t="s">
        <v>33</v>
      </c>
      <c r="I116" s="44"/>
      <c r="J116" s="44"/>
      <c r="K116" s="44"/>
      <c r="L116" s="44"/>
      <c r="M116" s="44"/>
      <c r="N116" s="44"/>
      <c r="O116" s="44" t="s">
        <v>663</v>
      </c>
      <c r="P116" s="44"/>
      <c r="Q116" s="44"/>
      <c r="R116" s="44"/>
      <c r="S116" s="44"/>
      <c r="T116" s="44"/>
      <c r="U116" s="44"/>
      <c r="V116" s="44"/>
      <c r="W116" s="44"/>
      <c r="X116" s="44"/>
      <c r="Y116" s="44"/>
      <c r="Z116" s="44" t="s">
        <v>48</v>
      </c>
      <c r="AA116" s="44">
        <v>10</v>
      </c>
      <c r="AB116" s="44">
        <v>10</v>
      </c>
      <c r="AC116" s="44">
        <v>0</v>
      </c>
      <c r="AD116" s="44">
        <v>20</v>
      </c>
      <c r="AE116" s="44">
        <f>SUM(ListeInventaire642[[#This Row],[Gravité Réelle]:[Gravité potentielle]])</f>
        <v>40</v>
      </c>
      <c r="AF116" s="44" t="s">
        <v>664</v>
      </c>
      <c r="AG116" s="48"/>
    </row>
    <row r="117" spans="1:33" s="18" customFormat="1" ht="48.6" customHeight="1" x14ac:dyDescent="0.25">
      <c r="A117" s="33">
        <v>45938</v>
      </c>
      <c r="B117" s="22" t="s">
        <v>60</v>
      </c>
      <c r="C117" s="113" t="s">
        <v>658</v>
      </c>
      <c r="D117" s="23" t="s">
        <v>992</v>
      </c>
      <c r="E117" s="19" t="s">
        <v>891</v>
      </c>
      <c r="F117" s="20" t="s">
        <v>993</v>
      </c>
      <c r="G117" s="20" t="s">
        <v>739</v>
      </c>
      <c r="H117" s="19" t="s">
        <v>33</v>
      </c>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f>SUM(ListeInventaire642[[#This Row],[Gravité Réelle]:[Gravité potentielle]])</f>
        <v>0</v>
      </c>
      <c r="AF117" s="44" t="s">
        <v>664</v>
      </c>
      <c r="AG117" s="48"/>
    </row>
    <row r="118" spans="1:33" s="18" customFormat="1" ht="48.6" customHeight="1" x14ac:dyDescent="0.25">
      <c r="A118" s="33">
        <v>45943</v>
      </c>
      <c r="B118" s="22" t="s">
        <v>35</v>
      </c>
      <c r="C118" s="113" t="s">
        <v>673</v>
      </c>
      <c r="D118" s="23" t="s">
        <v>994</v>
      </c>
      <c r="E118" s="19" t="s">
        <v>995</v>
      </c>
      <c r="F118" s="20" t="s">
        <v>996</v>
      </c>
      <c r="G118" s="20" t="s">
        <v>997</v>
      </c>
      <c r="H118" s="19" t="s">
        <v>33</v>
      </c>
      <c r="I118" s="44"/>
      <c r="J118" s="44"/>
      <c r="K118" s="44"/>
      <c r="L118" s="44"/>
      <c r="M118" s="44"/>
      <c r="N118" s="44"/>
      <c r="O118" s="44"/>
      <c r="P118" s="44"/>
      <c r="Q118" s="44"/>
      <c r="R118" s="44" t="s">
        <v>663</v>
      </c>
      <c r="S118" s="44"/>
      <c r="T118" s="44"/>
      <c r="U118" s="44"/>
      <c r="V118" s="44"/>
      <c r="W118" s="44"/>
      <c r="X118" s="44"/>
      <c r="Y118" s="44"/>
      <c r="Z118" s="44" t="s">
        <v>48</v>
      </c>
      <c r="AA118" s="44">
        <v>10</v>
      </c>
      <c r="AB118" s="44">
        <v>30</v>
      </c>
      <c r="AC118" s="44">
        <v>0</v>
      </c>
      <c r="AD118" s="44">
        <v>10</v>
      </c>
      <c r="AE118" s="44">
        <f>SUM(ListeInventaire642[[#This Row],[Gravité Réelle]:[Gravité potentielle]])</f>
        <v>50</v>
      </c>
      <c r="AF118" s="44" t="s">
        <v>664</v>
      </c>
      <c r="AG118" s="48"/>
    </row>
    <row r="119" spans="1:33" s="18" customFormat="1" ht="48.6" customHeight="1" x14ac:dyDescent="0.25">
      <c r="A119" s="33">
        <v>45943</v>
      </c>
      <c r="B119" s="22" t="s">
        <v>35</v>
      </c>
      <c r="C119" s="113" t="s">
        <v>658</v>
      </c>
      <c r="D119" s="23" t="s">
        <v>998</v>
      </c>
      <c r="E119" s="19" t="s">
        <v>995</v>
      </c>
      <c r="F119" s="20" t="s">
        <v>999</v>
      </c>
      <c r="G119" s="20" t="s">
        <v>997</v>
      </c>
      <c r="H119" s="19" t="s">
        <v>33</v>
      </c>
      <c r="I119" s="44"/>
      <c r="J119" s="44"/>
      <c r="K119" s="44"/>
      <c r="L119" s="44"/>
      <c r="M119" s="44"/>
      <c r="N119" s="44"/>
      <c r="O119" s="44" t="s">
        <v>663</v>
      </c>
      <c r="P119" s="44"/>
      <c r="Q119" s="44"/>
      <c r="R119" s="44"/>
      <c r="S119" s="44"/>
      <c r="T119" s="44"/>
      <c r="U119" s="44"/>
      <c r="V119" s="44"/>
      <c r="W119" s="44"/>
      <c r="X119" s="44"/>
      <c r="Y119" s="44"/>
      <c r="Z119" s="44" t="s">
        <v>48</v>
      </c>
      <c r="AA119" s="44">
        <v>30</v>
      </c>
      <c r="AB119" s="44">
        <v>10</v>
      </c>
      <c r="AC119" s="44">
        <v>0</v>
      </c>
      <c r="AD119" s="44">
        <v>30</v>
      </c>
      <c r="AE119" s="44">
        <f>SUM(ListeInventaire642[[#This Row],[Gravité Réelle]:[Gravité potentielle]])</f>
        <v>70</v>
      </c>
      <c r="AF119" s="44" t="s">
        <v>664</v>
      </c>
      <c r="AG119" s="48"/>
    </row>
    <row r="120" spans="1:33" s="18" customFormat="1" ht="48.6" customHeight="1" x14ac:dyDescent="0.25">
      <c r="A120" s="33">
        <v>45944</v>
      </c>
      <c r="B120" s="22" t="s">
        <v>35</v>
      </c>
      <c r="C120" s="113" t="s">
        <v>658</v>
      </c>
      <c r="D120" s="23" t="s">
        <v>1000</v>
      </c>
      <c r="E120" s="19" t="s">
        <v>43</v>
      </c>
      <c r="F120" s="19" t="s">
        <v>1001</v>
      </c>
      <c r="G120" s="19" t="s">
        <v>919</v>
      </c>
      <c r="H120" s="19" t="s">
        <v>33</v>
      </c>
      <c r="I120" s="44"/>
      <c r="J120" s="44"/>
      <c r="K120" s="44"/>
      <c r="L120" s="44"/>
      <c r="M120" s="44"/>
      <c r="N120" s="44"/>
      <c r="O120" s="44"/>
      <c r="P120" s="44"/>
      <c r="Q120" s="44"/>
      <c r="R120" s="44"/>
      <c r="S120" s="44"/>
      <c r="T120" s="44"/>
      <c r="U120" s="44" t="s">
        <v>663</v>
      </c>
      <c r="V120" s="44"/>
      <c r="W120" s="44"/>
      <c r="X120" s="44" t="s">
        <v>663</v>
      </c>
      <c r="Y120" s="44"/>
      <c r="Z120" s="44" t="s">
        <v>48</v>
      </c>
      <c r="AA120" s="44">
        <v>30</v>
      </c>
      <c r="AB120" s="44">
        <v>20</v>
      </c>
      <c r="AC120" s="44">
        <v>10</v>
      </c>
      <c r="AD120" s="44">
        <v>50</v>
      </c>
      <c r="AE120" s="44">
        <f>SUM(ListeInventaire642[[#This Row],[Gravité Réelle]:[Gravité potentielle]])</f>
        <v>110</v>
      </c>
      <c r="AF120" s="44" t="s">
        <v>664</v>
      </c>
      <c r="AG120" s="48"/>
    </row>
    <row r="121" spans="1:33" s="18" customFormat="1" ht="53.65" customHeight="1" x14ac:dyDescent="0.25">
      <c r="A121" s="33">
        <v>45944</v>
      </c>
      <c r="B121" s="22" t="s">
        <v>35</v>
      </c>
      <c r="C121" s="113" t="s">
        <v>673</v>
      </c>
      <c r="D121" s="23" t="s">
        <v>1002</v>
      </c>
      <c r="E121" s="19" t="s">
        <v>1003</v>
      </c>
      <c r="F121" s="20" t="s">
        <v>1004</v>
      </c>
      <c r="G121" s="20" t="s">
        <v>1005</v>
      </c>
      <c r="H121" s="19" t="s">
        <v>33</v>
      </c>
      <c r="I121" s="44"/>
      <c r="J121" s="44"/>
      <c r="K121" s="44"/>
      <c r="L121" s="44"/>
      <c r="M121" s="44"/>
      <c r="N121" s="44"/>
      <c r="O121" s="44"/>
      <c r="P121" s="44"/>
      <c r="Q121" s="44" t="s">
        <v>663</v>
      </c>
      <c r="R121" s="44"/>
      <c r="S121" s="44"/>
      <c r="T121" s="44"/>
      <c r="U121" s="44" t="s">
        <v>663</v>
      </c>
      <c r="V121" s="44"/>
      <c r="W121" s="44"/>
      <c r="X121" s="44"/>
      <c r="Y121" s="44"/>
      <c r="Z121" s="44" t="s">
        <v>48</v>
      </c>
      <c r="AA121" s="44">
        <v>10</v>
      </c>
      <c r="AB121" s="44">
        <v>20</v>
      </c>
      <c r="AC121" s="44">
        <v>0</v>
      </c>
      <c r="AD121" s="44">
        <v>20</v>
      </c>
      <c r="AE121" s="44">
        <f>SUM(ListeInventaire642[[#This Row],[Gravité Réelle]:[Gravité potentielle]])</f>
        <v>50</v>
      </c>
      <c r="AF121" s="44" t="s">
        <v>664</v>
      </c>
      <c r="AG121" s="48"/>
    </row>
    <row r="122" spans="1:33" s="18" customFormat="1" ht="34.5" x14ac:dyDescent="0.25">
      <c r="A122" s="33">
        <v>45946</v>
      </c>
      <c r="B122" s="22" t="s">
        <v>51</v>
      </c>
      <c r="C122" s="113" t="s">
        <v>673</v>
      </c>
      <c r="D122" s="23" t="s">
        <v>1006</v>
      </c>
      <c r="E122" s="19" t="s">
        <v>946</v>
      </c>
      <c r="F122" s="23" t="s">
        <v>1007</v>
      </c>
      <c r="G122" s="22" t="s">
        <v>948</v>
      </c>
      <c r="H122" s="22" t="s">
        <v>33</v>
      </c>
      <c r="I122" s="44"/>
      <c r="J122" s="44"/>
      <c r="K122" s="44"/>
      <c r="L122" s="44"/>
      <c r="M122" s="44"/>
      <c r="N122" s="44"/>
      <c r="O122" s="44"/>
      <c r="P122" s="44"/>
      <c r="Q122" s="44"/>
      <c r="R122" s="44"/>
      <c r="S122" s="44"/>
      <c r="T122" s="44"/>
      <c r="U122" s="44"/>
      <c r="V122" s="44"/>
      <c r="W122" s="44"/>
      <c r="X122" s="44"/>
      <c r="Y122" s="44" t="s">
        <v>663</v>
      </c>
      <c r="Z122" s="44" t="s">
        <v>48</v>
      </c>
      <c r="AA122" s="44">
        <v>10</v>
      </c>
      <c r="AB122" s="44">
        <v>20</v>
      </c>
      <c r="AC122" s="44">
        <v>0</v>
      </c>
      <c r="AD122" s="44">
        <v>20</v>
      </c>
      <c r="AE122" s="44">
        <f>SUM(ListeInventaire642[[#This Row],[Gravité Réelle]:[Gravité potentielle]])</f>
        <v>50</v>
      </c>
      <c r="AF122" s="44" t="s">
        <v>664</v>
      </c>
      <c r="AG122" s="48"/>
    </row>
    <row r="123" spans="1:33" s="18" customFormat="1" ht="53.65" customHeight="1" x14ac:dyDescent="0.25">
      <c r="A123" s="33">
        <v>45947</v>
      </c>
      <c r="B123" s="22" t="s">
        <v>668</v>
      </c>
      <c r="C123" s="113" t="s">
        <v>673</v>
      </c>
      <c r="D123" s="23" t="s">
        <v>1008</v>
      </c>
      <c r="E123" s="19" t="s">
        <v>1009</v>
      </c>
      <c r="F123" s="20" t="s">
        <v>1010</v>
      </c>
      <c r="G123" s="20" t="s">
        <v>693</v>
      </c>
      <c r="H123" s="19" t="s">
        <v>501</v>
      </c>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f>SUM(ListeInventaire642[[#This Row],[Gravité Réelle]:[Gravité potentielle]])</f>
        <v>0</v>
      </c>
      <c r="AF123" s="44" t="s">
        <v>664</v>
      </c>
      <c r="AG123" s="48"/>
    </row>
    <row r="124" spans="1:33" s="18" customFormat="1" ht="69" x14ac:dyDescent="0.25">
      <c r="A124" s="33">
        <v>45947</v>
      </c>
      <c r="B124" s="22" t="s">
        <v>35</v>
      </c>
      <c r="C124" s="113" t="s">
        <v>673</v>
      </c>
      <c r="D124" s="23" t="s">
        <v>1011</v>
      </c>
      <c r="E124" s="19" t="s">
        <v>132</v>
      </c>
      <c r="F124" s="20" t="s">
        <v>1012</v>
      </c>
      <c r="G124" s="20" t="s">
        <v>679</v>
      </c>
      <c r="H124" s="19" t="s">
        <v>33</v>
      </c>
      <c r="I124" s="44"/>
      <c r="J124" s="44"/>
      <c r="K124" s="44"/>
      <c r="L124" s="44"/>
      <c r="M124" s="44"/>
      <c r="N124" s="44"/>
      <c r="O124" s="44"/>
      <c r="P124" s="44"/>
      <c r="Q124" s="44"/>
      <c r="R124" s="44"/>
      <c r="S124" s="44"/>
      <c r="T124" s="44"/>
      <c r="U124" s="44"/>
      <c r="V124" s="44"/>
      <c r="W124" s="44"/>
      <c r="X124" s="44" t="s">
        <v>663</v>
      </c>
      <c r="Y124" s="44"/>
      <c r="Z124" s="44" t="s">
        <v>48</v>
      </c>
      <c r="AA124" s="44">
        <v>10</v>
      </c>
      <c r="AB124" s="44">
        <v>30</v>
      </c>
      <c r="AC124" s="44">
        <v>20</v>
      </c>
      <c r="AD124" s="44">
        <v>50</v>
      </c>
      <c r="AE124" s="44">
        <f>SUM(ListeInventaire642[[#This Row],[Gravité Réelle]:[Gravité potentielle]])</f>
        <v>110</v>
      </c>
      <c r="AF124" s="44" t="s">
        <v>664</v>
      </c>
      <c r="AG124" s="48"/>
    </row>
    <row r="125" spans="1:33" s="18" customFormat="1" ht="86.25" x14ac:dyDescent="0.25">
      <c r="A125" s="33">
        <v>45951</v>
      </c>
      <c r="B125" s="22" t="s">
        <v>60</v>
      </c>
      <c r="C125" s="113" t="s">
        <v>673</v>
      </c>
      <c r="D125" s="23" t="s">
        <v>1013</v>
      </c>
      <c r="E125" s="19" t="s">
        <v>685</v>
      </c>
      <c r="F125" s="20" t="s">
        <v>1014</v>
      </c>
      <c r="G125" s="20" t="s">
        <v>735</v>
      </c>
      <c r="H125" s="19" t="s">
        <v>97</v>
      </c>
      <c r="I125" s="44"/>
      <c r="J125" s="44"/>
      <c r="K125" s="44"/>
      <c r="L125" s="44"/>
      <c r="M125" s="44"/>
      <c r="N125" s="44"/>
      <c r="O125" s="44" t="s">
        <v>663</v>
      </c>
      <c r="P125" s="44"/>
      <c r="Q125" s="44"/>
      <c r="R125" s="44"/>
      <c r="S125" s="44"/>
      <c r="T125" s="44"/>
      <c r="U125" s="44"/>
      <c r="V125" s="44"/>
      <c r="W125" s="44"/>
      <c r="X125" s="44"/>
      <c r="Y125" s="44"/>
      <c r="Z125" s="44" t="s">
        <v>48</v>
      </c>
      <c r="AA125" s="44">
        <v>10</v>
      </c>
      <c r="AB125" s="44">
        <v>20</v>
      </c>
      <c r="AC125" s="44">
        <v>10</v>
      </c>
      <c r="AD125" s="44">
        <v>20</v>
      </c>
      <c r="AE125" s="44">
        <f>SUM(ListeInventaire642[[#This Row],[Gravité Réelle]:[Gravité potentielle]])</f>
        <v>60</v>
      </c>
      <c r="AF125" s="44" t="s">
        <v>664</v>
      </c>
      <c r="AG125" s="48"/>
    </row>
    <row r="126" spans="1:33" s="18" customFormat="1" ht="86.25" x14ac:dyDescent="0.25">
      <c r="A126" s="33">
        <v>45951</v>
      </c>
      <c r="B126" s="22" t="s">
        <v>51</v>
      </c>
      <c r="C126" s="113" t="s">
        <v>658</v>
      </c>
      <c r="D126" s="23" t="s">
        <v>1015</v>
      </c>
      <c r="E126" s="19" t="s">
        <v>775</v>
      </c>
      <c r="F126" s="20" t="s">
        <v>1016</v>
      </c>
      <c r="G126" s="20" t="s">
        <v>780</v>
      </c>
      <c r="H126" s="19" t="s">
        <v>33</v>
      </c>
      <c r="I126" s="44"/>
      <c r="J126" s="44"/>
      <c r="K126" s="44"/>
      <c r="L126" s="44"/>
      <c r="M126" s="44"/>
      <c r="N126" s="44"/>
      <c r="O126" s="44"/>
      <c r="P126" s="44"/>
      <c r="Q126" s="44"/>
      <c r="R126" s="44"/>
      <c r="S126" s="44"/>
      <c r="T126" s="44"/>
      <c r="U126" s="44"/>
      <c r="V126" s="44"/>
      <c r="W126" s="44"/>
      <c r="X126" s="44"/>
      <c r="Y126" s="44" t="s">
        <v>663</v>
      </c>
      <c r="Z126" s="44" t="s">
        <v>48</v>
      </c>
      <c r="AA126" s="44">
        <v>10</v>
      </c>
      <c r="AB126" s="44">
        <v>20</v>
      </c>
      <c r="AC126" s="44">
        <v>30</v>
      </c>
      <c r="AD126" s="44">
        <v>50</v>
      </c>
      <c r="AE126" s="44">
        <f>SUM(ListeInventaire642[[#This Row],[Gravité Réelle]:[Gravité potentielle]])</f>
        <v>110</v>
      </c>
      <c r="AF126" s="44" t="s">
        <v>664</v>
      </c>
      <c r="AG126" s="48"/>
    </row>
    <row r="127" spans="1:33" s="18" customFormat="1" ht="66" x14ac:dyDescent="0.25">
      <c r="A127" s="33">
        <v>45954</v>
      </c>
      <c r="B127" s="22" t="s">
        <v>35</v>
      </c>
      <c r="C127" s="113" t="s">
        <v>658</v>
      </c>
      <c r="D127" s="220" t="s">
        <v>1017</v>
      </c>
      <c r="E127" s="19" t="s">
        <v>43</v>
      </c>
      <c r="F127" s="20" t="s">
        <v>1018</v>
      </c>
      <c r="G127" s="20" t="s">
        <v>1019</v>
      </c>
      <c r="H127" s="19" t="s">
        <v>33</v>
      </c>
      <c r="I127" s="44"/>
      <c r="J127" s="44"/>
      <c r="K127" s="44"/>
      <c r="L127" s="44"/>
      <c r="M127" s="44"/>
      <c r="N127" s="44"/>
      <c r="O127" s="44"/>
      <c r="P127" s="44"/>
      <c r="Q127" s="44"/>
      <c r="R127" s="44"/>
      <c r="S127" s="44"/>
      <c r="T127" s="44"/>
      <c r="U127" s="44"/>
      <c r="V127" s="44"/>
      <c r="W127" s="44"/>
      <c r="X127" s="44" t="s">
        <v>663</v>
      </c>
      <c r="Y127" s="44"/>
      <c r="Z127" s="44" t="s">
        <v>48</v>
      </c>
      <c r="AA127" s="44">
        <v>10</v>
      </c>
      <c r="AB127" s="44">
        <v>30</v>
      </c>
      <c r="AC127" s="44">
        <v>30</v>
      </c>
      <c r="AD127" s="44">
        <v>20</v>
      </c>
      <c r="AE127" s="44">
        <f>SUM(ListeInventaire642[[#This Row],[Gravité Réelle]:[Gravité potentielle]])</f>
        <v>90</v>
      </c>
      <c r="AF127" s="44" t="s">
        <v>664</v>
      </c>
      <c r="AG127" s="48"/>
    </row>
    <row r="128" spans="1:33" s="18" customFormat="1" ht="53.65" customHeight="1" x14ac:dyDescent="0.25">
      <c r="A128" s="33">
        <v>45957</v>
      </c>
      <c r="B128" s="22" t="s">
        <v>668</v>
      </c>
      <c r="C128" s="113" t="s">
        <v>673</v>
      </c>
      <c r="D128" s="23" t="s">
        <v>1020</v>
      </c>
      <c r="E128" s="19" t="s">
        <v>1021</v>
      </c>
      <c r="F128" s="20" t="s">
        <v>1022</v>
      </c>
      <c r="G128" s="20" t="s">
        <v>1023</v>
      </c>
      <c r="H128" s="19" t="s">
        <v>33</v>
      </c>
      <c r="I128" s="44"/>
      <c r="J128" s="44"/>
      <c r="K128" s="44"/>
      <c r="L128" s="44"/>
      <c r="M128" s="44"/>
      <c r="N128" s="44"/>
      <c r="O128" s="44"/>
      <c r="P128" s="44"/>
      <c r="Q128" s="44"/>
      <c r="R128" s="44"/>
      <c r="S128" s="44"/>
      <c r="T128" s="44"/>
      <c r="U128" s="44"/>
      <c r="V128" s="44"/>
      <c r="W128" s="44"/>
      <c r="X128" s="44"/>
      <c r="Y128" s="44" t="s">
        <v>663</v>
      </c>
      <c r="Z128" s="44" t="s">
        <v>48</v>
      </c>
      <c r="AA128" s="44">
        <v>10</v>
      </c>
      <c r="AB128" s="44">
        <v>20</v>
      </c>
      <c r="AC128" s="44">
        <v>20</v>
      </c>
      <c r="AD128" s="44">
        <v>50</v>
      </c>
      <c r="AE128" s="44">
        <f>SUM(ListeInventaire642[[#This Row],[Gravité Réelle]:[Gravité potentielle]])</f>
        <v>100</v>
      </c>
      <c r="AF128" s="44" t="s">
        <v>664</v>
      </c>
      <c r="AG128" s="48"/>
    </row>
    <row r="129" spans="1:33" s="18" customFormat="1" ht="34.5" x14ac:dyDescent="0.25">
      <c r="A129" s="33">
        <v>45958</v>
      </c>
      <c r="B129" s="22" t="s">
        <v>86</v>
      </c>
      <c r="C129" s="113" t="s">
        <v>673</v>
      </c>
      <c r="D129" s="23" t="s">
        <v>1024</v>
      </c>
      <c r="E129" s="19" t="s">
        <v>1025</v>
      </c>
      <c r="F129" s="20" t="s">
        <v>1026</v>
      </c>
      <c r="G129" s="20" t="s">
        <v>1027</v>
      </c>
      <c r="H129" s="19" t="s">
        <v>86</v>
      </c>
      <c r="I129" s="44"/>
      <c r="J129" s="44"/>
      <c r="K129" s="44"/>
      <c r="L129" s="44"/>
      <c r="M129" s="44"/>
      <c r="N129" s="44" t="s">
        <v>663</v>
      </c>
      <c r="O129" s="44" t="s">
        <v>663</v>
      </c>
      <c r="P129" s="44"/>
      <c r="Q129" s="44"/>
      <c r="R129" s="44"/>
      <c r="S129" s="44"/>
      <c r="T129" s="44"/>
      <c r="U129" s="44"/>
      <c r="V129" s="44"/>
      <c r="W129" s="44"/>
      <c r="X129" s="44"/>
      <c r="Y129" s="44"/>
      <c r="Z129" s="44" t="s">
        <v>48</v>
      </c>
      <c r="AA129" s="44">
        <v>10</v>
      </c>
      <c r="AB129" s="44">
        <v>10</v>
      </c>
      <c r="AC129" s="44">
        <v>10</v>
      </c>
      <c r="AD129" s="44">
        <v>20</v>
      </c>
      <c r="AE129" s="44">
        <f>SUM(ListeInventaire642[[#This Row],[Gravité Réelle]:[Gravité potentielle]])</f>
        <v>50</v>
      </c>
      <c r="AF129" s="44" t="s">
        <v>664</v>
      </c>
      <c r="AG129" s="48"/>
    </row>
    <row r="130" spans="1:33" s="18" customFormat="1" ht="173.1" customHeight="1" x14ac:dyDescent="0.25">
      <c r="A130" s="33">
        <v>45958</v>
      </c>
      <c r="B130" s="22" t="s">
        <v>35</v>
      </c>
      <c r="C130" s="113" t="s">
        <v>658</v>
      </c>
      <c r="D130" s="23" t="s">
        <v>1028</v>
      </c>
      <c r="E130" s="19" t="s">
        <v>1029</v>
      </c>
      <c r="F130" s="20" t="s">
        <v>1030</v>
      </c>
      <c r="G130" s="20" t="s">
        <v>1031</v>
      </c>
      <c r="H130" s="19" t="s">
        <v>33</v>
      </c>
      <c r="I130" s="44"/>
      <c r="J130" s="44"/>
      <c r="K130" s="44"/>
      <c r="L130" s="44"/>
      <c r="M130" s="44"/>
      <c r="N130" s="44"/>
      <c r="O130" s="44"/>
      <c r="P130" s="44"/>
      <c r="Q130" s="44"/>
      <c r="R130" s="44"/>
      <c r="S130" s="44"/>
      <c r="T130" s="44"/>
      <c r="U130" s="44" t="s">
        <v>663</v>
      </c>
      <c r="V130" s="44"/>
      <c r="W130" s="44"/>
      <c r="X130" s="44"/>
      <c r="Y130" s="44"/>
      <c r="Z130" s="44" t="s">
        <v>48</v>
      </c>
      <c r="AA130" s="44">
        <v>30</v>
      </c>
      <c r="AB130" s="44">
        <v>10</v>
      </c>
      <c r="AC130" s="44">
        <v>0</v>
      </c>
      <c r="AD130" s="44">
        <v>50</v>
      </c>
      <c r="AE130" s="44">
        <f>SUM(ListeInventaire642[[#This Row],[Gravité Réelle]:[Gravité potentielle]])</f>
        <v>90</v>
      </c>
      <c r="AF130" s="44" t="s">
        <v>714</v>
      </c>
      <c r="AG130" s="48" t="s">
        <v>1032</v>
      </c>
    </row>
    <row r="131" spans="1:33" s="18" customFormat="1" ht="17.25" x14ac:dyDescent="0.25">
      <c r="A131" s="33">
        <v>45959</v>
      </c>
      <c r="B131" s="22" t="s">
        <v>35</v>
      </c>
      <c r="C131" s="113" t="s">
        <v>673</v>
      </c>
      <c r="D131" s="23" t="s">
        <v>1033</v>
      </c>
      <c r="E131" s="19" t="s">
        <v>971</v>
      </c>
      <c r="F131" s="20" t="s">
        <v>1034</v>
      </c>
      <c r="G131" s="20" t="s">
        <v>1035</v>
      </c>
      <c r="H131" s="19" t="s">
        <v>33</v>
      </c>
      <c r="I131" s="44"/>
      <c r="J131" s="44"/>
      <c r="K131" s="44"/>
      <c r="L131" s="44"/>
      <c r="M131" s="44"/>
      <c r="N131" s="44"/>
      <c r="O131" s="44"/>
      <c r="P131" s="44"/>
      <c r="Q131" s="44"/>
      <c r="R131" s="44"/>
      <c r="S131" s="44"/>
      <c r="T131" s="44"/>
      <c r="U131" s="44"/>
      <c r="V131" s="44"/>
      <c r="W131" s="44"/>
      <c r="X131" s="44" t="s">
        <v>663</v>
      </c>
      <c r="Y131" s="44"/>
      <c r="Z131" s="44" t="s">
        <v>48</v>
      </c>
      <c r="AA131" s="44">
        <v>10</v>
      </c>
      <c r="AB131" s="44">
        <v>30</v>
      </c>
      <c r="AC131" s="44">
        <v>20</v>
      </c>
      <c r="AD131" s="44">
        <v>20</v>
      </c>
      <c r="AE131" s="44">
        <f>SUM(ListeInventaire642[[#This Row],[Gravité Réelle]:[Gravité potentielle]])</f>
        <v>80</v>
      </c>
      <c r="AF131" s="44" t="s">
        <v>664</v>
      </c>
      <c r="AG131" s="48"/>
    </row>
    <row r="132" spans="1:33" s="18" customFormat="1" ht="146.25" customHeight="1" x14ac:dyDescent="0.25">
      <c r="A132" s="33">
        <v>45959</v>
      </c>
      <c r="B132" s="22" t="s">
        <v>51</v>
      </c>
      <c r="C132" s="113" t="s">
        <v>658</v>
      </c>
      <c r="D132" s="220" t="s">
        <v>1036</v>
      </c>
      <c r="E132" s="19" t="s">
        <v>775</v>
      </c>
      <c r="F132" s="20" t="s">
        <v>1037</v>
      </c>
      <c r="G132" s="20" t="s">
        <v>780</v>
      </c>
      <c r="H132" s="19" t="s">
        <v>33</v>
      </c>
      <c r="I132" s="44"/>
      <c r="J132" s="44"/>
      <c r="K132" s="44"/>
      <c r="L132" s="44"/>
      <c r="M132" s="44"/>
      <c r="N132" s="44"/>
      <c r="O132" s="44"/>
      <c r="P132" s="44"/>
      <c r="Q132" s="44"/>
      <c r="R132" s="44"/>
      <c r="S132" s="44"/>
      <c r="T132" s="44"/>
      <c r="U132" s="44"/>
      <c r="V132" s="44"/>
      <c r="W132" s="44"/>
      <c r="X132" s="44" t="s">
        <v>663</v>
      </c>
      <c r="Y132" s="44"/>
      <c r="Z132" s="44" t="s">
        <v>48</v>
      </c>
      <c r="AA132" s="44">
        <v>10</v>
      </c>
      <c r="AB132" s="44">
        <v>30</v>
      </c>
      <c r="AC132" s="44">
        <v>30</v>
      </c>
      <c r="AD132" s="44">
        <v>20</v>
      </c>
      <c r="AE132" s="44">
        <f>SUM(ListeInventaire642[[#This Row],[Gravité Réelle]:[Gravité potentielle]])</f>
        <v>90</v>
      </c>
      <c r="AF132" s="44" t="s">
        <v>664</v>
      </c>
      <c r="AG132" s="48"/>
    </row>
    <row r="133" spans="1:33" s="18" customFormat="1" ht="48.6" customHeight="1" x14ac:dyDescent="0.25">
      <c r="A133" s="33">
        <v>45960</v>
      </c>
      <c r="B133" s="22" t="s">
        <v>668</v>
      </c>
      <c r="C133" s="113" t="s">
        <v>658</v>
      </c>
      <c r="D133" s="220" t="s">
        <v>1038</v>
      </c>
      <c r="E133" s="19" t="s">
        <v>891</v>
      </c>
      <c r="F133" s="20" t="s">
        <v>1039</v>
      </c>
      <c r="G133" s="20" t="s">
        <v>739</v>
      </c>
      <c r="H133" s="19" t="s">
        <v>33</v>
      </c>
      <c r="I133" s="44"/>
      <c r="J133" s="44"/>
      <c r="K133" s="44"/>
      <c r="L133" s="44"/>
      <c r="M133" s="44"/>
      <c r="N133" s="44"/>
      <c r="O133" s="44"/>
      <c r="P133" s="44"/>
      <c r="Q133" s="44"/>
      <c r="R133" s="44"/>
      <c r="S133" s="44"/>
      <c r="T133" s="44" t="s">
        <v>663</v>
      </c>
      <c r="U133" s="44"/>
      <c r="V133" s="44"/>
      <c r="W133" s="44"/>
      <c r="X133" s="44"/>
      <c r="Y133" s="44"/>
      <c r="Z133" s="44" t="s">
        <v>48</v>
      </c>
      <c r="AA133" s="44">
        <v>10</v>
      </c>
      <c r="AB133" s="44">
        <v>10</v>
      </c>
      <c r="AC133" s="44">
        <v>0</v>
      </c>
      <c r="AD133" s="44">
        <v>50</v>
      </c>
      <c r="AE133" s="44">
        <f>SUM(ListeInventaire642[[#This Row],[Gravité Réelle]:[Gravité potentielle]])</f>
        <v>70</v>
      </c>
      <c r="AF133" s="44" t="s">
        <v>664</v>
      </c>
      <c r="AG133" s="48"/>
    </row>
    <row r="134" spans="1:33" s="18" customFormat="1" ht="48.6" customHeight="1" x14ac:dyDescent="0.25">
      <c r="A134" s="33">
        <v>45961</v>
      </c>
      <c r="B134" s="22" t="s">
        <v>35</v>
      </c>
      <c r="C134" s="113" t="s">
        <v>673</v>
      </c>
      <c r="D134" s="23" t="s">
        <v>1040</v>
      </c>
      <c r="E134" s="19" t="s">
        <v>971</v>
      </c>
      <c r="F134" s="20" t="s">
        <v>1041</v>
      </c>
      <c r="G134" s="20" t="s">
        <v>1035</v>
      </c>
      <c r="H134" s="19" t="s">
        <v>33</v>
      </c>
      <c r="I134" s="44"/>
      <c r="J134" s="44"/>
      <c r="K134" s="44"/>
      <c r="L134" s="44"/>
      <c r="M134" s="44"/>
      <c r="N134" s="44"/>
      <c r="O134" s="44" t="s">
        <v>663</v>
      </c>
      <c r="P134" s="44"/>
      <c r="Q134" s="44"/>
      <c r="R134" s="44"/>
      <c r="S134" s="44"/>
      <c r="T134" s="44"/>
      <c r="U134" s="44"/>
      <c r="V134" s="44"/>
      <c r="W134" s="44"/>
      <c r="X134" s="44"/>
      <c r="Y134" s="44"/>
      <c r="Z134" s="44" t="s">
        <v>48</v>
      </c>
      <c r="AA134" s="44">
        <v>30</v>
      </c>
      <c r="AB134" s="44">
        <v>20</v>
      </c>
      <c r="AC134" s="44">
        <v>10</v>
      </c>
      <c r="AD134" s="44">
        <v>20</v>
      </c>
      <c r="AE134" s="44">
        <f>SUM(ListeInventaire642[[#This Row],[Gravité Réelle]:[Gravité potentielle]])</f>
        <v>80</v>
      </c>
      <c r="AF134" s="44" t="s">
        <v>664</v>
      </c>
      <c r="AG134" s="48"/>
    </row>
    <row r="135" spans="1:33" s="18" customFormat="1" ht="53.65" customHeight="1" x14ac:dyDescent="0.25">
      <c r="A135" s="33">
        <v>45967</v>
      </c>
      <c r="B135" s="22" t="s">
        <v>112</v>
      </c>
      <c r="C135" s="113" t="s">
        <v>658</v>
      </c>
      <c r="D135" s="23" t="s">
        <v>1042</v>
      </c>
      <c r="E135" s="19" t="s">
        <v>1043</v>
      </c>
      <c r="F135" s="20"/>
      <c r="G135" s="20" t="s">
        <v>1044</v>
      </c>
      <c r="H135" s="19" t="s">
        <v>112</v>
      </c>
      <c r="I135" s="44"/>
      <c r="J135" s="44" t="s">
        <v>663</v>
      </c>
      <c r="K135" s="44" t="s">
        <v>663</v>
      </c>
      <c r="L135" s="44"/>
      <c r="M135" s="44"/>
      <c r="N135" s="44"/>
      <c r="O135" s="44"/>
      <c r="P135" s="44"/>
      <c r="Q135" s="44"/>
      <c r="R135" s="44"/>
      <c r="S135" s="44"/>
      <c r="T135" s="44"/>
      <c r="U135" s="44"/>
      <c r="V135" s="44"/>
      <c r="W135" s="44"/>
      <c r="X135" s="44"/>
      <c r="Y135" s="44"/>
      <c r="Z135" s="44" t="s">
        <v>48</v>
      </c>
      <c r="AA135" s="44">
        <v>30</v>
      </c>
      <c r="AB135" s="44">
        <v>10</v>
      </c>
      <c r="AC135" s="44">
        <v>10</v>
      </c>
      <c r="AD135" s="44">
        <v>20</v>
      </c>
      <c r="AE135" s="44">
        <f>SUM(ListeInventaire642[[#This Row],[Gravité Réelle]:[Gravité potentielle]])</f>
        <v>70</v>
      </c>
      <c r="AF135" s="44" t="s">
        <v>664</v>
      </c>
      <c r="AG135" s="48" t="s">
        <v>1045</v>
      </c>
    </row>
    <row r="136" spans="1:33" s="18" customFormat="1" ht="114" customHeight="1" x14ac:dyDescent="0.25">
      <c r="A136" s="33">
        <v>45974</v>
      </c>
      <c r="B136" s="22" t="s">
        <v>35</v>
      </c>
      <c r="C136" s="113" t="s">
        <v>673</v>
      </c>
      <c r="D136" s="23" t="s">
        <v>1046</v>
      </c>
      <c r="E136" s="19" t="s">
        <v>1047</v>
      </c>
      <c r="F136" s="20" t="s">
        <v>1048</v>
      </c>
      <c r="G136" s="20" t="s">
        <v>1049</v>
      </c>
      <c r="H136" s="19" t="s">
        <v>33</v>
      </c>
      <c r="I136" s="44"/>
      <c r="J136" s="44"/>
      <c r="K136" s="44"/>
      <c r="L136" s="44"/>
      <c r="M136" s="44"/>
      <c r="N136" s="44"/>
      <c r="O136" s="44"/>
      <c r="P136" s="44"/>
      <c r="Q136" s="44"/>
      <c r="R136" s="44"/>
      <c r="S136" s="44"/>
      <c r="T136" s="44"/>
      <c r="U136" s="44" t="s">
        <v>663</v>
      </c>
      <c r="V136" s="44"/>
      <c r="W136" s="44"/>
      <c r="X136" s="44"/>
      <c r="Y136" s="44"/>
      <c r="Z136" s="44" t="s">
        <v>48</v>
      </c>
      <c r="AA136" s="44">
        <v>10</v>
      </c>
      <c r="AB136" s="44">
        <v>20</v>
      </c>
      <c r="AC136" s="44">
        <v>20</v>
      </c>
      <c r="AD136" s="44">
        <v>30</v>
      </c>
      <c r="AE136" s="44">
        <f>SUM(ListeInventaire642[[#This Row],[Gravité Réelle]:[Gravité potentielle]])</f>
        <v>80</v>
      </c>
      <c r="AF136" s="44" t="s">
        <v>664</v>
      </c>
      <c r="AG136" s="48"/>
    </row>
    <row r="137" spans="1:33" s="18" customFormat="1" ht="48.6" customHeight="1" x14ac:dyDescent="0.25">
      <c r="A137" s="33">
        <v>45975</v>
      </c>
      <c r="B137" s="22" t="s">
        <v>35</v>
      </c>
      <c r="C137" s="114" t="s">
        <v>658</v>
      </c>
      <c r="D137" s="23" t="s">
        <v>1050</v>
      </c>
      <c r="E137" s="19" t="s">
        <v>660</v>
      </c>
      <c r="F137" s="19" t="s">
        <v>1051</v>
      </c>
      <c r="G137" s="19" t="s">
        <v>662</v>
      </c>
      <c r="H137" s="19" t="s">
        <v>33</v>
      </c>
      <c r="I137" s="44"/>
      <c r="J137" s="44"/>
      <c r="K137" s="44"/>
      <c r="L137" s="44"/>
      <c r="M137" s="44"/>
      <c r="N137" s="44"/>
      <c r="O137" s="44"/>
      <c r="P137" s="44"/>
      <c r="Q137" s="44"/>
      <c r="R137" s="44"/>
      <c r="S137" s="44"/>
      <c r="T137" s="44"/>
      <c r="U137" s="44"/>
      <c r="V137" s="44"/>
      <c r="W137" s="44"/>
      <c r="X137" s="44" t="s">
        <v>663</v>
      </c>
      <c r="Y137" s="44"/>
      <c r="Z137" s="44" t="s">
        <v>48</v>
      </c>
      <c r="AA137" s="44">
        <v>50</v>
      </c>
      <c r="AB137" s="44">
        <v>30</v>
      </c>
      <c r="AC137" s="44">
        <v>30</v>
      </c>
      <c r="AD137" s="44">
        <v>30</v>
      </c>
      <c r="AE137" s="44">
        <f>SUM(ListeInventaire642[[#This Row],[Gravité Réelle]:[Gravité potentielle]])</f>
        <v>140</v>
      </c>
      <c r="AF137" s="44" t="s">
        <v>664</v>
      </c>
      <c r="AG137" s="48"/>
    </row>
    <row r="138" spans="1:33" s="18" customFormat="1" ht="48.6" customHeight="1" x14ac:dyDescent="0.25">
      <c r="A138" s="33">
        <v>45978</v>
      </c>
      <c r="B138" s="22" t="s">
        <v>124</v>
      </c>
      <c r="C138" s="114" t="s">
        <v>658</v>
      </c>
      <c r="D138" s="23" t="s">
        <v>1052</v>
      </c>
      <c r="E138" s="19" t="s">
        <v>1053</v>
      </c>
      <c r="F138" s="12" t="s">
        <v>1054</v>
      </c>
      <c r="G138" s="20" t="s">
        <v>1055</v>
      </c>
      <c r="H138" s="19" t="s">
        <v>33</v>
      </c>
      <c r="I138" s="44" t="s">
        <v>663</v>
      </c>
      <c r="J138" s="44"/>
      <c r="K138" s="44"/>
      <c r="L138" s="44"/>
      <c r="M138" s="44"/>
      <c r="N138" s="44"/>
      <c r="O138" s="44"/>
      <c r="P138" s="44"/>
      <c r="Q138" s="44" t="s">
        <v>663</v>
      </c>
      <c r="R138" s="44" t="s">
        <v>663</v>
      </c>
      <c r="S138" s="44"/>
      <c r="T138" s="44"/>
      <c r="U138" s="44"/>
      <c r="V138" s="44"/>
      <c r="W138" s="44"/>
      <c r="X138" s="44"/>
      <c r="Y138" s="44"/>
      <c r="Z138" s="44" t="s">
        <v>48</v>
      </c>
      <c r="AA138" s="44">
        <v>10</v>
      </c>
      <c r="AB138" s="44">
        <v>20</v>
      </c>
      <c r="AC138" s="44">
        <v>10</v>
      </c>
      <c r="AD138" s="44">
        <v>30</v>
      </c>
      <c r="AE138" s="44">
        <f>SUM(ListeInventaire642[[#This Row],[Gravité Réelle]:[Gravité potentielle]])</f>
        <v>70</v>
      </c>
      <c r="AF138" s="44" t="s">
        <v>664</v>
      </c>
      <c r="AG138" s="48" t="s">
        <v>1056</v>
      </c>
    </row>
    <row r="139" spans="1:33" s="18" customFormat="1" ht="48.6" customHeight="1" x14ac:dyDescent="0.25">
      <c r="A139" s="33">
        <v>45966</v>
      </c>
      <c r="B139" s="22" t="s">
        <v>60</v>
      </c>
      <c r="C139" s="113" t="s">
        <v>673</v>
      </c>
      <c r="D139" s="23" t="s">
        <v>1057</v>
      </c>
      <c r="E139" s="19" t="s">
        <v>1021</v>
      </c>
      <c r="F139" s="20" t="s">
        <v>1058</v>
      </c>
      <c r="G139" s="20" t="s">
        <v>1059</v>
      </c>
      <c r="H139" s="19" t="s">
        <v>33</v>
      </c>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f>SUM(ListeInventaire642[[#This Row],[Gravité Réelle]:[Gravité potentielle]])</f>
        <v>0</v>
      </c>
      <c r="AF139" s="44" t="s">
        <v>664</v>
      </c>
      <c r="AG139" s="48"/>
    </row>
    <row r="140" spans="1:33" s="18" customFormat="1" ht="48.6" customHeight="1" x14ac:dyDescent="0.25">
      <c r="A140" s="33">
        <v>45988</v>
      </c>
      <c r="B140" s="22" t="s">
        <v>668</v>
      </c>
      <c r="C140" s="113" t="s">
        <v>673</v>
      </c>
      <c r="D140" s="23" t="s">
        <v>1060</v>
      </c>
      <c r="E140" s="19" t="s">
        <v>685</v>
      </c>
      <c r="F140" s="20" t="s">
        <v>1061</v>
      </c>
      <c r="G140" s="20" t="s">
        <v>735</v>
      </c>
      <c r="H140" s="19" t="s">
        <v>1062</v>
      </c>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f>SUM(ListeInventaire642[[#This Row],[Gravité Réelle]:[Gravité potentielle]])</f>
        <v>0</v>
      </c>
      <c r="AF140" s="44" t="s">
        <v>664</v>
      </c>
      <c r="AG140" s="48"/>
    </row>
    <row r="141" spans="1:33" s="18" customFormat="1" ht="84" customHeight="1" x14ac:dyDescent="0.25">
      <c r="A141" s="33">
        <v>45985</v>
      </c>
      <c r="B141" s="22" t="s">
        <v>907</v>
      </c>
      <c r="C141" s="113" t="s">
        <v>658</v>
      </c>
      <c r="D141" s="23" t="s">
        <v>1063</v>
      </c>
      <c r="E141" s="22" t="s">
        <v>217</v>
      </c>
      <c r="F141" s="9" t="s">
        <v>1064</v>
      </c>
      <c r="G141" s="19" t="s">
        <v>1065</v>
      </c>
      <c r="H141" s="19" t="s">
        <v>86</v>
      </c>
      <c r="I141" s="44"/>
      <c r="J141" s="44"/>
      <c r="K141" s="44"/>
      <c r="L141" s="44" t="s">
        <v>663</v>
      </c>
      <c r="M141" s="44"/>
      <c r="N141" s="44"/>
      <c r="O141" s="44"/>
      <c r="P141" s="44"/>
      <c r="Q141" s="44"/>
      <c r="R141" s="44" t="s">
        <v>663</v>
      </c>
      <c r="S141" s="44"/>
      <c r="T141" s="44"/>
      <c r="U141" s="44"/>
      <c r="V141" s="44"/>
      <c r="W141" s="44"/>
      <c r="X141" s="44"/>
      <c r="Y141" s="44"/>
      <c r="Z141" s="44" t="s">
        <v>48</v>
      </c>
      <c r="AA141" s="44">
        <v>50</v>
      </c>
      <c r="AB141" s="44">
        <v>10</v>
      </c>
      <c r="AC141" s="44">
        <v>0</v>
      </c>
      <c r="AD141" s="44">
        <v>30</v>
      </c>
      <c r="AE141" s="44">
        <f>SUM(ListeInventaire642[[#This Row],[Gravité Réelle]:[Gravité potentielle]])</f>
        <v>90</v>
      </c>
      <c r="AF141" s="44" t="s">
        <v>664</v>
      </c>
      <c r="AG141" s="48"/>
    </row>
    <row r="142" spans="1:33" s="18" customFormat="1" ht="82.5" x14ac:dyDescent="0.25">
      <c r="A142" s="33">
        <v>45968</v>
      </c>
      <c r="B142" s="22" t="s">
        <v>35</v>
      </c>
      <c r="C142" s="113" t="s">
        <v>673</v>
      </c>
      <c r="D142" s="23" t="s">
        <v>1066</v>
      </c>
      <c r="E142" s="19" t="s">
        <v>1067</v>
      </c>
      <c r="F142" s="20" t="s">
        <v>1068</v>
      </c>
      <c r="G142" s="20" t="s">
        <v>1069</v>
      </c>
      <c r="H142" s="19" t="s">
        <v>33</v>
      </c>
      <c r="I142" s="44"/>
      <c r="J142" s="44"/>
      <c r="K142" s="44"/>
      <c r="L142" s="44"/>
      <c r="M142" s="44"/>
      <c r="N142" s="44"/>
      <c r="O142" s="44"/>
      <c r="P142" s="44"/>
      <c r="Q142" s="44"/>
      <c r="R142" s="44"/>
      <c r="S142" s="44"/>
      <c r="T142" s="44"/>
      <c r="U142" s="44" t="s">
        <v>663</v>
      </c>
      <c r="V142" s="44"/>
      <c r="W142" s="44"/>
      <c r="X142" s="44"/>
      <c r="Y142" s="44"/>
      <c r="Z142" s="44" t="s">
        <v>48</v>
      </c>
      <c r="AA142" s="44">
        <v>10</v>
      </c>
      <c r="AB142" s="44">
        <v>30</v>
      </c>
      <c r="AC142" s="44">
        <v>30</v>
      </c>
      <c r="AD142" s="44">
        <v>50</v>
      </c>
      <c r="AE142" s="44">
        <f>SUM(ListeInventaire642[[#This Row],[Gravité Réelle]:[Gravité potentielle]])</f>
        <v>120</v>
      </c>
      <c r="AF142" s="44" t="s">
        <v>664</v>
      </c>
      <c r="AG142" s="48"/>
    </row>
    <row r="143" spans="1:33" s="18" customFormat="1" ht="86.25" x14ac:dyDescent="0.25">
      <c r="A143" s="33">
        <v>45974</v>
      </c>
      <c r="B143" s="22" t="s">
        <v>35</v>
      </c>
      <c r="C143" s="114" t="s">
        <v>658</v>
      </c>
      <c r="D143" s="23" t="s">
        <v>1070</v>
      </c>
      <c r="E143" s="19" t="s">
        <v>1071</v>
      </c>
      <c r="F143" s="19" t="s">
        <v>1072</v>
      </c>
      <c r="G143" s="19" t="s">
        <v>845</v>
      </c>
      <c r="H143" s="496" t="s">
        <v>33</v>
      </c>
      <c r="I143" s="44"/>
      <c r="J143" s="44"/>
      <c r="K143" s="44" t="s">
        <v>663</v>
      </c>
      <c r="L143" s="44"/>
      <c r="M143" s="44"/>
      <c r="N143" s="44"/>
      <c r="O143" s="44"/>
      <c r="P143" s="44"/>
      <c r="Q143" s="44"/>
      <c r="R143" s="44"/>
      <c r="S143" s="44"/>
      <c r="T143" s="44"/>
      <c r="U143" s="44"/>
      <c r="V143" s="44"/>
      <c r="W143" s="44"/>
      <c r="X143" s="44"/>
      <c r="Y143" s="44"/>
      <c r="Z143" s="44" t="s">
        <v>48</v>
      </c>
      <c r="AA143" s="44">
        <v>10</v>
      </c>
      <c r="AB143" s="44">
        <v>10</v>
      </c>
      <c r="AC143" s="44">
        <v>0</v>
      </c>
      <c r="AD143" s="44">
        <v>50</v>
      </c>
      <c r="AE143" s="44">
        <f>SUM(ListeInventaire642[[#This Row],[Gravité Réelle]:[Gravité potentielle]])</f>
        <v>70</v>
      </c>
      <c r="AF143" s="44" t="s">
        <v>664</v>
      </c>
      <c r="AG143" s="48"/>
    </row>
    <row r="144" spans="1:33" s="18" customFormat="1" ht="48.6" customHeight="1" x14ac:dyDescent="0.25">
      <c r="A144" s="33">
        <v>45978</v>
      </c>
      <c r="B144" s="22" t="s">
        <v>51</v>
      </c>
      <c r="C144" s="113" t="s">
        <v>673</v>
      </c>
      <c r="D144" s="23" t="s">
        <v>1073</v>
      </c>
      <c r="E144" s="19" t="s">
        <v>946</v>
      </c>
      <c r="F144" s="20" t="s">
        <v>1074</v>
      </c>
      <c r="G144" s="20" t="s">
        <v>948</v>
      </c>
      <c r="H144" s="19" t="s">
        <v>33</v>
      </c>
      <c r="I144" s="44"/>
      <c r="J144" s="44"/>
      <c r="K144" s="44"/>
      <c r="L144" s="44"/>
      <c r="M144" s="44"/>
      <c r="N144" s="44"/>
      <c r="O144" s="44" t="s">
        <v>663</v>
      </c>
      <c r="P144" s="44"/>
      <c r="Q144" s="44"/>
      <c r="R144" s="44"/>
      <c r="S144" s="44"/>
      <c r="T144" s="44"/>
      <c r="U144" s="44"/>
      <c r="V144" s="44"/>
      <c r="W144" s="44"/>
      <c r="X144" s="44"/>
      <c r="Y144" s="44"/>
      <c r="Z144" s="44" t="s">
        <v>48</v>
      </c>
      <c r="AA144" s="44">
        <v>10</v>
      </c>
      <c r="AB144" s="44">
        <v>10</v>
      </c>
      <c r="AC144" s="44">
        <v>0</v>
      </c>
      <c r="AD144" s="44">
        <v>40</v>
      </c>
      <c r="AE144" s="44">
        <f>SUM(ListeInventaire642[[#This Row],[Gravité Réelle]:[Gravité potentielle]])</f>
        <v>60</v>
      </c>
      <c r="AF144" s="44" t="s">
        <v>664</v>
      </c>
      <c r="AG144" s="48"/>
    </row>
    <row r="145" spans="1:33" s="18" customFormat="1" ht="53.65" customHeight="1" x14ac:dyDescent="0.25">
      <c r="A145" s="33">
        <v>45979</v>
      </c>
      <c r="B145" s="22" t="s">
        <v>35</v>
      </c>
      <c r="C145" s="114" t="s">
        <v>673</v>
      </c>
      <c r="D145" s="23" t="s">
        <v>1075</v>
      </c>
      <c r="E145" s="19" t="s">
        <v>897</v>
      </c>
      <c r="F145" s="20" t="s">
        <v>1076</v>
      </c>
      <c r="G145" s="20" t="s">
        <v>1077</v>
      </c>
      <c r="H145" s="19" t="s">
        <v>33</v>
      </c>
      <c r="I145" s="44"/>
      <c r="J145" s="44"/>
      <c r="K145" s="44"/>
      <c r="L145" s="44"/>
      <c r="M145" s="44"/>
      <c r="N145" s="44"/>
      <c r="O145" s="44"/>
      <c r="P145" s="44"/>
      <c r="Q145" s="44"/>
      <c r="R145" s="44"/>
      <c r="S145" s="44"/>
      <c r="T145" s="44"/>
      <c r="U145" s="44"/>
      <c r="V145" s="44"/>
      <c r="W145" s="44"/>
      <c r="X145" s="44" t="s">
        <v>663</v>
      </c>
      <c r="Y145" s="44"/>
      <c r="Z145" s="44" t="s">
        <v>48</v>
      </c>
      <c r="AA145" s="44">
        <v>10</v>
      </c>
      <c r="AB145" s="44">
        <v>30</v>
      </c>
      <c r="AC145" s="44">
        <v>30</v>
      </c>
      <c r="AD145" s="44">
        <v>30</v>
      </c>
      <c r="AE145" s="44">
        <f>SUM(ListeInventaire642[[#This Row],[Gravité Réelle]:[Gravité potentielle]])</f>
        <v>100</v>
      </c>
      <c r="AF145" s="44" t="s">
        <v>664</v>
      </c>
      <c r="AG145" s="48"/>
    </row>
    <row r="146" spans="1:33" s="18" customFormat="1" ht="138" x14ac:dyDescent="0.25">
      <c r="A146" s="33">
        <v>45979</v>
      </c>
      <c r="B146" s="22" t="s">
        <v>51</v>
      </c>
      <c r="C146" s="114" t="s">
        <v>673</v>
      </c>
      <c r="D146" s="23" t="s">
        <v>1078</v>
      </c>
      <c r="E146" s="19" t="s">
        <v>775</v>
      </c>
      <c r="F146" s="33" t="s">
        <v>1079</v>
      </c>
      <c r="G146" s="22" t="s">
        <v>1080</v>
      </c>
      <c r="H146" s="113" t="s">
        <v>33</v>
      </c>
      <c r="I146" s="44"/>
      <c r="J146" s="44"/>
      <c r="K146" s="44" t="s">
        <v>663</v>
      </c>
      <c r="L146" s="44"/>
      <c r="M146" s="44"/>
      <c r="N146" s="44"/>
      <c r="O146" s="44"/>
      <c r="P146" s="44"/>
      <c r="Q146" s="44"/>
      <c r="R146" s="44"/>
      <c r="S146" s="44"/>
      <c r="T146" s="44"/>
      <c r="U146" s="44"/>
      <c r="V146" s="44"/>
      <c r="W146" s="44"/>
      <c r="X146" s="44"/>
      <c r="Y146" s="44"/>
      <c r="Z146" s="44" t="s">
        <v>39</v>
      </c>
      <c r="AA146" s="44">
        <v>10</v>
      </c>
      <c r="AB146" s="44">
        <v>10</v>
      </c>
      <c r="AC146" s="44">
        <v>0</v>
      </c>
      <c r="AD146" s="44">
        <v>50</v>
      </c>
      <c r="AE146" s="44">
        <f>SUM(ListeInventaire642[[#This Row],[Gravité Réelle]:[Gravité potentielle]])</f>
        <v>70</v>
      </c>
      <c r="AF146" s="44" t="s">
        <v>664</v>
      </c>
      <c r="AG146" s="48"/>
    </row>
    <row r="147" spans="1:33" s="18" customFormat="1" ht="66" x14ac:dyDescent="0.25">
      <c r="A147" s="33">
        <v>45980</v>
      </c>
      <c r="B147" s="22" t="s">
        <v>35</v>
      </c>
      <c r="C147" s="113" t="s">
        <v>673</v>
      </c>
      <c r="D147" s="23" t="s">
        <v>1081</v>
      </c>
      <c r="E147" s="19" t="s">
        <v>1067</v>
      </c>
      <c r="F147" s="20" t="s">
        <v>1082</v>
      </c>
      <c r="G147" s="20" t="s">
        <v>1083</v>
      </c>
      <c r="H147" s="19" t="s">
        <v>33</v>
      </c>
      <c r="I147" s="44"/>
      <c r="J147" s="44"/>
      <c r="K147" s="44"/>
      <c r="L147" s="44"/>
      <c r="M147" s="44"/>
      <c r="N147" s="44"/>
      <c r="O147" s="44"/>
      <c r="P147" s="44"/>
      <c r="Q147" s="44"/>
      <c r="R147" s="44"/>
      <c r="S147" s="44"/>
      <c r="T147" s="44"/>
      <c r="U147" s="44" t="s">
        <v>663</v>
      </c>
      <c r="V147" s="44"/>
      <c r="W147" s="44"/>
      <c r="X147" s="44"/>
      <c r="Y147" s="44"/>
      <c r="Z147" s="44" t="s">
        <v>48</v>
      </c>
      <c r="AA147" s="44">
        <v>10</v>
      </c>
      <c r="AB147" s="44">
        <v>10</v>
      </c>
      <c r="AC147" s="44">
        <v>0</v>
      </c>
      <c r="AD147" s="44">
        <v>20</v>
      </c>
      <c r="AE147" s="44">
        <f>SUM(ListeInventaire642[[#This Row],[Gravité Réelle]:[Gravité potentielle]])</f>
        <v>40</v>
      </c>
      <c r="AF147" s="44" t="s">
        <v>664</v>
      </c>
      <c r="AG147" s="48"/>
    </row>
    <row r="148" spans="1:33" s="18" customFormat="1" ht="189.75" x14ac:dyDescent="0.25">
      <c r="A148" s="33">
        <v>45985</v>
      </c>
      <c r="B148" s="22" t="s">
        <v>35</v>
      </c>
      <c r="C148" s="113" t="s">
        <v>673</v>
      </c>
      <c r="D148" s="23" t="s">
        <v>1084</v>
      </c>
      <c r="E148" s="19" t="s">
        <v>43</v>
      </c>
      <c r="F148" s="20" t="s">
        <v>1085</v>
      </c>
      <c r="G148" s="20" t="s">
        <v>919</v>
      </c>
      <c r="H148" s="19" t="s">
        <v>33</v>
      </c>
      <c r="I148" s="44"/>
      <c r="J148" s="44"/>
      <c r="K148" s="44"/>
      <c r="L148" s="44"/>
      <c r="M148" s="44"/>
      <c r="N148" s="44"/>
      <c r="O148" s="44"/>
      <c r="P148" s="44"/>
      <c r="Q148" s="44"/>
      <c r="R148" s="44"/>
      <c r="S148" s="44"/>
      <c r="T148" s="44"/>
      <c r="U148" s="44" t="s">
        <v>663</v>
      </c>
      <c r="V148" s="44"/>
      <c r="W148" s="44"/>
      <c r="X148" s="44" t="s">
        <v>663</v>
      </c>
      <c r="Y148" s="44"/>
      <c r="Z148" s="44" t="s">
        <v>48</v>
      </c>
      <c r="AA148" s="44">
        <v>10</v>
      </c>
      <c r="AB148" s="44">
        <v>10</v>
      </c>
      <c r="AC148" s="44">
        <v>0</v>
      </c>
      <c r="AD148" s="44">
        <v>20</v>
      </c>
      <c r="AE148" s="44">
        <f>SUM(ListeInventaire642[[#This Row],[Gravité Réelle]:[Gravité potentielle]])</f>
        <v>40</v>
      </c>
      <c r="AF148" s="44" t="s">
        <v>664</v>
      </c>
      <c r="AG148" s="48"/>
    </row>
    <row r="149" spans="1:33" s="18" customFormat="1" ht="48.6" customHeight="1" x14ac:dyDescent="0.25">
      <c r="A149" s="33">
        <v>45987</v>
      </c>
      <c r="B149" s="22" t="s">
        <v>35</v>
      </c>
      <c r="C149" s="113" t="s">
        <v>658</v>
      </c>
      <c r="D149" s="23" t="s">
        <v>1086</v>
      </c>
      <c r="E149" s="19" t="s">
        <v>1003</v>
      </c>
      <c r="F149" s="20" t="s">
        <v>1087</v>
      </c>
      <c r="G149" s="20" t="s">
        <v>933</v>
      </c>
      <c r="H149" s="19" t="s">
        <v>33</v>
      </c>
      <c r="I149" s="44"/>
      <c r="J149" s="44"/>
      <c r="K149" s="44"/>
      <c r="L149" s="44"/>
      <c r="M149" s="44"/>
      <c r="N149" s="44"/>
      <c r="O149" s="44"/>
      <c r="P149" s="44"/>
      <c r="Q149" s="44"/>
      <c r="R149" s="44"/>
      <c r="S149" s="44"/>
      <c r="T149" s="44"/>
      <c r="U149" s="44"/>
      <c r="V149" s="44"/>
      <c r="W149" s="44"/>
      <c r="X149" s="44"/>
      <c r="Y149" s="44" t="s">
        <v>663</v>
      </c>
      <c r="Z149" s="44" t="s">
        <v>48</v>
      </c>
      <c r="AA149" s="44">
        <v>20</v>
      </c>
      <c r="AB149" s="44">
        <v>20</v>
      </c>
      <c r="AC149" s="44">
        <v>30</v>
      </c>
      <c r="AD149" s="44">
        <v>30</v>
      </c>
      <c r="AE149" s="44">
        <f>SUM(ListeInventaire642[[#This Row],[Gravité Réelle]:[Gravité potentielle]])</f>
        <v>100</v>
      </c>
      <c r="AF149" s="44" t="s">
        <v>664</v>
      </c>
      <c r="AG149" s="48"/>
    </row>
    <row r="150" spans="1:33" s="18" customFormat="1" ht="48.6" customHeight="1" x14ac:dyDescent="0.25">
      <c r="A150" s="33">
        <v>45981</v>
      </c>
      <c r="B150" s="22" t="s">
        <v>35</v>
      </c>
      <c r="C150" s="113" t="s">
        <v>658</v>
      </c>
      <c r="D150" s="23" t="s">
        <v>1088</v>
      </c>
      <c r="E150" s="19" t="s">
        <v>217</v>
      </c>
      <c r="F150" s="20" t="s">
        <v>1089</v>
      </c>
      <c r="G150" s="20" t="s">
        <v>848</v>
      </c>
      <c r="H150" s="19" t="s">
        <v>469</v>
      </c>
      <c r="I150" s="44" t="s">
        <v>663</v>
      </c>
      <c r="J150" s="44"/>
      <c r="K150" s="44"/>
      <c r="L150" s="44"/>
      <c r="M150" s="44"/>
      <c r="N150" s="44"/>
      <c r="O150" s="44"/>
      <c r="P150" s="44"/>
      <c r="Q150" s="44"/>
      <c r="R150" s="44"/>
      <c r="S150" s="44"/>
      <c r="T150" s="44"/>
      <c r="U150" s="44"/>
      <c r="V150" s="44"/>
      <c r="W150" s="44"/>
      <c r="X150" s="44"/>
      <c r="Y150" s="44"/>
      <c r="Z150" s="44" t="s">
        <v>48</v>
      </c>
      <c r="AA150" s="44">
        <v>10</v>
      </c>
      <c r="AB150" s="44">
        <v>20</v>
      </c>
      <c r="AC150" s="44">
        <v>0</v>
      </c>
      <c r="AD150" s="44">
        <v>30</v>
      </c>
      <c r="AE150" s="44">
        <f>SUM(ListeInventaire642[[#This Row],[Gravité Réelle]:[Gravité potentielle]])</f>
        <v>60</v>
      </c>
      <c r="AF150" s="44" t="s">
        <v>664</v>
      </c>
      <c r="AG150" s="48"/>
    </row>
    <row r="151" spans="1:33" s="18" customFormat="1" ht="48.6" customHeight="1" x14ac:dyDescent="0.25">
      <c r="A151" s="33">
        <v>45995</v>
      </c>
      <c r="B151" s="22" t="s">
        <v>35</v>
      </c>
      <c r="C151" s="113" t="s">
        <v>673</v>
      </c>
      <c r="D151" s="23" t="s">
        <v>1090</v>
      </c>
      <c r="E151" s="19" t="s">
        <v>660</v>
      </c>
      <c r="F151" s="20" t="s">
        <v>1091</v>
      </c>
      <c r="G151" s="20" t="s">
        <v>662</v>
      </c>
      <c r="H151" s="19" t="s">
        <v>33</v>
      </c>
      <c r="I151" s="44"/>
      <c r="J151" s="44"/>
      <c r="K151" s="44"/>
      <c r="L151" s="44"/>
      <c r="M151" s="44"/>
      <c r="N151" s="44"/>
      <c r="O151" s="44"/>
      <c r="P151" s="44"/>
      <c r="Q151" s="44"/>
      <c r="R151" s="44"/>
      <c r="S151" s="44"/>
      <c r="T151" s="44"/>
      <c r="U151" s="44"/>
      <c r="V151" s="44"/>
      <c r="W151" s="44"/>
      <c r="X151" s="44" t="s">
        <v>663</v>
      </c>
      <c r="Y151" s="44"/>
      <c r="Z151" s="44" t="s">
        <v>48</v>
      </c>
      <c r="AA151" s="44">
        <v>10</v>
      </c>
      <c r="AB151" s="44">
        <v>30</v>
      </c>
      <c r="AC151" s="44">
        <v>30</v>
      </c>
      <c r="AD151" s="44">
        <v>50</v>
      </c>
      <c r="AE151" s="44">
        <f>SUM(ListeInventaire642[[#This Row],[Gravité Réelle]:[Gravité potentielle]])</f>
        <v>120</v>
      </c>
      <c r="AF151" s="44" t="s">
        <v>664</v>
      </c>
      <c r="AG151" s="48"/>
    </row>
    <row r="152" spans="1:33" s="18" customFormat="1" ht="51.75" x14ac:dyDescent="0.25">
      <c r="A152" s="33">
        <v>45987</v>
      </c>
      <c r="B152" s="22" t="s">
        <v>35</v>
      </c>
      <c r="C152" s="113" t="s">
        <v>673</v>
      </c>
      <c r="D152" s="23" t="s">
        <v>1092</v>
      </c>
      <c r="E152" s="22" t="s">
        <v>132</v>
      </c>
      <c r="F152" s="20" t="s">
        <v>1093</v>
      </c>
      <c r="G152" s="20" t="s">
        <v>1094</v>
      </c>
      <c r="H152" s="19" t="s">
        <v>33</v>
      </c>
      <c r="I152" s="44"/>
      <c r="J152" s="44"/>
      <c r="K152" s="44"/>
      <c r="L152" s="44"/>
      <c r="M152" s="44"/>
      <c r="N152" s="44"/>
      <c r="O152" s="44"/>
      <c r="P152" s="44"/>
      <c r="Q152" s="44"/>
      <c r="R152" s="44"/>
      <c r="S152" s="44"/>
      <c r="T152" s="44"/>
      <c r="U152" s="44"/>
      <c r="V152" s="44"/>
      <c r="W152" s="44"/>
      <c r="X152" s="44" t="s">
        <v>663</v>
      </c>
      <c r="Y152" s="44"/>
      <c r="Z152" s="44" t="s">
        <v>48</v>
      </c>
      <c r="AA152" s="44">
        <v>10</v>
      </c>
      <c r="AB152" s="44">
        <v>10</v>
      </c>
      <c r="AC152" s="44">
        <v>30</v>
      </c>
      <c r="AD152" s="44">
        <v>50</v>
      </c>
      <c r="AE152" s="44">
        <f>SUM(ListeInventaire642[[#This Row],[Gravité Réelle]:[Gravité potentielle]])</f>
        <v>100</v>
      </c>
      <c r="AF152" s="44" t="s">
        <v>664</v>
      </c>
      <c r="AG152" s="48"/>
    </row>
    <row r="153" spans="1:33" s="18" customFormat="1" ht="48.6" customHeight="1" x14ac:dyDescent="0.25">
      <c r="A153" s="33">
        <v>45996</v>
      </c>
      <c r="B153" s="22" t="s">
        <v>35</v>
      </c>
      <c r="C153" s="113" t="s">
        <v>673</v>
      </c>
      <c r="D153" s="23" t="s">
        <v>1095</v>
      </c>
      <c r="E153" s="22" t="s">
        <v>660</v>
      </c>
      <c r="F153" s="20" t="s">
        <v>1096</v>
      </c>
      <c r="G153" s="20" t="s">
        <v>933</v>
      </c>
      <c r="H153" s="19" t="s">
        <v>33</v>
      </c>
      <c r="I153" s="44"/>
      <c r="J153" s="44"/>
      <c r="K153" s="44"/>
      <c r="L153" s="44"/>
      <c r="M153" s="44"/>
      <c r="N153" s="44"/>
      <c r="O153" s="44"/>
      <c r="P153" s="44"/>
      <c r="Q153" s="44"/>
      <c r="R153" s="44"/>
      <c r="S153" s="44"/>
      <c r="T153" s="44"/>
      <c r="U153" s="44"/>
      <c r="V153" s="44"/>
      <c r="W153" s="44"/>
      <c r="X153" s="44" t="s">
        <v>663</v>
      </c>
      <c r="Y153" s="44"/>
      <c r="Z153" s="44" t="s">
        <v>48</v>
      </c>
      <c r="AA153" s="44">
        <v>10</v>
      </c>
      <c r="AB153" s="44">
        <v>20</v>
      </c>
      <c r="AC153" s="44">
        <v>20</v>
      </c>
      <c r="AD153" s="44">
        <v>20</v>
      </c>
      <c r="AE153" s="44">
        <f>SUM(ListeInventaire642[[#This Row],[Gravité Réelle]:[Gravité potentielle]])</f>
        <v>70</v>
      </c>
      <c r="AF153" s="44" t="s">
        <v>664</v>
      </c>
      <c r="AG153" s="48"/>
    </row>
    <row r="154" spans="1:33" s="18" customFormat="1" ht="79.349999999999994" customHeight="1" x14ac:dyDescent="0.25">
      <c r="A154" s="33">
        <v>45988</v>
      </c>
      <c r="B154" s="22" t="s">
        <v>35</v>
      </c>
      <c r="C154" s="113" t="s">
        <v>673</v>
      </c>
      <c r="D154" s="23" t="s">
        <v>1097</v>
      </c>
      <c r="E154" s="19" t="s">
        <v>869</v>
      </c>
      <c r="F154" s="20" t="s">
        <v>1098</v>
      </c>
      <c r="G154" s="20" t="s">
        <v>1099</v>
      </c>
      <c r="H154" s="19" t="s">
        <v>33</v>
      </c>
      <c r="I154" s="44"/>
      <c r="J154" s="44"/>
      <c r="K154" s="44"/>
      <c r="L154" s="44"/>
      <c r="M154" s="44"/>
      <c r="N154" s="44"/>
      <c r="O154" s="44"/>
      <c r="P154" s="44"/>
      <c r="Q154" s="44"/>
      <c r="R154" s="44"/>
      <c r="S154" s="44"/>
      <c r="T154" s="44"/>
      <c r="U154" s="44"/>
      <c r="V154" s="44"/>
      <c r="W154" s="44"/>
      <c r="X154" s="44" t="s">
        <v>663</v>
      </c>
      <c r="Y154" s="44"/>
      <c r="Z154" s="44" t="s">
        <v>48</v>
      </c>
      <c r="AA154" s="44">
        <v>10</v>
      </c>
      <c r="AB154" s="44">
        <v>30</v>
      </c>
      <c r="AC154" s="44">
        <v>30</v>
      </c>
      <c r="AD154" s="44">
        <v>20</v>
      </c>
      <c r="AE154" s="44">
        <f>SUM(ListeInventaire642[[#This Row],[Gravité Réelle]:[Gravité potentielle]])</f>
        <v>90</v>
      </c>
      <c r="AF154" s="44" t="s">
        <v>664</v>
      </c>
      <c r="AG154" s="48"/>
    </row>
    <row r="155" spans="1:33" s="18" customFormat="1" ht="118.35" customHeight="1" x14ac:dyDescent="0.25">
      <c r="A155" s="33">
        <v>45986</v>
      </c>
      <c r="B155" s="22" t="s">
        <v>35</v>
      </c>
      <c r="C155" s="113" t="s">
        <v>673</v>
      </c>
      <c r="D155" s="23" t="s">
        <v>1100</v>
      </c>
      <c r="E155" s="19" t="s">
        <v>746</v>
      </c>
      <c r="F155" s="20" t="s">
        <v>1101</v>
      </c>
      <c r="G155" s="20" t="s">
        <v>1102</v>
      </c>
      <c r="H155" s="19" t="s">
        <v>33</v>
      </c>
      <c r="I155" s="44"/>
      <c r="J155" s="44"/>
      <c r="K155" s="44"/>
      <c r="L155" s="44"/>
      <c r="M155" s="44"/>
      <c r="N155" s="44"/>
      <c r="O155" s="44"/>
      <c r="P155" s="44"/>
      <c r="Q155" s="44"/>
      <c r="R155" s="44"/>
      <c r="S155" s="44"/>
      <c r="T155" s="44"/>
      <c r="U155" s="44" t="s">
        <v>663</v>
      </c>
      <c r="V155" s="44"/>
      <c r="W155" s="44"/>
      <c r="X155" s="44"/>
      <c r="Y155" s="44"/>
      <c r="Z155" s="44" t="s">
        <v>48</v>
      </c>
      <c r="AA155" s="44">
        <v>10</v>
      </c>
      <c r="AB155" s="44">
        <v>20</v>
      </c>
      <c r="AC155" s="44">
        <v>10</v>
      </c>
      <c r="AD155" s="44">
        <v>30</v>
      </c>
      <c r="AE155" s="44">
        <f>SUM(ListeInventaire642[[#This Row],[Gravité Réelle]:[Gravité potentielle]])</f>
        <v>70</v>
      </c>
      <c r="AF155" s="44" t="s">
        <v>664</v>
      </c>
      <c r="AG155" s="48"/>
    </row>
    <row r="156" spans="1:33" s="18" customFormat="1" ht="48.6" customHeight="1" x14ac:dyDescent="0.25">
      <c r="A156" s="33">
        <v>46000</v>
      </c>
      <c r="B156" s="22" t="s">
        <v>35</v>
      </c>
      <c r="C156" s="113" t="s">
        <v>673</v>
      </c>
      <c r="D156" s="23" t="s">
        <v>1103</v>
      </c>
      <c r="E156" s="19" t="s">
        <v>43</v>
      </c>
      <c r="F156" s="20" t="s">
        <v>1104</v>
      </c>
      <c r="G156" s="20" t="s">
        <v>821</v>
      </c>
      <c r="H156" s="19" t="s">
        <v>33</v>
      </c>
      <c r="I156" s="44"/>
      <c r="J156" s="44"/>
      <c r="K156" s="44"/>
      <c r="L156" s="44"/>
      <c r="M156" s="44"/>
      <c r="N156" s="44"/>
      <c r="O156" s="44"/>
      <c r="P156" s="44"/>
      <c r="Q156" s="44"/>
      <c r="R156" s="44"/>
      <c r="S156" s="44"/>
      <c r="T156" s="44"/>
      <c r="U156" s="44"/>
      <c r="V156" s="44" t="s">
        <v>663</v>
      </c>
      <c r="W156" s="44"/>
      <c r="X156" s="44"/>
      <c r="Y156" s="44"/>
      <c r="Z156" s="44" t="s">
        <v>48</v>
      </c>
      <c r="AA156" s="44">
        <v>10</v>
      </c>
      <c r="AB156" s="44">
        <v>30</v>
      </c>
      <c r="AC156" s="44">
        <v>0</v>
      </c>
      <c r="AD156" s="44">
        <v>40</v>
      </c>
      <c r="AE156" s="44">
        <f>SUM(ListeInventaire642[[#This Row],[Gravité Réelle]:[Gravité potentielle]])</f>
        <v>80</v>
      </c>
      <c r="AF156" s="44" t="s">
        <v>664</v>
      </c>
      <c r="AG156" s="48"/>
    </row>
    <row r="157" spans="1:33" s="18" customFormat="1" ht="86.25" x14ac:dyDescent="0.25">
      <c r="A157" s="33">
        <v>45999</v>
      </c>
      <c r="B157" s="22" t="s">
        <v>35</v>
      </c>
      <c r="C157" s="113" t="s">
        <v>673</v>
      </c>
      <c r="D157" s="23" t="s">
        <v>1664</v>
      </c>
      <c r="E157" s="22" t="s">
        <v>869</v>
      </c>
      <c r="F157" s="20" t="s">
        <v>1665</v>
      </c>
      <c r="G157" s="20" t="s">
        <v>1666</v>
      </c>
      <c r="H157" s="19" t="s">
        <v>33</v>
      </c>
      <c r="I157" s="44"/>
      <c r="J157" s="44"/>
      <c r="K157" s="44"/>
      <c r="L157" s="44"/>
      <c r="M157" s="44"/>
      <c r="N157" s="44"/>
      <c r="O157" s="44"/>
      <c r="P157" s="44"/>
      <c r="Q157" s="44"/>
      <c r="R157" s="44"/>
      <c r="S157" s="44"/>
      <c r="T157" s="44"/>
      <c r="U157" s="44"/>
      <c r="V157" s="44"/>
      <c r="W157" s="44"/>
      <c r="X157" s="44" t="s">
        <v>663</v>
      </c>
      <c r="Y157" s="44"/>
      <c r="Z157" s="44" t="s">
        <v>48</v>
      </c>
      <c r="AA157" s="44">
        <v>10</v>
      </c>
      <c r="AB157" s="44">
        <v>10</v>
      </c>
      <c r="AC157" s="44">
        <v>0</v>
      </c>
      <c r="AD157" s="44">
        <v>20</v>
      </c>
      <c r="AE157" s="44">
        <f>SUM(ListeInventaire642[[#This Row],[Gravité Réelle]:[Gravité potentielle]])</f>
        <v>40</v>
      </c>
      <c r="AF157" s="44" t="s">
        <v>664</v>
      </c>
      <c r="AG157" s="48"/>
    </row>
    <row r="158" spans="1:33" s="18" customFormat="1" ht="69" x14ac:dyDescent="0.25">
      <c r="A158" s="33">
        <v>46000</v>
      </c>
      <c r="B158" s="22" t="s">
        <v>35</v>
      </c>
      <c r="C158" s="113" t="s">
        <v>673</v>
      </c>
      <c r="D158" s="23" t="s">
        <v>1667</v>
      </c>
      <c r="E158" s="22" t="s">
        <v>869</v>
      </c>
      <c r="F158" s="20" t="s">
        <v>1668</v>
      </c>
      <c r="G158" s="20" t="s">
        <v>1669</v>
      </c>
      <c r="H158" s="19" t="s">
        <v>33</v>
      </c>
      <c r="I158" s="44"/>
      <c r="J158" s="44"/>
      <c r="K158" s="44"/>
      <c r="L158" s="44"/>
      <c r="M158" s="44"/>
      <c r="N158" s="44"/>
      <c r="O158" s="44"/>
      <c r="P158" s="44"/>
      <c r="Q158" s="44"/>
      <c r="R158" s="44"/>
      <c r="S158" s="44"/>
      <c r="T158" s="44"/>
      <c r="U158" s="44" t="s">
        <v>663</v>
      </c>
      <c r="V158" s="44"/>
      <c r="W158" s="44"/>
      <c r="X158" s="44"/>
      <c r="Y158" s="44"/>
      <c r="Z158" s="44" t="s">
        <v>48</v>
      </c>
      <c r="AA158" s="44">
        <v>10</v>
      </c>
      <c r="AB158" s="44">
        <v>10</v>
      </c>
      <c r="AC158" s="44">
        <v>0</v>
      </c>
      <c r="AD158" s="44">
        <v>40</v>
      </c>
      <c r="AE158" s="44">
        <f>SUM(ListeInventaire642[[#This Row],[Gravité Réelle]:[Gravité potentielle]])</f>
        <v>60</v>
      </c>
      <c r="AF158" s="44" t="s">
        <v>664</v>
      </c>
      <c r="AG158" s="48"/>
    </row>
    <row r="159" spans="1:33" s="18" customFormat="1" ht="48.6" customHeight="1" x14ac:dyDescent="0.25">
      <c r="A159" s="33">
        <v>46001</v>
      </c>
      <c r="B159" s="22" t="s">
        <v>35</v>
      </c>
      <c r="C159" s="113" t="s">
        <v>673</v>
      </c>
      <c r="D159" s="23" t="s">
        <v>1671</v>
      </c>
      <c r="E159" s="22" t="s">
        <v>897</v>
      </c>
      <c r="F159" s="20" t="s">
        <v>1672</v>
      </c>
      <c r="G159" s="20" t="s">
        <v>1673</v>
      </c>
      <c r="H159" s="19" t="s">
        <v>33</v>
      </c>
      <c r="I159" s="44"/>
      <c r="J159" s="44"/>
      <c r="K159" s="44"/>
      <c r="L159" s="44"/>
      <c r="M159" s="44"/>
      <c r="N159" s="44"/>
      <c r="O159" s="44"/>
      <c r="P159" s="44"/>
      <c r="Q159" s="44"/>
      <c r="R159" s="44"/>
      <c r="S159" s="44"/>
      <c r="T159" s="44"/>
      <c r="U159" s="44"/>
      <c r="V159" s="44"/>
      <c r="W159" s="44"/>
      <c r="X159" s="44" t="s">
        <v>663</v>
      </c>
      <c r="Y159" s="44"/>
      <c r="Z159" s="44" t="s">
        <v>48</v>
      </c>
      <c r="AA159" s="44">
        <v>10</v>
      </c>
      <c r="AB159" s="44">
        <v>30</v>
      </c>
      <c r="AC159" s="44">
        <v>30</v>
      </c>
      <c r="AD159" s="44">
        <v>30</v>
      </c>
      <c r="AE159" s="44">
        <f>SUM(ListeInventaire642[[#This Row],[Gravité Réelle]:[Gravité potentielle]])</f>
        <v>100</v>
      </c>
      <c r="AF159" s="44" t="s">
        <v>664</v>
      </c>
      <c r="AG159" s="48"/>
    </row>
    <row r="160" spans="1:33" s="18" customFormat="1" ht="48.6" customHeight="1" x14ac:dyDescent="0.25">
      <c r="A160" s="33">
        <v>46002</v>
      </c>
      <c r="B160" s="22" t="s">
        <v>35</v>
      </c>
      <c r="C160" s="113" t="s">
        <v>673</v>
      </c>
      <c r="D160" s="23" t="s">
        <v>1674</v>
      </c>
      <c r="E160" s="22" t="s">
        <v>43</v>
      </c>
      <c r="F160" s="20" t="s">
        <v>1675</v>
      </c>
      <c r="G160" s="20" t="s">
        <v>1676</v>
      </c>
      <c r="H160" s="19" t="s">
        <v>33</v>
      </c>
      <c r="I160" s="44"/>
      <c r="J160" s="44"/>
      <c r="K160" s="44"/>
      <c r="L160" s="44"/>
      <c r="M160" s="44" t="s">
        <v>663</v>
      </c>
      <c r="N160" s="44"/>
      <c r="O160" s="44"/>
      <c r="P160" s="44"/>
      <c r="Q160" s="44"/>
      <c r="R160" s="44"/>
      <c r="S160" s="44"/>
      <c r="T160" s="44"/>
      <c r="U160" s="44"/>
      <c r="V160" s="44"/>
      <c r="W160" s="44"/>
      <c r="X160" s="44"/>
      <c r="Y160" s="44"/>
      <c r="Z160" s="44" t="s">
        <v>48</v>
      </c>
      <c r="AA160" s="44">
        <v>10</v>
      </c>
      <c r="AB160" s="44">
        <v>30</v>
      </c>
      <c r="AC160" s="44">
        <v>20</v>
      </c>
      <c r="AD160" s="44">
        <v>50</v>
      </c>
      <c r="AE160" s="44">
        <f>SUM(ListeInventaire642[[#This Row],[Gravité Réelle]:[Gravité potentielle]])</f>
        <v>110</v>
      </c>
      <c r="AF160" s="44" t="s">
        <v>664</v>
      </c>
      <c r="AG160" s="48"/>
    </row>
    <row r="161" spans="1:33" s="18" customFormat="1" ht="86.25" x14ac:dyDescent="0.25">
      <c r="A161" s="33">
        <v>46001</v>
      </c>
      <c r="B161" s="22" t="s">
        <v>35</v>
      </c>
      <c r="C161" s="113" t="s">
        <v>658</v>
      </c>
      <c r="D161" s="23" t="s">
        <v>1677</v>
      </c>
      <c r="E161" s="22" t="s">
        <v>43</v>
      </c>
      <c r="F161" s="20" t="s">
        <v>1678</v>
      </c>
      <c r="G161" s="20" t="s">
        <v>919</v>
      </c>
      <c r="H161" s="19" t="s">
        <v>33</v>
      </c>
      <c r="I161" s="44"/>
      <c r="J161" s="44" t="s">
        <v>663</v>
      </c>
      <c r="K161" s="44"/>
      <c r="L161" s="44"/>
      <c r="M161" s="44"/>
      <c r="N161" s="44"/>
      <c r="O161" s="44"/>
      <c r="P161" s="44"/>
      <c r="Q161" s="44"/>
      <c r="R161" s="44"/>
      <c r="S161" s="44"/>
      <c r="T161" s="44"/>
      <c r="U161" s="44"/>
      <c r="V161" s="44"/>
      <c r="W161" s="44"/>
      <c r="X161" s="44"/>
      <c r="Y161" s="44"/>
      <c r="Z161" s="44" t="s">
        <v>48</v>
      </c>
      <c r="AA161" s="44">
        <v>10</v>
      </c>
      <c r="AB161" s="44">
        <v>20</v>
      </c>
      <c r="AC161" s="44">
        <v>10</v>
      </c>
      <c r="AD161" s="44">
        <v>30</v>
      </c>
      <c r="AE161" s="44">
        <f>SUM(ListeInventaire642[[#This Row],[Gravité Réelle]:[Gravité potentielle]])</f>
        <v>70</v>
      </c>
      <c r="AF161" s="44" t="s">
        <v>664</v>
      </c>
      <c r="AG161" s="48"/>
    </row>
    <row r="162" spans="1:33" s="18" customFormat="1" ht="51.75" x14ac:dyDescent="0.25">
      <c r="A162" s="33">
        <v>45985</v>
      </c>
      <c r="B162" s="22" t="s">
        <v>51</v>
      </c>
      <c r="C162" s="113" t="s">
        <v>658</v>
      </c>
      <c r="D162" s="23" t="s">
        <v>1680</v>
      </c>
      <c r="E162" s="22" t="s">
        <v>1071</v>
      </c>
      <c r="F162" s="20" t="s">
        <v>1679</v>
      </c>
      <c r="G162" s="20" t="s">
        <v>777</v>
      </c>
      <c r="H162" s="19" t="s">
        <v>33</v>
      </c>
      <c r="I162" s="44"/>
      <c r="J162" s="44"/>
      <c r="K162" s="44"/>
      <c r="L162" s="44"/>
      <c r="M162" s="44"/>
      <c r="N162" s="44"/>
      <c r="O162" s="44" t="s">
        <v>663</v>
      </c>
      <c r="P162" s="44"/>
      <c r="Q162" s="44"/>
      <c r="R162" s="44"/>
      <c r="S162" s="44"/>
      <c r="T162" s="44"/>
      <c r="U162" s="44"/>
      <c r="V162" s="44"/>
      <c r="W162" s="44"/>
      <c r="X162" s="44"/>
      <c r="Y162" s="44"/>
      <c r="Z162" s="44" t="s">
        <v>48</v>
      </c>
      <c r="AA162" s="44">
        <v>10</v>
      </c>
      <c r="AB162" s="44">
        <v>10</v>
      </c>
      <c r="AC162" s="44">
        <v>0</v>
      </c>
      <c r="AD162" s="44">
        <v>50</v>
      </c>
      <c r="AE162" s="44">
        <f>SUM(ListeInventaire642[[#This Row],[Gravité Réelle]:[Gravité potentielle]])</f>
        <v>70</v>
      </c>
      <c r="AF162" s="44"/>
      <c r="AG162" s="48"/>
    </row>
    <row r="163" spans="1:33" s="18" customFormat="1" ht="48.6" customHeight="1" x14ac:dyDescent="0.25">
      <c r="A163" s="33">
        <v>45958</v>
      </c>
      <c r="B163" s="22" t="s">
        <v>51</v>
      </c>
      <c r="C163" s="113" t="s">
        <v>658</v>
      </c>
      <c r="D163" s="23" t="s">
        <v>1682</v>
      </c>
      <c r="E163" s="22" t="s">
        <v>1071</v>
      </c>
      <c r="F163" s="20" t="s">
        <v>1681</v>
      </c>
      <c r="G163" s="20" t="s">
        <v>777</v>
      </c>
      <c r="H163" s="19" t="s">
        <v>33</v>
      </c>
      <c r="I163" s="44"/>
      <c r="J163" s="44"/>
      <c r="K163" s="44" t="s">
        <v>663</v>
      </c>
      <c r="L163" s="44"/>
      <c r="M163" s="44"/>
      <c r="N163" s="44"/>
      <c r="O163" s="44"/>
      <c r="P163" s="44"/>
      <c r="Q163" s="44"/>
      <c r="R163" s="44"/>
      <c r="S163" s="44"/>
      <c r="T163" s="44"/>
      <c r="U163" s="44"/>
      <c r="V163" s="44"/>
      <c r="W163" s="44"/>
      <c r="X163" s="44"/>
      <c r="Y163" s="44"/>
      <c r="Z163" s="44" t="s">
        <v>48</v>
      </c>
      <c r="AA163" s="44">
        <v>30</v>
      </c>
      <c r="AB163" s="44">
        <v>10</v>
      </c>
      <c r="AC163" s="44">
        <v>10</v>
      </c>
      <c r="AD163" s="44">
        <v>40</v>
      </c>
      <c r="AE163" s="44">
        <f>SUM(ListeInventaire642[[#This Row],[Gravité Réelle]:[Gravité potentielle]])</f>
        <v>90</v>
      </c>
      <c r="AF163" s="44" t="s">
        <v>664</v>
      </c>
      <c r="AG163" s="48"/>
    </row>
    <row r="164" spans="1:33" s="18" customFormat="1" ht="48.6" customHeight="1" x14ac:dyDescent="0.25">
      <c r="A164" s="33">
        <v>46009</v>
      </c>
      <c r="B164" s="22" t="s">
        <v>35</v>
      </c>
      <c r="C164" s="113" t="s">
        <v>673</v>
      </c>
      <c r="D164" s="23" t="s">
        <v>1684</v>
      </c>
      <c r="E164" s="22" t="s">
        <v>1047</v>
      </c>
      <c r="F164" s="20" t="s">
        <v>1683</v>
      </c>
      <c r="G164" s="20" t="s">
        <v>1049</v>
      </c>
      <c r="H164" s="19" t="s">
        <v>33</v>
      </c>
      <c r="I164" s="44"/>
      <c r="J164" s="44"/>
      <c r="K164" s="44"/>
      <c r="L164" s="44"/>
      <c r="M164" s="44"/>
      <c r="N164" s="44"/>
      <c r="O164" s="44" t="s">
        <v>663</v>
      </c>
      <c r="P164" s="44"/>
      <c r="Q164" s="44"/>
      <c r="R164" s="44"/>
      <c r="S164" s="44"/>
      <c r="T164" s="44"/>
      <c r="U164" s="44"/>
      <c r="V164" s="44"/>
      <c r="W164" s="44"/>
      <c r="X164" s="44"/>
      <c r="Y164" s="44"/>
      <c r="Z164" s="44" t="s">
        <v>39</v>
      </c>
      <c r="AA164" s="44">
        <v>10</v>
      </c>
      <c r="AB164" s="44">
        <v>30</v>
      </c>
      <c r="AC164" s="44">
        <v>10</v>
      </c>
      <c r="AD164" s="44">
        <v>50</v>
      </c>
      <c r="AE164" s="44">
        <f>SUM(ListeInventaire642[[#This Row],[Gravité Réelle]:[Gravité potentielle]])</f>
        <v>100</v>
      </c>
      <c r="AF164" s="44" t="s">
        <v>664</v>
      </c>
      <c r="AG164" s="48"/>
    </row>
    <row r="165" spans="1:33" s="18" customFormat="1" ht="34.5" x14ac:dyDescent="0.25">
      <c r="A165" s="33">
        <v>46001</v>
      </c>
      <c r="B165" s="22" t="s">
        <v>35</v>
      </c>
      <c r="C165" s="113" t="s">
        <v>673</v>
      </c>
      <c r="D165" s="23" t="s">
        <v>1685</v>
      </c>
      <c r="E165" s="22" t="s">
        <v>1686</v>
      </c>
      <c r="F165" s="20" t="s">
        <v>1687</v>
      </c>
      <c r="G165" s="20" t="s">
        <v>1688</v>
      </c>
      <c r="H165" s="19" t="s">
        <v>33</v>
      </c>
      <c r="I165" s="44"/>
      <c r="J165" s="44"/>
      <c r="K165" s="44"/>
      <c r="L165" s="44"/>
      <c r="M165" s="44"/>
      <c r="N165" s="44"/>
      <c r="O165" s="44" t="s">
        <v>663</v>
      </c>
      <c r="P165" s="44"/>
      <c r="Q165" s="44"/>
      <c r="R165" s="44"/>
      <c r="S165" s="44"/>
      <c r="T165" s="44"/>
      <c r="U165" s="44"/>
      <c r="V165" s="44"/>
      <c r="W165" s="44"/>
      <c r="X165" s="44"/>
      <c r="Y165" s="44"/>
      <c r="Z165" s="44" t="s">
        <v>48</v>
      </c>
      <c r="AA165" s="44">
        <v>30</v>
      </c>
      <c r="AB165" s="44">
        <v>20</v>
      </c>
      <c r="AC165" s="44">
        <v>0</v>
      </c>
      <c r="AD165" s="44">
        <v>30</v>
      </c>
      <c r="AE165" s="44">
        <f>SUM(ListeInventaire642[[#This Row],[Gravité Réelle]:[Gravité potentielle]])</f>
        <v>80</v>
      </c>
      <c r="AF165" s="44" t="s">
        <v>664</v>
      </c>
      <c r="AG165" s="48"/>
    </row>
    <row r="166" spans="1:33" s="18" customFormat="1" ht="48.6" customHeight="1" x14ac:dyDescent="0.25">
      <c r="A166" s="33"/>
      <c r="B166" s="22"/>
      <c r="C166" s="113"/>
      <c r="D166" s="23"/>
      <c r="E166" s="19"/>
      <c r="F166" s="262"/>
      <c r="G166" s="263"/>
      <c r="H166" s="19"/>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f>SUM(ListeInventaire642[[#This Row],[Gravité Réelle]:[Gravité potentielle]])</f>
        <v>0</v>
      </c>
      <c r="AF166" s="44" t="s">
        <v>664</v>
      </c>
      <c r="AG166" s="48"/>
    </row>
    <row r="167" spans="1:33" s="18" customFormat="1" ht="48.6" customHeight="1" x14ac:dyDescent="0.25">
      <c r="A167" s="33"/>
      <c r="B167" s="22"/>
      <c r="C167" s="113"/>
      <c r="D167" s="23"/>
      <c r="E167" s="19"/>
      <c r="F167" s="262"/>
      <c r="G167" s="263"/>
      <c r="H167" s="19"/>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f>SUM(ListeInventaire642[[#This Row],[Gravité Réelle]:[Gravité potentielle]])</f>
        <v>0</v>
      </c>
      <c r="AF167" s="44" t="s">
        <v>664</v>
      </c>
      <c r="AG167" s="48"/>
    </row>
    <row r="168" spans="1:33" s="18" customFormat="1" ht="17.25" x14ac:dyDescent="0.25">
      <c r="A168" s="33"/>
      <c r="B168" s="22"/>
      <c r="C168" s="113"/>
      <c r="D168" s="23"/>
      <c r="E168" s="19"/>
      <c r="F168" s="9"/>
      <c r="G168" s="263"/>
      <c r="H168" s="19"/>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f>SUM(ListeInventaire642[[#This Row],[Gravité Réelle]:[Gravité potentielle]])</f>
        <v>0</v>
      </c>
      <c r="AF168" s="44" t="s">
        <v>664</v>
      </c>
      <c r="AG168" s="48"/>
    </row>
    <row r="169" spans="1:33" s="18" customFormat="1" ht="48.6" customHeight="1" x14ac:dyDescent="0.25">
      <c r="A169" s="33"/>
      <c r="B169" s="22"/>
      <c r="C169" s="113"/>
      <c r="D169" s="23"/>
      <c r="E169" s="19"/>
      <c r="F169" s="9"/>
      <c r="G169" s="263"/>
      <c r="H169" s="19"/>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f>SUM(ListeInventaire642[[#This Row],[Gravité Réelle]:[Gravité potentielle]])</f>
        <v>0</v>
      </c>
      <c r="AF169" s="44" t="s">
        <v>664</v>
      </c>
      <c r="AG169" s="48"/>
    </row>
    <row r="170" spans="1:33" s="18" customFormat="1" ht="53.65" customHeight="1" x14ac:dyDescent="0.25">
      <c r="A170" s="33"/>
      <c r="B170" s="22"/>
      <c r="C170" s="113"/>
      <c r="D170" s="23"/>
      <c r="E170" s="19"/>
      <c r="F170" s="9"/>
      <c r="G170" s="263"/>
      <c r="H170" s="19"/>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f>SUM(ListeInventaire642[[#This Row],[Gravité Réelle]:[Gravité potentielle]])</f>
        <v>0</v>
      </c>
      <c r="AF170" s="44" t="s">
        <v>664</v>
      </c>
      <c r="AG170" s="48"/>
    </row>
    <row r="171" spans="1:33" s="18" customFormat="1" ht="48.6" customHeight="1" x14ac:dyDescent="0.25">
      <c r="A171" s="33"/>
      <c r="B171" s="22"/>
      <c r="C171" s="113"/>
      <c r="D171" s="23"/>
      <c r="E171" s="19"/>
      <c r="F171" s="9"/>
      <c r="G171" s="247"/>
      <c r="H171" s="219"/>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f>SUM(ListeInventaire642[[#This Row],[Gravité Réelle]:[Gravité potentielle]])</f>
        <v>0</v>
      </c>
      <c r="AF171" s="44" t="s">
        <v>664</v>
      </c>
      <c r="AG171" s="48"/>
    </row>
    <row r="172" spans="1:33" s="18" customFormat="1" ht="48.6" customHeight="1" x14ac:dyDescent="0.25">
      <c r="A172" s="33"/>
      <c r="B172" s="22"/>
      <c r="C172" s="113"/>
      <c r="D172" s="23"/>
      <c r="E172" s="19"/>
      <c r="F172" s="9"/>
      <c r="G172" s="247"/>
      <c r="H172" s="219"/>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f>SUM(ListeInventaire642[[#This Row],[Gravité Réelle]:[Gravité potentielle]])</f>
        <v>0</v>
      </c>
      <c r="AF172" s="44" t="s">
        <v>664</v>
      </c>
      <c r="AG172" s="48"/>
    </row>
    <row r="173" spans="1:33" s="18" customFormat="1" ht="48.6" customHeight="1" x14ac:dyDescent="0.25">
      <c r="A173" s="33"/>
      <c r="B173" s="22"/>
      <c r="C173" s="113"/>
      <c r="D173" s="23"/>
      <c r="E173" s="19"/>
      <c r="F173" s="9"/>
      <c r="G173" s="247"/>
      <c r="H173" s="219"/>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f>SUM(ListeInventaire642[[#This Row],[Gravité Réelle]:[Gravité potentielle]])</f>
        <v>0</v>
      </c>
      <c r="AF173" s="44" t="s">
        <v>664</v>
      </c>
      <c r="AG173" s="48"/>
    </row>
    <row r="174" spans="1:33" ht="48.6" customHeight="1" x14ac:dyDescent="0.25">
      <c r="A174" s="33"/>
      <c r="B174" s="22"/>
      <c r="C174" s="113"/>
      <c r="D174" s="23"/>
      <c r="E174" s="19"/>
      <c r="F174" s="9"/>
      <c r="G174" s="247"/>
      <c r="H174" s="219"/>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f>SUM(ListeInventaire642[[#This Row],[Gravité Réelle]:[Gravité potentielle]])</f>
        <v>0</v>
      </c>
      <c r="AF174" s="44" t="s">
        <v>664</v>
      </c>
      <c r="AG174" s="48"/>
    </row>
    <row r="175" spans="1:33" ht="48.6" customHeight="1" x14ac:dyDescent="0.25">
      <c r="A175" s="33"/>
      <c r="B175" s="22"/>
      <c r="C175" s="113"/>
      <c r="D175" s="23"/>
      <c r="E175" s="19"/>
      <c r="F175" s="20"/>
      <c r="G175" s="20"/>
      <c r="H175" s="19"/>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f>SUM(ListeInventaire642[[#This Row],[Gravité Réelle]:[Gravité potentielle]])</f>
        <v>0</v>
      </c>
      <c r="AF175" s="44" t="s">
        <v>664</v>
      </c>
      <c r="AG175" s="48"/>
    </row>
    <row r="176" spans="1:33" ht="48.6" customHeight="1" x14ac:dyDescent="0.25">
      <c r="A176" s="33"/>
      <c r="B176" s="22"/>
      <c r="C176" s="113"/>
      <c r="D176" s="23"/>
      <c r="E176" s="19"/>
      <c r="F176" s="20"/>
      <c r="G176" s="20"/>
      <c r="H176" s="19"/>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f>SUM(ListeInventaire642[[#This Row],[Gravité Réelle]:[Gravité potentielle]])</f>
        <v>0</v>
      </c>
      <c r="AF176" s="44" t="s">
        <v>664</v>
      </c>
      <c r="AG176" s="48"/>
    </row>
    <row r="177" spans="1:33" ht="48.6" customHeight="1" x14ac:dyDescent="0.25">
      <c r="A177" s="33"/>
      <c r="B177" s="22"/>
      <c r="C177" s="113"/>
      <c r="D177" s="23"/>
      <c r="E177" s="19"/>
      <c r="F177" s="20"/>
      <c r="G177" s="20"/>
      <c r="H177" s="19"/>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f>SUM(ListeInventaire642[[#This Row],[Gravité Réelle]:[Gravité potentielle]])</f>
        <v>0</v>
      </c>
      <c r="AF177" s="44" t="s">
        <v>664</v>
      </c>
      <c r="AG177" s="48"/>
    </row>
    <row r="178" spans="1:33" ht="48.6" customHeight="1" x14ac:dyDescent="0.25">
      <c r="A178" s="33"/>
      <c r="B178" s="22"/>
      <c r="C178" s="113"/>
      <c r="D178" s="23"/>
      <c r="E178" s="19"/>
      <c r="F178" s="20"/>
      <c r="G178" s="20"/>
      <c r="H178" s="19"/>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f>SUM(ListeInventaire642[[#This Row],[Gravité Réelle]:[Gravité potentielle]])</f>
        <v>0</v>
      </c>
      <c r="AF178" s="44" t="s">
        <v>664</v>
      </c>
      <c r="AG178" s="48"/>
    </row>
    <row r="179" spans="1:33" ht="48.6" customHeight="1" x14ac:dyDescent="0.25">
      <c r="A179" s="33"/>
      <c r="B179" s="22"/>
      <c r="C179" s="113"/>
      <c r="D179" s="23"/>
      <c r="E179" s="19"/>
      <c r="F179" s="9"/>
      <c r="G179" s="247"/>
      <c r="H179" s="19"/>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f>SUM(ListeInventaire642[[#This Row],[Gravité Réelle]:[Gravité potentielle]])</f>
        <v>0</v>
      </c>
      <c r="AF179" s="44" t="s">
        <v>664</v>
      </c>
      <c r="AG179" s="48"/>
    </row>
    <row r="180" spans="1:33" ht="48.6" customHeight="1" x14ac:dyDescent="0.25">
      <c r="A180" s="33"/>
      <c r="B180" s="22"/>
      <c r="C180" s="113"/>
      <c r="D180" s="23"/>
      <c r="E180" s="19"/>
      <c r="F180" s="9"/>
      <c r="G180" s="247"/>
      <c r="H180" s="219"/>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f>SUM(ListeInventaire642[[#This Row],[Gravité Réelle]:[Gravité potentielle]])</f>
        <v>0</v>
      </c>
      <c r="AF180" s="44" t="s">
        <v>664</v>
      </c>
      <c r="AG180" s="48"/>
    </row>
    <row r="181" spans="1:33" ht="48.6" customHeight="1" x14ac:dyDescent="0.25">
      <c r="A181" s="33"/>
      <c r="B181" s="22"/>
      <c r="C181" s="113"/>
      <c r="D181" s="23"/>
      <c r="E181" s="19"/>
      <c r="F181" s="9"/>
      <c r="G181" s="247"/>
      <c r="H181" s="219"/>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f>SUM(ListeInventaire642[[#This Row],[Gravité Réelle]:[Gravité potentielle]])</f>
        <v>0</v>
      </c>
      <c r="AF181" s="44" t="s">
        <v>664</v>
      </c>
      <c r="AG181" s="48"/>
    </row>
    <row r="182" spans="1:33" ht="48.6" customHeight="1" x14ac:dyDescent="0.25">
      <c r="A182" s="33"/>
      <c r="B182" s="22"/>
      <c r="C182" s="113"/>
      <c r="D182" s="23"/>
      <c r="E182" s="19"/>
      <c r="F182" s="9"/>
      <c r="G182" s="247"/>
      <c r="H182" s="219"/>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f>SUM(ListeInventaire642[[#This Row],[Gravité Réelle]:[Gravité potentielle]])</f>
        <v>0</v>
      </c>
      <c r="AF182" s="44" t="s">
        <v>664</v>
      </c>
      <c r="AG182" s="48"/>
    </row>
    <row r="183" spans="1:33" ht="48.6" customHeight="1" x14ac:dyDescent="0.25">
      <c r="A183" s="33"/>
      <c r="B183" s="22"/>
      <c r="C183" s="113"/>
      <c r="D183" s="23"/>
      <c r="E183" s="19"/>
      <c r="F183" s="9"/>
      <c r="G183" s="247"/>
      <c r="H183" s="219"/>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f>SUM(ListeInventaire642[[#This Row],[Gravité Réelle]:[Gravité potentielle]])</f>
        <v>0</v>
      </c>
      <c r="AF183" s="44" t="s">
        <v>664</v>
      </c>
      <c r="AG183" s="48"/>
    </row>
    <row r="184" spans="1:33" ht="30" customHeight="1" x14ac:dyDescent="0.25">
      <c r="A184" s="33"/>
      <c r="B184" s="22"/>
      <c r="C184" s="113"/>
      <c r="D184" s="23"/>
      <c r="E184" s="19"/>
      <c r="F184" s="9"/>
      <c r="G184" s="247"/>
      <c r="H184" s="219"/>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f>SUM(ListeInventaire642[[#This Row],[Gravité Réelle]:[Gravité potentielle]])</f>
        <v>0</v>
      </c>
      <c r="AF184" s="44" t="s">
        <v>664</v>
      </c>
      <c r="AG184" s="48"/>
    </row>
    <row r="185" spans="1:33" ht="30" customHeight="1" x14ac:dyDescent="0.25">
      <c r="A185" s="33"/>
      <c r="B185" s="22"/>
      <c r="C185" s="113"/>
      <c r="D185" s="23"/>
      <c r="E185" s="19"/>
      <c r="F185" s="9"/>
      <c r="G185" s="247"/>
      <c r="H185" s="219"/>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f>SUM(ListeInventaire642[[#This Row],[Gravité Réelle]:[Gravité potentielle]])</f>
        <v>0</v>
      </c>
      <c r="AF185" s="44" t="s">
        <v>664</v>
      </c>
      <c r="AG185" s="48"/>
    </row>
    <row r="186" spans="1:33" ht="30" customHeight="1" x14ac:dyDescent="0.25">
      <c r="A186" s="33"/>
      <c r="B186" s="22"/>
      <c r="C186" s="113"/>
      <c r="D186" s="23"/>
      <c r="E186" s="19"/>
      <c r="F186" s="9"/>
      <c r="G186" s="247"/>
      <c r="H186" s="219"/>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f>SUM(ListeInventaire642[[#This Row],[Gravité Réelle]:[Gravité potentielle]])</f>
        <v>0</v>
      </c>
      <c r="AF186" s="44" t="s">
        <v>664</v>
      </c>
      <c r="AG186" s="48"/>
    </row>
    <row r="187" spans="1:33" ht="30" customHeight="1" x14ac:dyDescent="0.25">
      <c r="A187" s="33"/>
      <c r="B187" s="22"/>
      <c r="C187" s="113"/>
      <c r="D187" s="23"/>
      <c r="E187" s="19"/>
      <c r="F187" s="9"/>
      <c r="G187" s="247"/>
      <c r="H187" s="219"/>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f>SUM(ListeInventaire642[[#This Row],[Gravité Réelle]:[Gravité potentielle]])</f>
        <v>0</v>
      </c>
      <c r="AF187" s="44" t="s">
        <v>664</v>
      </c>
      <c r="AG187" s="48"/>
    </row>
    <row r="188" spans="1:33" ht="30" customHeight="1" x14ac:dyDescent="0.25">
      <c r="A188" s="33"/>
      <c r="B188" s="22"/>
      <c r="C188" s="113"/>
      <c r="D188" s="23"/>
      <c r="E188" s="19"/>
      <c r="F188" s="9"/>
      <c r="G188" s="247"/>
      <c r="H188" s="219"/>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f>SUM(ListeInventaire642[[#This Row],[Gravité Réelle]:[Gravité potentielle]])</f>
        <v>0</v>
      </c>
      <c r="AF188" s="44" t="s">
        <v>664</v>
      </c>
      <c r="AG188" s="48"/>
    </row>
    <row r="189" spans="1:33" ht="30" customHeight="1" x14ac:dyDescent="0.25">
      <c r="A189" s="33"/>
      <c r="B189" s="22"/>
      <c r="C189" s="113"/>
      <c r="D189" s="23"/>
      <c r="E189" s="19"/>
      <c r="F189" s="9"/>
      <c r="G189" s="247"/>
      <c r="H189" s="219"/>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f>SUM(ListeInventaire642[[#This Row],[Gravité Réelle]:[Gravité potentielle]])</f>
        <v>0</v>
      </c>
      <c r="AF189" s="44" t="s">
        <v>664</v>
      </c>
      <c r="AG189" s="48"/>
    </row>
    <row r="190" spans="1:33" ht="30" customHeight="1" x14ac:dyDescent="0.25">
      <c r="A190" s="33"/>
      <c r="B190" s="22"/>
      <c r="C190" s="113"/>
      <c r="D190" s="23"/>
      <c r="E190" s="19"/>
      <c r="F190" s="9"/>
      <c r="G190" s="247"/>
      <c r="H190" s="219"/>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f>SUM(ListeInventaire642[[#This Row],[Gravité Réelle]:[Gravité potentielle]])</f>
        <v>0</v>
      </c>
      <c r="AF190" s="44" t="s">
        <v>664</v>
      </c>
      <c r="AG190" s="48"/>
    </row>
    <row r="191" spans="1:33" ht="30" customHeight="1" x14ac:dyDescent="0.25">
      <c r="A191" s="33"/>
      <c r="B191" s="22"/>
      <c r="C191" s="113"/>
      <c r="D191" s="23"/>
      <c r="E191" s="19"/>
      <c r="F191" s="9"/>
      <c r="G191" s="247"/>
      <c r="H191" s="219"/>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f>SUM(ListeInventaire642[[#This Row],[Gravité Réelle]:[Gravité potentielle]])</f>
        <v>0</v>
      </c>
      <c r="AF191" s="44" t="s">
        <v>664</v>
      </c>
      <c r="AG191" s="48"/>
    </row>
    <row r="192" spans="1:33" ht="30" customHeight="1" x14ac:dyDescent="0.25">
      <c r="A192" s="33"/>
      <c r="B192" s="22"/>
      <c r="C192" s="113"/>
      <c r="D192" s="23"/>
      <c r="E192" s="19"/>
      <c r="F192" s="9"/>
      <c r="G192" s="247"/>
      <c r="H192" s="219"/>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f>SUM(ListeInventaire642[[#This Row],[Gravité Réelle]:[Gravité potentielle]])</f>
        <v>0</v>
      </c>
      <c r="AF192" s="44" t="s">
        <v>664</v>
      </c>
      <c r="AG192" s="48"/>
    </row>
    <row r="193" spans="1:33" ht="30" customHeight="1" x14ac:dyDescent="0.25">
      <c r="A193" s="33"/>
      <c r="B193" s="22"/>
      <c r="C193" s="113"/>
      <c r="D193" s="23"/>
      <c r="E193" s="19"/>
      <c r="F193" s="9"/>
      <c r="G193" s="247"/>
      <c r="H193" s="219"/>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f>SUM(ListeInventaire642[[#This Row],[Gravité Réelle]:[Gravité potentielle]])</f>
        <v>0</v>
      </c>
      <c r="AF193" s="44" t="s">
        <v>664</v>
      </c>
      <c r="AG193" s="48"/>
    </row>
    <row r="194" spans="1:33" ht="30" customHeight="1" x14ac:dyDescent="0.25">
      <c r="A194" s="33"/>
      <c r="B194" s="22"/>
      <c r="C194" s="113"/>
      <c r="D194" s="23"/>
      <c r="E194" s="19"/>
      <c r="F194" s="9"/>
      <c r="G194" s="247"/>
      <c r="H194" s="219"/>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f>SUM(ListeInventaire642[[#This Row],[Gravité Réelle]:[Gravité potentielle]])</f>
        <v>0</v>
      </c>
      <c r="AF194" s="44" t="s">
        <v>664</v>
      </c>
      <c r="AG194" s="48"/>
    </row>
    <row r="195" spans="1:33" ht="30" customHeight="1" x14ac:dyDescent="0.25">
      <c r="A195" s="33"/>
      <c r="B195" s="22"/>
      <c r="C195" s="113"/>
      <c r="D195" s="23"/>
      <c r="E195" s="19"/>
      <c r="F195" s="9"/>
      <c r="G195" s="247"/>
      <c r="H195" s="219"/>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f>SUM(ListeInventaire642[[#This Row],[Gravité Réelle]:[Gravité potentielle]])</f>
        <v>0</v>
      </c>
      <c r="AF195" s="44" t="s">
        <v>664</v>
      </c>
      <c r="AG195" s="48"/>
    </row>
    <row r="196" spans="1:33" ht="30" customHeight="1" x14ac:dyDescent="0.25">
      <c r="A196" s="33"/>
      <c r="B196" s="22"/>
      <c r="C196" s="113"/>
      <c r="D196" s="23"/>
      <c r="E196" s="19"/>
      <c r="F196" s="9"/>
      <c r="G196" s="247"/>
      <c r="H196" s="219"/>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f>SUM(ListeInventaire642[[#This Row],[Gravité Réelle]:[Gravité potentielle]])</f>
        <v>0</v>
      </c>
      <c r="AF196" s="44" t="s">
        <v>664</v>
      </c>
      <c r="AG196" s="48"/>
    </row>
    <row r="197" spans="1:33" ht="30" customHeight="1" x14ac:dyDescent="0.25">
      <c r="A197" s="33"/>
      <c r="B197" s="22"/>
      <c r="C197" s="113"/>
      <c r="D197" s="23"/>
      <c r="E197" s="19"/>
      <c r="F197" s="9"/>
      <c r="G197" s="247"/>
      <c r="H197" s="219"/>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f>SUM(ListeInventaire642[[#This Row],[Gravité Réelle]:[Gravité potentielle]])</f>
        <v>0</v>
      </c>
      <c r="AF197" s="44" t="s">
        <v>664</v>
      </c>
      <c r="AG197" s="48"/>
    </row>
    <row r="198" spans="1:33" ht="30" customHeight="1" x14ac:dyDescent="0.25">
      <c r="A198" s="33"/>
      <c r="B198" s="22"/>
      <c r="C198" s="113"/>
      <c r="D198" s="23"/>
      <c r="E198" s="19"/>
      <c r="F198" s="9"/>
      <c r="G198" s="247"/>
      <c r="H198" s="219"/>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f>SUM(ListeInventaire642[[#This Row],[Gravité Réelle]:[Gravité potentielle]])</f>
        <v>0</v>
      </c>
      <c r="AF198" s="44" t="s">
        <v>664</v>
      </c>
      <c r="AG198" s="48"/>
    </row>
    <row r="199" spans="1:33" ht="30" customHeight="1" x14ac:dyDescent="0.25">
      <c r="A199" s="33"/>
      <c r="B199" s="22"/>
      <c r="C199" s="113"/>
      <c r="D199" s="23"/>
      <c r="E199" s="19"/>
      <c r="F199" s="9"/>
      <c r="G199" s="247"/>
      <c r="H199" s="219"/>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f>SUM(ListeInventaire642[[#This Row],[Gravité Réelle]:[Gravité potentielle]])</f>
        <v>0</v>
      </c>
      <c r="AF199" s="44" t="s">
        <v>664</v>
      </c>
      <c r="AG199" s="48"/>
    </row>
    <row r="200" spans="1:33" s="18" customFormat="1" ht="100.5" customHeight="1" x14ac:dyDescent="0.25">
      <c r="A200" s="33"/>
      <c r="B200" s="22"/>
      <c r="C200" s="113"/>
      <c r="D200" s="23"/>
      <c r="E200" s="19"/>
      <c r="F200" s="9"/>
      <c r="G200" s="247"/>
      <c r="H200" s="219"/>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f>SUM(ListeInventaire642[[#This Row],[Gravité Réelle]:[Gravité potentielle]])</f>
        <v>0</v>
      </c>
      <c r="AF200" s="44" t="s">
        <v>664</v>
      </c>
      <c r="AG200" s="48"/>
    </row>
    <row r="201" spans="1:33" s="18" customFormat="1" ht="100.5" customHeight="1" x14ac:dyDescent="0.25">
      <c r="A201" s="33"/>
      <c r="B201" s="22"/>
      <c r="C201" s="113"/>
      <c r="D201" s="220"/>
      <c r="E201" s="19"/>
      <c r="F201" s="9"/>
      <c r="G201" s="247"/>
      <c r="H201" s="219"/>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f>SUM(ListeInventaire642[[#This Row],[Gravité Réelle]:[Gravité potentielle]])</f>
        <v>0</v>
      </c>
      <c r="AF201" s="44" t="s">
        <v>664</v>
      </c>
      <c r="AG201" s="48"/>
    </row>
    <row r="202" spans="1:33" ht="30" customHeight="1" x14ac:dyDescent="0.25">
      <c r="A202" s="33"/>
      <c r="B202" s="22"/>
      <c r="C202" s="113"/>
      <c r="D202" s="23"/>
      <c r="E202" s="19"/>
      <c r="F202" s="9"/>
      <c r="G202" s="247"/>
      <c r="H202" s="219"/>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f>SUM(ListeInventaire642[[#This Row],[Gravité Réelle]:[Gravité potentielle]])</f>
        <v>0</v>
      </c>
      <c r="AF202" s="44" t="s">
        <v>664</v>
      </c>
      <c r="AG202" s="48"/>
    </row>
    <row r="203" spans="1:33" ht="30" customHeight="1" x14ac:dyDescent="0.25">
      <c r="A203" s="33"/>
      <c r="B203" s="22"/>
      <c r="C203" s="113"/>
      <c r="D203" s="23"/>
      <c r="E203" s="19"/>
      <c r="F203" s="9"/>
      <c r="G203" s="247"/>
      <c r="H203" s="219"/>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f>SUM(ListeInventaire642[[#This Row],[Gravité Réelle]:[Gravité potentielle]])</f>
        <v>0</v>
      </c>
      <c r="AF203" s="44" t="s">
        <v>664</v>
      </c>
      <c r="AG203" s="48"/>
    </row>
    <row r="204" spans="1:33" ht="30" customHeight="1" x14ac:dyDescent="0.25">
      <c r="A204" s="33"/>
      <c r="B204" s="22"/>
      <c r="C204" s="113"/>
      <c r="D204" s="23"/>
      <c r="E204" s="19"/>
      <c r="F204" s="9"/>
      <c r="G204" s="247"/>
      <c r="H204" s="219"/>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f>SUM(ListeInventaire642[[#This Row],[Gravité Réelle]:[Gravité potentielle]])</f>
        <v>0</v>
      </c>
      <c r="AF204" s="44" t="s">
        <v>664</v>
      </c>
      <c r="AG204" s="48"/>
    </row>
    <row r="205" spans="1:33" ht="30" customHeight="1" x14ac:dyDescent="0.25">
      <c r="A205" s="33"/>
      <c r="B205" s="22"/>
      <c r="C205" s="113"/>
      <c r="D205" s="23"/>
      <c r="E205" s="19"/>
      <c r="F205" s="9"/>
      <c r="G205" s="218"/>
      <c r="H205" s="219"/>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f>SUM(ListeInventaire642[[#This Row],[Gravité Réelle]:[Gravité potentielle]])</f>
        <v>0</v>
      </c>
      <c r="AF205" s="44" t="s">
        <v>664</v>
      </c>
      <c r="AG205" s="48"/>
    </row>
    <row r="206" spans="1:33" ht="30" customHeight="1" x14ac:dyDescent="0.25">
      <c r="A206" s="33"/>
      <c r="B206" s="22"/>
      <c r="C206" s="113"/>
      <c r="D206" s="23"/>
      <c r="E206" s="19"/>
      <c r="F206" s="9"/>
      <c r="G206" s="218"/>
      <c r="H206" s="219"/>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f>SUM(ListeInventaire642[[#This Row],[Gravité Réelle]:[Gravité potentielle]])</f>
        <v>0</v>
      </c>
      <c r="AF206" s="44" t="s">
        <v>664</v>
      </c>
      <c r="AG206" s="48"/>
    </row>
    <row r="207" spans="1:33" ht="30" customHeight="1" x14ac:dyDescent="0.25">
      <c r="A207" s="33"/>
      <c r="B207" s="22"/>
      <c r="C207" s="113"/>
      <c r="D207" s="23"/>
      <c r="E207" s="19"/>
      <c r="F207" s="9"/>
      <c r="G207" s="218"/>
      <c r="H207" s="219"/>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f>SUM(ListeInventaire642[[#This Row],[Gravité Réelle]:[Gravité potentielle]])</f>
        <v>0</v>
      </c>
      <c r="AF207" s="44" t="s">
        <v>664</v>
      </c>
      <c r="AG207" s="48"/>
    </row>
    <row r="208" spans="1:33" ht="30" customHeight="1" x14ac:dyDescent="0.25">
      <c r="A208" s="33"/>
      <c r="B208" s="22"/>
      <c r="C208" s="113"/>
      <c r="D208" s="23"/>
      <c r="E208" s="19"/>
      <c r="F208" s="9"/>
      <c r="G208" s="218"/>
      <c r="H208" s="219"/>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f>SUM(ListeInventaire642[[#This Row],[Gravité Réelle]:[Gravité potentielle]])</f>
        <v>0</v>
      </c>
      <c r="AF208" s="44" t="s">
        <v>664</v>
      </c>
      <c r="AG208" s="48"/>
    </row>
    <row r="209" spans="1:33" ht="30" customHeight="1" x14ac:dyDescent="0.25">
      <c r="A209" s="33"/>
      <c r="B209" s="22"/>
      <c r="C209" s="113"/>
      <c r="D209" s="23"/>
      <c r="E209" s="19"/>
      <c r="F209" s="9"/>
      <c r="G209" s="218"/>
      <c r="H209" s="219"/>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f>SUM(ListeInventaire642[[#This Row],[Gravité Réelle]:[Gravité potentielle]])</f>
        <v>0</v>
      </c>
      <c r="AF209" s="44" t="s">
        <v>664</v>
      </c>
      <c r="AG209" s="48"/>
    </row>
    <row r="210" spans="1:33" ht="30" customHeight="1" x14ac:dyDescent="0.25">
      <c r="A210" s="33"/>
      <c r="B210" s="22"/>
      <c r="C210" s="113"/>
      <c r="D210" s="23"/>
      <c r="E210" s="19"/>
      <c r="F210" s="9"/>
      <c r="G210" s="218"/>
      <c r="H210" s="219"/>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f>SUM(ListeInventaire642[[#This Row],[Gravité Réelle]:[Gravité potentielle]])</f>
        <v>0</v>
      </c>
      <c r="AF210" s="44" t="s">
        <v>664</v>
      </c>
      <c r="AG210" s="48"/>
    </row>
    <row r="211" spans="1:33" ht="30" customHeight="1" x14ac:dyDescent="0.25">
      <c r="A211" s="33"/>
      <c r="B211" s="22"/>
      <c r="C211" s="113"/>
      <c r="D211" s="23"/>
      <c r="E211" s="19"/>
      <c r="F211" s="9"/>
      <c r="G211" s="218"/>
      <c r="H211" s="219"/>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f>SUM(ListeInventaire642[[#This Row],[Gravité Réelle]:[Gravité potentielle]])</f>
        <v>0</v>
      </c>
      <c r="AF211" s="44" t="s">
        <v>664</v>
      </c>
      <c r="AG211" s="48"/>
    </row>
    <row r="212" spans="1:33" ht="30" customHeight="1" x14ac:dyDescent="0.25">
      <c r="A212" s="33"/>
      <c r="B212" s="22"/>
      <c r="C212" s="113"/>
      <c r="D212" s="23"/>
      <c r="E212" s="19"/>
      <c r="F212" s="9"/>
      <c r="G212" s="218"/>
      <c r="H212" s="219"/>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f>SUM(ListeInventaire642[[#This Row],[Gravité Réelle]:[Gravité potentielle]])</f>
        <v>0</v>
      </c>
      <c r="AF212" s="44" t="s">
        <v>664</v>
      </c>
      <c r="AG212" s="48"/>
    </row>
    <row r="213" spans="1:33" ht="30" customHeight="1" x14ac:dyDescent="0.25">
      <c r="A213" s="33"/>
      <c r="B213" s="22"/>
      <c r="C213" s="113"/>
      <c r="D213" s="23"/>
      <c r="E213" s="19"/>
      <c r="F213" s="9"/>
      <c r="G213" s="218"/>
      <c r="H213" s="219"/>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f>SUM(ListeInventaire642[[#This Row],[Gravité Réelle]:[Gravité potentielle]])</f>
        <v>0</v>
      </c>
      <c r="AF213" s="44" t="s">
        <v>664</v>
      </c>
      <c r="AG213" s="48"/>
    </row>
    <row r="214" spans="1:33" ht="30" customHeight="1" x14ac:dyDescent="0.25">
      <c r="A214" s="33"/>
      <c r="B214" s="22"/>
      <c r="C214" s="113"/>
      <c r="D214" s="23"/>
      <c r="E214" s="19"/>
      <c r="F214" s="9"/>
      <c r="G214" s="218"/>
      <c r="H214" s="219"/>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f>SUM(ListeInventaire642[[#This Row],[Gravité Réelle]:[Gravité potentielle]])</f>
        <v>0</v>
      </c>
      <c r="AF214" s="44" t="s">
        <v>664</v>
      </c>
      <c r="AG214" s="48"/>
    </row>
    <row r="215" spans="1:33" ht="30" customHeight="1" x14ac:dyDescent="0.25">
      <c r="A215" s="33"/>
      <c r="B215" s="22"/>
      <c r="C215" s="113"/>
      <c r="D215" s="220"/>
      <c r="E215" s="19"/>
      <c r="F215" s="9"/>
      <c r="G215" s="218"/>
      <c r="H215" s="219"/>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f>SUM(ListeInventaire642[[#This Row],[Gravité Réelle]:[Gravité potentielle]])</f>
        <v>0</v>
      </c>
      <c r="AF215" s="44" t="s">
        <v>664</v>
      </c>
      <c r="AG215" s="48"/>
    </row>
    <row r="216" spans="1:33" ht="30" customHeight="1" x14ac:dyDescent="0.25">
      <c r="A216" s="33"/>
      <c r="B216" s="22"/>
      <c r="C216" s="113"/>
      <c r="D216" s="220"/>
      <c r="E216" s="19"/>
      <c r="F216" s="9"/>
      <c r="G216" s="218"/>
      <c r="H216" s="219"/>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f>SUM(ListeInventaire642[[#This Row],[Gravité Réelle]:[Gravité potentielle]])</f>
        <v>0</v>
      </c>
      <c r="AF216" s="44" t="s">
        <v>664</v>
      </c>
      <c r="AG216" s="48"/>
    </row>
    <row r="217" spans="1:33" ht="30" customHeight="1" x14ac:dyDescent="0.25">
      <c r="A217" s="33"/>
      <c r="B217" s="22"/>
      <c r="C217" s="113"/>
      <c r="D217" s="220"/>
      <c r="E217" s="19"/>
      <c r="F217" s="9"/>
      <c r="G217" s="218"/>
      <c r="H217" s="219"/>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f>SUM(ListeInventaire642[[#This Row],[Gravité Réelle]:[Gravité potentielle]])</f>
        <v>0</v>
      </c>
      <c r="AF217" s="44" t="s">
        <v>664</v>
      </c>
      <c r="AG217" s="48"/>
    </row>
    <row r="218" spans="1:33" ht="30" customHeight="1" x14ac:dyDescent="0.25">
      <c r="A218" s="33"/>
      <c r="B218" s="22"/>
      <c r="C218" s="113"/>
      <c r="D218" s="23"/>
      <c r="E218" s="19"/>
      <c r="F218" s="9"/>
      <c r="G218" s="218"/>
      <c r="H218" s="219"/>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f>SUM(ListeInventaire642[[#This Row],[Gravité Réelle]:[Gravité potentielle]])</f>
        <v>0</v>
      </c>
      <c r="AF218" s="44" t="s">
        <v>664</v>
      </c>
      <c r="AG218" s="48"/>
    </row>
    <row r="219" spans="1:33" ht="30" customHeight="1" x14ac:dyDescent="0.25">
      <c r="A219" s="33"/>
      <c r="B219" s="22"/>
      <c r="C219" s="113"/>
      <c r="D219" s="23"/>
      <c r="E219" s="19"/>
      <c r="F219" s="9"/>
      <c r="G219" s="218"/>
      <c r="H219" s="219"/>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f>SUM(ListeInventaire642[[#This Row],[Gravité Réelle]:[Gravité potentielle]])</f>
        <v>0</v>
      </c>
      <c r="AF219" s="44" t="s">
        <v>664</v>
      </c>
      <c r="AG219" s="48"/>
    </row>
    <row r="220" spans="1:33" ht="30" customHeight="1" x14ac:dyDescent="0.25">
      <c r="A220" s="33"/>
      <c r="B220" s="22"/>
      <c r="C220" s="113"/>
      <c r="D220" s="23"/>
      <c r="E220" s="19"/>
      <c r="F220" s="9"/>
      <c r="G220" s="218"/>
      <c r="H220" s="219"/>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f>SUM(ListeInventaire642[[#This Row],[Gravité Réelle]:[Gravité potentielle]])</f>
        <v>0</v>
      </c>
      <c r="AF220" s="44" t="s">
        <v>664</v>
      </c>
      <c r="AG220" s="48"/>
    </row>
    <row r="221" spans="1:33" ht="30" customHeight="1" x14ac:dyDescent="0.25">
      <c r="A221" s="33"/>
      <c r="B221" s="22"/>
      <c r="C221" s="113"/>
      <c r="D221" s="23"/>
      <c r="E221" s="19"/>
      <c r="F221" s="9"/>
      <c r="G221" s="218"/>
      <c r="H221" s="219"/>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f>SUM(ListeInventaire642[[#This Row],[Gravité Réelle]:[Gravité potentielle]])</f>
        <v>0</v>
      </c>
      <c r="AF221" s="44" t="s">
        <v>664</v>
      </c>
      <c r="AG221" s="48"/>
    </row>
    <row r="222" spans="1:33" ht="30" customHeight="1" x14ac:dyDescent="0.25">
      <c r="A222" s="33"/>
      <c r="B222" s="22"/>
      <c r="C222" s="113"/>
      <c r="D222" s="23"/>
      <c r="E222" s="19"/>
      <c r="F222" s="9"/>
      <c r="G222" s="218"/>
      <c r="H222" s="219"/>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f>SUM(ListeInventaire642[[#This Row],[Gravité Réelle]:[Gravité potentielle]])</f>
        <v>0</v>
      </c>
      <c r="AF222" s="44" t="s">
        <v>664</v>
      </c>
      <c r="AG222" s="48"/>
    </row>
    <row r="223" spans="1:33" ht="30" customHeight="1" x14ac:dyDescent="0.25">
      <c r="A223" s="33"/>
      <c r="B223" s="22"/>
      <c r="C223" s="113"/>
      <c r="D223" s="23"/>
      <c r="E223" s="19"/>
      <c r="F223" s="9"/>
      <c r="G223" s="218"/>
      <c r="H223" s="219"/>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f>SUM(ListeInventaire642[[#This Row],[Gravité Réelle]:[Gravité potentielle]])</f>
        <v>0</v>
      </c>
      <c r="AF223" s="44" t="s">
        <v>664</v>
      </c>
      <c r="AG223" s="48"/>
    </row>
    <row r="224" spans="1:33" ht="30" customHeight="1" x14ac:dyDescent="0.25">
      <c r="A224" s="33"/>
      <c r="B224" s="22"/>
      <c r="C224" s="113"/>
      <c r="D224" s="23"/>
      <c r="E224" s="19"/>
      <c r="F224" s="9"/>
      <c r="G224" s="218"/>
      <c r="H224" s="219"/>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f>SUM(ListeInventaire642[[#This Row],[Gravité Réelle]:[Gravité potentielle]])</f>
        <v>0</v>
      </c>
      <c r="AF224" s="44" t="s">
        <v>664</v>
      </c>
      <c r="AG224" s="48"/>
    </row>
    <row r="225" spans="1:33" ht="30" customHeight="1" x14ac:dyDescent="0.25">
      <c r="A225" s="33"/>
      <c r="B225" s="22"/>
      <c r="C225" s="113"/>
      <c r="D225" s="23"/>
      <c r="E225" s="19"/>
      <c r="F225" s="9"/>
      <c r="G225" s="218"/>
      <c r="H225" s="219"/>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f>SUM(ListeInventaire642[[#This Row],[Gravité Réelle]:[Gravité potentielle]])</f>
        <v>0</v>
      </c>
      <c r="AF225" s="44" t="s">
        <v>664</v>
      </c>
      <c r="AG225" s="48"/>
    </row>
    <row r="226" spans="1:33" ht="30" customHeight="1" x14ac:dyDescent="0.25">
      <c r="A226" s="33"/>
      <c r="B226" s="22"/>
      <c r="C226" s="113"/>
      <c r="D226" s="23"/>
      <c r="E226" s="19"/>
      <c r="F226" s="9"/>
      <c r="G226" s="218"/>
      <c r="H226" s="219"/>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f>SUM(ListeInventaire642[[#This Row],[Gravité Réelle]:[Gravité potentielle]])</f>
        <v>0</v>
      </c>
      <c r="AF226" s="44" t="s">
        <v>664</v>
      </c>
      <c r="AG226" s="48"/>
    </row>
    <row r="227" spans="1:33" ht="30" customHeight="1" x14ac:dyDescent="0.25">
      <c r="A227" s="33"/>
      <c r="B227" s="22"/>
      <c r="C227" s="113"/>
      <c r="D227" s="23"/>
      <c r="E227" s="19"/>
      <c r="F227" s="9"/>
      <c r="G227" s="218"/>
      <c r="H227" s="219"/>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f>SUM(ListeInventaire642[[#This Row],[Gravité Réelle]:[Gravité potentielle]])</f>
        <v>0</v>
      </c>
      <c r="AF227" s="44" t="s">
        <v>664</v>
      </c>
      <c r="AG227" s="48"/>
    </row>
    <row r="228" spans="1:33" ht="30" customHeight="1" x14ac:dyDescent="0.25">
      <c r="A228" s="33"/>
      <c r="B228" s="22"/>
      <c r="C228" s="113"/>
      <c r="D228" s="23"/>
      <c r="E228" s="19"/>
      <c r="F228" s="9"/>
      <c r="G228" s="218"/>
      <c r="H228" s="219"/>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f>SUM(ListeInventaire642[[#This Row],[Gravité Réelle]:[Gravité potentielle]])</f>
        <v>0</v>
      </c>
      <c r="AF228" s="44" t="s">
        <v>664</v>
      </c>
      <c r="AG228" s="48"/>
    </row>
    <row r="229" spans="1:33" ht="30" customHeight="1" x14ac:dyDescent="0.25">
      <c r="A229" s="33"/>
      <c r="B229" s="22"/>
      <c r="C229" s="113"/>
      <c r="D229" s="23"/>
      <c r="E229" s="19"/>
      <c r="F229" s="9"/>
      <c r="G229" s="218"/>
      <c r="H229" s="219"/>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f>SUM(ListeInventaire642[[#This Row],[Gravité Réelle]:[Gravité potentielle]])</f>
        <v>0</v>
      </c>
      <c r="AF229" s="44" t="s">
        <v>664</v>
      </c>
      <c r="AG229" s="48"/>
    </row>
    <row r="230" spans="1:33" ht="30" customHeight="1" x14ac:dyDescent="0.25">
      <c r="A230" s="33"/>
      <c r="B230" s="22"/>
      <c r="C230" s="113"/>
      <c r="D230" s="23"/>
      <c r="E230" s="19"/>
      <c r="F230" s="9"/>
      <c r="G230" s="218"/>
      <c r="H230" s="219"/>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f>SUM(ListeInventaire642[[#This Row],[Gravité Réelle]:[Gravité potentielle]])</f>
        <v>0</v>
      </c>
      <c r="AF230" s="44" t="s">
        <v>664</v>
      </c>
      <c r="AG230" s="48"/>
    </row>
    <row r="231" spans="1:33" ht="30" customHeight="1" x14ac:dyDescent="0.25">
      <c r="A231" s="33"/>
      <c r="B231" s="22"/>
      <c r="C231" s="113"/>
      <c r="D231" s="23"/>
      <c r="E231" s="19"/>
      <c r="F231" s="9"/>
      <c r="G231" s="218"/>
      <c r="H231" s="219"/>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f>SUM(ListeInventaire642[[#This Row],[Gravité Réelle]:[Gravité potentielle]])</f>
        <v>0</v>
      </c>
      <c r="AF231" s="44" t="s">
        <v>664</v>
      </c>
      <c r="AG231" s="48"/>
    </row>
    <row r="232" spans="1:33" ht="30" customHeight="1" x14ac:dyDescent="0.25">
      <c r="A232" s="33"/>
      <c r="B232" s="22"/>
      <c r="C232" s="113"/>
      <c r="D232" s="23"/>
      <c r="E232" s="19"/>
      <c r="F232" s="9"/>
      <c r="G232" s="218"/>
      <c r="H232" s="219"/>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f>SUM(ListeInventaire642[[#This Row],[Gravité Réelle]:[Gravité potentielle]])</f>
        <v>0</v>
      </c>
      <c r="AF232" s="44" t="s">
        <v>664</v>
      </c>
      <c r="AG232" s="48"/>
    </row>
    <row r="233" spans="1:33" ht="30" customHeight="1" x14ac:dyDescent="0.25">
      <c r="A233" s="33"/>
      <c r="B233" s="22"/>
      <c r="C233" s="113"/>
      <c r="D233" s="23"/>
      <c r="E233" s="19"/>
      <c r="F233" s="9"/>
      <c r="G233" s="218"/>
      <c r="H233" s="219"/>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f>SUM(ListeInventaire642[[#This Row],[Gravité Réelle]:[Gravité potentielle]])</f>
        <v>0</v>
      </c>
      <c r="AF233" s="44" t="s">
        <v>664</v>
      </c>
      <c r="AG233" s="48"/>
    </row>
    <row r="234" spans="1:33" ht="30" customHeight="1" x14ac:dyDescent="0.25">
      <c r="A234" s="33"/>
      <c r="B234" s="22"/>
      <c r="C234" s="113"/>
      <c r="D234" s="23"/>
      <c r="E234" s="19"/>
      <c r="F234" s="9"/>
      <c r="G234" s="218"/>
      <c r="H234" s="219"/>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f>SUM(ListeInventaire642[[#This Row],[Gravité Réelle]:[Gravité potentielle]])</f>
        <v>0</v>
      </c>
      <c r="AF234" s="44" t="s">
        <v>664</v>
      </c>
      <c r="AG234" s="48"/>
    </row>
    <row r="235" spans="1:33" ht="30" customHeight="1" x14ac:dyDescent="0.25">
      <c r="A235" s="33"/>
      <c r="B235" s="22"/>
      <c r="C235" s="113"/>
      <c r="D235" s="23"/>
      <c r="E235" s="19"/>
      <c r="F235" s="9"/>
      <c r="G235" s="218"/>
      <c r="H235" s="219"/>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f>SUM(ListeInventaire642[[#This Row],[Gravité Réelle]:[Gravité potentielle]])</f>
        <v>0</v>
      </c>
      <c r="AF235" s="44" t="s">
        <v>664</v>
      </c>
      <c r="AG235" s="48"/>
    </row>
    <row r="236" spans="1:33" ht="30" customHeight="1" x14ac:dyDescent="0.25">
      <c r="A236" s="33"/>
      <c r="B236" s="22"/>
      <c r="C236" s="113"/>
      <c r="D236" s="23"/>
      <c r="E236" s="19"/>
      <c r="F236" s="9"/>
      <c r="G236" s="218"/>
      <c r="H236" s="219"/>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f>SUM(ListeInventaire642[[#This Row],[Gravité Réelle]:[Gravité potentielle]])</f>
        <v>0</v>
      </c>
      <c r="AF236" s="44" t="s">
        <v>664</v>
      </c>
      <c r="AG236" s="48"/>
    </row>
    <row r="237" spans="1:33" ht="30" customHeight="1" x14ac:dyDescent="0.25">
      <c r="A237" s="33"/>
      <c r="B237" s="22"/>
      <c r="C237" s="113"/>
      <c r="D237" s="23"/>
      <c r="E237" s="19"/>
      <c r="F237" s="9"/>
      <c r="G237" s="218"/>
      <c r="H237" s="219"/>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f>SUM(ListeInventaire642[[#This Row],[Gravité Réelle]:[Gravité potentielle]])</f>
        <v>0</v>
      </c>
      <c r="AF237" s="44" t="s">
        <v>664</v>
      </c>
      <c r="AG237" s="48"/>
    </row>
    <row r="238" spans="1:33" ht="26.1" customHeight="1" x14ac:dyDescent="0.25">
      <c r="A238" s="33"/>
      <c r="B238" s="22"/>
      <c r="C238" s="113"/>
      <c r="D238" s="23"/>
      <c r="E238" s="19"/>
      <c r="F238" s="9"/>
      <c r="G238" s="218"/>
      <c r="H238" s="219"/>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f>SUM(ListeInventaire642[[#This Row],[Gravité Réelle]:[Gravité potentielle]])</f>
        <v>0</v>
      </c>
      <c r="AF238" s="44" t="s">
        <v>664</v>
      </c>
      <c r="AG238" s="48"/>
    </row>
    <row r="239" spans="1:33" ht="28.35" customHeight="1" x14ac:dyDescent="0.25">
      <c r="A239" s="33"/>
      <c r="B239" s="22"/>
      <c r="C239" s="113"/>
      <c r="D239" s="23"/>
      <c r="E239" s="19"/>
      <c r="F239" s="9"/>
      <c r="G239" s="218"/>
      <c r="H239" s="219"/>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f>SUM(ListeInventaire642[[#This Row],[Gravité Réelle]:[Gravité potentielle]])</f>
        <v>0</v>
      </c>
      <c r="AF239" s="44" t="s">
        <v>664</v>
      </c>
      <c r="AG239" s="48"/>
    </row>
    <row r="240" spans="1:33" ht="36" customHeight="1" x14ac:dyDescent="0.25">
      <c r="A240" s="33"/>
      <c r="B240" s="22"/>
      <c r="C240" s="113"/>
      <c r="D240" s="23"/>
      <c r="E240" s="19"/>
      <c r="F240" s="9"/>
      <c r="G240" s="218"/>
      <c r="H240" s="219"/>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f>SUM(ListeInventaire642[[#This Row],[Gravité Réelle]:[Gravité potentielle]])</f>
        <v>0</v>
      </c>
      <c r="AF240" s="44" t="s">
        <v>664</v>
      </c>
      <c r="AG240" s="48"/>
    </row>
    <row r="241" spans="1:33" ht="30" customHeight="1" x14ac:dyDescent="0.25">
      <c r="A241" s="266"/>
      <c r="B241" s="22"/>
      <c r="C241" s="113"/>
      <c r="D241" s="267"/>
      <c r="E241" s="268"/>
      <c r="F241" s="383"/>
      <c r="G241" s="384"/>
      <c r="H241" s="219"/>
      <c r="I241" s="44"/>
      <c r="J241" s="44"/>
      <c r="K241" s="44"/>
      <c r="L241" s="44"/>
      <c r="M241" s="44"/>
      <c r="N241" s="44"/>
      <c r="O241" s="44"/>
      <c r="P241" s="44"/>
      <c r="Q241" s="44"/>
      <c r="R241" s="44"/>
      <c r="S241" s="44"/>
      <c r="T241" s="44"/>
      <c r="U241" s="44"/>
      <c r="V241" s="44"/>
      <c r="W241" s="44"/>
      <c r="X241" s="269"/>
      <c r="Y241" s="385"/>
      <c r="Z241" s="44"/>
      <c r="AA241" s="44"/>
      <c r="AB241" s="44"/>
      <c r="AC241" s="385"/>
      <c r="AD241" s="385"/>
      <c r="AE241" s="44">
        <f>SUM(ListeInventaire642[[#This Row],[Gravité Réelle]:[Gravité potentielle]])</f>
        <v>0</v>
      </c>
      <c r="AF241" s="44" t="s">
        <v>664</v>
      </c>
      <c r="AG241" s="48"/>
    </row>
  </sheetData>
  <mergeCells count="3">
    <mergeCell ref="A1:F1"/>
    <mergeCell ref="I1:W1"/>
    <mergeCell ref="AA1:AB1"/>
  </mergeCells>
  <phoneticPr fontId="14" type="noConversion"/>
  <conditionalFormatting sqref="I3:Y70 I71:S71 U71:Y71 I72:Y79 I80:T80 V80:Y80 I81:Y242">
    <cfRule type="cellIs" dxfId="46" priority="35" operator="equal">
      <formula>1</formula>
    </cfRule>
  </conditionalFormatting>
  <conditionalFormatting sqref="Z1 Z3:Z1048576">
    <cfRule type="containsText" dxfId="45" priority="394" operator="containsText" text="OUI">
      <formula>NOT(ISERROR(SEARCH("OUI",Z1)))</formula>
    </cfRule>
  </conditionalFormatting>
  <conditionalFormatting sqref="AA3:AA20 AA22:AA54">
    <cfRule type="colorScale" priority="25">
      <colorScale>
        <cfvo type="min"/>
        <cfvo type="percentile" val="50"/>
        <cfvo type="max"/>
        <color rgb="FF63BE7B"/>
        <color rgb="FFFFEB84"/>
        <color rgb="FFF8696B"/>
      </colorScale>
    </cfRule>
  </conditionalFormatting>
  <conditionalFormatting sqref="AA55:AA242">
    <cfRule type="colorScale" priority="1451">
      <colorScale>
        <cfvo type="min"/>
        <cfvo type="percentile" val="50"/>
        <cfvo type="max"/>
        <color rgb="FF63BE7B"/>
        <color rgb="FFFFEB84"/>
        <color rgb="FFF8696B"/>
      </colorScale>
    </cfRule>
  </conditionalFormatting>
  <conditionalFormatting sqref="AA243:AA1048576 AA1">
    <cfRule type="colorScale" priority="160">
      <colorScale>
        <cfvo type="min"/>
        <cfvo type="percentile" val="50"/>
        <cfvo type="max"/>
        <color rgb="FF63BE7B"/>
        <color rgb="FFFFEB84"/>
        <color rgb="FFF8696B"/>
      </colorScale>
    </cfRule>
    <cfRule type="colorScale" priority="393">
      <colorScale>
        <cfvo type="min"/>
        <cfvo type="percentile" val="50"/>
        <cfvo type="max"/>
        <color rgb="FF63BE7B"/>
        <color rgb="FFFFEB84"/>
        <color rgb="FFF8696B"/>
      </colorScale>
    </cfRule>
  </conditionalFormatting>
  <conditionalFormatting sqref="AC3:AC32">
    <cfRule type="dataBar" priority="26">
      <dataBar>
        <cfvo type="min"/>
        <cfvo type="max"/>
        <color rgb="FFFF555A"/>
      </dataBar>
      <extLst>
        <ext xmlns:x14="http://schemas.microsoft.com/office/spreadsheetml/2009/9/main" uri="{B025F937-C7B1-47D3-B67F-A62EFF666E3E}">
          <x14:id>{33883035-8822-45FB-8C3A-79DDEE6EFA71}</x14:id>
        </ext>
      </extLst>
    </cfRule>
  </conditionalFormatting>
  <conditionalFormatting sqref="AC33:AC36">
    <cfRule type="dataBar" priority="70">
      <dataBar>
        <cfvo type="min"/>
        <cfvo type="max"/>
        <color rgb="FFFF555A"/>
      </dataBar>
      <extLst>
        <ext xmlns:x14="http://schemas.microsoft.com/office/spreadsheetml/2009/9/main" uri="{B025F937-C7B1-47D3-B67F-A62EFF666E3E}">
          <x14:id>{9D30AFB3-45B0-43A2-9BC3-60F4EF56879D}</x14:id>
        </ext>
      </extLst>
    </cfRule>
  </conditionalFormatting>
  <conditionalFormatting sqref="AC37:AC48 AC54:AC242">
    <cfRule type="dataBar" priority="1459">
      <dataBar>
        <cfvo type="min"/>
        <cfvo type="max"/>
        <color rgb="FFFF555A"/>
      </dataBar>
      <extLst>
        <ext xmlns:x14="http://schemas.microsoft.com/office/spreadsheetml/2009/9/main" uri="{B025F937-C7B1-47D3-B67F-A62EFF666E3E}">
          <x14:id>{ADAA3262-ECB0-46BA-98DF-7CAE36BA4F5C}</x14:id>
        </ext>
      </extLst>
    </cfRule>
  </conditionalFormatting>
  <conditionalFormatting sqref="AC49:AC51 AC53">
    <cfRule type="dataBar" priority="48">
      <dataBar>
        <cfvo type="min"/>
        <cfvo type="max"/>
        <color rgb="FFFF555A"/>
      </dataBar>
      <extLst>
        <ext xmlns:x14="http://schemas.microsoft.com/office/spreadsheetml/2009/9/main" uri="{B025F937-C7B1-47D3-B67F-A62EFF666E3E}">
          <x14:id>{3B7434C2-D691-49F4-9C80-23294CAAE697}</x14:id>
        </ext>
      </extLst>
    </cfRule>
  </conditionalFormatting>
  <conditionalFormatting sqref="AC52">
    <cfRule type="dataBar" priority="37">
      <dataBar>
        <cfvo type="min"/>
        <cfvo type="max"/>
        <color rgb="FFFF555A"/>
      </dataBar>
      <extLst>
        <ext xmlns:x14="http://schemas.microsoft.com/office/spreadsheetml/2009/9/main" uri="{B025F937-C7B1-47D3-B67F-A62EFF666E3E}">
          <x14:id>{75F1EA9C-E524-405E-AED6-808BBDD1BFE3}</x14:id>
        </ext>
      </extLst>
    </cfRule>
  </conditionalFormatting>
  <conditionalFormatting sqref="AC243:AC1048576 AC1">
    <cfRule type="dataBar" priority="157">
      <dataBar>
        <cfvo type="min"/>
        <cfvo type="max"/>
        <color rgb="FFFF555A"/>
      </dataBar>
      <extLst>
        <ext xmlns:x14="http://schemas.microsoft.com/office/spreadsheetml/2009/9/main" uri="{B025F937-C7B1-47D3-B67F-A62EFF666E3E}">
          <x14:id>{F03F4DA0-084A-4403-B688-FB0AB1B2C116}</x14:id>
        </ext>
      </extLst>
    </cfRule>
  </conditionalFormatting>
  <conditionalFormatting sqref="AD3:AD32">
    <cfRule type="colorScale" priority="27">
      <colorScale>
        <cfvo type="min"/>
        <cfvo type="percentile" val="50"/>
        <cfvo type="max"/>
        <color rgb="FF63BE7B"/>
        <color rgb="FFFFEB84"/>
        <color rgb="FFF8696B"/>
      </colorScale>
    </cfRule>
  </conditionalFormatting>
  <conditionalFormatting sqref="AD33:AD36">
    <cfRule type="colorScale" priority="71">
      <colorScale>
        <cfvo type="min"/>
        <cfvo type="percentile" val="50"/>
        <cfvo type="max"/>
        <color rgb="FF63BE7B"/>
        <color rgb="FFFFEB84"/>
        <color rgb="FFF8696B"/>
      </colorScale>
    </cfRule>
  </conditionalFormatting>
  <conditionalFormatting sqref="AD37:AD48 AD54:AD242">
    <cfRule type="colorScale" priority="1463">
      <colorScale>
        <cfvo type="min"/>
        <cfvo type="percentile" val="50"/>
        <cfvo type="max"/>
        <color rgb="FF63BE7B"/>
        <color rgb="FFFFEB84"/>
        <color rgb="FFF8696B"/>
      </colorScale>
    </cfRule>
  </conditionalFormatting>
  <conditionalFormatting sqref="AD49:AD51 AD53">
    <cfRule type="colorScale" priority="49">
      <colorScale>
        <cfvo type="min"/>
        <cfvo type="percentile" val="50"/>
        <cfvo type="max"/>
        <color rgb="FF63BE7B"/>
        <color rgb="FFFFEB84"/>
        <color rgb="FFF8696B"/>
      </colorScale>
    </cfRule>
  </conditionalFormatting>
  <conditionalFormatting sqref="AD52">
    <cfRule type="colorScale" priority="38">
      <colorScale>
        <cfvo type="min"/>
        <cfvo type="percentile" val="50"/>
        <cfvo type="max"/>
        <color rgb="FF63BE7B"/>
        <color rgb="FFFFEB84"/>
        <color rgb="FFF8696B"/>
      </colorScale>
    </cfRule>
  </conditionalFormatting>
  <conditionalFormatting sqref="AD243:AD1048576 AD1">
    <cfRule type="colorScale" priority="156">
      <colorScale>
        <cfvo type="min"/>
        <cfvo type="percentile" val="50"/>
        <cfvo type="max"/>
        <color rgb="FF63BE7B"/>
        <color rgb="FFFFEB84"/>
        <color rgb="FFF8696B"/>
      </colorScale>
    </cfRule>
  </conditionalFormatting>
  <conditionalFormatting sqref="AE3:AE1048576 AK241:AK242">
    <cfRule type="cellIs" dxfId="44" priority="19" operator="lessThan">
      <formula>69</formula>
    </cfRule>
    <cfRule type="cellIs" dxfId="43" priority="20" operator="between">
      <formula>70</formula>
      <formula>89</formula>
    </cfRule>
    <cfRule type="cellIs" dxfId="42" priority="21" operator="greaterThan">
      <formula>89</formula>
    </cfRule>
  </conditionalFormatting>
  <conditionalFormatting sqref="AF1 AF3:AF1048576 AL241:AL242">
    <cfRule type="containsText" dxfId="41" priority="151" operator="containsText" text="OUI">
      <formula>NOT(ISERROR(SEARCH("OUI",AF1)))</formula>
    </cfRule>
    <cfRule type="containsText" dxfId="40" priority="152" operator="containsText" text="NON">
      <formula>NOT(ISERROR(SEARCH("NON",AF1)))</formula>
    </cfRule>
  </conditionalFormatting>
  <conditionalFormatting sqref="AI241:AI242">
    <cfRule type="dataBar" priority="1425">
      <dataBar>
        <cfvo type="min"/>
        <cfvo type="max"/>
        <color rgb="FFFF555A"/>
      </dataBar>
      <extLst>
        <ext xmlns:x14="http://schemas.microsoft.com/office/spreadsheetml/2009/9/main" uri="{B025F937-C7B1-47D3-B67F-A62EFF666E3E}">
          <x14:id>{DBEC3C79-82B5-44BB-95F4-F33369744BFC}</x14:id>
        </ext>
      </extLst>
    </cfRule>
  </conditionalFormatting>
  <conditionalFormatting sqref="AJ241:AJ242">
    <cfRule type="colorScale" priority="1427">
      <colorScale>
        <cfvo type="min"/>
        <cfvo type="percentile" val="50"/>
        <cfvo type="max"/>
        <color rgb="FF63BE7B"/>
        <color rgb="FFFFEB84"/>
        <color rgb="FFF8696B"/>
      </colorScale>
    </cfRule>
  </conditionalFormatting>
  <dataValidations xWindow="645" yWindow="385" count="1">
    <dataValidation allowBlank="1" showInputMessage="1" showErrorMessage="1" prompt="Créez une liste d'inventaire dans cette feuille de calcul. Le titre de cette feuille de calcul figure dans cette cellule. Entrez les détails dans le tableau ci-dessous." sqref="A1" xr:uid="{00000000-0002-0000-0300-000000000000}"/>
  </dataValidations>
  <printOptions horizontalCentered="1"/>
  <pageMargins left="0.71" right="0.71" top="0.71" bottom="0.71" header="0.5" footer="0.5"/>
  <pageSetup paperSize="9" scale="17" fitToHeight="0" orientation="landscape" r:id="rId1"/>
  <headerFooter differentFirst="1" alignWithMargins="0">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28" id="{01DC9E0C-395F-4191-87D8-F7D968D50664}">
            <x14:iconSet custom="1">
              <x14:cfvo type="percent">
                <xm:f>0</xm:f>
              </x14:cfvo>
              <x14:cfvo type="num">
                <xm:f>15</xm:f>
              </x14:cfvo>
              <x14:cfvo type="num">
                <xm:f>25</xm:f>
              </x14:cfvo>
              <x14:cfIcon iconSet="3TrafficLights1" iconId="2"/>
              <x14:cfIcon iconSet="3TrafficLights1" iconId="1"/>
              <x14:cfIcon iconSet="3TrafficLights1" iconId="0"/>
            </x14:iconSet>
          </x14:cfRule>
          <xm:sqref>AB3:AB32</xm:sqref>
        </x14:conditionalFormatting>
        <x14:conditionalFormatting xmlns:xm="http://schemas.microsoft.com/office/excel/2006/main">
          <x14:cfRule type="iconSet" priority="72" id="{DB482D5F-E43E-4A1B-8931-1CC1C6C92DF9}">
            <x14:iconSet custom="1">
              <x14:cfvo type="percent">
                <xm:f>0</xm:f>
              </x14:cfvo>
              <x14:cfvo type="num">
                <xm:f>15</xm:f>
              </x14:cfvo>
              <x14:cfvo type="num">
                <xm:f>25</xm:f>
              </x14:cfvo>
              <x14:cfIcon iconSet="3TrafficLights1" iconId="2"/>
              <x14:cfIcon iconSet="3TrafficLights1" iconId="1"/>
              <x14:cfIcon iconSet="3TrafficLights1" iconId="0"/>
            </x14:iconSet>
          </x14:cfRule>
          <xm:sqref>AB33:AB36</xm:sqref>
        </x14:conditionalFormatting>
        <x14:conditionalFormatting xmlns:xm="http://schemas.microsoft.com/office/excel/2006/main">
          <x14:cfRule type="iconSet" priority="1455" id="{B522127A-BE70-4562-9D95-0D6EA05B424F}">
            <x14:iconSet custom="1">
              <x14:cfvo type="percent">
                <xm:f>0</xm:f>
              </x14:cfvo>
              <x14:cfvo type="num">
                <xm:f>15</xm:f>
              </x14:cfvo>
              <x14:cfvo type="num">
                <xm:f>25</xm:f>
              </x14:cfvo>
              <x14:cfIcon iconSet="3TrafficLights1" iconId="2"/>
              <x14:cfIcon iconSet="3TrafficLights1" iconId="1"/>
              <x14:cfIcon iconSet="3TrafficLights1" iconId="0"/>
            </x14:iconSet>
          </x14:cfRule>
          <xm:sqref>AB37:AB48 AB54:AB242</xm:sqref>
        </x14:conditionalFormatting>
        <x14:conditionalFormatting xmlns:xm="http://schemas.microsoft.com/office/excel/2006/main">
          <x14:cfRule type="iconSet" priority="39" id="{35C4E800-CB54-4440-BE98-79A7B46A528A}">
            <x14:iconSet custom="1">
              <x14:cfvo type="percent">
                <xm:f>0</xm:f>
              </x14:cfvo>
              <x14:cfvo type="num">
                <xm:f>15</xm:f>
              </x14:cfvo>
              <x14:cfvo type="num">
                <xm:f>25</xm:f>
              </x14:cfvo>
              <x14:cfIcon iconSet="3TrafficLights1" iconId="2"/>
              <x14:cfIcon iconSet="3TrafficLights1" iconId="1"/>
              <x14:cfIcon iconSet="3TrafficLights1" iconId="0"/>
            </x14:iconSet>
          </x14:cfRule>
          <xm:sqref>AB52</xm:sqref>
        </x14:conditionalFormatting>
        <x14:conditionalFormatting xmlns:xm="http://schemas.microsoft.com/office/excel/2006/main">
          <x14:cfRule type="iconSet" priority="50" id="{9BF2BFE4-A619-49AD-98AC-B78D0FD24047}">
            <x14:iconSet custom="1">
              <x14:cfvo type="percent">
                <xm:f>0</xm:f>
              </x14:cfvo>
              <x14:cfvo type="num">
                <xm:f>15</xm:f>
              </x14:cfvo>
              <x14:cfvo type="num">
                <xm:f>25</xm:f>
              </x14:cfvo>
              <x14:cfIcon iconSet="3TrafficLights1" iconId="2"/>
              <x14:cfIcon iconSet="3TrafficLights1" iconId="1"/>
              <x14:cfIcon iconSet="3TrafficLights1" iconId="0"/>
            </x14:iconSet>
          </x14:cfRule>
          <xm:sqref>AB53 AB49:AB51</xm:sqref>
        </x14:conditionalFormatting>
        <x14:conditionalFormatting xmlns:xm="http://schemas.microsoft.com/office/excel/2006/main">
          <x14:cfRule type="iconSet" priority="158" id="{1590E310-3521-4439-95C1-41675670E41F}">
            <x14:iconSet custom="1">
              <x14:cfvo type="percent">
                <xm:f>0</xm:f>
              </x14:cfvo>
              <x14:cfvo type="num">
                <xm:f>15</xm:f>
              </x14:cfvo>
              <x14:cfvo type="num">
                <xm:f>25</xm:f>
              </x14:cfvo>
              <x14:cfIcon iconSet="3TrafficLights1" iconId="2"/>
              <x14:cfIcon iconSet="3TrafficLights1" iconId="1"/>
              <x14:cfIcon iconSet="3TrafficLights1" iconId="0"/>
            </x14:iconSet>
          </x14:cfRule>
          <xm:sqref>AB243:AB1048576 AB1</xm:sqref>
        </x14:conditionalFormatting>
        <x14:conditionalFormatting xmlns:xm="http://schemas.microsoft.com/office/excel/2006/main">
          <x14:cfRule type="dataBar" id="{33883035-8822-45FB-8C3A-79DDEE6EFA71}">
            <x14:dataBar minLength="0" maxLength="100" border="1" negativeBarBorderColorSameAsPositive="0">
              <x14:cfvo type="autoMin"/>
              <x14:cfvo type="autoMax"/>
              <x14:borderColor rgb="FFFF555A"/>
              <x14:negativeFillColor rgb="FFFF0000"/>
              <x14:negativeBorderColor rgb="FFFF0000"/>
              <x14:axisColor rgb="FF000000"/>
            </x14:dataBar>
          </x14:cfRule>
          <xm:sqref>AC3:AC32</xm:sqref>
        </x14:conditionalFormatting>
        <x14:conditionalFormatting xmlns:xm="http://schemas.microsoft.com/office/excel/2006/main">
          <x14:cfRule type="dataBar" id="{9D30AFB3-45B0-43A2-9BC3-60F4EF56879D}">
            <x14:dataBar minLength="0" maxLength="100" border="1" negativeBarBorderColorSameAsPositive="0">
              <x14:cfvo type="autoMin"/>
              <x14:cfvo type="autoMax"/>
              <x14:borderColor rgb="FFFF555A"/>
              <x14:negativeFillColor rgb="FFFF0000"/>
              <x14:negativeBorderColor rgb="FFFF0000"/>
              <x14:axisColor rgb="FF000000"/>
            </x14:dataBar>
          </x14:cfRule>
          <xm:sqref>AC33:AC36</xm:sqref>
        </x14:conditionalFormatting>
        <x14:conditionalFormatting xmlns:xm="http://schemas.microsoft.com/office/excel/2006/main">
          <x14:cfRule type="dataBar" id="{ADAA3262-ECB0-46BA-98DF-7CAE36BA4F5C}">
            <x14:dataBar minLength="0" maxLength="100" border="1" negativeBarBorderColorSameAsPositive="0">
              <x14:cfvo type="autoMin"/>
              <x14:cfvo type="autoMax"/>
              <x14:borderColor rgb="FFFF555A"/>
              <x14:negativeFillColor rgb="FFFF0000"/>
              <x14:negativeBorderColor rgb="FFFF0000"/>
              <x14:axisColor rgb="FF000000"/>
            </x14:dataBar>
          </x14:cfRule>
          <xm:sqref>AC37:AC48 AC54:AC242</xm:sqref>
        </x14:conditionalFormatting>
        <x14:conditionalFormatting xmlns:xm="http://schemas.microsoft.com/office/excel/2006/main">
          <x14:cfRule type="dataBar" id="{3B7434C2-D691-49F4-9C80-23294CAAE697}">
            <x14:dataBar minLength="0" maxLength="100" border="1" negativeBarBorderColorSameAsPositive="0">
              <x14:cfvo type="autoMin"/>
              <x14:cfvo type="autoMax"/>
              <x14:borderColor rgb="FFFF555A"/>
              <x14:negativeFillColor rgb="FFFF0000"/>
              <x14:negativeBorderColor rgb="FFFF0000"/>
              <x14:axisColor rgb="FF000000"/>
            </x14:dataBar>
          </x14:cfRule>
          <xm:sqref>AC49:AC51 AC53</xm:sqref>
        </x14:conditionalFormatting>
        <x14:conditionalFormatting xmlns:xm="http://schemas.microsoft.com/office/excel/2006/main">
          <x14:cfRule type="dataBar" id="{75F1EA9C-E524-405E-AED6-808BBDD1BFE3}">
            <x14:dataBar minLength="0" maxLength="100" border="1" negativeBarBorderColorSameAsPositive="0">
              <x14:cfvo type="autoMin"/>
              <x14:cfvo type="autoMax"/>
              <x14:borderColor rgb="FFFF555A"/>
              <x14:negativeFillColor rgb="FFFF0000"/>
              <x14:negativeBorderColor rgb="FFFF0000"/>
              <x14:axisColor rgb="FF000000"/>
            </x14:dataBar>
          </x14:cfRule>
          <xm:sqref>AC52</xm:sqref>
        </x14:conditionalFormatting>
        <x14:conditionalFormatting xmlns:xm="http://schemas.microsoft.com/office/excel/2006/main">
          <x14:cfRule type="dataBar" id="{F03F4DA0-084A-4403-B688-FB0AB1B2C116}">
            <x14:dataBar minLength="0" maxLength="100" border="1" negativeBarBorderColorSameAsPositive="0">
              <x14:cfvo type="autoMin"/>
              <x14:cfvo type="autoMax"/>
              <x14:borderColor rgb="FFFF555A"/>
              <x14:negativeFillColor rgb="FFFF0000"/>
              <x14:negativeBorderColor rgb="FFFF0000"/>
              <x14:axisColor rgb="FF000000"/>
            </x14:dataBar>
          </x14:cfRule>
          <xm:sqref>AC243:AC1048576 AC1</xm:sqref>
        </x14:conditionalFormatting>
        <x14:conditionalFormatting xmlns:xm="http://schemas.microsoft.com/office/excel/2006/main">
          <x14:cfRule type="iconSet" priority="1423" id="{FC2F4ED5-3E8A-4203-BBEB-977C7858CA22}">
            <x14:iconSet custom="1">
              <x14:cfvo type="percent">
                <xm:f>0</xm:f>
              </x14:cfvo>
              <x14:cfvo type="num">
                <xm:f>15</xm:f>
              </x14:cfvo>
              <x14:cfvo type="num">
                <xm:f>25</xm:f>
              </x14:cfvo>
              <x14:cfIcon iconSet="3TrafficLights1" iconId="2"/>
              <x14:cfIcon iconSet="3TrafficLights1" iconId="1"/>
              <x14:cfIcon iconSet="3TrafficLights1" iconId="0"/>
            </x14:iconSet>
          </x14:cfRule>
          <xm:sqref>AH241:AH242</xm:sqref>
        </x14:conditionalFormatting>
        <x14:conditionalFormatting xmlns:xm="http://schemas.microsoft.com/office/excel/2006/main">
          <x14:cfRule type="dataBar" id="{DBEC3C79-82B5-44BB-95F4-F33369744BFC}">
            <x14:dataBar minLength="0" maxLength="100" border="1" negativeBarBorderColorSameAsPositive="0">
              <x14:cfvo type="autoMin"/>
              <x14:cfvo type="autoMax"/>
              <x14:borderColor rgb="FFFF555A"/>
              <x14:negativeFillColor rgb="FFFF0000"/>
              <x14:negativeBorderColor rgb="FFFF0000"/>
              <x14:axisColor rgb="FF000000"/>
            </x14:dataBar>
          </x14:cfRule>
          <xm:sqref>AI241:AI242</xm:sqref>
        </x14:conditionalFormatting>
      </x14:conditionalFormattings>
    </ext>
    <ext xmlns:x14="http://schemas.microsoft.com/office/spreadsheetml/2009/9/main" uri="{CCE6A557-97BC-4b89-ADB6-D9C93CAAB3DF}">
      <x14:dataValidations xmlns:xm="http://schemas.microsoft.com/office/excel/2006/main" xWindow="645" yWindow="385" count="3">
        <x14:dataValidation type="list" allowBlank="1" showInputMessage="1" showErrorMessage="1" xr:uid="{2273E32E-C901-4BF5-98F2-4045B05E9C74}">
          <x14:formula1>
            <xm:f>'Liste déroulante '!$U$3:$U$4</xm:f>
          </x14:formula1>
          <xm:sqref>I3:Y79 I80:T80 V80:Y80 I81:Y183</xm:sqref>
        </x14:dataValidation>
        <x14:dataValidation type="list" allowBlank="1" showInputMessage="1" showErrorMessage="1" xr:uid="{8DC39D7E-2B02-48B4-8D3A-108A47614972}">
          <x14:formula1>
            <xm:f>'Liste déroulante '!$T$3:$T$4</xm:f>
          </x14:formula1>
          <xm:sqref>C3:C183</xm:sqref>
        </x14:dataValidation>
        <x14:dataValidation type="list" allowBlank="1" showInputMessage="1" showErrorMessage="1" xr:uid="{1B38785D-7086-4BE5-92AD-580FC4DC257E}">
          <x14:formula1>
            <xm:f>'Liste déroulante '!$V$3:$V$4</xm:f>
          </x14:formula1>
          <xm:sqref>Z3:Z183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theme="7"/>
    <pageSetUpPr fitToPage="1"/>
  </sheetPr>
  <dimension ref="A1:XEV511"/>
  <sheetViews>
    <sheetView showGridLines="0" topLeftCell="H1" zoomScale="70" zoomScaleNormal="70" workbookViewId="0">
      <pane ySplit="3" topLeftCell="A4" activePane="bottomLeft" state="frozen"/>
      <selection activeCell="AG136" sqref="AG136"/>
      <selection pane="bottomLeft" activeCell="N4" sqref="N4:AC4"/>
    </sheetView>
  </sheetViews>
  <sheetFormatPr baseColWidth="10" defaultColWidth="10" defaultRowHeight="30" customHeight="1" x14ac:dyDescent="0.25"/>
  <cols>
    <col min="1" max="1" width="16.42578125" style="217" customWidth="1"/>
    <col min="2" max="2" width="18.7109375" style="4" bestFit="1" customWidth="1"/>
    <col min="3" max="3" width="26.5703125" style="4" bestFit="1" customWidth="1"/>
    <col min="4" max="4" width="17.5703125" style="4" bestFit="1" customWidth="1"/>
    <col min="5" max="5" width="12.42578125" style="4" customWidth="1"/>
    <col min="6" max="6" width="69.42578125" style="5" customWidth="1"/>
    <col min="7" max="7" width="33.7109375" style="4" bestFit="1" customWidth="1"/>
    <col min="8" max="8" width="28.7109375" style="30" bestFit="1" customWidth="1"/>
    <col min="9" max="9" width="14.28515625" style="30" bestFit="1" customWidth="1"/>
    <col min="10" max="10" width="25.5703125" style="30" customWidth="1"/>
    <col min="11" max="11" width="14.42578125" style="42" customWidth="1"/>
    <col min="12" max="12" width="16.42578125" style="5" customWidth="1"/>
    <col min="13" max="13" width="17.5703125" style="4" customWidth="1"/>
    <col min="14" max="14" width="13.5703125" style="28" customWidth="1"/>
    <col min="15" max="15" width="13.5703125" style="4" customWidth="1"/>
    <col min="16" max="16" width="12.28515625" style="5" customWidth="1"/>
    <col min="17" max="17" width="16.28515625" style="4" customWidth="1"/>
    <col min="18" max="18" width="12.42578125" style="4" customWidth="1"/>
    <col min="19" max="19" width="17.28515625" style="4" customWidth="1"/>
    <col min="20" max="20" width="16.5703125" style="4" customWidth="1"/>
    <col min="21" max="21" width="17.7109375" style="4" customWidth="1"/>
    <col min="22" max="22" width="20.5703125" style="4" customWidth="1"/>
    <col min="23" max="23" width="13" customWidth="1"/>
    <col min="24" max="24" width="13.5703125" customWidth="1"/>
    <col min="25" max="25" width="13.42578125" style="4" customWidth="1"/>
    <col min="26" max="26" width="14.42578125" style="4" customWidth="1"/>
    <col min="27" max="27" width="12.28515625" style="4" customWidth="1"/>
    <col min="28" max="28" width="17.5703125" style="4" customWidth="1"/>
    <col min="29" max="95" width="10" style="4"/>
    <col min="96" max="97" width="10" style="4" customWidth="1"/>
    <col min="98" max="16384" width="10" style="4"/>
  </cols>
  <sheetData>
    <row r="1" spans="1:29" s="29" customFormat="1" ht="53.1" customHeight="1" x14ac:dyDescent="0.25">
      <c r="A1" s="568" t="s">
        <v>1105</v>
      </c>
      <c r="B1" s="568"/>
      <c r="C1" s="568"/>
      <c r="D1" s="568"/>
      <c r="E1" s="568"/>
      <c r="F1" s="568"/>
      <c r="G1" s="568"/>
      <c r="H1" s="568"/>
      <c r="I1" s="568"/>
      <c r="J1" s="568"/>
      <c r="K1" s="568"/>
      <c r="L1" s="568"/>
      <c r="M1" s="568"/>
      <c r="N1" s="568"/>
      <c r="O1" s="568"/>
      <c r="P1" s="568"/>
      <c r="Q1" s="568"/>
      <c r="R1" s="568"/>
      <c r="S1" s="568"/>
      <c r="T1" s="568"/>
      <c r="U1" s="568"/>
      <c r="V1" s="568"/>
      <c r="W1" s="568"/>
      <c r="X1" s="568"/>
      <c r="Y1" s="568"/>
      <c r="Z1" s="568"/>
      <c r="AA1" s="568"/>
      <c r="AB1" s="568"/>
    </row>
    <row r="2" spans="1:29" s="29" customFormat="1" ht="53.1" customHeight="1" x14ac:dyDescent="0.25">
      <c r="A2" s="284"/>
      <c r="B2" s="73"/>
      <c r="C2" s="73"/>
      <c r="D2" s="73"/>
      <c r="E2" s="73"/>
      <c r="F2" s="73"/>
      <c r="G2" s="46"/>
      <c r="H2" s="73"/>
      <c r="I2" s="286"/>
      <c r="J2" s="286"/>
      <c r="K2" s="569" t="s">
        <v>1106</v>
      </c>
      <c r="L2" s="569"/>
      <c r="M2" s="569"/>
      <c r="N2" s="569"/>
      <c r="O2" s="569"/>
      <c r="P2" s="569"/>
      <c r="Q2" s="569"/>
      <c r="R2" s="569"/>
      <c r="S2" s="569"/>
      <c r="T2" s="569"/>
      <c r="U2" s="569"/>
      <c r="V2" s="569"/>
      <c r="W2" s="569"/>
      <c r="X2" s="569"/>
      <c r="Y2" s="569"/>
      <c r="Z2" s="569"/>
      <c r="AA2" s="569"/>
      <c r="AB2" s="569"/>
    </row>
    <row r="3" spans="1:29" ht="126" customHeight="1" x14ac:dyDescent="0.25">
      <c r="A3" s="305" t="s">
        <v>2</v>
      </c>
      <c r="B3" s="304" t="s">
        <v>1107</v>
      </c>
      <c r="C3" s="304" t="s">
        <v>6</v>
      </c>
      <c r="D3" s="304" t="s">
        <v>1108</v>
      </c>
      <c r="E3" s="3" t="s">
        <v>1109</v>
      </c>
      <c r="F3" s="303" t="s">
        <v>1110</v>
      </c>
      <c r="G3" s="302" t="s">
        <v>1111</v>
      </c>
      <c r="H3" s="301" t="s">
        <v>1112</v>
      </c>
      <c r="I3" s="270" t="s">
        <v>1113</v>
      </c>
      <c r="J3" s="270" t="s">
        <v>1114</v>
      </c>
      <c r="K3" s="55" t="s">
        <v>640</v>
      </c>
      <c r="L3" s="54" t="s">
        <v>641</v>
      </c>
      <c r="M3" s="54" t="s">
        <v>642</v>
      </c>
      <c r="N3" s="54" t="s">
        <v>643</v>
      </c>
      <c r="O3" s="54" t="s">
        <v>644</v>
      </c>
      <c r="P3" s="54" t="s">
        <v>645</v>
      </c>
      <c r="Q3" s="55" t="s">
        <v>646</v>
      </c>
      <c r="R3" s="55" t="s">
        <v>647</v>
      </c>
      <c r="S3" s="55" t="s">
        <v>648</v>
      </c>
      <c r="T3" s="55" t="s">
        <v>649</v>
      </c>
      <c r="U3" s="55" t="s">
        <v>650</v>
      </c>
      <c r="V3" s="55" t="s">
        <v>651</v>
      </c>
      <c r="W3" s="55" t="s">
        <v>652</v>
      </c>
      <c r="X3" s="55" t="s">
        <v>653</v>
      </c>
      <c r="Y3" s="55" t="s">
        <v>654</v>
      </c>
      <c r="Z3" s="55" t="s">
        <v>655</v>
      </c>
      <c r="AA3" s="55" t="s">
        <v>656</v>
      </c>
      <c r="AB3" s="285" t="s">
        <v>23</v>
      </c>
      <c r="AC3" s="4" t="s">
        <v>1115</v>
      </c>
    </row>
    <row r="4" spans="1:29" s="29" customFormat="1" ht="57" customHeight="1" x14ac:dyDescent="0.25">
      <c r="A4" s="270">
        <v>45292</v>
      </c>
      <c r="B4" s="271" t="s">
        <v>1116</v>
      </c>
      <c r="C4" s="271" t="s">
        <v>1117</v>
      </c>
      <c r="D4" s="271" t="s">
        <v>112</v>
      </c>
      <c r="E4" s="271" t="s">
        <v>1118</v>
      </c>
      <c r="F4" s="272" t="s">
        <v>1119</v>
      </c>
      <c r="G4" s="271" t="s">
        <v>1120</v>
      </c>
      <c r="H4" s="273">
        <v>45656</v>
      </c>
      <c r="I4" s="277" t="str">
        <f ca="1">IF(ListeInventaire3811[[#This Row],[Statut de la réalisation de l''action]]="Effectué","À jour",IF(ListeInventaire3811[[#This Row],[échéance de réalisation]]&lt;TODAY(),"En retard","À jour"))</f>
        <v>À jour</v>
      </c>
      <c r="J4" s="31" t="s">
        <v>1121</v>
      </c>
      <c r="K4" s="283"/>
      <c r="L4" s="274"/>
      <c r="M4" s="275"/>
      <c r="N4" s="276"/>
      <c r="O4" s="275"/>
      <c r="P4" s="274"/>
      <c r="Q4" s="31"/>
      <c r="R4" s="31"/>
      <c r="S4" s="31"/>
      <c r="T4" s="31"/>
      <c r="U4" s="31"/>
      <c r="V4" s="31"/>
      <c r="W4" s="31"/>
      <c r="X4" s="31"/>
      <c r="Y4" s="31"/>
      <c r="Z4" s="31"/>
      <c r="AA4" s="31"/>
      <c r="AB4" s="31"/>
      <c r="AC4" s="31" t="s">
        <v>1122</v>
      </c>
    </row>
    <row r="5" spans="1:29" s="29" customFormat="1" ht="57" customHeight="1" x14ac:dyDescent="0.25">
      <c r="A5" s="270">
        <v>45447</v>
      </c>
      <c r="B5" s="271" t="s">
        <v>1123</v>
      </c>
      <c r="C5" s="271" t="s">
        <v>1124</v>
      </c>
      <c r="D5" s="271" t="s">
        <v>51</v>
      </c>
      <c r="E5" s="271" t="s">
        <v>1125</v>
      </c>
      <c r="F5" s="272" t="s">
        <v>1126</v>
      </c>
      <c r="G5" s="271" t="s">
        <v>1127</v>
      </c>
      <c r="H5" s="273">
        <v>45477</v>
      </c>
      <c r="I5" s="277" t="str">
        <f ca="1">IF(ListeInventaire3811[[#This Row],[Statut de la réalisation de l''action]]="Effectué","À jour",IF(ListeInventaire3811[[#This Row],[échéance de réalisation]]&lt;TODAY(),"En retard","À jour"))</f>
        <v>À jour</v>
      </c>
      <c r="J5" s="300" t="s">
        <v>1121</v>
      </c>
      <c r="K5" s="282"/>
      <c r="L5" s="274"/>
      <c r="M5" s="275"/>
      <c r="N5" s="276"/>
      <c r="O5" s="275"/>
      <c r="P5" s="274"/>
      <c r="Q5" s="31"/>
      <c r="R5" s="31"/>
      <c r="S5" s="31"/>
      <c r="T5" s="31"/>
      <c r="U5" s="31"/>
      <c r="V5" s="31"/>
      <c r="W5" s="31"/>
      <c r="X5" s="31"/>
      <c r="Y5" s="31"/>
      <c r="Z5" s="31"/>
      <c r="AA5" s="31"/>
      <c r="AB5" s="31"/>
      <c r="AC5" s="31"/>
    </row>
    <row r="6" spans="1:29" s="29" customFormat="1" ht="57" customHeight="1" x14ac:dyDescent="0.25">
      <c r="A6" s="270">
        <v>45471</v>
      </c>
      <c r="B6" s="271" t="s">
        <v>1128</v>
      </c>
      <c r="C6" s="271" t="s">
        <v>1117</v>
      </c>
      <c r="D6" s="271" t="s">
        <v>112</v>
      </c>
      <c r="E6" s="271" t="s">
        <v>1129</v>
      </c>
      <c r="F6" s="272" t="s">
        <v>1130</v>
      </c>
      <c r="G6" s="271" t="s">
        <v>1131</v>
      </c>
      <c r="H6" s="273">
        <v>45777</v>
      </c>
      <c r="I6" s="277" t="str">
        <f ca="1">IF(ListeInventaire3811[[#This Row],[Statut de la réalisation de l''action]]="Effectué","À jour",IF(ListeInventaire3811[[#This Row],[échéance de réalisation]]&lt;TODAY(),"En retard","À jour"))</f>
        <v>À jour</v>
      </c>
      <c r="J6" s="299" t="s">
        <v>1121</v>
      </c>
      <c r="K6" s="299"/>
      <c r="L6" s="274"/>
      <c r="M6" s="275"/>
      <c r="N6" s="276"/>
      <c r="O6" s="275"/>
      <c r="P6" s="274"/>
      <c r="Q6" s="31"/>
      <c r="R6" s="31"/>
      <c r="S6" s="31"/>
      <c r="T6" s="31"/>
      <c r="U6" s="31"/>
      <c r="V6" s="31"/>
      <c r="W6" s="31"/>
      <c r="X6" s="31"/>
      <c r="Y6" s="31"/>
      <c r="Z6" s="31"/>
      <c r="AA6" s="31"/>
      <c r="AB6" s="31"/>
      <c r="AC6" s="31" t="s">
        <v>1122</v>
      </c>
    </row>
    <row r="7" spans="1:29" s="29" customFormat="1" ht="57" customHeight="1" x14ac:dyDescent="0.25">
      <c r="A7" s="270">
        <v>45562</v>
      </c>
      <c r="B7" s="270" t="s">
        <v>1132</v>
      </c>
      <c r="C7" s="270" t="s">
        <v>1117</v>
      </c>
      <c r="D7" s="270" t="s">
        <v>112</v>
      </c>
      <c r="E7" s="270"/>
      <c r="F7" s="270" t="s">
        <v>1133</v>
      </c>
      <c r="G7" s="270" t="s">
        <v>1134</v>
      </c>
      <c r="H7" s="273">
        <v>46022</v>
      </c>
      <c r="I7" s="277" t="str">
        <f ca="1">IF(ListeInventaire3811[[#This Row],[Statut de la réalisation de l''action]]="Effectué","À jour",IF(ListeInventaire3811[[#This Row],[échéance de réalisation]]&lt;TODAY(),"En retard","À jour"))</f>
        <v>En retard</v>
      </c>
      <c r="K7" s="281"/>
      <c r="L7" s="272"/>
      <c r="N7" s="280"/>
      <c r="P7" s="272"/>
      <c r="Q7" s="31"/>
      <c r="R7" s="31"/>
      <c r="S7" s="31"/>
      <c r="T7" s="31"/>
      <c r="U7" s="31"/>
      <c r="V7" s="31"/>
      <c r="W7" s="31"/>
      <c r="X7" s="31"/>
      <c r="Y7" s="31"/>
      <c r="Z7" s="31"/>
      <c r="AA7" s="31"/>
      <c r="AB7" s="31"/>
      <c r="AC7" s="31" t="s">
        <v>1122</v>
      </c>
    </row>
    <row r="8" spans="1:29" s="29" customFormat="1" ht="57" customHeight="1" x14ac:dyDescent="0.25">
      <c r="A8" s="270">
        <v>45562</v>
      </c>
      <c r="B8" s="270" t="s">
        <v>1132</v>
      </c>
      <c r="C8" s="270" t="s">
        <v>1117</v>
      </c>
      <c r="D8" s="270" t="s">
        <v>112</v>
      </c>
      <c r="E8" s="270"/>
      <c r="F8" s="270" t="s">
        <v>1135</v>
      </c>
      <c r="G8" s="270" t="s">
        <v>1136</v>
      </c>
      <c r="H8" s="273">
        <v>46022</v>
      </c>
      <c r="I8" s="277" t="str">
        <f ca="1">IF(ListeInventaire3811[[#This Row],[Statut de la réalisation de l''action]]="Effectué","À jour",IF(ListeInventaire3811[[#This Row],[échéance de réalisation]]&lt;TODAY(),"En retard","À jour"))</f>
        <v>En retard</v>
      </c>
      <c r="J8" s="275"/>
      <c r="K8" s="274"/>
      <c r="L8" s="274"/>
      <c r="M8" s="275"/>
      <c r="N8" s="276"/>
      <c r="O8" s="275"/>
      <c r="P8" s="274"/>
      <c r="Q8" s="31"/>
      <c r="R8" s="31"/>
      <c r="S8" s="31"/>
      <c r="T8" s="31"/>
      <c r="U8" s="31"/>
      <c r="V8" s="31"/>
      <c r="W8" s="31"/>
      <c r="X8" s="31"/>
      <c r="Y8" s="31"/>
      <c r="Z8" s="31"/>
      <c r="AA8" s="31"/>
      <c r="AB8" s="31"/>
      <c r="AC8" s="31" t="s">
        <v>1122</v>
      </c>
    </row>
    <row r="9" spans="1:29" s="29" customFormat="1" ht="57" customHeight="1" x14ac:dyDescent="0.25">
      <c r="A9" s="270">
        <v>45562</v>
      </c>
      <c r="B9" s="270" t="s">
        <v>1132</v>
      </c>
      <c r="C9" s="270" t="s">
        <v>1117</v>
      </c>
      <c r="D9" s="270" t="s">
        <v>112</v>
      </c>
      <c r="E9" s="270"/>
      <c r="F9" s="270" t="s">
        <v>1137</v>
      </c>
      <c r="G9" s="270" t="s">
        <v>297</v>
      </c>
      <c r="H9" s="273">
        <v>46022</v>
      </c>
      <c r="I9" s="277" t="str">
        <f ca="1">IF(ListeInventaire3811[[#This Row],[Statut de la réalisation de l''action]]="Effectué","À jour",IF(ListeInventaire3811[[#This Row],[échéance de réalisation]]&lt;TODAY(),"En retard","À jour"))</f>
        <v>En retard</v>
      </c>
      <c r="J9" s="275"/>
      <c r="K9" s="274"/>
      <c r="L9" s="274"/>
      <c r="M9" s="275"/>
      <c r="N9" s="276"/>
      <c r="O9" s="275"/>
      <c r="P9" s="274"/>
      <c r="Q9" s="31"/>
      <c r="R9" s="31"/>
      <c r="S9" s="31"/>
      <c r="T9" s="31"/>
      <c r="U9" s="31"/>
      <c r="V9" s="31"/>
      <c r="W9" s="31"/>
      <c r="X9" s="31"/>
      <c r="Y9" s="31"/>
      <c r="Z9" s="31"/>
      <c r="AA9" s="31"/>
      <c r="AB9" s="31"/>
      <c r="AC9" s="31" t="s">
        <v>1122</v>
      </c>
    </row>
    <row r="10" spans="1:29" s="29" customFormat="1" ht="57" customHeight="1" x14ac:dyDescent="0.25">
      <c r="A10" s="270">
        <v>45562</v>
      </c>
      <c r="B10" s="270" t="s">
        <v>1132</v>
      </c>
      <c r="C10" s="270" t="s">
        <v>1117</v>
      </c>
      <c r="D10" s="270" t="s">
        <v>112</v>
      </c>
      <c r="E10" s="270"/>
      <c r="F10" s="270" t="s">
        <v>1138</v>
      </c>
      <c r="G10" s="270" t="s">
        <v>1139</v>
      </c>
      <c r="H10" s="273">
        <v>46022</v>
      </c>
      <c r="I10" s="277" t="str">
        <f ca="1">IF(ListeInventaire3811[[#This Row],[Statut de la réalisation de l''action]]="Effectué","À jour",IF(ListeInventaire3811[[#This Row],[échéance de réalisation]]&lt;TODAY(),"En retard","À jour"))</f>
        <v>À jour</v>
      </c>
      <c r="J10" s="31" t="s">
        <v>1121</v>
      </c>
      <c r="K10" s="274"/>
      <c r="L10" s="274"/>
      <c r="M10" s="275"/>
      <c r="N10" s="276"/>
      <c r="O10" s="277"/>
      <c r="P10" s="274"/>
      <c r="Q10" s="31"/>
      <c r="R10" s="31"/>
      <c r="S10" s="31"/>
      <c r="T10" s="31"/>
      <c r="U10" s="31"/>
      <c r="V10" s="31"/>
      <c r="W10" s="31"/>
      <c r="X10" s="31"/>
      <c r="Y10" s="31"/>
      <c r="Z10" s="31"/>
      <c r="AA10" s="31"/>
      <c r="AB10" s="31"/>
      <c r="AC10" s="31" t="s">
        <v>1122</v>
      </c>
    </row>
    <row r="11" spans="1:29" s="29" customFormat="1" ht="57" customHeight="1" x14ac:dyDescent="0.25">
      <c r="A11" s="270">
        <v>45562</v>
      </c>
      <c r="B11" s="270" t="s">
        <v>1132</v>
      </c>
      <c r="C11" s="270" t="s">
        <v>1117</v>
      </c>
      <c r="D11" s="270" t="s">
        <v>112</v>
      </c>
      <c r="E11" s="270"/>
      <c r="F11" s="270" t="s">
        <v>1140</v>
      </c>
      <c r="G11" s="270" t="s">
        <v>1141</v>
      </c>
      <c r="H11" s="273">
        <v>46022</v>
      </c>
      <c r="I11" s="277" t="str">
        <f ca="1">IF(ListeInventaire3811[[#This Row],[Statut de la réalisation de l''action]]="Effectué","À jour",IF(ListeInventaire3811[[#This Row],[échéance de réalisation]]&lt;TODAY(),"En retard","À jour"))</f>
        <v>En retard</v>
      </c>
      <c r="J11" s="275"/>
      <c r="K11" s="274"/>
      <c r="L11" s="274"/>
      <c r="M11" s="275"/>
      <c r="N11" s="276"/>
      <c r="O11" s="277"/>
      <c r="P11" s="274"/>
      <c r="Q11" s="31"/>
      <c r="R11" s="31"/>
      <c r="S11" s="31"/>
      <c r="T11" s="31"/>
      <c r="U11" s="31"/>
      <c r="V11" s="31"/>
      <c r="W11" s="31"/>
      <c r="X11" s="31"/>
      <c r="Y11" s="31"/>
      <c r="Z11" s="31"/>
      <c r="AA11" s="31"/>
      <c r="AB11" s="31"/>
      <c r="AC11" s="31" t="s">
        <v>1122</v>
      </c>
    </row>
    <row r="12" spans="1:29" s="29" customFormat="1" ht="57" customHeight="1" x14ac:dyDescent="0.25">
      <c r="A12" s="270">
        <v>45562</v>
      </c>
      <c r="B12" s="270" t="s">
        <v>1132</v>
      </c>
      <c r="C12" s="270" t="s">
        <v>1117</v>
      </c>
      <c r="D12" s="270" t="s">
        <v>112</v>
      </c>
      <c r="E12" s="270"/>
      <c r="F12" s="270" t="s">
        <v>1142</v>
      </c>
      <c r="G12" s="270" t="s">
        <v>1136</v>
      </c>
      <c r="H12" s="273">
        <v>46022</v>
      </c>
      <c r="I12" s="277" t="str">
        <f ca="1">IF(ListeInventaire3811[[#This Row],[Statut de la réalisation de l''action]]="Effectué","À jour",IF(ListeInventaire3811[[#This Row],[échéance de réalisation]]&lt;TODAY(),"En retard","À jour"))</f>
        <v>En retard</v>
      </c>
      <c r="J12" s="275"/>
      <c r="K12" s="274"/>
      <c r="L12" s="274"/>
      <c r="M12" s="275"/>
      <c r="N12" s="276"/>
      <c r="O12" s="277"/>
      <c r="P12" s="274"/>
      <c r="Q12" s="31"/>
      <c r="R12" s="31"/>
      <c r="S12" s="31"/>
      <c r="T12" s="31"/>
      <c r="U12" s="31"/>
      <c r="V12" s="31"/>
      <c r="W12" s="31"/>
      <c r="X12" s="31"/>
      <c r="Y12" s="31"/>
      <c r="Z12" s="31"/>
      <c r="AA12" s="31"/>
      <c r="AB12" s="31"/>
      <c r="AC12" s="31" t="s">
        <v>1143</v>
      </c>
    </row>
    <row r="13" spans="1:29" s="29" customFormat="1" ht="57" customHeight="1" x14ac:dyDescent="0.25">
      <c r="A13" s="270">
        <v>45562</v>
      </c>
      <c r="B13" s="270" t="s">
        <v>1132</v>
      </c>
      <c r="C13" s="270" t="s">
        <v>1117</v>
      </c>
      <c r="D13" s="270" t="s">
        <v>112</v>
      </c>
      <c r="E13" s="270"/>
      <c r="F13" s="270" t="s">
        <v>1144</v>
      </c>
      <c r="G13" s="270" t="s">
        <v>297</v>
      </c>
      <c r="H13" s="273">
        <v>46022</v>
      </c>
      <c r="I13" s="277" t="str">
        <f ca="1">IF(ListeInventaire3811[[#This Row],[Statut de la réalisation de l''action]]="Effectué","À jour",IF(ListeInventaire3811[[#This Row],[échéance de réalisation]]&lt;TODAY(),"En retard","À jour"))</f>
        <v>En retard</v>
      </c>
      <c r="J13" s="275"/>
      <c r="K13" s="274"/>
      <c r="L13" s="274"/>
      <c r="M13" s="275"/>
      <c r="N13" s="276"/>
      <c r="O13" s="277"/>
      <c r="P13" s="274"/>
      <c r="Q13" s="31"/>
      <c r="R13" s="31"/>
      <c r="S13" s="31"/>
      <c r="T13" s="31"/>
      <c r="U13" s="31"/>
      <c r="V13" s="31"/>
      <c r="W13" s="31"/>
      <c r="X13" s="31"/>
      <c r="Y13" s="31"/>
      <c r="Z13" s="31"/>
      <c r="AA13" s="31"/>
      <c r="AB13" s="31"/>
      <c r="AC13" s="31" t="s">
        <v>1143</v>
      </c>
    </row>
    <row r="14" spans="1:29" s="29" customFormat="1" ht="57" customHeight="1" x14ac:dyDescent="0.25">
      <c r="A14" s="270">
        <v>45562</v>
      </c>
      <c r="B14" s="270" t="s">
        <v>1132</v>
      </c>
      <c r="C14" s="270" t="s">
        <v>1117</v>
      </c>
      <c r="D14" s="270" t="s">
        <v>112</v>
      </c>
      <c r="E14" s="270"/>
      <c r="F14" s="270" t="s">
        <v>1145</v>
      </c>
      <c r="G14" s="270" t="s">
        <v>1146</v>
      </c>
      <c r="H14" s="273">
        <v>46022</v>
      </c>
      <c r="I14" s="277" t="str">
        <f ca="1">IF(ListeInventaire3811[[#This Row],[Statut de la réalisation de l''action]]="Effectué","À jour",IF(ListeInventaire3811[[#This Row],[échéance de réalisation]]&lt;TODAY(),"En retard","À jour"))</f>
        <v>En retard</v>
      </c>
      <c r="J14" s="275"/>
      <c r="K14" s="274"/>
      <c r="L14" s="274"/>
      <c r="M14" s="275"/>
      <c r="N14" s="276"/>
      <c r="O14" s="275"/>
      <c r="P14" s="274"/>
      <c r="Q14" s="31"/>
      <c r="R14" s="31"/>
      <c r="S14" s="31"/>
      <c r="T14" s="31"/>
      <c r="U14" s="31"/>
      <c r="V14" s="31"/>
      <c r="W14" s="31"/>
      <c r="X14" s="31"/>
      <c r="Y14" s="31"/>
      <c r="Z14" s="31"/>
      <c r="AA14" s="31"/>
      <c r="AB14" s="31"/>
      <c r="AC14" s="31" t="s">
        <v>1143</v>
      </c>
    </row>
    <row r="15" spans="1:29" s="29" customFormat="1" ht="57" customHeight="1" x14ac:dyDescent="0.25">
      <c r="A15" s="270">
        <v>45562</v>
      </c>
      <c r="B15" s="270" t="s">
        <v>1132</v>
      </c>
      <c r="C15" s="270" t="s">
        <v>1117</v>
      </c>
      <c r="D15" s="270" t="s">
        <v>112</v>
      </c>
      <c r="E15" s="270"/>
      <c r="F15" s="270" t="s">
        <v>1147</v>
      </c>
      <c r="G15" s="270"/>
      <c r="H15" s="273">
        <v>46022</v>
      </c>
      <c r="I15" s="277" t="str">
        <f ca="1">IF(ListeInventaire3811[[#This Row],[Statut de la réalisation de l''action]]="Effectué","À jour",IF(ListeInventaire3811[[#This Row],[échéance de réalisation]]&lt;TODAY(),"En retard","À jour"))</f>
        <v>En retard</v>
      </c>
      <c r="J15" s="275"/>
      <c r="K15" s="274"/>
      <c r="L15" s="274"/>
      <c r="M15" s="275"/>
      <c r="N15" s="276"/>
      <c r="O15" s="275"/>
      <c r="P15" s="274"/>
      <c r="Q15" s="31"/>
      <c r="R15" s="31"/>
      <c r="S15" s="31"/>
      <c r="T15" s="31"/>
      <c r="U15" s="31"/>
      <c r="V15" s="31"/>
      <c r="W15" s="31"/>
      <c r="X15" s="31"/>
      <c r="Y15" s="31"/>
      <c r="Z15" s="31"/>
      <c r="AA15" s="31"/>
      <c r="AB15" s="31"/>
      <c r="AC15" s="31" t="s">
        <v>1143</v>
      </c>
    </row>
    <row r="16" spans="1:29" s="29" customFormat="1" ht="57" customHeight="1" x14ac:dyDescent="0.25">
      <c r="A16" s="270">
        <v>45562</v>
      </c>
      <c r="B16" s="270" t="s">
        <v>1132</v>
      </c>
      <c r="C16" s="270" t="s">
        <v>1117</v>
      </c>
      <c r="D16" s="270" t="s">
        <v>112</v>
      </c>
      <c r="E16" s="270"/>
      <c r="F16" s="270" t="s">
        <v>1148</v>
      </c>
      <c r="G16" s="270" t="s">
        <v>297</v>
      </c>
      <c r="H16" s="273">
        <v>46022</v>
      </c>
      <c r="I16" s="277" t="str">
        <f ca="1">IF(ListeInventaire3811[[#This Row],[Statut de la réalisation de l''action]]="Effectué","À jour",IF(ListeInventaire3811[[#This Row],[échéance de réalisation]]&lt;TODAY(),"En retard","À jour"))</f>
        <v>En retard</v>
      </c>
      <c r="J16" s="275"/>
      <c r="K16" s="274"/>
      <c r="L16" s="274"/>
      <c r="M16" s="275"/>
      <c r="N16" s="276"/>
      <c r="O16" s="275"/>
      <c r="P16" s="274"/>
      <c r="Q16" s="31"/>
      <c r="R16" s="31"/>
      <c r="S16" s="31"/>
      <c r="T16" s="31"/>
      <c r="U16" s="31"/>
      <c r="V16" s="31"/>
      <c r="W16" s="31"/>
      <c r="X16" s="31"/>
      <c r="Y16" s="31"/>
      <c r="Z16" s="31"/>
      <c r="AA16" s="31"/>
      <c r="AB16" s="31"/>
      <c r="AC16" s="31" t="s">
        <v>1143</v>
      </c>
    </row>
    <row r="17" spans="1:29" s="29" customFormat="1" ht="69" customHeight="1" x14ac:dyDescent="0.25">
      <c r="A17" s="270">
        <v>45562</v>
      </c>
      <c r="B17" s="270" t="s">
        <v>1132</v>
      </c>
      <c r="C17" s="270" t="s">
        <v>1117</v>
      </c>
      <c r="D17" s="270" t="s">
        <v>112</v>
      </c>
      <c r="E17" s="270"/>
      <c r="F17" s="270" t="s">
        <v>1149</v>
      </c>
      <c r="G17" s="270" t="s">
        <v>1150</v>
      </c>
      <c r="H17" s="273">
        <v>46022</v>
      </c>
      <c r="I17" s="277" t="str">
        <f ca="1">IF(ListeInventaire3811[[#This Row],[Statut de la réalisation de l''action]]="Effectué","À jour",IF(ListeInventaire3811[[#This Row],[échéance de réalisation]]&lt;TODAY(),"En retard","À jour"))</f>
        <v>En retard</v>
      </c>
      <c r="J17" s="275"/>
      <c r="K17" s="274"/>
      <c r="L17" s="274"/>
      <c r="M17" s="275"/>
      <c r="N17" s="276"/>
      <c r="O17" s="275"/>
      <c r="P17" s="274"/>
      <c r="Q17" s="31"/>
      <c r="R17" s="31"/>
      <c r="S17" s="31"/>
      <c r="T17" s="31"/>
      <c r="U17" s="31"/>
      <c r="V17" s="31"/>
      <c r="W17" s="31"/>
      <c r="X17" s="31"/>
      <c r="Y17" s="31"/>
      <c r="Z17" s="31"/>
      <c r="AA17" s="31"/>
      <c r="AB17" s="31"/>
      <c r="AC17" s="31" t="s">
        <v>1143</v>
      </c>
    </row>
    <row r="18" spans="1:29" s="29" customFormat="1" ht="57" customHeight="1" x14ac:dyDescent="0.25">
      <c r="A18" s="270">
        <v>45562</v>
      </c>
      <c r="B18" s="270" t="s">
        <v>1132</v>
      </c>
      <c r="C18" s="270" t="s">
        <v>1117</v>
      </c>
      <c r="D18" s="270" t="s">
        <v>112</v>
      </c>
      <c r="E18" s="270"/>
      <c r="F18" s="270" t="s">
        <v>1151</v>
      </c>
      <c r="G18" s="270" t="s">
        <v>1150</v>
      </c>
      <c r="H18" s="273">
        <v>46022</v>
      </c>
      <c r="I18" s="277" t="str">
        <f ca="1">IF(ListeInventaire3811[[#This Row],[Statut de la réalisation de l''action]]="Effectué","À jour",IF(ListeInventaire3811[[#This Row],[échéance de réalisation]]&lt;TODAY(),"En retard","À jour"))</f>
        <v>En retard</v>
      </c>
      <c r="J18" s="275"/>
      <c r="K18" s="274"/>
      <c r="L18" s="274"/>
      <c r="M18" s="275"/>
      <c r="N18" s="276"/>
      <c r="O18" s="277"/>
      <c r="P18" s="274"/>
      <c r="Q18" s="31"/>
      <c r="R18" s="31"/>
      <c r="S18" s="31"/>
      <c r="T18" s="31"/>
      <c r="U18" s="31"/>
      <c r="V18" s="31"/>
      <c r="W18" s="31"/>
      <c r="X18" s="31"/>
      <c r="Y18" s="31"/>
      <c r="Z18" s="31"/>
      <c r="AA18" s="31"/>
      <c r="AB18" s="31"/>
      <c r="AC18" s="31" t="s">
        <v>1143</v>
      </c>
    </row>
    <row r="19" spans="1:29" s="29" customFormat="1" ht="77.099999999999994" customHeight="1" x14ac:dyDescent="0.25">
      <c r="A19" s="270">
        <v>45562</v>
      </c>
      <c r="B19" s="270" t="s">
        <v>1132</v>
      </c>
      <c r="C19" s="270" t="s">
        <v>1117</v>
      </c>
      <c r="D19" s="270" t="s">
        <v>112</v>
      </c>
      <c r="E19" s="270"/>
      <c r="F19" s="270" t="s">
        <v>1152</v>
      </c>
      <c r="G19" s="270" t="s">
        <v>1153</v>
      </c>
      <c r="H19" s="273">
        <v>46022</v>
      </c>
      <c r="I19" s="277" t="str">
        <f ca="1">IF(ListeInventaire3811[[#This Row],[Statut de la réalisation de l''action]]="Effectué","À jour",IF(ListeInventaire3811[[#This Row],[échéance de réalisation]]&lt;TODAY(),"En retard","À jour"))</f>
        <v>En retard</v>
      </c>
      <c r="J19" s="275"/>
      <c r="K19" s="274"/>
      <c r="L19" s="274"/>
      <c r="M19" s="275"/>
      <c r="N19" s="276"/>
      <c r="O19" s="275"/>
      <c r="P19" s="274"/>
      <c r="Q19" s="31"/>
      <c r="R19" s="31"/>
      <c r="S19" s="31"/>
      <c r="T19" s="31"/>
      <c r="U19" s="31"/>
      <c r="V19" s="31"/>
      <c r="W19" s="31"/>
      <c r="X19" s="31"/>
      <c r="Y19" s="31"/>
      <c r="Z19" s="31"/>
      <c r="AA19" s="31"/>
      <c r="AB19" s="31"/>
      <c r="AC19" s="31" t="s">
        <v>1143</v>
      </c>
    </row>
    <row r="20" spans="1:29" s="29" customFormat="1" ht="45.75" customHeight="1" x14ac:dyDescent="0.25">
      <c r="A20" s="26">
        <v>45562</v>
      </c>
      <c r="B20" s="270" t="s">
        <v>1132</v>
      </c>
      <c r="C20" s="270" t="s">
        <v>1117</v>
      </c>
      <c r="D20" s="270" t="s">
        <v>112</v>
      </c>
      <c r="E20" s="270"/>
      <c r="F20" s="270" t="s">
        <v>1154</v>
      </c>
      <c r="G20" s="270" t="s">
        <v>1136</v>
      </c>
      <c r="H20" s="270">
        <v>46022</v>
      </c>
      <c r="I20" s="277" t="str">
        <f ca="1">IF(ListeInventaire3811[[#This Row],[Statut de la réalisation de l''action]]="Effectué","À jour",IF(ListeInventaire3811[[#This Row],[échéance de réalisation]]&lt;TODAY(),"En retard","À jour"))</f>
        <v>En retard</v>
      </c>
      <c r="J20" s="275"/>
      <c r="K20" s="274"/>
      <c r="L20" s="274"/>
      <c r="M20" s="275"/>
      <c r="N20" s="276"/>
      <c r="O20" s="275"/>
      <c r="P20" s="274"/>
      <c r="Q20" s="31"/>
      <c r="R20" s="31"/>
      <c r="S20" s="31"/>
      <c r="T20" s="31"/>
      <c r="U20" s="31"/>
      <c r="V20" s="31"/>
      <c r="W20" s="31"/>
      <c r="X20" s="31"/>
      <c r="Y20" s="31"/>
      <c r="Z20" s="31"/>
      <c r="AA20" s="31"/>
      <c r="AB20" s="31"/>
      <c r="AC20" s="31" t="s">
        <v>1155</v>
      </c>
    </row>
    <row r="21" spans="1:29" s="29" customFormat="1" ht="63" customHeight="1" x14ac:dyDescent="0.25">
      <c r="A21" s="270">
        <v>45562</v>
      </c>
      <c r="B21" s="270" t="s">
        <v>1132</v>
      </c>
      <c r="C21" s="270" t="s">
        <v>1117</v>
      </c>
      <c r="D21" s="270" t="s">
        <v>112</v>
      </c>
      <c r="E21" s="270"/>
      <c r="F21" s="270" t="s">
        <v>1156</v>
      </c>
      <c r="G21" s="270" t="s">
        <v>1157</v>
      </c>
      <c r="H21" s="273">
        <v>46022</v>
      </c>
      <c r="I21" s="277" t="str">
        <f ca="1">IF(ListeInventaire3811[[#This Row],[Statut de la réalisation de l''action]]="Effectué","À jour",IF(ListeInventaire3811[[#This Row],[échéance de réalisation]]&lt;TODAY(),"En retard","À jour"))</f>
        <v>En retard</v>
      </c>
      <c r="J21" s="275"/>
      <c r="K21" s="274"/>
      <c r="L21" s="274"/>
      <c r="M21" s="275"/>
      <c r="N21" s="276"/>
      <c r="O21" s="277"/>
      <c r="P21" s="274"/>
      <c r="Q21" s="31"/>
      <c r="R21" s="31"/>
      <c r="S21" s="31"/>
      <c r="T21" s="31"/>
      <c r="U21" s="31"/>
      <c r="V21" s="31"/>
      <c r="W21" s="31"/>
      <c r="X21" s="31"/>
      <c r="Y21" s="31"/>
      <c r="Z21" s="31"/>
      <c r="AA21" s="31"/>
      <c r="AB21" s="31"/>
      <c r="AC21" s="31" t="s">
        <v>1155</v>
      </c>
    </row>
    <row r="22" spans="1:29" s="29" customFormat="1" ht="51.75" customHeight="1" x14ac:dyDescent="0.25">
      <c r="A22" s="270">
        <v>45562</v>
      </c>
      <c r="B22" s="270" t="s">
        <v>1132</v>
      </c>
      <c r="C22" s="270" t="s">
        <v>1117</v>
      </c>
      <c r="D22" s="270" t="s">
        <v>112</v>
      </c>
      <c r="E22" s="270"/>
      <c r="F22" s="270" t="s">
        <v>1158</v>
      </c>
      <c r="G22" s="270" t="s">
        <v>1159</v>
      </c>
      <c r="H22" s="273">
        <v>46022</v>
      </c>
      <c r="I22" s="277" t="str">
        <f ca="1">IF(ListeInventaire3811[[#This Row],[Statut de la réalisation de l''action]]="Effectué","À jour",IF(ListeInventaire3811[[#This Row],[échéance de réalisation]]&lt;TODAY(),"En retard","À jour"))</f>
        <v>À jour</v>
      </c>
      <c r="J22" s="31" t="s">
        <v>1121</v>
      </c>
      <c r="K22" s="274"/>
      <c r="L22" s="274"/>
      <c r="M22" s="275"/>
      <c r="N22" s="276"/>
      <c r="O22" s="277"/>
      <c r="P22" s="274"/>
      <c r="Q22" s="31"/>
      <c r="R22" s="31"/>
      <c r="S22" s="31"/>
      <c r="T22" s="31"/>
      <c r="U22" s="31"/>
      <c r="V22" s="31"/>
      <c r="W22" s="31"/>
      <c r="X22" s="31"/>
      <c r="Y22" s="31"/>
      <c r="Z22" s="31"/>
      <c r="AA22" s="31"/>
      <c r="AB22" s="31"/>
      <c r="AC22" s="31" t="s">
        <v>1155</v>
      </c>
    </row>
    <row r="23" spans="1:29" s="29" customFormat="1" ht="49.5" customHeight="1" x14ac:dyDescent="0.25">
      <c r="A23" s="270">
        <v>45562</v>
      </c>
      <c r="B23" s="270" t="s">
        <v>1132</v>
      </c>
      <c r="C23" s="270" t="s">
        <v>1117</v>
      </c>
      <c r="D23" s="270" t="s">
        <v>112</v>
      </c>
      <c r="E23" s="270"/>
      <c r="F23" s="270" t="s">
        <v>1160</v>
      </c>
      <c r="G23" s="270" t="s">
        <v>317</v>
      </c>
      <c r="H23" s="273">
        <v>46022</v>
      </c>
      <c r="I23" s="277" t="str">
        <f ca="1">IF(ListeInventaire3811[[#This Row],[Statut de la réalisation de l''action]]="Effectué","À jour",IF(ListeInventaire3811[[#This Row],[échéance de réalisation]]&lt;TODAY(),"En retard","À jour"))</f>
        <v>En retard</v>
      </c>
      <c r="J23" s="275"/>
      <c r="K23" s="274"/>
      <c r="L23" s="274"/>
      <c r="M23" s="275"/>
      <c r="N23" s="276"/>
      <c r="O23" s="277"/>
      <c r="P23" s="274"/>
      <c r="Q23" s="31"/>
      <c r="R23" s="31"/>
      <c r="S23" s="31"/>
      <c r="T23" s="31"/>
      <c r="U23" s="31"/>
      <c r="V23" s="31"/>
      <c r="W23" s="31"/>
      <c r="X23" s="31"/>
      <c r="Y23" s="31"/>
      <c r="Z23" s="31"/>
      <c r="AA23" s="31"/>
      <c r="AB23" s="31"/>
      <c r="AC23" s="31" t="s">
        <v>1155</v>
      </c>
    </row>
    <row r="24" spans="1:29" s="29" customFormat="1" ht="52.5" customHeight="1" x14ac:dyDescent="0.25">
      <c r="A24" s="270">
        <v>45562</v>
      </c>
      <c r="B24" s="270" t="s">
        <v>1132</v>
      </c>
      <c r="C24" s="270" t="s">
        <v>1117</v>
      </c>
      <c r="D24" s="270" t="s">
        <v>112</v>
      </c>
      <c r="E24" s="270"/>
      <c r="F24" s="270" t="s">
        <v>1161</v>
      </c>
      <c r="G24" s="270" t="s">
        <v>1162</v>
      </c>
      <c r="H24" s="273">
        <v>46022</v>
      </c>
      <c r="I24" s="277" t="str">
        <f ca="1">IF(ListeInventaire3811[[#This Row],[Statut de la réalisation de l''action]]="Effectué","À jour",IF(ListeInventaire3811[[#This Row],[échéance de réalisation]]&lt;TODAY(),"En retard","À jour"))</f>
        <v>En retard</v>
      </c>
      <c r="J24" s="275"/>
      <c r="K24" s="274"/>
      <c r="L24" s="274"/>
      <c r="M24" s="275"/>
      <c r="N24" s="276"/>
      <c r="O24" s="275"/>
      <c r="P24" s="274"/>
      <c r="Q24" s="31"/>
      <c r="R24" s="31"/>
      <c r="S24" s="31"/>
      <c r="T24" s="31"/>
      <c r="U24" s="31"/>
      <c r="V24" s="31"/>
      <c r="W24" s="31"/>
      <c r="X24" s="31"/>
      <c r="Y24" s="31"/>
      <c r="Z24" s="31"/>
      <c r="AA24" s="31"/>
      <c r="AB24" s="31"/>
      <c r="AC24" s="31" t="s">
        <v>1155</v>
      </c>
    </row>
    <row r="25" spans="1:29" s="29" customFormat="1" ht="39" customHeight="1" x14ac:dyDescent="0.25">
      <c r="A25" s="270">
        <v>45562</v>
      </c>
      <c r="B25" s="270" t="s">
        <v>1132</v>
      </c>
      <c r="C25" s="270" t="s">
        <v>1117</v>
      </c>
      <c r="D25" s="270" t="s">
        <v>112</v>
      </c>
      <c r="E25" s="270"/>
      <c r="F25" s="270" t="s">
        <v>1163</v>
      </c>
      <c r="G25" s="270" t="s">
        <v>1164</v>
      </c>
      <c r="H25" s="273">
        <v>46022</v>
      </c>
      <c r="I25" s="277" t="str">
        <f ca="1">IF(ListeInventaire3811[[#This Row],[Statut de la réalisation de l''action]]="Effectué","À jour",IF(ListeInventaire3811[[#This Row],[échéance de réalisation]]&lt;TODAY(),"En retard","À jour"))</f>
        <v>En retard</v>
      </c>
      <c r="J25" s="275"/>
      <c r="K25" s="274"/>
      <c r="L25" s="274"/>
      <c r="M25" s="275"/>
      <c r="N25" s="276"/>
      <c r="O25" s="277"/>
      <c r="P25" s="274"/>
      <c r="Q25" s="31"/>
      <c r="R25" s="31"/>
      <c r="S25" s="31"/>
      <c r="T25" s="31"/>
      <c r="U25" s="31"/>
      <c r="V25" s="31"/>
      <c r="W25" s="31"/>
      <c r="X25" s="31"/>
      <c r="Y25" s="31"/>
      <c r="Z25" s="31"/>
      <c r="AA25" s="31"/>
      <c r="AB25" s="31"/>
      <c r="AC25" s="31" t="s">
        <v>1155</v>
      </c>
    </row>
    <row r="26" spans="1:29" s="29" customFormat="1" ht="37.5" customHeight="1" x14ac:dyDescent="0.25">
      <c r="A26" s="270">
        <v>45562</v>
      </c>
      <c r="B26" s="270" t="s">
        <v>1132</v>
      </c>
      <c r="C26" s="270" t="s">
        <v>1117</v>
      </c>
      <c r="D26" s="270" t="s">
        <v>112</v>
      </c>
      <c r="E26" s="270"/>
      <c r="F26" s="270" t="s">
        <v>1165</v>
      </c>
      <c r="G26" s="270" t="s">
        <v>1166</v>
      </c>
      <c r="H26" s="273">
        <v>46022</v>
      </c>
      <c r="I26" s="277" t="str">
        <f ca="1">IF(ListeInventaire3811[[#This Row],[Statut de la réalisation de l''action]]="Effectué","À jour",IF(ListeInventaire3811[[#This Row],[échéance de réalisation]]&lt;TODAY(),"En retard","À jour"))</f>
        <v>En retard</v>
      </c>
      <c r="J26" s="270"/>
      <c r="K26" s="274"/>
      <c r="L26" s="274"/>
      <c r="M26" s="275"/>
      <c r="N26" s="276"/>
      <c r="O26" s="275"/>
      <c r="P26" s="274"/>
      <c r="Q26" s="31"/>
      <c r="R26" s="31"/>
      <c r="S26" s="31"/>
      <c r="T26" s="31"/>
      <c r="U26" s="31"/>
      <c r="V26" s="31"/>
      <c r="W26" s="31"/>
      <c r="X26" s="31"/>
      <c r="Y26" s="31"/>
      <c r="Z26" s="31"/>
      <c r="AA26" s="31"/>
      <c r="AB26" s="31"/>
      <c r="AC26" s="31" t="s">
        <v>1155</v>
      </c>
    </row>
    <row r="27" spans="1:29" s="29" customFormat="1" ht="37.5" customHeight="1" x14ac:dyDescent="0.25">
      <c r="A27" s="270">
        <v>45562</v>
      </c>
      <c r="B27" s="270" t="s">
        <v>1132</v>
      </c>
      <c r="C27" s="270" t="s">
        <v>1117</v>
      </c>
      <c r="D27" s="270" t="s">
        <v>112</v>
      </c>
      <c r="E27" s="270"/>
      <c r="F27" s="270" t="s">
        <v>1167</v>
      </c>
      <c r="G27" s="270" t="s">
        <v>583</v>
      </c>
      <c r="H27" s="273">
        <v>46022</v>
      </c>
      <c r="I27" s="277" t="str">
        <f ca="1">IF(ListeInventaire3811[[#This Row],[Statut de la réalisation de l''action]]="Effectué","À jour",IF(ListeInventaire3811[[#This Row],[échéance de réalisation]]&lt;TODAY(),"En retard","À jour"))</f>
        <v>À jour</v>
      </c>
      <c r="J27" s="31" t="s">
        <v>1121</v>
      </c>
      <c r="K27" s="274"/>
      <c r="L27" s="274"/>
      <c r="M27" s="275"/>
      <c r="N27" s="276"/>
      <c r="O27" s="277"/>
      <c r="P27" s="274"/>
      <c r="Q27" s="31"/>
      <c r="R27" s="31"/>
      <c r="S27" s="31"/>
      <c r="T27" s="31"/>
      <c r="U27" s="31"/>
      <c r="V27" s="31"/>
      <c r="W27" s="31"/>
      <c r="X27" s="31"/>
      <c r="Y27" s="31"/>
      <c r="Z27" s="31"/>
      <c r="AA27" s="31"/>
      <c r="AB27" s="31"/>
      <c r="AC27" s="31" t="s">
        <v>1155</v>
      </c>
    </row>
    <row r="28" spans="1:29" s="29" customFormat="1" ht="35.25" customHeight="1" x14ac:dyDescent="0.25">
      <c r="A28" s="270">
        <v>45562</v>
      </c>
      <c r="B28" s="270" t="s">
        <v>1132</v>
      </c>
      <c r="C28" s="270" t="s">
        <v>1117</v>
      </c>
      <c r="D28" s="270" t="s">
        <v>112</v>
      </c>
      <c r="E28" s="270"/>
      <c r="F28" s="270" t="s">
        <v>1168</v>
      </c>
      <c r="G28" s="270" t="s">
        <v>1169</v>
      </c>
      <c r="H28" s="273">
        <v>46022</v>
      </c>
      <c r="I28" s="277" t="str">
        <f ca="1">IF(ListeInventaire3811[[#This Row],[Statut de la réalisation de l''action]]="Effectué","À jour",IF(ListeInventaire3811[[#This Row],[échéance de réalisation]]&lt;TODAY(),"En retard","À jour"))</f>
        <v>En retard</v>
      </c>
      <c r="J28" s="270"/>
      <c r="K28" s="274"/>
      <c r="L28" s="274"/>
      <c r="M28" s="275"/>
      <c r="N28" s="276"/>
      <c r="O28" s="275"/>
      <c r="P28" s="274"/>
      <c r="Q28" s="31"/>
      <c r="R28" s="31"/>
      <c r="S28" s="31"/>
      <c r="T28" s="31"/>
      <c r="U28" s="31"/>
      <c r="V28" s="31"/>
      <c r="W28" s="31"/>
      <c r="X28" s="31"/>
      <c r="Y28" s="31"/>
      <c r="Z28" s="31"/>
      <c r="AA28" s="31"/>
      <c r="AB28" s="31"/>
      <c r="AC28" s="31" t="s">
        <v>1170</v>
      </c>
    </row>
    <row r="29" spans="1:29" s="29" customFormat="1" ht="57" customHeight="1" x14ac:dyDescent="0.25">
      <c r="A29" s="270">
        <v>45562</v>
      </c>
      <c r="B29" s="270" t="s">
        <v>1132</v>
      </c>
      <c r="C29" s="270" t="s">
        <v>1117</v>
      </c>
      <c r="D29" s="270" t="s">
        <v>112</v>
      </c>
      <c r="E29" s="270"/>
      <c r="F29" s="270" t="s">
        <v>1171</v>
      </c>
      <c r="G29" s="270" t="s">
        <v>1172</v>
      </c>
      <c r="H29" s="273">
        <v>46022</v>
      </c>
      <c r="I29" s="277" t="str">
        <f ca="1">IF(ListeInventaire3811[[#This Row],[Statut de la réalisation de l''action]]="Effectué","À jour",IF(ListeInventaire3811[[#This Row],[échéance de réalisation]]&lt;TODAY(),"En retard","À jour"))</f>
        <v>En retard</v>
      </c>
      <c r="J29" s="275"/>
      <c r="K29" s="274"/>
      <c r="L29" s="274"/>
      <c r="M29" s="275"/>
      <c r="N29" s="276"/>
      <c r="O29" s="275"/>
      <c r="P29" s="274"/>
      <c r="Q29" s="31"/>
      <c r="R29" s="31"/>
      <c r="S29" s="31"/>
      <c r="T29" s="31"/>
      <c r="U29" s="31"/>
      <c r="V29" s="31"/>
      <c r="W29" s="31"/>
      <c r="X29" s="31"/>
      <c r="Y29" s="31"/>
      <c r="Z29" s="31"/>
      <c r="AA29" s="31"/>
      <c r="AB29" s="31"/>
      <c r="AC29" s="31" t="s">
        <v>1170</v>
      </c>
    </row>
    <row r="30" spans="1:29" s="29" customFormat="1" ht="57" customHeight="1" x14ac:dyDescent="0.25">
      <c r="A30" s="270">
        <v>45566</v>
      </c>
      <c r="B30" s="271" t="s">
        <v>1173</v>
      </c>
      <c r="C30" s="271" t="s">
        <v>1117</v>
      </c>
      <c r="D30" s="271" t="s">
        <v>1117</v>
      </c>
      <c r="E30" s="271" t="s">
        <v>583</v>
      </c>
      <c r="F30" s="272" t="s">
        <v>1174</v>
      </c>
      <c r="G30" s="271" t="s">
        <v>1175</v>
      </c>
      <c r="H30" s="273">
        <v>45657</v>
      </c>
      <c r="I30" s="277" t="str">
        <f ca="1">IF(ListeInventaire3811[[#This Row],[Statut de la réalisation de l''action]]="Effectué","À jour",IF(ListeInventaire3811[[#This Row],[échéance de réalisation]]&lt;TODAY(),"En retard","À jour"))</f>
        <v>À jour</v>
      </c>
      <c r="J30" s="275" t="s">
        <v>1121</v>
      </c>
      <c r="K30" s="274"/>
      <c r="L30" s="274"/>
      <c r="M30" s="275"/>
      <c r="N30" s="276"/>
      <c r="O30" s="275"/>
      <c r="P30" s="274"/>
      <c r="Q30" s="31"/>
      <c r="R30" s="31"/>
      <c r="S30" s="31"/>
      <c r="T30" s="31"/>
      <c r="U30" s="31"/>
      <c r="V30" s="31"/>
      <c r="W30" s="31"/>
      <c r="X30" s="31"/>
      <c r="Y30" s="31"/>
      <c r="Z30" s="31"/>
      <c r="AA30" s="31"/>
      <c r="AB30" s="31"/>
      <c r="AC30" s="31"/>
    </row>
    <row r="31" spans="1:29" s="29" customFormat="1" ht="57" customHeight="1" x14ac:dyDescent="0.25">
      <c r="A31" s="270">
        <v>45566</v>
      </c>
      <c r="B31" s="271" t="s">
        <v>1173</v>
      </c>
      <c r="C31" s="271" t="s">
        <v>1117</v>
      </c>
      <c r="D31" s="271" t="s">
        <v>1117</v>
      </c>
      <c r="E31" s="271" t="s">
        <v>1176</v>
      </c>
      <c r="F31" s="272" t="s">
        <v>1177</v>
      </c>
      <c r="G31" s="271" t="s">
        <v>1178</v>
      </c>
      <c r="H31" s="273">
        <v>45658</v>
      </c>
      <c r="I31" s="277" t="str">
        <f ca="1">IF(ListeInventaire3811[[#This Row],[Statut de la réalisation de l''action]]="Effectué","À jour",IF(ListeInventaire3811[[#This Row],[échéance de réalisation]]&lt;TODAY(),"En retard","À jour"))</f>
        <v>À jour</v>
      </c>
      <c r="J31" s="275" t="s">
        <v>1121</v>
      </c>
      <c r="K31" s="274"/>
      <c r="L31" s="274"/>
      <c r="M31" s="275"/>
      <c r="N31" s="276"/>
      <c r="O31" s="277"/>
      <c r="P31" s="274"/>
      <c r="Q31" s="31"/>
      <c r="R31" s="31"/>
      <c r="S31" s="31"/>
      <c r="T31" s="31"/>
      <c r="U31" s="31"/>
      <c r="V31" s="31"/>
      <c r="W31" s="31"/>
      <c r="X31" s="31"/>
      <c r="Y31" s="31"/>
      <c r="Z31" s="31"/>
      <c r="AA31" s="31"/>
      <c r="AB31" s="31"/>
      <c r="AC31" s="31"/>
    </row>
    <row r="32" spans="1:29" s="29" customFormat="1" ht="57" customHeight="1" x14ac:dyDescent="0.25">
      <c r="A32" s="270">
        <v>45566</v>
      </c>
      <c r="B32" s="271" t="s">
        <v>1173</v>
      </c>
      <c r="C32" s="271" t="s">
        <v>1117</v>
      </c>
      <c r="D32" s="271" t="s">
        <v>1117</v>
      </c>
      <c r="E32" s="271" t="s">
        <v>583</v>
      </c>
      <c r="F32" s="272" t="s">
        <v>1179</v>
      </c>
      <c r="G32" s="271" t="s">
        <v>1178</v>
      </c>
      <c r="H32" s="273">
        <v>45658</v>
      </c>
      <c r="I32" s="277" t="str">
        <f ca="1">IF(ListeInventaire3811[[#This Row],[Statut de la réalisation de l''action]]="Effectué","À jour",IF(ListeInventaire3811[[#This Row],[échéance de réalisation]]&lt;TODAY(),"En retard","À jour"))</f>
        <v>À jour</v>
      </c>
      <c r="J32" s="275" t="s">
        <v>1121</v>
      </c>
      <c r="K32" s="274"/>
      <c r="L32" s="274"/>
      <c r="M32" s="275"/>
      <c r="N32" s="276"/>
      <c r="O32" s="275"/>
      <c r="P32" s="274"/>
      <c r="Q32" s="31"/>
      <c r="R32" s="31"/>
      <c r="S32" s="31"/>
      <c r="T32" s="31"/>
      <c r="U32" s="31"/>
      <c r="V32" s="31"/>
      <c r="W32" s="31"/>
      <c r="X32" s="31"/>
      <c r="Y32" s="31"/>
      <c r="Z32" s="31"/>
      <c r="AA32" s="31"/>
      <c r="AB32" s="31"/>
      <c r="AC32" s="31"/>
    </row>
    <row r="33" spans="1:29" ht="57" customHeight="1" x14ac:dyDescent="0.25">
      <c r="A33" s="270">
        <v>45566</v>
      </c>
      <c r="B33" s="271" t="s">
        <v>1173</v>
      </c>
      <c r="C33" s="271" t="s">
        <v>1117</v>
      </c>
      <c r="D33" s="271" t="s">
        <v>1117</v>
      </c>
      <c r="E33" s="271" t="s">
        <v>1180</v>
      </c>
      <c r="F33" s="272" t="s">
        <v>1181</v>
      </c>
      <c r="G33" s="271" t="s">
        <v>1178</v>
      </c>
      <c r="H33" s="273">
        <v>46022</v>
      </c>
      <c r="I33" s="277" t="str">
        <f ca="1">IF(ListeInventaire3811[[#This Row],[Statut de la réalisation de l''action]]="Effectué","À jour",IF(ListeInventaire3811[[#This Row],[échéance de réalisation]]&lt;TODAY(),"En retard","À jour"))</f>
        <v>En retard</v>
      </c>
      <c r="J33" s="275" t="s">
        <v>1182</v>
      </c>
      <c r="K33" s="274"/>
      <c r="L33" s="275"/>
      <c r="M33" s="275"/>
      <c r="N33" s="276"/>
      <c r="O33" s="277"/>
      <c r="P33" s="274"/>
      <c r="Q33" s="31"/>
      <c r="R33" s="31"/>
      <c r="S33" s="31"/>
      <c r="T33" s="31"/>
      <c r="U33" s="31"/>
      <c r="V33" s="31"/>
      <c r="W33" s="31"/>
      <c r="X33" s="31"/>
      <c r="Y33" s="31"/>
      <c r="Z33" s="31"/>
      <c r="AA33" s="31"/>
      <c r="AB33" s="31"/>
      <c r="AC33" s="31"/>
    </row>
    <row r="34" spans="1:29" s="29" customFormat="1" ht="57" customHeight="1" x14ac:dyDescent="0.25">
      <c r="A34" s="270">
        <v>45566</v>
      </c>
      <c r="B34" s="271" t="s">
        <v>1173</v>
      </c>
      <c r="C34" s="271" t="s">
        <v>1117</v>
      </c>
      <c r="D34" s="271" t="s">
        <v>1117</v>
      </c>
      <c r="E34" s="271" t="s">
        <v>1183</v>
      </c>
      <c r="F34" s="272" t="s">
        <v>1184</v>
      </c>
      <c r="G34" s="271" t="s">
        <v>1178</v>
      </c>
      <c r="H34" s="273">
        <v>45657</v>
      </c>
      <c r="I34" s="277" t="str">
        <f ca="1">IF(ListeInventaire3811[[#This Row],[Statut de la réalisation de l''action]]="Effectué","À jour",IF(ListeInventaire3811[[#This Row],[échéance de réalisation]]&lt;TODAY(),"En retard","À jour"))</f>
        <v>À jour</v>
      </c>
      <c r="J34" s="275" t="s">
        <v>1121</v>
      </c>
      <c r="K34" s="274"/>
      <c r="L34" s="274"/>
      <c r="M34" s="275"/>
      <c r="N34" s="276"/>
      <c r="O34" s="277"/>
      <c r="P34" s="274"/>
      <c r="Q34" s="31"/>
      <c r="R34" s="31"/>
      <c r="S34" s="31"/>
      <c r="T34" s="31"/>
      <c r="U34" s="31"/>
      <c r="V34" s="31"/>
      <c r="W34" s="31"/>
      <c r="X34" s="31"/>
      <c r="Y34" s="31"/>
      <c r="Z34" s="31"/>
      <c r="AA34" s="31"/>
      <c r="AB34" s="31"/>
      <c r="AC34" s="31"/>
    </row>
    <row r="35" spans="1:29" s="29" customFormat="1" ht="57" customHeight="1" x14ac:dyDescent="0.25">
      <c r="A35" s="270">
        <v>45566</v>
      </c>
      <c r="B35" s="271" t="s">
        <v>1173</v>
      </c>
      <c r="C35" s="271" t="s">
        <v>1117</v>
      </c>
      <c r="D35" s="271" t="s">
        <v>1117</v>
      </c>
      <c r="E35" s="271" t="s">
        <v>1183</v>
      </c>
      <c r="F35" s="272" t="s">
        <v>1185</v>
      </c>
      <c r="G35" s="271" t="s">
        <v>1178</v>
      </c>
      <c r="H35" s="273">
        <v>46022</v>
      </c>
      <c r="I35" s="277" t="str">
        <f ca="1">IF(ListeInventaire3811[[#This Row],[Statut de la réalisation de l''action]]="Effectué","À jour",IF(ListeInventaire3811[[#This Row],[échéance de réalisation]]&lt;TODAY(),"En retard","À jour"))</f>
        <v>En retard</v>
      </c>
      <c r="J35" s="275" t="s">
        <v>1182</v>
      </c>
      <c r="K35" s="274"/>
      <c r="L35" s="274"/>
      <c r="M35" s="275"/>
      <c r="N35" s="276"/>
      <c r="O35" s="277"/>
      <c r="P35" s="274"/>
      <c r="Q35" s="31"/>
      <c r="R35" s="31"/>
      <c r="S35" s="31"/>
      <c r="T35" s="31"/>
      <c r="U35" s="31"/>
      <c r="V35" s="31"/>
      <c r="W35" s="31"/>
      <c r="X35" s="31"/>
      <c r="Y35" s="31"/>
      <c r="Z35" s="31"/>
      <c r="AA35" s="31"/>
      <c r="AB35" s="31"/>
      <c r="AC35" s="31"/>
    </row>
    <row r="36" spans="1:29" s="29" customFormat="1" ht="57" customHeight="1" x14ac:dyDescent="0.25">
      <c r="A36" s="270">
        <v>45566</v>
      </c>
      <c r="B36" s="9"/>
      <c r="C36" s="271" t="s">
        <v>1117</v>
      </c>
      <c r="D36" s="271" t="s">
        <v>1117</v>
      </c>
      <c r="E36" s="9"/>
      <c r="F36" s="274" t="s">
        <v>1186</v>
      </c>
      <c r="G36" s="271" t="s">
        <v>1178</v>
      </c>
      <c r="H36" s="273">
        <v>45901</v>
      </c>
      <c r="I36" s="277" t="str">
        <f ca="1">IF(ListeInventaire3811[[#This Row],[Statut de la réalisation de l''action]]="Effectué","À jour",IF(ListeInventaire3811[[#This Row],[échéance de réalisation]]&lt;TODAY(),"En retard","À jour"))</f>
        <v>En retard</v>
      </c>
      <c r="J36" s="275"/>
      <c r="K36" s="274"/>
      <c r="L36" s="10"/>
      <c r="M36" s="31"/>
      <c r="N36" s="32"/>
      <c r="O36" s="31"/>
      <c r="P36" s="10"/>
      <c r="Q36" s="31"/>
      <c r="R36" s="31"/>
      <c r="S36" s="31"/>
      <c r="T36" s="31"/>
      <c r="U36" s="31"/>
      <c r="V36" s="31"/>
      <c r="W36" s="31"/>
      <c r="X36" s="31"/>
      <c r="Y36" s="31"/>
      <c r="Z36" s="31"/>
      <c r="AA36" s="31"/>
      <c r="AB36" s="31"/>
      <c r="AC36" s="31"/>
    </row>
    <row r="37" spans="1:29" s="29" customFormat="1" ht="57" customHeight="1" x14ac:dyDescent="0.25">
      <c r="A37" s="270">
        <v>45566</v>
      </c>
      <c r="B37" s="271" t="s">
        <v>1173</v>
      </c>
      <c r="C37" s="271" t="s">
        <v>1117</v>
      </c>
      <c r="D37" s="271" t="s">
        <v>1117</v>
      </c>
      <c r="E37" s="271"/>
      <c r="F37" s="272" t="s">
        <v>1187</v>
      </c>
      <c r="G37" s="271" t="s">
        <v>1178</v>
      </c>
      <c r="H37" s="273">
        <v>45929</v>
      </c>
      <c r="I37" s="277" t="str">
        <f ca="1">IF(ListeInventaire3811[[#This Row],[Statut de la réalisation de l''action]]="Effectué","À jour",IF(ListeInventaire3811[[#This Row],[échéance de réalisation]]&lt;TODAY(),"En retard","À jour"))</f>
        <v>À jour</v>
      </c>
      <c r="J37" s="275" t="s">
        <v>1121</v>
      </c>
      <c r="K37" s="274"/>
      <c r="L37" s="274"/>
      <c r="M37" s="275"/>
      <c r="N37" s="276"/>
      <c r="O37" s="275"/>
      <c r="P37" s="274"/>
      <c r="Q37" s="31"/>
      <c r="R37" s="31"/>
      <c r="S37" s="31"/>
      <c r="T37" s="31"/>
      <c r="U37" s="31"/>
      <c r="V37" s="31"/>
      <c r="W37" s="31"/>
      <c r="X37" s="31"/>
      <c r="Y37" s="31"/>
      <c r="Z37" s="31"/>
      <c r="AA37" s="31"/>
      <c r="AB37" s="31"/>
      <c r="AC37" s="31"/>
    </row>
    <row r="38" spans="1:29" s="29" customFormat="1" ht="57" customHeight="1" x14ac:dyDescent="0.25">
      <c r="A38" s="270">
        <v>45566</v>
      </c>
      <c r="B38" s="271" t="s">
        <v>1173</v>
      </c>
      <c r="C38" s="271" t="s">
        <v>1117</v>
      </c>
      <c r="D38" s="271" t="s">
        <v>1117</v>
      </c>
      <c r="E38" s="271"/>
      <c r="F38" s="272" t="s">
        <v>1188</v>
      </c>
      <c r="G38" s="271" t="s">
        <v>1178</v>
      </c>
      <c r="H38" s="273">
        <v>46022</v>
      </c>
      <c r="I38" s="277" t="str">
        <f ca="1">IF(ListeInventaire3811[[#This Row],[Statut de la réalisation de l''action]]="Effectué","À jour",IF(ListeInventaire3811[[#This Row],[échéance de réalisation]]&lt;TODAY(),"En retard","À jour"))</f>
        <v>En retard</v>
      </c>
      <c r="J38" s="275"/>
      <c r="K38" s="274"/>
      <c r="L38" s="274"/>
      <c r="M38" s="275"/>
      <c r="N38" s="276"/>
      <c r="O38" s="275"/>
      <c r="P38" s="274"/>
      <c r="Q38" s="31"/>
      <c r="R38" s="31"/>
      <c r="S38" s="31"/>
      <c r="T38" s="31"/>
      <c r="U38" s="31"/>
      <c r="V38" s="31"/>
      <c r="W38" s="31"/>
      <c r="X38" s="31"/>
      <c r="Y38" s="31"/>
      <c r="Z38" s="31"/>
      <c r="AA38" s="31"/>
      <c r="AB38" s="31"/>
      <c r="AC38" s="31"/>
    </row>
    <row r="39" spans="1:29" s="29" customFormat="1" ht="57" customHeight="1" x14ac:dyDescent="0.25">
      <c r="A39" s="270">
        <v>45566</v>
      </c>
      <c r="B39" s="271" t="s">
        <v>1173</v>
      </c>
      <c r="C39" s="271" t="s">
        <v>1117</v>
      </c>
      <c r="D39" s="271" t="s">
        <v>1117</v>
      </c>
      <c r="E39" s="270"/>
      <c r="F39" s="278" t="s">
        <v>1189</v>
      </c>
      <c r="G39" s="271" t="s">
        <v>1178</v>
      </c>
      <c r="H39" s="270">
        <v>45901</v>
      </c>
      <c r="I39" s="277" t="str">
        <f ca="1">IF(ListeInventaire3811[[#This Row],[Statut de la réalisation de l''action]]="Effectué","À jour",IF(ListeInventaire3811[[#This Row],[échéance de réalisation]]&lt;TODAY(),"En retard","À jour"))</f>
        <v>En retard</v>
      </c>
      <c r="J39" s="275"/>
      <c r="K39" s="274"/>
      <c r="L39" s="270"/>
      <c r="M39" s="270"/>
      <c r="N39" s="270"/>
      <c r="O39" s="270"/>
      <c r="P39" s="270"/>
      <c r="Q39" s="31"/>
      <c r="R39" s="31"/>
      <c r="S39" s="31"/>
      <c r="T39" s="31"/>
      <c r="U39" s="31"/>
      <c r="V39" s="31"/>
      <c r="W39" s="31"/>
      <c r="X39" s="31"/>
      <c r="Y39" s="31"/>
      <c r="Z39" s="31"/>
      <c r="AA39" s="31"/>
      <c r="AB39" s="31"/>
      <c r="AC39" s="31"/>
    </row>
    <row r="40" spans="1:29" s="29" customFormat="1" ht="57" customHeight="1" x14ac:dyDescent="0.25">
      <c r="A40" s="270">
        <v>45566</v>
      </c>
      <c r="B40" s="271" t="s">
        <v>1173</v>
      </c>
      <c r="C40" s="271" t="s">
        <v>1117</v>
      </c>
      <c r="D40" s="271" t="s">
        <v>1117</v>
      </c>
      <c r="E40" s="271"/>
      <c r="F40" s="272" t="s">
        <v>1190</v>
      </c>
      <c r="G40" s="271" t="s">
        <v>1178</v>
      </c>
      <c r="H40" s="273">
        <v>46022</v>
      </c>
      <c r="I40" s="277" t="str">
        <f ca="1">IF(ListeInventaire3811[[#This Row],[Statut de la réalisation de l''action]]="Effectué","À jour",IF(ListeInventaire3811[[#This Row],[échéance de réalisation]]&lt;TODAY(),"En retard","À jour"))</f>
        <v>En retard</v>
      </c>
      <c r="J40" s="275"/>
      <c r="K40" s="274"/>
      <c r="L40" s="274"/>
      <c r="M40" s="275"/>
      <c r="N40" s="276"/>
      <c r="O40" s="275"/>
      <c r="P40" s="274"/>
      <c r="Q40" s="31"/>
      <c r="R40" s="31"/>
      <c r="S40" s="31"/>
      <c r="T40" s="31"/>
      <c r="U40" s="31"/>
      <c r="V40" s="31"/>
      <c r="W40" s="31"/>
      <c r="X40" s="31"/>
      <c r="Y40" s="31"/>
      <c r="Z40" s="31"/>
      <c r="AA40" s="31"/>
      <c r="AB40" s="31"/>
      <c r="AC40" s="31"/>
    </row>
    <row r="41" spans="1:29" s="29" customFormat="1" ht="57" customHeight="1" x14ac:dyDescent="0.25">
      <c r="A41" s="270">
        <v>45566</v>
      </c>
      <c r="B41" s="271" t="s">
        <v>1173</v>
      </c>
      <c r="C41" s="271" t="s">
        <v>1117</v>
      </c>
      <c r="D41" s="271" t="s">
        <v>1117</v>
      </c>
      <c r="E41" s="271"/>
      <c r="F41" s="272" t="s">
        <v>1191</v>
      </c>
      <c r="G41" s="271" t="s">
        <v>1178</v>
      </c>
      <c r="H41" s="273">
        <v>45931</v>
      </c>
      <c r="I41" s="277" t="str">
        <f ca="1">IF(ListeInventaire3811[[#This Row],[Statut de la réalisation de l''action]]="Effectué","À jour",IF(ListeInventaire3811[[#This Row],[échéance de réalisation]]&lt;TODAY(),"En retard","À jour"))</f>
        <v>À jour</v>
      </c>
      <c r="J41" s="275" t="s">
        <v>1121</v>
      </c>
      <c r="K41" s="274"/>
      <c r="L41" s="274"/>
      <c r="M41" s="275"/>
      <c r="N41" s="276"/>
      <c r="O41" s="275"/>
      <c r="P41" s="274"/>
      <c r="Q41" s="31"/>
      <c r="R41" s="31"/>
      <c r="S41" s="31"/>
      <c r="T41" s="31"/>
      <c r="U41" s="31"/>
      <c r="V41" s="31"/>
      <c r="W41" s="31"/>
      <c r="X41" s="31"/>
      <c r="Y41" s="31"/>
      <c r="Z41" s="31"/>
      <c r="AA41" s="31"/>
      <c r="AB41" s="31"/>
      <c r="AC41" s="31"/>
    </row>
    <row r="42" spans="1:29" s="29" customFormat="1" ht="57" customHeight="1" x14ac:dyDescent="0.25">
      <c r="A42" s="270">
        <v>45566</v>
      </c>
      <c r="B42" s="271" t="s">
        <v>1173</v>
      </c>
      <c r="C42" s="271" t="s">
        <v>1117</v>
      </c>
      <c r="D42" s="271" t="s">
        <v>1117</v>
      </c>
      <c r="E42" s="271"/>
      <c r="F42" s="272" t="s">
        <v>1192</v>
      </c>
      <c r="G42" s="271" t="s">
        <v>1178</v>
      </c>
      <c r="H42" s="273">
        <v>46022</v>
      </c>
      <c r="I42" s="277" t="str">
        <f ca="1">IF(ListeInventaire3811[[#This Row],[Statut de la réalisation de l''action]]="Effectué","À jour",IF(ListeInventaire3811[[#This Row],[échéance de réalisation]]&lt;TODAY(),"En retard","À jour"))</f>
        <v>À jour</v>
      </c>
      <c r="J42" s="275" t="s">
        <v>1121</v>
      </c>
      <c r="K42" s="274"/>
      <c r="L42" s="274"/>
      <c r="M42" s="275"/>
      <c r="N42" s="276"/>
      <c r="O42" s="275"/>
      <c r="P42" s="274"/>
      <c r="Q42" s="31"/>
      <c r="R42" s="31"/>
      <c r="S42" s="31"/>
      <c r="T42" s="31"/>
      <c r="U42" s="31"/>
      <c r="V42" s="31"/>
      <c r="W42" s="31"/>
      <c r="X42" s="31"/>
      <c r="Y42" s="31"/>
      <c r="Z42" s="31"/>
      <c r="AA42" s="31"/>
      <c r="AB42" s="31"/>
      <c r="AC42" s="31"/>
    </row>
    <row r="43" spans="1:29" s="29" customFormat="1" ht="57" customHeight="1" x14ac:dyDescent="0.25">
      <c r="A43" s="270">
        <v>45566</v>
      </c>
      <c r="B43" s="271" t="s">
        <v>1173</v>
      </c>
      <c r="C43" s="271" t="s">
        <v>1117</v>
      </c>
      <c r="D43" s="271" t="s">
        <v>1117</v>
      </c>
      <c r="E43" s="271"/>
      <c r="F43" s="272" t="s">
        <v>1193</v>
      </c>
      <c r="G43" s="271" t="s">
        <v>1178</v>
      </c>
      <c r="H43" s="273">
        <v>46022</v>
      </c>
      <c r="I43" s="277" t="str">
        <f ca="1">IF(ListeInventaire3811[[#This Row],[Statut de la réalisation de l''action]]="Effectué","À jour",IF(ListeInventaire3811[[#This Row],[échéance de réalisation]]&lt;TODAY(),"En retard","À jour"))</f>
        <v>En retard</v>
      </c>
      <c r="J43" s="275" t="s">
        <v>1194</v>
      </c>
      <c r="K43" s="274"/>
      <c r="L43" s="274"/>
      <c r="M43" s="275"/>
      <c r="N43" s="276"/>
      <c r="O43" s="275"/>
      <c r="P43" s="274"/>
      <c r="Q43" s="31"/>
      <c r="R43" s="31"/>
      <c r="S43" s="31"/>
      <c r="T43" s="31"/>
      <c r="U43" s="31"/>
      <c r="V43" s="31"/>
      <c r="W43" s="31"/>
      <c r="X43" s="31"/>
      <c r="Y43" s="31"/>
      <c r="Z43" s="31"/>
      <c r="AA43" s="31"/>
      <c r="AB43" s="31"/>
      <c r="AC43" s="31"/>
    </row>
    <row r="44" spans="1:29" s="29" customFormat="1" ht="57" customHeight="1" x14ac:dyDescent="0.25">
      <c r="A44" s="270">
        <v>45566</v>
      </c>
      <c r="B44" s="271" t="s">
        <v>1173</v>
      </c>
      <c r="C44" s="271" t="s">
        <v>1117</v>
      </c>
      <c r="D44" s="271" t="s">
        <v>1117</v>
      </c>
      <c r="E44" s="271"/>
      <c r="F44" s="272" t="s">
        <v>1195</v>
      </c>
      <c r="G44" s="271" t="s">
        <v>1196</v>
      </c>
      <c r="H44" s="273">
        <v>45658</v>
      </c>
      <c r="I44" s="277" t="str">
        <f ca="1">IF(ListeInventaire3811[[#This Row],[Statut de la réalisation de l''action]]="Effectué","À jour",IF(ListeInventaire3811[[#This Row],[échéance de réalisation]]&lt;TODAY(),"En retard","À jour"))</f>
        <v>En retard</v>
      </c>
      <c r="J44" s="275" t="s">
        <v>1194</v>
      </c>
      <c r="K44" s="274"/>
      <c r="L44" s="274"/>
      <c r="M44" s="275"/>
      <c r="N44" s="276"/>
      <c r="O44" s="275"/>
      <c r="P44" s="274"/>
      <c r="Q44" s="31"/>
      <c r="R44" s="31"/>
      <c r="S44" s="31"/>
      <c r="T44" s="31"/>
      <c r="U44" s="31"/>
      <c r="V44" s="31"/>
      <c r="W44" s="31"/>
      <c r="X44" s="31"/>
      <c r="Y44" s="31"/>
      <c r="Z44" s="31"/>
      <c r="AA44" s="31"/>
      <c r="AB44" s="31"/>
      <c r="AC44" s="31"/>
    </row>
    <row r="45" spans="1:29" s="29" customFormat="1" ht="57" customHeight="1" x14ac:dyDescent="0.25">
      <c r="A45" s="270">
        <v>45566</v>
      </c>
      <c r="B45" s="271" t="s">
        <v>1173</v>
      </c>
      <c r="C45" s="271" t="s">
        <v>1117</v>
      </c>
      <c r="D45" s="271" t="s">
        <v>1117</v>
      </c>
      <c r="E45" s="271"/>
      <c r="F45" s="272" t="s">
        <v>1197</v>
      </c>
      <c r="G45" s="271" t="s">
        <v>1178</v>
      </c>
      <c r="H45" s="273">
        <v>46022</v>
      </c>
      <c r="I45" s="277" t="str">
        <f ca="1">IF(ListeInventaire3811[[#This Row],[Statut de la réalisation de l''action]]="Effectué","À jour",IF(ListeInventaire3811[[#This Row],[échéance de réalisation]]&lt;TODAY(),"En retard","À jour"))</f>
        <v>En retard</v>
      </c>
      <c r="J45" s="275" t="s">
        <v>1194</v>
      </c>
      <c r="K45" s="274"/>
      <c r="L45" s="274"/>
      <c r="M45" s="275"/>
      <c r="N45" s="276"/>
      <c r="O45" s="275"/>
      <c r="P45" s="274"/>
      <c r="Q45" s="31"/>
      <c r="R45" s="31"/>
      <c r="S45" s="31"/>
      <c r="T45" s="31"/>
      <c r="U45" s="31"/>
      <c r="V45" s="31"/>
      <c r="W45" s="31"/>
      <c r="X45" s="31"/>
      <c r="Y45" s="31"/>
      <c r="Z45" s="31"/>
      <c r="AA45" s="31"/>
      <c r="AB45" s="31"/>
      <c r="AC45" s="31"/>
    </row>
    <row r="46" spans="1:29" s="29" customFormat="1" ht="57" customHeight="1" x14ac:dyDescent="0.25">
      <c r="A46" s="270">
        <v>45566</v>
      </c>
      <c r="B46" s="271"/>
      <c r="C46" s="271" t="s">
        <v>1117</v>
      </c>
      <c r="D46" s="271" t="s">
        <v>1117</v>
      </c>
      <c r="E46" s="271"/>
      <c r="F46" s="272" t="s">
        <v>1198</v>
      </c>
      <c r="G46" s="271" t="s">
        <v>1178</v>
      </c>
      <c r="H46" s="273">
        <v>45657</v>
      </c>
      <c r="I46" s="277" t="str">
        <f ca="1">IF(ListeInventaire3811[[#This Row],[Statut de la réalisation de l''action]]="Effectué","À jour",IF(ListeInventaire3811[[#This Row],[échéance de réalisation]]&lt;TODAY(),"En retard","À jour"))</f>
        <v>En retard</v>
      </c>
      <c r="J46" s="275"/>
      <c r="K46" s="274"/>
      <c r="L46" s="274"/>
      <c r="M46" s="275"/>
      <c r="N46" s="276"/>
      <c r="O46" s="275"/>
      <c r="P46" s="274"/>
      <c r="Q46" s="31"/>
      <c r="R46" s="31"/>
      <c r="S46" s="31"/>
      <c r="T46" s="31"/>
      <c r="U46" s="31"/>
      <c r="V46" s="31"/>
      <c r="W46" s="31"/>
      <c r="X46" s="31"/>
      <c r="Y46" s="31"/>
      <c r="Z46" s="31"/>
      <c r="AA46" s="31"/>
      <c r="AB46" s="31"/>
      <c r="AC46" s="31"/>
    </row>
    <row r="47" spans="1:29" s="29" customFormat="1" ht="57" customHeight="1" x14ac:dyDescent="0.25">
      <c r="A47" s="270">
        <v>45566</v>
      </c>
      <c r="B47" s="271"/>
      <c r="C47" s="271" t="s">
        <v>1117</v>
      </c>
      <c r="D47" s="271" t="s">
        <v>1117</v>
      </c>
      <c r="E47" s="271"/>
      <c r="F47" s="272" t="s">
        <v>1199</v>
      </c>
      <c r="G47" s="271" t="s">
        <v>342</v>
      </c>
      <c r="H47" s="273">
        <v>45657</v>
      </c>
      <c r="I47" s="277" t="str">
        <f ca="1">IF(ListeInventaire3811[[#This Row],[Statut de la réalisation de l''action]]="Effectué","À jour",IF(ListeInventaire3811[[#This Row],[échéance de réalisation]]&lt;TODAY(),"En retard","À jour"))</f>
        <v>En retard</v>
      </c>
      <c r="J47" s="275" t="s">
        <v>1182</v>
      </c>
      <c r="K47" s="274"/>
      <c r="L47" s="274"/>
      <c r="M47" s="275"/>
      <c r="N47" s="276"/>
      <c r="O47" s="275"/>
      <c r="P47" s="274"/>
      <c r="Q47" s="31"/>
      <c r="R47" s="31"/>
      <c r="S47" s="31"/>
      <c r="T47" s="31"/>
      <c r="U47" s="31"/>
      <c r="V47" s="31"/>
      <c r="W47" s="31"/>
      <c r="X47" s="31"/>
      <c r="Y47" s="31"/>
      <c r="Z47" s="31"/>
      <c r="AA47" s="31"/>
      <c r="AB47" s="31"/>
      <c r="AC47" s="31"/>
    </row>
    <row r="48" spans="1:29" s="29" customFormat="1" ht="57" customHeight="1" x14ac:dyDescent="0.25">
      <c r="A48" s="270">
        <v>45566</v>
      </c>
      <c r="B48" s="271"/>
      <c r="C48" s="271" t="s">
        <v>1117</v>
      </c>
      <c r="D48" s="271" t="s">
        <v>1117</v>
      </c>
      <c r="E48" s="271"/>
      <c r="F48" s="272" t="s">
        <v>1200</v>
      </c>
      <c r="G48" s="271" t="s">
        <v>1178</v>
      </c>
      <c r="H48" s="273" t="s">
        <v>1201</v>
      </c>
      <c r="I48" s="277" t="str">
        <f ca="1">IF(ListeInventaire3811[[#This Row],[Statut de la réalisation de l''action]]="Effectué","À jour",IF(ListeInventaire3811[[#This Row],[échéance de réalisation]]&lt;TODAY(),"En retard","À jour"))</f>
        <v>À jour</v>
      </c>
      <c r="J48" s="275"/>
      <c r="K48" s="274"/>
      <c r="L48" s="274"/>
      <c r="M48" s="275"/>
      <c r="N48" s="276"/>
      <c r="O48" s="275"/>
      <c r="P48" s="274"/>
      <c r="Q48" s="31"/>
      <c r="R48" s="31"/>
      <c r="S48" s="31"/>
      <c r="T48" s="31"/>
      <c r="U48" s="31"/>
      <c r="V48" s="31"/>
      <c r="W48" s="31"/>
      <c r="X48" s="31"/>
      <c r="Y48" s="31"/>
      <c r="Z48" s="31"/>
      <c r="AA48" s="31"/>
      <c r="AB48" s="31"/>
      <c r="AC48" s="31"/>
    </row>
    <row r="49" spans="1:29" s="29" customFormat="1" ht="57" customHeight="1" x14ac:dyDescent="0.25">
      <c r="A49" s="270">
        <v>45566</v>
      </c>
      <c r="B49" s="271"/>
      <c r="C49" s="271" t="s">
        <v>1117</v>
      </c>
      <c r="D49" s="271" t="s">
        <v>1117</v>
      </c>
      <c r="E49" s="271"/>
      <c r="F49" s="272" t="s">
        <v>1202</v>
      </c>
      <c r="G49" s="271" t="s">
        <v>1178</v>
      </c>
      <c r="H49" s="273" t="s">
        <v>1203</v>
      </c>
      <c r="I49" s="277" t="str">
        <f ca="1">IF(ListeInventaire3811[[#This Row],[Statut de la réalisation de l''action]]="Effectué","À jour",IF(ListeInventaire3811[[#This Row],[échéance de réalisation]]&lt;TODAY(),"En retard","À jour"))</f>
        <v>À jour</v>
      </c>
      <c r="J49" s="275"/>
      <c r="K49" s="274"/>
      <c r="L49" s="274"/>
      <c r="M49" s="275"/>
      <c r="N49" s="276"/>
      <c r="O49" s="275"/>
      <c r="P49" s="274"/>
      <c r="Q49" s="31"/>
      <c r="R49" s="31"/>
      <c r="S49" s="31"/>
      <c r="T49" s="31"/>
      <c r="U49" s="31"/>
      <c r="V49" s="31"/>
      <c r="W49" s="31"/>
      <c r="X49" s="31"/>
      <c r="Y49" s="31"/>
      <c r="Z49" s="31"/>
      <c r="AA49" s="31"/>
      <c r="AB49" s="31"/>
      <c r="AC49" s="31"/>
    </row>
    <row r="50" spans="1:29" s="29" customFormat="1" ht="57" customHeight="1" x14ac:dyDescent="0.25">
      <c r="A50" s="270">
        <v>45566</v>
      </c>
      <c r="B50" s="271"/>
      <c r="C50" s="271" t="s">
        <v>1117</v>
      </c>
      <c r="D50" s="271" t="s">
        <v>1117</v>
      </c>
      <c r="E50" s="271"/>
      <c r="F50" s="272" t="s">
        <v>1204</v>
      </c>
      <c r="G50" s="271" t="s">
        <v>1205</v>
      </c>
      <c r="H50" s="273" t="s">
        <v>1206</v>
      </c>
      <c r="I50" s="277" t="str">
        <f ca="1">IF(ListeInventaire3811[[#This Row],[Statut de la réalisation de l''action]]="Effectué","À jour",IF(ListeInventaire3811[[#This Row],[échéance de réalisation]]&lt;TODAY(),"En retard","À jour"))</f>
        <v>À jour</v>
      </c>
      <c r="J50" s="275"/>
      <c r="K50" s="274"/>
      <c r="L50" s="274"/>
      <c r="M50" s="275"/>
      <c r="N50" s="276"/>
      <c r="O50" s="275"/>
      <c r="P50" s="274"/>
      <c r="Q50" s="31"/>
      <c r="R50" s="31"/>
      <c r="S50" s="31"/>
      <c r="T50" s="31"/>
      <c r="U50" s="31"/>
      <c r="V50" s="31"/>
      <c r="W50" s="31"/>
      <c r="X50" s="31"/>
      <c r="Y50" s="31"/>
      <c r="Z50" s="31"/>
      <c r="AA50" s="31"/>
      <c r="AB50" s="31"/>
      <c r="AC50" s="31"/>
    </row>
    <row r="51" spans="1:29" s="29" customFormat="1" ht="57" customHeight="1" x14ac:dyDescent="0.25">
      <c r="A51" s="279">
        <v>45575</v>
      </c>
      <c r="B51" s="271" t="s">
        <v>1207</v>
      </c>
      <c r="C51" s="9" t="s">
        <v>660</v>
      </c>
      <c r="D51" s="9" t="s">
        <v>35</v>
      </c>
      <c r="E51" s="9" t="s">
        <v>1129</v>
      </c>
      <c r="F51" s="11" t="s">
        <v>1208</v>
      </c>
      <c r="G51" s="9" t="s">
        <v>1127</v>
      </c>
      <c r="H51" s="25">
        <v>45575</v>
      </c>
      <c r="I51" s="277" t="str">
        <f ca="1">IF(ListeInventaire3811[[#This Row],[Statut de la réalisation de l''action]]="Effectué","À jour",IF(ListeInventaire3811[[#This Row],[échéance de réalisation]]&lt;TODAY(),"En retard","À jour"))</f>
        <v>En retard</v>
      </c>
      <c r="J51" s="31" t="s">
        <v>1182</v>
      </c>
      <c r="K51" s="10"/>
      <c r="L51" s="10"/>
      <c r="M51" s="31"/>
      <c r="N51" s="32"/>
      <c r="O51" s="31"/>
      <c r="P51" s="10"/>
      <c r="Q51" s="31"/>
      <c r="R51" s="31"/>
      <c r="S51" s="31"/>
      <c r="T51" s="31"/>
      <c r="U51" s="31"/>
      <c r="V51" s="31"/>
      <c r="W51" s="31"/>
      <c r="X51" s="31"/>
      <c r="Y51" s="31"/>
      <c r="Z51" s="31"/>
      <c r="AA51" s="31"/>
      <c r="AB51" s="31"/>
      <c r="AC51" s="31"/>
    </row>
    <row r="52" spans="1:29" s="29" customFormat="1" ht="57" customHeight="1" x14ac:dyDescent="0.25">
      <c r="A52" s="279">
        <v>45628</v>
      </c>
      <c r="B52" s="271" t="s">
        <v>1209</v>
      </c>
      <c r="C52" s="271" t="s">
        <v>1117</v>
      </c>
      <c r="D52" s="271" t="s">
        <v>1210</v>
      </c>
      <c r="E52" s="9" t="s">
        <v>1129</v>
      </c>
      <c r="F52" s="11" t="s">
        <v>1211</v>
      </c>
      <c r="G52" s="9" t="s">
        <v>615</v>
      </c>
      <c r="H52" s="25">
        <v>45629</v>
      </c>
      <c r="I52" s="277" t="str">
        <f ca="1">IF(ListeInventaire3811[[#This Row],[Statut de la réalisation de l''action]]="Effectué","À jour",IF(ListeInventaire3811[[#This Row],[échéance de réalisation]]&lt;TODAY(),"En retard","À jour"))</f>
        <v>À jour</v>
      </c>
      <c r="J52" s="31" t="s">
        <v>1121</v>
      </c>
      <c r="K52" s="4"/>
      <c r="L52" s="4"/>
      <c r="M52" s="4"/>
      <c r="N52" s="4"/>
      <c r="O52" s="4"/>
      <c r="P52" s="4"/>
      <c r="Q52" s="4"/>
      <c r="R52" s="4"/>
      <c r="S52" s="4"/>
      <c r="T52" s="4"/>
      <c r="U52" s="4"/>
      <c r="V52" s="4"/>
      <c r="W52" s="4"/>
      <c r="X52" s="4"/>
      <c r="Y52" s="4"/>
      <c r="Z52" s="4"/>
      <c r="AA52" s="4"/>
      <c r="AB52" s="4"/>
      <c r="AC52" s="4" t="s">
        <v>1212</v>
      </c>
    </row>
    <row r="53" spans="1:29" s="29" customFormat="1" ht="57" customHeight="1" x14ac:dyDescent="0.25">
      <c r="A53" s="279">
        <v>45628</v>
      </c>
      <c r="B53" s="271" t="s">
        <v>1209</v>
      </c>
      <c r="C53" s="271" t="s">
        <v>1117</v>
      </c>
      <c r="D53" s="271" t="s">
        <v>1210</v>
      </c>
      <c r="E53" s="9" t="s">
        <v>1129</v>
      </c>
      <c r="F53" s="11" t="s">
        <v>1213</v>
      </c>
      <c r="G53" s="9" t="s">
        <v>1214</v>
      </c>
      <c r="H53" s="25">
        <v>45993</v>
      </c>
      <c r="I53" s="277" t="str">
        <f ca="1">IF(ListeInventaire3811[[#This Row],[Statut de la réalisation de l''action]]="Effectué","À jour",IF(ListeInventaire3811[[#This Row],[échéance de réalisation]]&lt;TODAY(),"En retard","À jour"))</f>
        <v>En retard</v>
      </c>
      <c r="J53" s="31" t="s">
        <v>1194</v>
      </c>
      <c r="K53" s="4"/>
      <c r="L53" s="4"/>
      <c r="M53" s="4"/>
      <c r="N53" s="4"/>
      <c r="O53" s="4"/>
      <c r="P53" s="4"/>
      <c r="Q53" s="4"/>
      <c r="R53" s="4"/>
      <c r="S53" s="4"/>
      <c r="T53" s="4"/>
      <c r="U53" s="4"/>
      <c r="V53" s="4"/>
      <c r="W53" s="4"/>
      <c r="X53" s="4"/>
      <c r="Y53" s="4"/>
      <c r="Z53" s="4"/>
      <c r="AA53" s="4"/>
      <c r="AB53" s="4"/>
      <c r="AC53" s="4" t="s">
        <v>1215</v>
      </c>
    </row>
    <row r="54" spans="1:29" s="29" customFormat="1" ht="57" customHeight="1" x14ac:dyDescent="0.25">
      <c r="A54" s="279">
        <v>45628</v>
      </c>
      <c r="B54" s="271" t="s">
        <v>1209</v>
      </c>
      <c r="C54" s="271" t="s">
        <v>1117</v>
      </c>
      <c r="D54" s="271" t="s">
        <v>1210</v>
      </c>
      <c r="E54" s="9" t="s">
        <v>1180</v>
      </c>
      <c r="F54" s="11" t="s">
        <v>1216</v>
      </c>
      <c r="G54" s="9" t="s">
        <v>1127</v>
      </c>
      <c r="H54" s="25">
        <v>45868</v>
      </c>
      <c r="I54" s="277" t="str">
        <f ca="1">IF(ListeInventaire3811[[#This Row],[Statut de la réalisation de l''action]]="Effectué","À jour",IF(ListeInventaire3811[[#This Row],[échéance de réalisation]]&lt;TODAY(),"En retard","À jour"))</f>
        <v>À jour</v>
      </c>
      <c r="J54" s="31" t="s">
        <v>1121</v>
      </c>
      <c r="K54" s="4"/>
      <c r="L54" s="4"/>
      <c r="M54" s="4"/>
      <c r="N54" s="4"/>
      <c r="O54" s="4"/>
      <c r="P54" s="4"/>
      <c r="Q54" s="4"/>
      <c r="R54" s="4"/>
      <c r="S54" s="4"/>
      <c r="T54" s="4"/>
      <c r="U54" s="4"/>
      <c r="V54" s="4"/>
      <c r="W54" s="4"/>
      <c r="X54" s="4"/>
      <c r="Y54" s="4"/>
      <c r="Z54" s="4"/>
      <c r="AA54" s="4"/>
      <c r="AB54" s="4"/>
      <c r="AC54" s="4" t="s">
        <v>1217</v>
      </c>
    </row>
    <row r="55" spans="1:29" s="29" customFormat="1" ht="57" customHeight="1" x14ac:dyDescent="0.25">
      <c r="A55" s="279">
        <v>45628</v>
      </c>
      <c r="B55" s="271" t="s">
        <v>1209</v>
      </c>
      <c r="C55" s="271" t="s">
        <v>1117</v>
      </c>
      <c r="D55" s="271" t="s">
        <v>1210</v>
      </c>
      <c r="E55" s="9" t="s">
        <v>1218</v>
      </c>
      <c r="F55" s="11" t="s">
        <v>1219</v>
      </c>
      <c r="G55" s="9" t="s">
        <v>1214</v>
      </c>
      <c r="H55" s="25">
        <v>45667</v>
      </c>
      <c r="I55" s="277" t="str">
        <f ca="1">IF(ListeInventaire3811[[#This Row],[Statut de la réalisation de l''action]]="Effectué","À jour",IF(ListeInventaire3811[[#This Row],[échéance de réalisation]]&lt;TODAY(),"En retard","À jour"))</f>
        <v>À jour</v>
      </c>
      <c r="J55" s="31" t="s">
        <v>1121</v>
      </c>
      <c r="K55" s="4"/>
      <c r="L55" s="4"/>
      <c r="M55" s="4"/>
      <c r="N55" s="4"/>
      <c r="O55" s="4"/>
      <c r="P55" s="4"/>
      <c r="Q55" s="4"/>
      <c r="R55" s="4"/>
      <c r="S55" s="4"/>
      <c r="T55" s="4"/>
      <c r="U55" s="4"/>
      <c r="V55" s="4"/>
      <c r="W55" s="4"/>
      <c r="X55" s="4"/>
      <c r="Y55" s="4"/>
      <c r="Z55" s="4"/>
      <c r="AA55" s="4"/>
      <c r="AB55" s="4"/>
      <c r="AC55" s="4"/>
    </row>
    <row r="56" spans="1:29" s="29" customFormat="1" ht="57" customHeight="1" x14ac:dyDescent="0.25">
      <c r="A56" s="279">
        <v>45628</v>
      </c>
      <c r="B56" s="271" t="s">
        <v>1209</v>
      </c>
      <c r="C56" s="271" t="s">
        <v>1117</v>
      </c>
      <c r="D56" s="271" t="s">
        <v>1210</v>
      </c>
      <c r="E56" s="9" t="s">
        <v>1129</v>
      </c>
      <c r="F56" s="11" t="s">
        <v>1220</v>
      </c>
      <c r="G56" s="9" t="s">
        <v>1214</v>
      </c>
      <c r="H56" s="25">
        <v>45667</v>
      </c>
      <c r="I56" s="277" t="str">
        <f ca="1">IF(ListeInventaire3811[[#This Row],[Statut de la réalisation de l''action]]="Effectué","À jour",IF(ListeInventaire3811[[#This Row],[échéance de réalisation]]&lt;TODAY(),"En retard","À jour"))</f>
        <v>À jour</v>
      </c>
      <c r="J56" s="31" t="s">
        <v>1121</v>
      </c>
      <c r="K56" s="4"/>
      <c r="L56" s="4"/>
      <c r="M56" s="4"/>
      <c r="N56" s="4"/>
      <c r="O56" s="4"/>
      <c r="P56" s="4"/>
      <c r="Q56" s="4"/>
      <c r="R56" s="4"/>
      <c r="S56" s="4"/>
      <c r="T56" s="4"/>
      <c r="U56" s="4"/>
      <c r="V56" s="4"/>
      <c r="W56" s="4"/>
      <c r="X56" s="4"/>
      <c r="Y56" s="4"/>
      <c r="Z56" s="4"/>
      <c r="AA56" s="4"/>
      <c r="AB56" s="4"/>
      <c r="AC56" s="4"/>
    </row>
    <row r="57" spans="1:29" s="29" customFormat="1" ht="57" customHeight="1" x14ac:dyDescent="0.25">
      <c r="A57" s="279">
        <v>45628</v>
      </c>
      <c r="B57" s="271" t="s">
        <v>1209</v>
      </c>
      <c r="C57" s="271" t="s">
        <v>1117</v>
      </c>
      <c r="D57" s="271" t="s">
        <v>1210</v>
      </c>
      <c r="E57" s="9" t="s">
        <v>1129</v>
      </c>
      <c r="F57" s="11" t="s">
        <v>1221</v>
      </c>
      <c r="G57" s="9" t="s">
        <v>1127</v>
      </c>
      <c r="H57" s="25">
        <v>45667</v>
      </c>
      <c r="I57" s="277" t="str">
        <f ca="1">IF(ListeInventaire3811[[#This Row],[Statut de la réalisation de l''action]]="Effectué","À jour",IF(ListeInventaire3811[[#This Row],[échéance de réalisation]]&lt;TODAY(),"En retard","À jour"))</f>
        <v>À jour</v>
      </c>
      <c r="J57" s="31" t="s">
        <v>1121</v>
      </c>
      <c r="K57" s="4"/>
      <c r="L57" s="4"/>
      <c r="M57" s="4"/>
      <c r="N57" s="4"/>
      <c r="O57" s="4"/>
      <c r="P57" s="4"/>
      <c r="Q57" s="4"/>
      <c r="R57" s="4"/>
      <c r="S57" s="4"/>
      <c r="T57" s="4"/>
      <c r="U57" s="4"/>
      <c r="V57" s="4"/>
      <c r="W57" s="4"/>
      <c r="X57" s="4"/>
      <c r="Y57" s="4"/>
      <c r="Z57" s="4"/>
      <c r="AA57" s="4"/>
      <c r="AB57" s="4"/>
      <c r="AC57" s="4"/>
    </row>
    <row r="58" spans="1:29" s="29" customFormat="1" ht="57" customHeight="1" x14ac:dyDescent="0.25">
      <c r="A58" s="279">
        <v>45639</v>
      </c>
      <c r="B58" s="29" t="s">
        <v>1222</v>
      </c>
      <c r="C58" s="29" t="s">
        <v>1117</v>
      </c>
      <c r="D58" s="29" t="s">
        <v>1117</v>
      </c>
      <c r="E58" s="29" t="s">
        <v>1223</v>
      </c>
      <c r="F58" s="272" t="s">
        <v>1224</v>
      </c>
      <c r="G58" s="29" t="s">
        <v>1225</v>
      </c>
      <c r="H58" s="270">
        <v>45719</v>
      </c>
      <c r="I58" s="277" t="str">
        <f ca="1">IF(ListeInventaire3811[[#This Row],[Statut de la réalisation de l''action]]="Effectué","À jour",IF(ListeInventaire3811[[#This Row],[échéance de réalisation]]&lt;TODAY(),"En retard","À jour"))</f>
        <v>À jour</v>
      </c>
      <c r="J58" s="31" t="s">
        <v>1121</v>
      </c>
      <c r="K58" s="10"/>
      <c r="L58" s="10"/>
      <c r="M58" s="31"/>
      <c r="N58" s="32"/>
      <c r="O58" s="31"/>
      <c r="P58" s="10"/>
      <c r="Q58" s="31"/>
      <c r="R58" s="31"/>
      <c r="S58" s="31"/>
      <c r="T58" s="31"/>
      <c r="U58" s="31"/>
      <c r="V58" s="31"/>
      <c r="W58" s="31"/>
      <c r="X58" s="31"/>
      <c r="Y58" s="31"/>
      <c r="Z58" s="31"/>
      <c r="AA58" s="31"/>
      <c r="AB58" s="31"/>
      <c r="AC58" s="31"/>
    </row>
    <row r="59" spans="1:29" s="29" customFormat="1" ht="57" customHeight="1" x14ac:dyDescent="0.25">
      <c r="A59" s="270">
        <v>45641</v>
      </c>
      <c r="B59" s="270" t="s">
        <v>1226</v>
      </c>
      <c r="C59" s="270" t="s">
        <v>1227</v>
      </c>
      <c r="D59" s="270" t="s">
        <v>501</v>
      </c>
      <c r="E59" s="270" t="s">
        <v>1180</v>
      </c>
      <c r="F59" s="270" t="s">
        <v>1228</v>
      </c>
      <c r="G59" s="270" t="s">
        <v>1229</v>
      </c>
      <c r="H59" s="273">
        <v>45667</v>
      </c>
      <c r="I59" s="277" t="str">
        <f ca="1">IF(ListeInventaire3811[[#This Row],[Statut de la réalisation de l''action]]="Effectué","À jour",IF(ListeInventaire3811[[#This Row],[échéance de réalisation]]&lt;TODAY(),"En retard","À jour"))</f>
        <v>À jour</v>
      </c>
      <c r="J59" s="275" t="s">
        <v>1121</v>
      </c>
      <c r="K59" s="274"/>
      <c r="L59" s="272"/>
      <c r="N59" s="280"/>
      <c r="P59" s="272"/>
      <c r="Q59" s="31"/>
      <c r="R59" s="31"/>
      <c r="S59" s="31"/>
      <c r="T59" s="31"/>
      <c r="U59" s="31"/>
      <c r="V59" s="31"/>
      <c r="W59" s="31"/>
      <c r="X59" s="31"/>
      <c r="Y59" s="31"/>
      <c r="Z59" s="31"/>
      <c r="AA59" s="31"/>
      <c r="AB59" s="31"/>
      <c r="AC59" s="31"/>
    </row>
    <row r="60" spans="1:29" s="29" customFormat="1" ht="57" customHeight="1" x14ac:dyDescent="0.25">
      <c r="A60" s="279">
        <v>45644</v>
      </c>
      <c r="B60" s="271" t="s">
        <v>1230</v>
      </c>
      <c r="C60" s="271" t="s">
        <v>668</v>
      </c>
      <c r="D60" s="271" t="s">
        <v>501</v>
      </c>
      <c r="E60" s="271" t="s">
        <v>1218</v>
      </c>
      <c r="F60" s="272" t="s">
        <v>1231</v>
      </c>
      <c r="G60" s="29" t="s">
        <v>1232</v>
      </c>
      <c r="H60" s="270">
        <v>45688</v>
      </c>
      <c r="I60" s="277" t="str">
        <f ca="1">IF(ListeInventaire3811[[#This Row],[Statut de la réalisation de l''action]]="Effectué","À jour",IF(ListeInventaire3811[[#This Row],[échéance de réalisation]]&lt;TODAY(),"En retard","À jour"))</f>
        <v>En retard</v>
      </c>
      <c r="J60" s="275"/>
      <c r="K60" s="274"/>
      <c r="L60" s="272"/>
      <c r="N60" s="280"/>
      <c r="O60"/>
      <c r="P60" s="272"/>
      <c r="Q60" s="31"/>
      <c r="R60" s="31"/>
      <c r="S60" s="31"/>
      <c r="T60" s="31"/>
      <c r="U60" s="31"/>
      <c r="V60" s="31"/>
      <c r="W60" s="31"/>
      <c r="X60" s="31"/>
      <c r="Y60" s="31"/>
      <c r="Z60" s="31"/>
      <c r="AA60" s="31"/>
      <c r="AB60" s="31"/>
      <c r="AC60" s="31"/>
    </row>
    <row r="61" spans="1:29" s="29" customFormat="1" ht="57" customHeight="1" x14ac:dyDescent="0.25">
      <c r="A61" s="279">
        <v>45644</v>
      </c>
      <c r="B61" s="271" t="s">
        <v>1230</v>
      </c>
      <c r="C61" s="271" t="s">
        <v>668</v>
      </c>
      <c r="D61" s="271" t="s">
        <v>501</v>
      </c>
      <c r="E61" s="271" t="s">
        <v>1218</v>
      </c>
      <c r="F61" s="272" t="s">
        <v>1233</v>
      </c>
      <c r="G61" s="29" t="s">
        <v>1232</v>
      </c>
      <c r="H61" s="270">
        <v>45688</v>
      </c>
      <c r="I61" s="277" t="str">
        <f ca="1">IF(ListeInventaire3811[[#This Row],[Statut de la réalisation de l''action]]="Effectué","À jour",IF(ListeInventaire3811[[#This Row],[échéance de réalisation]]&lt;TODAY(),"En retard","À jour"))</f>
        <v>En retard</v>
      </c>
      <c r="J61" s="275"/>
      <c r="K61" s="274"/>
      <c r="L61" s="272"/>
      <c r="N61" s="280"/>
      <c r="P61" s="272"/>
      <c r="Q61" s="31"/>
      <c r="R61" s="31"/>
      <c r="S61" s="31"/>
      <c r="T61" s="31"/>
      <c r="U61" s="31"/>
      <c r="V61" s="31"/>
      <c r="W61" s="31"/>
      <c r="X61" s="31"/>
      <c r="Y61" s="31"/>
      <c r="Z61" s="31"/>
      <c r="AA61" s="31"/>
      <c r="AB61" s="31"/>
      <c r="AC61" s="31"/>
    </row>
    <row r="62" spans="1:29" s="29" customFormat="1" ht="57" customHeight="1" x14ac:dyDescent="0.25">
      <c r="A62" s="279">
        <v>45644</v>
      </c>
      <c r="B62" s="271" t="s">
        <v>1230</v>
      </c>
      <c r="C62" s="271" t="s">
        <v>668</v>
      </c>
      <c r="D62" s="271" t="s">
        <v>501</v>
      </c>
      <c r="E62" s="271" t="s">
        <v>1218</v>
      </c>
      <c r="F62" s="272" t="s">
        <v>1234</v>
      </c>
      <c r="G62" s="29" t="s">
        <v>1235</v>
      </c>
      <c r="H62" s="270">
        <v>45688</v>
      </c>
      <c r="I62" s="277" t="str">
        <f ca="1">IF(ListeInventaire3811[[#This Row],[Statut de la réalisation de l''action]]="Effectué","À jour",IF(ListeInventaire3811[[#This Row],[échéance de réalisation]]&lt;TODAY(),"En retard","À jour"))</f>
        <v>En retard</v>
      </c>
      <c r="J62" s="275"/>
      <c r="K62" s="274"/>
      <c r="L62" s="272"/>
      <c r="N62" s="280"/>
      <c r="P62" s="272"/>
      <c r="Q62" s="31"/>
      <c r="R62" s="31"/>
      <c r="S62" s="31"/>
      <c r="T62" s="31"/>
      <c r="U62" s="31"/>
      <c r="V62" s="31"/>
      <c r="W62" s="31"/>
      <c r="X62" s="31"/>
      <c r="Y62" s="31"/>
      <c r="Z62" s="31"/>
      <c r="AA62" s="31"/>
      <c r="AB62" s="31"/>
      <c r="AC62" s="31"/>
    </row>
    <row r="63" spans="1:29" s="29" customFormat="1" ht="57" customHeight="1" x14ac:dyDescent="0.25">
      <c r="A63" s="279">
        <v>45644</v>
      </c>
      <c r="B63" s="271" t="s">
        <v>1230</v>
      </c>
      <c r="C63" s="271" t="s">
        <v>668</v>
      </c>
      <c r="D63" s="271" t="s">
        <v>501</v>
      </c>
      <c r="E63" s="271" t="s">
        <v>1218</v>
      </c>
      <c r="F63" s="272" t="s">
        <v>1236</v>
      </c>
      <c r="G63" s="29" t="s">
        <v>1237</v>
      </c>
      <c r="H63" s="270">
        <v>45688</v>
      </c>
      <c r="I63" s="277" t="str">
        <f ca="1">IF(ListeInventaire3811[[#This Row],[Statut de la réalisation de l''action]]="Effectué","À jour",IF(ListeInventaire3811[[#This Row],[échéance de réalisation]]&lt;TODAY(),"En retard","À jour"))</f>
        <v>En retard</v>
      </c>
      <c r="J63" s="275"/>
      <c r="K63" s="274"/>
      <c r="L63" s="272"/>
      <c r="N63" s="280"/>
      <c r="P63" s="272"/>
      <c r="Q63" s="31"/>
      <c r="R63" s="31"/>
      <c r="S63" s="31"/>
      <c r="T63" s="31"/>
      <c r="U63" s="31"/>
      <c r="V63" s="31"/>
      <c r="W63" s="31"/>
      <c r="X63" s="31"/>
      <c r="Y63" s="31"/>
      <c r="Z63" s="31"/>
      <c r="AA63" s="31"/>
      <c r="AB63" s="31"/>
      <c r="AC63" s="31"/>
    </row>
    <row r="64" spans="1:29" s="29" customFormat="1" ht="57" customHeight="1" x14ac:dyDescent="0.25">
      <c r="A64" s="270">
        <v>45663</v>
      </c>
      <c r="B64" s="271" t="s">
        <v>1230</v>
      </c>
      <c r="C64" s="271" t="s">
        <v>1238</v>
      </c>
      <c r="D64" s="271" t="s">
        <v>501</v>
      </c>
      <c r="E64" s="271" t="s">
        <v>1129</v>
      </c>
      <c r="F64" s="272" t="s">
        <v>1239</v>
      </c>
      <c r="G64" s="271" t="s">
        <v>1240</v>
      </c>
      <c r="H64" s="273" t="s">
        <v>1241</v>
      </c>
      <c r="I64" s="277" t="str">
        <f ca="1">IF(ListeInventaire3811[[#This Row],[Statut de la réalisation de l''action]]="Effectué","À jour",IF(ListeInventaire3811[[#This Row],[échéance de réalisation]]&lt;TODAY(),"En retard","À jour"))</f>
        <v>À jour</v>
      </c>
      <c r="J64" s="299"/>
      <c r="K64" s="282"/>
      <c r="L64" s="274"/>
      <c r="M64" s="275"/>
      <c r="N64" s="276"/>
      <c r="O64" s="275"/>
      <c r="P64" s="274"/>
      <c r="Q64" s="31"/>
      <c r="R64" s="31"/>
      <c r="S64" s="31"/>
      <c r="T64" s="31"/>
      <c r="U64" s="31"/>
      <c r="V64" s="31"/>
      <c r="W64" s="31"/>
      <c r="X64" s="31"/>
      <c r="Y64" s="31"/>
      <c r="Z64" s="31"/>
      <c r="AA64" s="31"/>
      <c r="AB64" s="31"/>
      <c r="AC64" s="31"/>
    </row>
    <row r="65" spans="1:29" s="29" customFormat="1" ht="34.5" customHeight="1" x14ac:dyDescent="0.25">
      <c r="A65" s="270">
        <v>45663</v>
      </c>
      <c r="B65" s="271" t="s">
        <v>1230</v>
      </c>
      <c r="C65" s="271" t="s">
        <v>1238</v>
      </c>
      <c r="D65" s="271" t="s">
        <v>501</v>
      </c>
      <c r="E65" s="271" t="s">
        <v>1129</v>
      </c>
      <c r="F65" s="272" t="s">
        <v>1242</v>
      </c>
      <c r="G65" s="271" t="s">
        <v>1240</v>
      </c>
      <c r="H65" s="273" t="s">
        <v>1241</v>
      </c>
      <c r="I65" s="277" t="str">
        <f ca="1">IF(ListeInventaire3811[[#This Row],[Statut de la réalisation de l''action]]="Effectué","À jour",IF(ListeInventaire3811[[#This Row],[échéance de réalisation]]&lt;TODAY(),"En retard","À jour"))</f>
        <v>À jour</v>
      </c>
      <c r="J65" s="299"/>
      <c r="K65" s="282"/>
      <c r="L65" s="274"/>
      <c r="M65" s="275"/>
      <c r="N65" s="276"/>
      <c r="O65" s="275"/>
      <c r="P65" s="274"/>
      <c r="Q65" s="31"/>
      <c r="R65" s="31"/>
      <c r="S65" s="31"/>
      <c r="T65" s="31"/>
      <c r="U65" s="31"/>
      <c r="V65" s="31"/>
      <c r="W65" s="31"/>
      <c r="X65" s="31"/>
      <c r="Y65" s="31"/>
      <c r="Z65" s="31"/>
      <c r="AA65" s="31"/>
      <c r="AB65" s="31"/>
      <c r="AC65" s="31"/>
    </row>
    <row r="66" spans="1:29" s="29" customFormat="1" ht="37.5" customHeight="1" x14ac:dyDescent="0.25">
      <c r="A66" s="270">
        <v>45663</v>
      </c>
      <c r="B66" s="271" t="s">
        <v>1230</v>
      </c>
      <c r="C66" s="271" t="s">
        <v>1238</v>
      </c>
      <c r="D66" s="271" t="s">
        <v>501</v>
      </c>
      <c r="E66" s="271" t="s">
        <v>1129</v>
      </c>
      <c r="F66" s="272" t="s">
        <v>1243</v>
      </c>
      <c r="G66" s="271" t="s">
        <v>1240</v>
      </c>
      <c r="H66" s="273" t="s">
        <v>1241</v>
      </c>
      <c r="I66" s="277" t="str">
        <f ca="1">IF(ListeInventaire3811[[#This Row],[Statut de la réalisation de l''action]]="Effectué","À jour",IF(ListeInventaire3811[[#This Row],[échéance de réalisation]]&lt;TODAY(),"En retard","À jour"))</f>
        <v>À jour</v>
      </c>
      <c r="K66" s="281"/>
      <c r="L66" s="272"/>
      <c r="N66" s="280"/>
      <c r="P66" s="272"/>
      <c r="Q66" s="31"/>
      <c r="R66" s="31"/>
      <c r="S66" s="31"/>
      <c r="T66" s="31"/>
      <c r="U66" s="31"/>
      <c r="V66" s="31"/>
      <c r="W66" s="31"/>
      <c r="X66" s="31"/>
      <c r="Y66" s="31"/>
      <c r="Z66" s="31"/>
      <c r="AA66" s="31"/>
      <c r="AB66" s="31"/>
      <c r="AC66" s="31"/>
    </row>
    <row r="67" spans="1:29" s="29" customFormat="1" ht="39" customHeight="1" x14ac:dyDescent="0.25">
      <c r="A67" s="270">
        <v>45663</v>
      </c>
      <c r="B67" s="271" t="s">
        <v>1230</v>
      </c>
      <c r="C67" s="271" t="s">
        <v>1238</v>
      </c>
      <c r="D67" s="271" t="s">
        <v>501</v>
      </c>
      <c r="E67" s="271" t="s">
        <v>1129</v>
      </c>
      <c r="F67" s="272" t="s">
        <v>1244</v>
      </c>
      <c r="G67" s="271" t="s">
        <v>1240</v>
      </c>
      <c r="H67" s="273" t="s">
        <v>1241</v>
      </c>
      <c r="I67" s="277" t="str">
        <f ca="1">IF(ListeInventaire3811[[#This Row],[Statut de la réalisation de l''action]]="Effectué","À jour",IF(ListeInventaire3811[[#This Row],[échéance de réalisation]]&lt;TODAY(),"En retard","À jour"))</f>
        <v>À jour</v>
      </c>
      <c r="J67" s="275"/>
      <c r="K67" s="274"/>
      <c r="L67" s="274"/>
      <c r="M67" s="275"/>
      <c r="N67" s="276"/>
      <c r="O67" s="275"/>
      <c r="P67" s="274"/>
      <c r="Q67" s="31"/>
      <c r="R67" s="31"/>
      <c r="S67" s="31"/>
      <c r="T67" s="31"/>
      <c r="U67" s="31"/>
      <c r="V67" s="31"/>
      <c r="W67" s="31"/>
      <c r="X67" s="31"/>
      <c r="Y67" s="31"/>
      <c r="Z67" s="31"/>
      <c r="AA67" s="31"/>
      <c r="AB67" s="31"/>
      <c r="AC67" s="31"/>
    </row>
    <row r="68" spans="1:29" s="29" customFormat="1" ht="57" customHeight="1" x14ac:dyDescent="0.25">
      <c r="A68" s="270">
        <v>45663</v>
      </c>
      <c r="B68" s="271" t="s">
        <v>1230</v>
      </c>
      <c r="C68" s="271" t="s">
        <v>1238</v>
      </c>
      <c r="D68" s="271" t="s">
        <v>501</v>
      </c>
      <c r="E68" s="271" t="s">
        <v>1129</v>
      </c>
      <c r="F68" s="272" t="s">
        <v>1245</v>
      </c>
      <c r="G68" s="271" t="s">
        <v>1240</v>
      </c>
      <c r="H68" s="273" t="s">
        <v>1241</v>
      </c>
      <c r="I68" s="277" t="str">
        <f ca="1">IF(ListeInventaire3811[[#This Row],[Statut de la réalisation de l''action]]="Effectué","À jour",IF(ListeInventaire3811[[#This Row],[échéance de réalisation]]&lt;TODAY(),"En retard","À jour"))</f>
        <v>À jour</v>
      </c>
      <c r="J68" s="275"/>
      <c r="K68" s="274"/>
      <c r="L68" s="274"/>
      <c r="M68" s="275"/>
      <c r="N68" s="276"/>
      <c r="O68"/>
      <c r="P68" s="274"/>
      <c r="Q68" s="31"/>
      <c r="R68" s="31"/>
      <c r="S68" s="31"/>
      <c r="T68" s="31"/>
      <c r="U68" s="31"/>
      <c r="V68" s="31"/>
      <c r="W68" s="31"/>
      <c r="X68" s="31"/>
      <c r="Y68" s="31"/>
      <c r="Z68" s="31"/>
      <c r="AA68" s="31"/>
      <c r="AB68" s="31"/>
      <c r="AC68" s="31"/>
    </row>
    <row r="69" spans="1:29" s="29" customFormat="1" ht="37.5" customHeight="1" x14ac:dyDescent="0.25">
      <c r="A69" s="270">
        <v>45663</v>
      </c>
      <c r="B69" s="271" t="s">
        <v>1230</v>
      </c>
      <c r="C69" s="271" t="s">
        <v>1238</v>
      </c>
      <c r="D69" s="271" t="s">
        <v>501</v>
      </c>
      <c r="E69" s="271" t="s">
        <v>1129</v>
      </c>
      <c r="F69" s="272" t="s">
        <v>1246</v>
      </c>
      <c r="G69" s="271" t="s">
        <v>1240</v>
      </c>
      <c r="H69" s="273" t="s">
        <v>1241</v>
      </c>
      <c r="I69" s="277" t="str">
        <f ca="1">IF(ListeInventaire3811[[#This Row],[Statut de la réalisation de l''action]]="Effectué","À jour",IF(ListeInventaire3811[[#This Row],[échéance de réalisation]]&lt;TODAY(),"En retard","À jour"))</f>
        <v>À jour</v>
      </c>
      <c r="J69" s="275"/>
      <c r="K69" s="274"/>
      <c r="L69" s="274"/>
      <c r="M69" s="275"/>
      <c r="N69" s="276"/>
      <c r="O69"/>
      <c r="P69" s="274"/>
      <c r="Q69" s="31"/>
      <c r="R69" s="31"/>
      <c r="S69" s="31"/>
      <c r="T69" s="31"/>
      <c r="U69" s="31"/>
      <c r="V69" s="31"/>
      <c r="W69" s="31"/>
      <c r="X69" s="31"/>
      <c r="Y69" s="31"/>
      <c r="Z69" s="31"/>
      <c r="AA69" s="31"/>
      <c r="AB69" s="31"/>
      <c r="AC69" s="31"/>
    </row>
    <row r="70" spans="1:29" s="29" customFormat="1" ht="35.25" customHeight="1" x14ac:dyDescent="0.25">
      <c r="A70" s="270">
        <v>45663</v>
      </c>
      <c r="B70" s="271" t="s">
        <v>1230</v>
      </c>
      <c r="C70" s="271" t="s">
        <v>1238</v>
      </c>
      <c r="D70" s="271" t="s">
        <v>501</v>
      </c>
      <c r="E70" s="271" t="s">
        <v>1129</v>
      </c>
      <c r="F70" s="272" t="s">
        <v>1247</v>
      </c>
      <c r="G70" s="271" t="s">
        <v>1240</v>
      </c>
      <c r="H70" s="273">
        <v>45838</v>
      </c>
      <c r="I70" s="277" t="str">
        <f ca="1">IF(ListeInventaire3811[[#This Row],[Statut de la réalisation de l''action]]="Effectué","À jour",IF(ListeInventaire3811[[#This Row],[échéance de réalisation]]&lt;TODAY(),"En retard","À jour"))</f>
        <v>En retard</v>
      </c>
      <c r="J70" s="275"/>
      <c r="K70" s="274"/>
      <c r="L70" s="274"/>
      <c r="M70" s="275"/>
      <c r="N70" s="276"/>
      <c r="O70"/>
      <c r="P70" s="274"/>
      <c r="Q70" s="31"/>
      <c r="R70" s="31"/>
      <c r="S70" s="31"/>
      <c r="T70" s="31"/>
      <c r="U70" s="31"/>
      <c r="V70" s="31"/>
      <c r="W70" s="31"/>
      <c r="X70" s="31"/>
      <c r="Y70" s="31"/>
      <c r="Z70" s="31"/>
      <c r="AA70" s="31"/>
      <c r="AB70" s="31"/>
      <c r="AC70" s="31"/>
    </row>
    <row r="71" spans="1:29" s="29" customFormat="1" ht="36.75" customHeight="1" x14ac:dyDescent="0.25">
      <c r="A71" s="270">
        <v>45663</v>
      </c>
      <c r="B71" s="271" t="s">
        <v>1230</v>
      </c>
      <c r="C71" s="271" t="s">
        <v>1238</v>
      </c>
      <c r="D71" s="271" t="s">
        <v>501</v>
      </c>
      <c r="E71" s="271" t="s">
        <v>1129</v>
      </c>
      <c r="F71" s="272" t="s">
        <v>1248</v>
      </c>
      <c r="G71" s="271" t="s">
        <v>1240</v>
      </c>
      <c r="H71" s="273">
        <v>46021</v>
      </c>
      <c r="I71" s="277" t="str">
        <f ca="1">IF(ListeInventaire3811[[#This Row],[Statut de la réalisation de l''action]]="Effectué","À jour",IF(ListeInventaire3811[[#This Row],[échéance de réalisation]]&lt;TODAY(),"En retard","À jour"))</f>
        <v>En retard</v>
      </c>
      <c r="J71" s="274"/>
      <c r="K71" s="10"/>
      <c r="L71" s="274"/>
      <c r="M71" s="275"/>
      <c r="N71" s="276"/>
      <c r="O71"/>
      <c r="P71" s="274"/>
      <c r="Q71" s="31"/>
      <c r="R71" s="31"/>
      <c r="S71" s="31"/>
      <c r="T71" s="31"/>
      <c r="U71" s="31"/>
      <c r="V71" s="31"/>
      <c r="W71" s="31"/>
      <c r="X71" s="31"/>
      <c r="Y71" s="31"/>
      <c r="Z71" s="31"/>
      <c r="AA71" s="31"/>
      <c r="AB71" s="31"/>
      <c r="AC71" s="31"/>
    </row>
    <row r="72" spans="1:29" s="29" customFormat="1" ht="57" customHeight="1" x14ac:dyDescent="0.25">
      <c r="A72" s="270">
        <v>45664</v>
      </c>
      <c r="B72" s="271" t="s">
        <v>1123</v>
      </c>
      <c r="C72" s="271" t="s">
        <v>43</v>
      </c>
      <c r="D72" s="271" t="s">
        <v>35</v>
      </c>
      <c r="E72" s="271" t="s">
        <v>1249</v>
      </c>
      <c r="F72" s="272" t="s">
        <v>1250</v>
      </c>
      <c r="G72" s="271" t="s">
        <v>1214</v>
      </c>
      <c r="H72" s="273">
        <v>45747</v>
      </c>
      <c r="I72" s="277" t="str">
        <f ca="1">IF(ListeInventaire3811[[#This Row],[Statut de la réalisation de l''action]]="Effectué","À jour",IF(ListeInventaire3811[[#This Row],[échéance de réalisation]]&lt;TODAY(),"En retard","À jour"))</f>
        <v>En retard</v>
      </c>
      <c r="J72" s="275"/>
      <c r="K72" s="274"/>
      <c r="L72" s="274"/>
      <c r="M72" s="275"/>
      <c r="N72" s="276"/>
      <c r="O72" s="277"/>
      <c r="P72" s="274"/>
      <c r="Q72" s="31"/>
      <c r="R72" s="31"/>
      <c r="S72" s="31"/>
      <c r="T72" s="31"/>
      <c r="U72" s="31"/>
      <c r="V72" s="31"/>
      <c r="W72" s="31"/>
      <c r="X72" s="31"/>
      <c r="Y72" s="31"/>
      <c r="Z72" s="31"/>
      <c r="AA72" s="31"/>
      <c r="AB72" s="31"/>
      <c r="AC72" s="31"/>
    </row>
    <row r="73" spans="1:29" s="29" customFormat="1" ht="35.25" customHeight="1" x14ac:dyDescent="0.25">
      <c r="A73" s="270">
        <v>45677</v>
      </c>
      <c r="B73" s="270" t="s">
        <v>1128</v>
      </c>
      <c r="C73" s="270" t="s">
        <v>1117</v>
      </c>
      <c r="D73" s="270" t="s">
        <v>112</v>
      </c>
      <c r="E73" s="270"/>
      <c r="F73" s="270" t="s">
        <v>1251</v>
      </c>
      <c r="G73" s="270" t="s">
        <v>1166</v>
      </c>
      <c r="H73" s="270">
        <v>45777</v>
      </c>
      <c r="I73" s="277" t="str">
        <f ca="1">IF(ListeInventaire3811[[#This Row],[Statut de la réalisation de l''action]]="Effectué","À jour",IF(ListeInventaire3811[[#This Row],[échéance de réalisation]]&lt;TODAY(),"En retard","À jour"))</f>
        <v>À jour</v>
      </c>
      <c r="J73" s="270" t="s">
        <v>1121</v>
      </c>
      <c r="K73" s="270"/>
      <c r="L73" s="270"/>
      <c r="M73" s="270"/>
      <c r="N73" s="270"/>
      <c r="O73" s="270"/>
      <c r="P73" s="270"/>
      <c r="Q73" s="270"/>
      <c r="R73" s="270"/>
      <c r="S73" s="270"/>
      <c r="T73" s="270"/>
      <c r="U73" s="270"/>
      <c r="V73" s="270"/>
      <c r="W73" s="270"/>
      <c r="X73" s="270"/>
      <c r="Y73" s="270"/>
      <c r="Z73" s="270"/>
      <c r="AA73" s="270"/>
      <c r="AB73" s="270"/>
      <c r="AC73" s="31" t="s">
        <v>1170</v>
      </c>
    </row>
    <row r="74" spans="1:29" s="29" customFormat="1" ht="36.75" customHeight="1" x14ac:dyDescent="0.25">
      <c r="A74" s="270">
        <v>45677</v>
      </c>
      <c r="B74" s="270" t="s">
        <v>1128</v>
      </c>
      <c r="C74" s="270" t="s">
        <v>1117</v>
      </c>
      <c r="D74" s="270" t="s">
        <v>112</v>
      </c>
      <c r="E74" s="270"/>
      <c r="F74" s="270" t="s">
        <v>1252</v>
      </c>
      <c r="G74" s="270"/>
      <c r="H74" s="270"/>
      <c r="I74" s="277" t="str">
        <f ca="1">IF(ListeInventaire3811[[#This Row],[Statut de la réalisation de l''action]]="Effectué","À jour",IF(ListeInventaire3811[[#This Row],[échéance de réalisation]]&lt;TODAY(),"En retard","À jour"))</f>
        <v>En retard</v>
      </c>
      <c r="J74" s="270" t="s">
        <v>1194</v>
      </c>
      <c r="K74" s="270"/>
      <c r="L74" s="270"/>
      <c r="M74" s="270"/>
      <c r="N74" s="270"/>
      <c r="O74" s="270"/>
      <c r="P74" s="270"/>
      <c r="Q74" s="270"/>
      <c r="R74" s="270"/>
      <c r="S74" s="270"/>
      <c r="T74" s="270"/>
      <c r="U74" s="270"/>
      <c r="V74" s="270"/>
      <c r="W74" s="270"/>
      <c r="X74" s="270"/>
      <c r="Y74" s="270"/>
      <c r="Z74" s="270"/>
      <c r="AA74" s="270"/>
      <c r="AB74" s="270"/>
      <c r="AC74" s="31" t="s">
        <v>1170</v>
      </c>
    </row>
    <row r="75" spans="1:29" ht="31.5" customHeight="1" x14ac:dyDescent="0.25">
      <c r="A75" s="270">
        <v>45677</v>
      </c>
      <c r="B75" s="270" t="s">
        <v>1128</v>
      </c>
      <c r="C75" s="270" t="s">
        <v>1117</v>
      </c>
      <c r="D75" s="270" t="s">
        <v>112</v>
      </c>
      <c r="E75" s="270"/>
      <c r="F75" s="270" t="s">
        <v>1253</v>
      </c>
      <c r="G75" s="270" t="s">
        <v>1254</v>
      </c>
      <c r="H75" s="270">
        <v>45688</v>
      </c>
      <c r="I75" s="277" t="str">
        <f ca="1">IF(ListeInventaire3811[[#This Row],[Statut de la réalisation de l''action]]="Effectué","À jour",IF(ListeInventaire3811[[#This Row],[échéance de réalisation]]&lt;TODAY(),"En retard","À jour"))</f>
        <v>En retard</v>
      </c>
      <c r="J75" s="270"/>
      <c r="K75" s="270"/>
      <c r="L75" s="270"/>
      <c r="M75" s="270"/>
      <c r="N75" s="270"/>
      <c r="O75" s="270"/>
      <c r="P75" s="270"/>
      <c r="Q75" s="270"/>
      <c r="R75" s="270"/>
      <c r="S75" s="270"/>
      <c r="T75" s="270"/>
      <c r="U75" s="270"/>
      <c r="V75" s="270"/>
      <c r="W75" s="270"/>
      <c r="X75" s="270"/>
      <c r="Y75" s="270"/>
      <c r="Z75" s="270"/>
      <c r="AA75" s="270"/>
      <c r="AB75" s="270"/>
      <c r="AC75" s="31" t="s">
        <v>1170</v>
      </c>
    </row>
    <row r="76" spans="1:29" ht="30" customHeight="1" x14ac:dyDescent="0.25">
      <c r="A76" s="270">
        <v>45677</v>
      </c>
      <c r="B76" s="270" t="s">
        <v>1128</v>
      </c>
      <c r="C76" s="270" t="s">
        <v>1117</v>
      </c>
      <c r="D76" s="270" t="s">
        <v>112</v>
      </c>
      <c r="E76" s="270"/>
      <c r="F76" s="270" t="s">
        <v>1255</v>
      </c>
      <c r="G76" s="270"/>
      <c r="H76" s="270">
        <v>45901</v>
      </c>
      <c r="I76" s="277" t="str">
        <f ca="1">IF(ListeInventaire3811[[#This Row],[Statut de la réalisation de l''action]]="Effectué","À jour",IF(ListeInventaire3811[[#This Row],[échéance de réalisation]]&lt;TODAY(),"En retard","À jour"))</f>
        <v>En retard</v>
      </c>
      <c r="J76" s="270"/>
      <c r="K76" s="270"/>
      <c r="L76" s="270"/>
      <c r="M76" s="270"/>
      <c r="N76" s="270"/>
      <c r="O76" s="270"/>
      <c r="P76" s="270"/>
      <c r="Q76" s="270"/>
      <c r="R76" s="270"/>
      <c r="S76" s="270"/>
      <c r="T76" s="270"/>
      <c r="U76" s="270"/>
      <c r="V76" s="270"/>
      <c r="W76" s="270"/>
      <c r="X76" s="270"/>
      <c r="Y76" s="270"/>
      <c r="Z76" s="270"/>
      <c r="AA76" s="270"/>
      <c r="AB76" s="270"/>
      <c r="AC76" s="31" t="s">
        <v>1170</v>
      </c>
    </row>
    <row r="77" spans="1:29" ht="30" customHeight="1" x14ac:dyDescent="0.25">
      <c r="A77" s="270">
        <v>45677</v>
      </c>
      <c r="B77" s="270" t="s">
        <v>1128</v>
      </c>
      <c r="C77" s="270" t="s">
        <v>1117</v>
      </c>
      <c r="D77" s="270" t="s">
        <v>112</v>
      </c>
      <c r="E77" s="270"/>
      <c r="F77" s="270" t="s">
        <v>1256</v>
      </c>
      <c r="G77" s="270"/>
      <c r="H77" s="270">
        <v>46022</v>
      </c>
      <c r="I77" s="277" t="str">
        <f ca="1">IF(ListeInventaire3811[[#This Row],[Statut de la réalisation de l''action]]="Effectué","À jour",IF(ListeInventaire3811[[#This Row],[échéance de réalisation]]&lt;TODAY(),"En retard","À jour"))</f>
        <v>En retard</v>
      </c>
      <c r="J77" s="270"/>
      <c r="K77" s="270"/>
      <c r="L77" s="270"/>
      <c r="M77" s="270"/>
      <c r="N77" s="270"/>
      <c r="O77" s="270"/>
      <c r="P77" s="270"/>
      <c r="Q77" s="270"/>
      <c r="R77" s="270"/>
      <c r="S77" s="270"/>
      <c r="T77" s="270"/>
      <c r="U77" s="270"/>
      <c r="V77" s="270"/>
      <c r="W77" s="270"/>
      <c r="X77" s="270"/>
      <c r="Y77" s="270"/>
      <c r="Z77" s="270"/>
      <c r="AA77" s="270"/>
      <c r="AB77" s="270"/>
      <c r="AC77" s="31" t="s">
        <v>1170</v>
      </c>
    </row>
    <row r="78" spans="1:29" ht="42" customHeight="1" x14ac:dyDescent="0.25">
      <c r="A78" s="270">
        <v>45677</v>
      </c>
      <c r="B78" s="270" t="s">
        <v>1128</v>
      </c>
      <c r="C78" s="270" t="s">
        <v>1117</v>
      </c>
      <c r="D78" s="270" t="s">
        <v>112</v>
      </c>
      <c r="E78" s="270"/>
      <c r="F78" s="270" t="s">
        <v>1257</v>
      </c>
      <c r="G78" s="270" t="s">
        <v>1258</v>
      </c>
      <c r="H78" s="270">
        <v>45869</v>
      </c>
      <c r="I78" s="277" t="str">
        <f ca="1">IF(ListeInventaire3811[[#This Row],[Statut de la réalisation de l''action]]="Effectué","À jour",IF(ListeInventaire3811[[#This Row],[échéance de réalisation]]&lt;TODAY(),"En retard","À jour"))</f>
        <v>En retard</v>
      </c>
      <c r="J78" s="270" t="s">
        <v>1182</v>
      </c>
      <c r="K78" s="270"/>
      <c r="L78" s="270"/>
      <c r="M78" s="270"/>
      <c r="N78" s="270"/>
      <c r="O78" s="270"/>
      <c r="P78" s="270"/>
      <c r="Q78" s="270"/>
      <c r="R78" s="270"/>
      <c r="S78" s="270"/>
      <c r="T78" s="270"/>
      <c r="U78" s="270"/>
      <c r="V78" s="270"/>
      <c r="W78" s="270"/>
      <c r="X78" s="270"/>
      <c r="Y78" s="270"/>
      <c r="Z78" s="270"/>
      <c r="AA78" s="270"/>
      <c r="AB78" s="270"/>
      <c r="AC78" s="31" t="s">
        <v>1170</v>
      </c>
    </row>
    <row r="79" spans="1:29" ht="30" customHeight="1" x14ac:dyDescent="0.25">
      <c r="A79" s="270">
        <v>45677</v>
      </c>
      <c r="B79" s="270" t="s">
        <v>1128</v>
      </c>
      <c r="C79" s="270" t="s">
        <v>1117</v>
      </c>
      <c r="D79" s="270" t="s">
        <v>112</v>
      </c>
      <c r="E79" s="270"/>
      <c r="F79" s="270" t="s">
        <v>1259</v>
      </c>
      <c r="G79" s="270" t="s">
        <v>1260</v>
      </c>
      <c r="H79" s="270">
        <v>46022</v>
      </c>
      <c r="I79" s="277" t="str">
        <f ca="1">IF(ListeInventaire3811[[#This Row],[Statut de la réalisation de l''action]]="Effectué","À jour",IF(ListeInventaire3811[[#This Row],[échéance de réalisation]]&lt;TODAY(),"En retard","À jour"))</f>
        <v>En retard</v>
      </c>
      <c r="J79" s="270"/>
      <c r="K79" s="270"/>
      <c r="L79" s="270"/>
      <c r="M79" s="270"/>
      <c r="N79" s="270"/>
      <c r="O79" s="270"/>
      <c r="P79" s="270"/>
      <c r="Q79" s="270"/>
      <c r="R79" s="270"/>
      <c r="S79" s="270"/>
      <c r="T79" s="270"/>
      <c r="U79" s="270"/>
      <c r="V79" s="270"/>
      <c r="W79" s="270"/>
      <c r="X79" s="270"/>
      <c r="Y79" s="270"/>
      <c r="Z79" s="270"/>
      <c r="AA79" s="270"/>
      <c r="AB79" s="270"/>
      <c r="AC79" s="31" t="s">
        <v>1223</v>
      </c>
    </row>
    <row r="80" spans="1:29" ht="30" customHeight="1" x14ac:dyDescent="0.25">
      <c r="A80" s="270">
        <v>45677</v>
      </c>
      <c r="B80" s="270" t="s">
        <v>1128</v>
      </c>
      <c r="C80" s="270" t="s">
        <v>1117</v>
      </c>
      <c r="D80" s="270" t="s">
        <v>112</v>
      </c>
      <c r="E80" s="270"/>
      <c r="F80" s="270" t="s">
        <v>1261</v>
      </c>
      <c r="G80" s="270" t="s">
        <v>1260</v>
      </c>
      <c r="H80" s="270">
        <v>46022</v>
      </c>
      <c r="I80" s="277" t="str">
        <f ca="1">IF(ListeInventaire3811[[#This Row],[Statut de la réalisation de l''action]]="Effectué","À jour",IF(ListeInventaire3811[[#This Row],[échéance de réalisation]]&lt;TODAY(),"En retard","À jour"))</f>
        <v>En retard</v>
      </c>
      <c r="J80" s="270"/>
      <c r="K80" s="270"/>
      <c r="L80" s="270"/>
      <c r="M80" s="270"/>
      <c r="N80" s="270"/>
      <c r="O80" s="270"/>
      <c r="P80" s="270"/>
      <c r="Q80" s="270"/>
      <c r="R80" s="270"/>
      <c r="S80" s="270"/>
      <c r="T80" s="270"/>
      <c r="U80" s="270"/>
      <c r="V80" s="270"/>
      <c r="W80" s="270"/>
      <c r="X80" s="270"/>
      <c r="Y80" s="270"/>
      <c r="Z80" s="270"/>
      <c r="AA80" s="270"/>
      <c r="AB80" s="270"/>
      <c r="AC80" s="31" t="s">
        <v>1223</v>
      </c>
    </row>
    <row r="81" spans="1:29" ht="30" customHeight="1" x14ac:dyDescent="0.25">
      <c r="A81" s="270">
        <v>45677</v>
      </c>
      <c r="B81" s="270" t="s">
        <v>1128</v>
      </c>
      <c r="C81" s="270" t="s">
        <v>1117</v>
      </c>
      <c r="D81" s="270" t="s">
        <v>112</v>
      </c>
      <c r="E81" s="270"/>
      <c r="F81" s="270" t="s">
        <v>1262</v>
      </c>
      <c r="G81" s="270" t="s">
        <v>342</v>
      </c>
      <c r="H81" s="270">
        <v>46022</v>
      </c>
      <c r="I81" s="277" t="str">
        <f ca="1">IF(ListeInventaire3811[[#This Row],[Statut de la réalisation de l''action]]="Effectué","À jour",IF(ListeInventaire3811[[#This Row],[échéance de réalisation]]&lt;TODAY(),"En retard","À jour"))</f>
        <v>En retard</v>
      </c>
      <c r="J81" s="270"/>
      <c r="K81" s="270"/>
      <c r="L81" s="270"/>
      <c r="M81" s="270"/>
      <c r="N81" s="270"/>
      <c r="O81" s="270"/>
      <c r="P81" s="270"/>
      <c r="Q81" s="270"/>
      <c r="R81" s="270"/>
      <c r="S81" s="270"/>
      <c r="T81" s="270"/>
      <c r="U81" s="270"/>
      <c r="V81" s="270"/>
      <c r="W81" s="270"/>
      <c r="X81" s="270"/>
      <c r="Y81" s="270"/>
      <c r="Z81" s="270"/>
      <c r="AA81" s="270"/>
      <c r="AB81" s="270"/>
      <c r="AC81" s="31" t="s">
        <v>1223</v>
      </c>
    </row>
    <row r="82" spans="1:29" ht="45.75" customHeight="1" x14ac:dyDescent="0.25">
      <c r="A82" s="270">
        <v>45677</v>
      </c>
      <c r="B82" s="270" t="s">
        <v>1128</v>
      </c>
      <c r="C82" s="270" t="s">
        <v>1117</v>
      </c>
      <c r="D82" s="270" t="s">
        <v>112</v>
      </c>
      <c r="E82" s="270"/>
      <c r="F82" s="270" t="s">
        <v>1263</v>
      </c>
      <c r="G82" s="270" t="s">
        <v>342</v>
      </c>
      <c r="H82" s="270">
        <v>46022</v>
      </c>
      <c r="I82" s="277" t="str">
        <f ca="1">IF(ListeInventaire3811[[#This Row],[Statut de la réalisation de l''action]]="Effectué","À jour",IF(ListeInventaire3811[[#This Row],[échéance de réalisation]]&lt;TODAY(),"En retard","À jour"))</f>
        <v>En retard</v>
      </c>
      <c r="J82" s="270"/>
      <c r="K82" s="270"/>
      <c r="L82" s="270"/>
      <c r="M82" s="270"/>
      <c r="N82" s="270"/>
      <c r="O82" s="270"/>
      <c r="P82" s="270"/>
      <c r="Q82" s="270"/>
      <c r="R82" s="270"/>
      <c r="S82" s="270"/>
      <c r="T82" s="270"/>
      <c r="U82" s="270"/>
      <c r="V82" s="270"/>
      <c r="W82" s="270"/>
      <c r="X82" s="270"/>
      <c r="Y82" s="270"/>
      <c r="Z82" s="270"/>
      <c r="AA82" s="270"/>
      <c r="AB82" s="270"/>
      <c r="AC82" s="31" t="s">
        <v>1223</v>
      </c>
    </row>
    <row r="83" spans="1:29" ht="30" customHeight="1" x14ac:dyDescent="0.25">
      <c r="A83" s="270">
        <v>45677</v>
      </c>
      <c r="B83" s="270" t="s">
        <v>1128</v>
      </c>
      <c r="C83" s="270" t="s">
        <v>1117</v>
      </c>
      <c r="D83" s="270" t="s">
        <v>112</v>
      </c>
      <c r="E83" s="270"/>
      <c r="F83" s="270" t="s">
        <v>1264</v>
      </c>
      <c r="G83" s="270" t="s">
        <v>450</v>
      </c>
      <c r="H83" s="270">
        <v>45805</v>
      </c>
      <c r="I83" s="277" t="str">
        <f ca="1">IF(ListeInventaire3811[[#This Row],[Statut de la réalisation de l''action]]="Effectué","À jour",IF(ListeInventaire3811[[#This Row],[échéance de réalisation]]&lt;TODAY(),"En retard","À jour"))</f>
        <v>À jour</v>
      </c>
      <c r="J83" s="270" t="s">
        <v>1121</v>
      </c>
      <c r="K83" s="270"/>
      <c r="L83" s="270"/>
      <c r="M83" s="270"/>
      <c r="N83" s="270"/>
      <c r="O83" s="270"/>
      <c r="P83" s="270"/>
      <c r="Q83" s="270"/>
      <c r="R83" s="270"/>
      <c r="S83" s="270"/>
      <c r="T83" s="270"/>
      <c r="U83" s="270"/>
      <c r="V83" s="270"/>
      <c r="W83" s="270"/>
      <c r="X83" s="270"/>
      <c r="Y83" s="270"/>
      <c r="Z83" s="270"/>
      <c r="AA83" s="270"/>
      <c r="AB83" s="270"/>
      <c r="AC83" s="31" t="s">
        <v>1223</v>
      </c>
    </row>
    <row r="84" spans="1:29" ht="30" customHeight="1" x14ac:dyDescent="0.25">
      <c r="A84" s="270">
        <v>45677</v>
      </c>
      <c r="B84" s="270" t="s">
        <v>1128</v>
      </c>
      <c r="C84" s="270" t="s">
        <v>1117</v>
      </c>
      <c r="D84" s="270" t="s">
        <v>112</v>
      </c>
      <c r="E84" s="270"/>
      <c r="F84" s="270" t="s">
        <v>1265</v>
      </c>
      <c r="G84" s="270" t="s">
        <v>1266</v>
      </c>
      <c r="H84" s="270">
        <v>45930</v>
      </c>
      <c r="I84" s="277" t="str">
        <f ca="1">IF(ListeInventaire3811[[#This Row],[Statut de la réalisation de l''action]]="Effectué","À jour",IF(ListeInventaire3811[[#This Row],[échéance de réalisation]]&lt;TODAY(),"En retard","À jour"))</f>
        <v>En retard</v>
      </c>
      <c r="J84" s="270"/>
      <c r="K84" s="270"/>
      <c r="L84" s="270"/>
      <c r="M84" s="270"/>
      <c r="N84" s="270"/>
      <c r="O84" s="270"/>
      <c r="P84" s="270"/>
      <c r="Q84" s="270"/>
      <c r="R84" s="270"/>
      <c r="S84" s="270"/>
      <c r="T84" s="270"/>
      <c r="U84" s="270"/>
      <c r="V84" s="270"/>
      <c r="W84" s="270"/>
      <c r="X84" s="270"/>
      <c r="Y84" s="270"/>
      <c r="Z84" s="270"/>
      <c r="AA84" s="270"/>
      <c r="AB84" s="270"/>
      <c r="AC84" s="31" t="s">
        <v>1223</v>
      </c>
    </row>
    <row r="85" spans="1:29" ht="30" customHeight="1" x14ac:dyDescent="0.25">
      <c r="A85" s="270">
        <v>45677</v>
      </c>
      <c r="B85" s="270" t="s">
        <v>1128</v>
      </c>
      <c r="C85" s="270" t="s">
        <v>1117</v>
      </c>
      <c r="D85" s="270" t="s">
        <v>112</v>
      </c>
      <c r="E85" s="270"/>
      <c r="F85" s="270" t="s">
        <v>1267</v>
      </c>
      <c r="G85" s="270" t="s">
        <v>450</v>
      </c>
      <c r="H85" s="270">
        <v>45731</v>
      </c>
      <c r="I85" s="277" t="str">
        <f ca="1">IF(ListeInventaire3811[[#This Row],[Statut de la réalisation de l''action]]="Effectué","À jour",IF(ListeInventaire3811[[#This Row],[échéance de réalisation]]&lt;TODAY(),"En retard","À jour"))</f>
        <v>À jour</v>
      </c>
      <c r="J85" s="270" t="s">
        <v>1121</v>
      </c>
      <c r="K85" s="270"/>
      <c r="L85" s="270"/>
      <c r="M85" s="270"/>
      <c r="N85" s="270"/>
      <c r="O85" s="270"/>
      <c r="P85" s="270"/>
      <c r="Q85" s="270"/>
      <c r="R85" s="270"/>
      <c r="S85" s="270"/>
      <c r="T85" s="270"/>
      <c r="U85" s="270"/>
      <c r="V85" s="270"/>
      <c r="W85" s="270"/>
      <c r="X85" s="270"/>
      <c r="Y85" s="270"/>
      <c r="Z85" s="270"/>
      <c r="AA85" s="270"/>
      <c r="AB85" s="270"/>
      <c r="AC85" s="31" t="s">
        <v>1223</v>
      </c>
    </row>
    <row r="86" spans="1:29" ht="47.25" customHeight="1" x14ac:dyDescent="0.25">
      <c r="A86" s="270">
        <v>45677</v>
      </c>
      <c r="B86" s="270" t="s">
        <v>1128</v>
      </c>
      <c r="C86" s="270" t="s">
        <v>1117</v>
      </c>
      <c r="D86" s="270" t="s">
        <v>112</v>
      </c>
      <c r="E86" s="270"/>
      <c r="F86" s="270" t="s">
        <v>1268</v>
      </c>
      <c r="G86" s="270" t="s">
        <v>1269</v>
      </c>
      <c r="H86" s="270">
        <v>45716</v>
      </c>
      <c r="I86" s="277" t="str">
        <f ca="1">IF(ListeInventaire3811[[#This Row],[Statut de la réalisation de l''action]]="Effectué","À jour",IF(ListeInventaire3811[[#This Row],[échéance de réalisation]]&lt;TODAY(),"En retard","À jour"))</f>
        <v>En retard</v>
      </c>
      <c r="J86" s="270"/>
      <c r="K86" s="270"/>
      <c r="L86" s="270"/>
      <c r="M86" s="270"/>
      <c r="N86" s="270"/>
      <c r="O86" s="270"/>
      <c r="P86" s="270"/>
      <c r="Q86" s="270"/>
      <c r="R86" s="270"/>
      <c r="S86" s="270"/>
      <c r="T86" s="270"/>
      <c r="U86" s="270"/>
      <c r="V86" s="270"/>
      <c r="W86" s="270"/>
      <c r="X86" s="270"/>
      <c r="Y86" s="270"/>
      <c r="Z86" s="270"/>
      <c r="AA86" s="270"/>
      <c r="AB86" s="270"/>
      <c r="AC86" s="31" t="s">
        <v>1223</v>
      </c>
    </row>
    <row r="87" spans="1:29" ht="52.5" customHeight="1" x14ac:dyDescent="0.25">
      <c r="A87" s="270">
        <v>45677</v>
      </c>
      <c r="B87" s="270" t="s">
        <v>1128</v>
      </c>
      <c r="C87" s="270" t="s">
        <v>1117</v>
      </c>
      <c r="D87" s="270" t="s">
        <v>112</v>
      </c>
      <c r="E87" s="270"/>
      <c r="F87" s="270" t="s">
        <v>1270</v>
      </c>
      <c r="G87" s="270" t="s">
        <v>1271</v>
      </c>
      <c r="H87" s="270">
        <v>45775</v>
      </c>
      <c r="I87" s="277" t="str">
        <f ca="1">IF(ListeInventaire3811[[#This Row],[Statut de la réalisation de l''action]]="Effectué","À jour",IF(ListeInventaire3811[[#This Row],[échéance de réalisation]]&lt;TODAY(),"En retard","À jour"))</f>
        <v>En retard</v>
      </c>
      <c r="J87" s="270" t="s">
        <v>1182</v>
      </c>
      <c r="K87" s="270"/>
      <c r="L87" s="270"/>
      <c r="M87" s="270"/>
      <c r="N87" s="270"/>
      <c r="O87" s="270"/>
      <c r="P87" s="270"/>
      <c r="Q87" s="270"/>
      <c r="R87" s="270"/>
      <c r="S87" s="270"/>
      <c r="T87" s="270"/>
      <c r="U87" s="270"/>
      <c r="V87" s="270"/>
      <c r="W87" s="270"/>
      <c r="X87" s="270"/>
      <c r="Y87" s="270"/>
      <c r="Z87" s="270"/>
      <c r="AA87" s="270"/>
      <c r="AB87" s="270"/>
      <c r="AC87" s="31" t="s">
        <v>1272</v>
      </c>
    </row>
    <row r="88" spans="1:29" ht="44.25" customHeight="1" x14ac:dyDescent="0.25">
      <c r="A88" s="270">
        <v>45677</v>
      </c>
      <c r="B88" s="270" t="s">
        <v>1128</v>
      </c>
      <c r="C88" s="270" t="s">
        <v>1117</v>
      </c>
      <c r="D88" s="270" t="s">
        <v>112</v>
      </c>
      <c r="E88" s="270"/>
      <c r="F88" s="270" t="s">
        <v>1273</v>
      </c>
      <c r="G88" s="270" t="s">
        <v>1269</v>
      </c>
      <c r="H88" s="270">
        <v>45747</v>
      </c>
      <c r="I88" s="277" t="str">
        <f ca="1">IF(ListeInventaire3811[[#This Row],[Statut de la réalisation de l''action]]="Effectué","À jour",IF(ListeInventaire3811[[#This Row],[échéance de réalisation]]&lt;TODAY(),"En retard","À jour"))</f>
        <v>En retard</v>
      </c>
      <c r="J88" s="270"/>
      <c r="K88" s="270"/>
      <c r="L88" s="270"/>
      <c r="M88" s="270"/>
      <c r="N88" s="270"/>
      <c r="O88" s="270"/>
      <c r="P88" s="270"/>
      <c r="Q88" s="270"/>
      <c r="R88" s="270"/>
      <c r="S88" s="270"/>
      <c r="T88" s="270"/>
      <c r="U88" s="270"/>
      <c r="V88" s="270"/>
      <c r="W88" s="270"/>
      <c r="X88" s="270"/>
      <c r="Y88" s="270"/>
      <c r="Z88" s="270"/>
      <c r="AA88" s="270"/>
      <c r="AB88" s="270"/>
      <c r="AC88" s="31" t="s">
        <v>1272</v>
      </c>
    </row>
    <row r="89" spans="1:29" ht="30" customHeight="1" x14ac:dyDescent="0.25">
      <c r="A89" s="270">
        <v>45677</v>
      </c>
      <c r="B89" s="270" t="s">
        <v>1128</v>
      </c>
      <c r="C89" s="270" t="s">
        <v>1117</v>
      </c>
      <c r="D89" s="270" t="s">
        <v>112</v>
      </c>
      <c r="E89" s="270"/>
      <c r="F89" s="270" t="s">
        <v>1274</v>
      </c>
      <c r="G89" s="270" t="s">
        <v>1136</v>
      </c>
      <c r="H89" s="270">
        <v>46022</v>
      </c>
      <c r="I89" s="277" t="str">
        <f ca="1">IF(ListeInventaire3811[[#This Row],[Statut de la réalisation de l''action]]="Effectué","À jour",IF(ListeInventaire3811[[#This Row],[échéance de réalisation]]&lt;TODAY(),"En retard","À jour"))</f>
        <v>En retard</v>
      </c>
      <c r="J89" s="270"/>
      <c r="K89" s="270"/>
      <c r="L89" s="270"/>
      <c r="M89" s="270"/>
      <c r="N89" s="270"/>
      <c r="O89" s="270"/>
      <c r="P89" s="270"/>
      <c r="Q89" s="270"/>
      <c r="R89" s="270"/>
      <c r="S89" s="270"/>
      <c r="T89" s="270"/>
      <c r="U89" s="270"/>
      <c r="V89" s="270"/>
      <c r="W89" s="270"/>
      <c r="X89" s="270"/>
      <c r="Y89" s="270"/>
      <c r="Z89" s="270"/>
      <c r="AA89" s="270"/>
      <c r="AB89" s="270"/>
      <c r="AC89" s="31" t="s">
        <v>1272</v>
      </c>
    </row>
    <row r="90" spans="1:29" ht="30" customHeight="1" x14ac:dyDescent="0.25">
      <c r="A90" s="270">
        <v>45677</v>
      </c>
      <c r="B90" s="270" t="s">
        <v>1128</v>
      </c>
      <c r="C90" s="270" t="s">
        <v>1117</v>
      </c>
      <c r="D90" s="270" t="s">
        <v>112</v>
      </c>
      <c r="E90" s="270"/>
      <c r="F90" s="270" t="s">
        <v>1275</v>
      </c>
      <c r="G90" s="270" t="s">
        <v>1136</v>
      </c>
      <c r="H90" s="270">
        <v>46022</v>
      </c>
      <c r="I90" s="277" t="str">
        <f ca="1">IF(ListeInventaire3811[[#This Row],[Statut de la réalisation de l''action]]="Effectué","À jour",IF(ListeInventaire3811[[#This Row],[échéance de réalisation]]&lt;TODAY(),"En retard","À jour"))</f>
        <v>En retard</v>
      </c>
      <c r="J90" s="270"/>
      <c r="K90" s="270"/>
      <c r="L90" s="270"/>
      <c r="M90" s="270"/>
      <c r="N90" s="270"/>
      <c r="O90" s="270"/>
      <c r="P90" s="270"/>
      <c r="Q90" s="270"/>
      <c r="R90" s="270"/>
      <c r="S90" s="270"/>
      <c r="T90" s="270"/>
      <c r="U90" s="270"/>
      <c r="V90" s="270"/>
      <c r="W90" s="270"/>
      <c r="X90" s="270"/>
      <c r="Y90" s="270"/>
      <c r="Z90" s="270"/>
      <c r="AA90" s="270"/>
      <c r="AB90" s="270"/>
      <c r="AC90" s="31" t="s">
        <v>1272</v>
      </c>
    </row>
    <row r="91" spans="1:29" ht="30" customHeight="1" x14ac:dyDescent="0.25">
      <c r="A91" s="270">
        <v>45677</v>
      </c>
      <c r="B91" s="270" t="s">
        <v>1128</v>
      </c>
      <c r="C91" s="270" t="s">
        <v>1117</v>
      </c>
      <c r="D91" s="270" t="s">
        <v>112</v>
      </c>
      <c r="E91" s="270"/>
      <c r="F91" s="270" t="s">
        <v>1276</v>
      </c>
      <c r="G91" s="270" t="s">
        <v>1277</v>
      </c>
      <c r="H91" s="270">
        <v>46022</v>
      </c>
      <c r="I91" s="277" t="str">
        <f ca="1">IF(ListeInventaire3811[[#This Row],[Statut de la réalisation de l''action]]="Effectué","À jour",IF(ListeInventaire3811[[#This Row],[échéance de réalisation]]&lt;TODAY(),"En retard","À jour"))</f>
        <v>En retard</v>
      </c>
      <c r="J91" s="270" t="s">
        <v>1182</v>
      </c>
      <c r="K91" s="270"/>
      <c r="L91" s="270"/>
      <c r="M91" s="270"/>
      <c r="N91" s="270"/>
      <c r="O91" s="270"/>
      <c r="P91" s="270"/>
      <c r="Q91" s="270"/>
      <c r="R91" s="270"/>
      <c r="S91" s="270"/>
      <c r="T91" s="270"/>
      <c r="U91" s="270"/>
      <c r="V91" s="270"/>
      <c r="W91" s="270"/>
      <c r="X91" s="270"/>
      <c r="Y91" s="270"/>
      <c r="Z91" s="270"/>
      <c r="AA91" s="270"/>
      <c r="AB91" s="270"/>
      <c r="AC91" s="31" t="s">
        <v>1272</v>
      </c>
    </row>
    <row r="92" spans="1:29" ht="30" customHeight="1" x14ac:dyDescent="0.25">
      <c r="A92" s="270">
        <v>45677</v>
      </c>
      <c r="B92" s="270" t="s">
        <v>1128</v>
      </c>
      <c r="C92" s="270" t="s">
        <v>1117</v>
      </c>
      <c r="D92" s="270" t="s">
        <v>112</v>
      </c>
      <c r="E92" s="270"/>
      <c r="F92" s="270" t="s">
        <v>1278</v>
      </c>
      <c r="G92" s="270" t="s">
        <v>1136</v>
      </c>
      <c r="H92" s="270">
        <v>46022</v>
      </c>
      <c r="I92" s="277" t="str">
        <f ca="1">IF(ListeInventaire3811[[#This Row],[Statut de la réalisation de l''action]]="Effectué","À jour",IF(ListeInventaire3811[[#This Row],[échéance de réalisation]]&lt;TODAY(),"En retard","À jour"))</f>
        <v>En retard</v>
      </c>
      <c r="J92" s="270"/>
      <c r="K92" s="270"/>
      <c r="L92" s="270"/>
      <c r="M92" s="270"/>
      <c r="N92" s="270"/>
      <c r="O92" s="270"/>
      <c r="P92" s="270"/>
      <c r="Q92" s="270"/>
      <c r="R92" s="270"/>
      <c r="S92" s="270"/>
      <c r="T92" s="270"/>
      <c r="U92" s="270"/>
      <c r="V92" s="270"/>
      <c r="W92" s="270"/>
      <c r="X92" s="270"/>
      <c r="Y92" s="270"/>
      <c r="Z92" s="270"/>
      <c r="AA92" s="270"/>
      <c r="AB92" s="270"/>
      <c r="AC92" s="31" t="s">
        <v>1272</v>
      </c>
    </row>
    <row r="93" spans="1:29" ht="30" customHeight="1" x14ac:dyDescent="0.25">
      <c r="A93" s="270">
        <v>45677</v>
      </c>
      <c r="B93" s="270" t="s">
        <v>1128</v>
      </c>
      <c r="C93" s="270" t="s">
        <v>1117</v>
      </c>
      <c r="D93" s="270" t="s">
        <v>112</v>
      </c>
      <c r="E93" s="270"/>
      <c r="F93" s="270" t="s">
        <v>1279</v>
      </c>
      <c r="G93" s="270" t="s">
        <v>450</v>
      </c>
      <c r="H93" s="270">
        <v>46022</v>
      </c>
      <c r="I93" s="277" t="str">
        <f ca="1">IF(ListeInventaire3811[[#This Row],[Statut de la réalisation de l''action]]="Effectué","À jour",IF(ListeInventaire3811[[#This Row],[échéance de réalisation]]&lt;TODAY(),"En retard","À jour"))</f>
        <v>En retard</v>
      </c>
      <c r="J93" s="270" t="s">
        <v>1182</v>
      </c>
      <c r="K93" s="270"/>
      <c r="L93" s="270"/>
      <c r="M93" s="270"/>
      <c r="N93" s="270"/>
      <c r="O93" s="270"/>
      <c r="P93" s="270"/>
      <c r="Q93" s="270"/>
      <c r="R93" s="270"/>
      <c r="S93" s="270"/>
      <c r="T93" s="270"/>
      <c r="U93" s="270"/>
      <c r="V93" s="270"/>
      <c r="W93" s="270"/>
      <c r="X93" s="270"/>
      <c r="Y93" s="270"/>
      <c r="Z93" s="270"/>
      <c r="AA93" s="270"/>
      <c r="AB93" s="270"/>
      <c r="AC93" s="31" t="s">
        <v>1272</v>
      </c>
    </row>
    <row r="94" spans="1:29" ht="30" customHeight="1" x14ac:dyDescent="0.25">
      <c r="A94" s="270">
        <v>45677</v>
      </c>
      <c r="B94" s="270" t="s">
        <v>1128</v>
      </c>
      <c r="C94" s="270" t="s">
        <v>1117</v>
      </c>
      <c r="D94" s="270" t="s">
        <v>112</v>
      </c>
      <c r="E94" s="270"/>
      <c r="F94" s="270" t="s">
        <v>1280</v>
      </c>
      <c r="G94" s="270" t="s">
        <v>1281</v>
      </c>
      <c r="H94" s="270">
        <v>45688</v>
      </c>
      <c r="I94" s="277" t="str">
        <f ca="1">IF(ListeInventaire3811[[#This Row],[Statut de la réalisation de l''action]]="Effectué","À jour",IF(ListeInventaire3811[[#This Row],[échéance de réalisation]]&lt;TODAY(),"En retard","À jour"))</f>
        <v>En retard</v>
      </c>
      <c r="J94" s="270"/>
      <c r="K94" s="270"/>
      <c r="L94" s="270"/>
      <c r="M94" s="270"/>
      <c r="N94" s="270"/>
      <c r="O94" s="270"/>
      <c r="P94" s="270"/>
      <c r="Q94" s="270"/>
      <c r="R94" s="270"/>
      <c r="S94" s="270"/>
      <c r="T94" s="270"/>
      <c r="U94" s="270"/>
      <c r="V94" s="270"/>
      <c r="W94" s="270"/>
      <c r="X94" s="270"/>
      <c r="Y94" s="270"/>
      <c r="Z94" s="270"/>
      <c r="AA94" s="270"/>
      <c r="AB94" s="270"/>
      <c r="AC94" s="31" t="s">
        <v>1272</v>
      </c>
    </row>
    <row r="95" spans="1:29" ht="30" customHeight="1" x14ac:dyDescent="0.25">
      <c r="A95" s="270">
        <v>45677</v>
      </c>
      <c r="B95" s="270" t="s">
        <v>1128</v>
      </c>
      <c r="C95" s="270" t="s">
        <v>1117</v>
      </c>
      <c r="D95" s="270" t="s">
        <v>112</v>
      </c>
      <c r="E95" s="270"/>
      <c r="F95" s="270" t="s">
        <v>1282</v>
      </c>
      <c r="G95" s="270" t="s">
        <v>450</v>
      </c>
      <c r="H95" s="270">
        <v>45838</v>
      </c>
      <c r="I95" s="277" t="str">
        <f ca="1">IF(ListeInventaire3811[[#This Row],[Statut de la réalisation de l''action]]="Effectué","À jour",IF(ListeInventaire3811[[#This Row],[échéance de réalisation]]&lt;TODAY(),"En retard","À jour"))</f>
        <v>En retard</v>
      </c>
      <c r="J95" s="270" t="s">
        <v>1182</v>
      </c>
      <c r="K95" s="270"/>
      <c r="L95" s="270"/>
      <c r="M95" s="270"/>
      <c r="N95" s="270"/>
      <c r="O95" s="270"/>
      <c r="P95" s="270"/>
      <c r="Q95" s="270"/>
      <c r="R95" s="270"/>
      <c r="S95" s="270"/>
      <c r="T95" s="270"/>
      <c r="U95" s="270"/>
      <c r="V95" s="270"/>
      <c r="W95" s="270"/>
      <c r="X95" s="270"/>
      <c r="Y95" s="270"/>
      <c r="Z95" s="270"/>
      <c r="AA95" s="270"/>
      <c r="AB95" s="270"/>
      <c r="AC95" s="31" t="s">
        <v>1283</v>
      </c>
    </row>
    <row r="96" spans="1:29" ht="30" customHeight="1" x14ac:dyDescent="0.25">
      <c r="A96" s="270">
        <v>45677</v>
      </c>
      <c r="B96" s="270" t="s">
        <v>1128</v>
      </c>
      <c r="C96" s="270" t="s">
        <v>1117</v>
      </c>
      <c r="D96" s="270" t="s">
        <v>112</v>
      </c>
      <c r="E96" s="270"/>
      <c r="F96" s="270" t="s">
        <v>1284</v>
      </c>
      <c r="G96" s="270" t="s">
        <v>450</v>
      </c>
      <c r="H96" s="270">
        <v>46022</v>
      </c>
      <c r="I96" s="277" t="str">
        <f ca="1">IF(ListeInventaire3811[[#This Row],[Statut de la réalisation de l''action]]="Effectué","À jour",IF(ListeInventaire3811[[#This Row],[échéance de réalisation]]&lt;TODAY(),"En retard","À jour"))</f>
        <v>En retard</v>
      </c>
      <c r="J96" s="270" t="s">
        <v>1182</v>
      </c>
      <c r="K96" s="270"/>
      <c r="L96" s="270"/>
      <c r="M96" s="270"/>
      <c r="N96" s="270"/>
      <c r="O96" s="270"/>
      <c r="P96" s="270"/>
      <c r="Q96" s="270"/>
      <c r="R96" s="270"/>
      <c r="S96" s="270"/>
      <c r="T96" s="270"/>
      <c r="U96" s="270"/>
      <c r="V96" s="270"/>
      <c r="W96" s="270"/>
      <c r="X96" s="270"/>
      <c r="Y96" s="270"/>
      <c r="Z96" s="270"/>
      <c r="AA96" s="270"/>
      <c r="AB96" s="270"/>
      <c r="AC96" s="31" t="s">
        <v>1283</v>
      </c>
    </row>
    <row r="97" spans="1:29" ht="30" customHeight="1" x14ac:dyDescent="0.25">
      <c r="A97" s="270">
        <v>45677</v>
      </c>
      <c r="B97" s="270" t="s">
        <v>1128</v>
      </c>
      <c r="C97" s="270" t="s">
        <v>1117</v>
      </c>
      <c r="D97" s="270" t="s">
        <v>112</v>
      </c>
      <c r="E97" s="270"/>
      <c r="F97" s="270" t="s">
        <v>1285</v>
      </c>
      <c r="G97" s="270" t="s">
        <v>450</v>
      </c>
      <c r="H97" s="270">
        <v>46022</v>
      </c>
      <c r="I97" s="277" t="str">
        <f ca="1">IF(ListeInventaire3811[[#This Row],[Statut de la réalisation de l''action]]="Effectué","À jour",IF(ListeInventaire3811[[#This Row],[échéance de réalisation]]&lt;TODAY(),"En retard","À jour"))</f>
        <v>En retard</v>
      </c>
      <c r="J97" s="270" t="s">
        <v>1182</v>
      </c>
      <c r="K97" s="270"/>
      <c r="L97" s="270"/>
      <c r="M97" s="270"/>
      <c r="N97" s="270"/>
      <c r="O97" s="270"/>
      <c r="P97" s="270"/>
      <c r="Q97" s="270"/>
      <c r="R97" s="270"/>
      <c r="S97" s="270"/>
      <c r="T97" s="270"/>
      <c r="U97" s="270"/>
      <c r="V97" s="270"/>
      <c r="W97" s="270"/>
      <c r="X97" s="270"/>
      <c r="Y97" s="270"/>
      <c r="Z97" s="270"/>
      <c r="AA97" s="270"/>
      <c r="AB97" s="270"/>
      <c r="AC97" s="31" t="s">
        <v>1283</v>
      </c>
    </row>
    <row r="98" spans="1:29" ht="47.25" customHeight="1" x14ac:dyDescent="0.25">
      <c r="A98" s="270">
        <v>45677</v>
      </c>
      <c r="B98" s="270" t="s">
        <v>1128</v>
      </c>
      <c r="C98" s="270" t="s">
        <v>1117</v>
      </c>
      <c r="D98" s="270" t="s">
        <v>112</v>
      </c>
      <c r="E98" s="270"/>
      <c r="F98" s="270" t="s">
        <v>1286</v>
      </c>
      <c r="G98" s="270" t="s">
        <v>450</v>
      </c>
      <c r="H98" s="270">
        <v>46022</v>
      </c>
      <c r="I98" s="277" t="str">
        <f ca="1">IF(ListeInventaire3811[[#This Row],[Statut de la réalisation de l''action]]="Effectué","À jour",IF(ListeInventaire3811[[#This Row],[échéance de réalisation]]&lt;TODAY(),"En retard","À jour"))</f>
        <v>En retard</v>
      </c>
      <c r="J98" s="270" t="s">
        <v>1182</v>
      </c>
      <c r="K98" s="270"/>
      <c r="L98" s="270"/>
      <c r="M98" s="270"/>
      <c r="N98" s="270"/>
      <c r="O98" s="270"/>
      <c r="P98" s="270"/>
      <c r="Q98" s="270"/>
      <c r="R98" s="270"/>
      <c r="S98" s="270"/>
      <c r="T98" s="270"/>
      <c r="U98" s="270"/>
      <c r="V98" s="270"/>
      <c r="W98" s="270"/>
      <c r="X98" s="270"/>
      <c r="Y98" s="270"/>
      <c r="Z98" s="270"/>
      <c r="AA98" s="270"/>
      <c r="AB98" s="270"/>
      <c r="AC98" s="31" t="s">
        <v>1283</v>
      </c>
    </row>
    <row r="99" spans="1:29" ht="39" customHeight="1" x14ac:dyDescent="0.25">
      <c r="A99" s="270">
        <v>45677</v>
      </c>
      <c r="B99" s="270" t="s">
        <v>1128</v>
      </c>
      <c r="C99" s="270" t="s">
        <v>1117</v>
      </c>
      <c r="D99" s="270" t="s">
        <v>112</v>
      </c>
      <c r="E99" s="270"/>
      <c r="F99" s="270" t="s">
        <v>1287</v>
      </c>
      <c r="G99" s="270" t="s">
        <v>1288</v>
      </c>
      <c r="H99" s="270">
        <v>45814</v>
      </c>
      <c r="I99" s="277" t="str">
        <f ca="1">IF(ListeInventaire3811[[#This Row],[Statut de la réalisation de l''action]]="Effectué","À jour",IF(ListeInventaire3811[[#This Row],[échéance de réalisation]]&lt;TODAY(),"En retard","À jour"))</f>
        <v>À jour</v>
      </c>
      <c r="J99" s="270" t="s">
        <v>1121</v>
      </c>
      <c r="K99" s="270"/>
      <c r="L99" s="270"/>
      <c r="M99" s="270"/>
      <c r="N99" s="270"/>
      <c r="O99" s="270"/>
      <c r="P99" s="270"/>
      <c r="Q99" s="270"/>
      <c r="R99" s="270"/>
      <c r="S99" s="270"/>
      <c r="T99" s="270"/>
      <c r="U99" s="270"/>
      <c r="V99" s="270"/>
      <c r="W99" s="270"/>
      <c r="X99" s="270"/>
      <c r="Y99" s="270"/>
      <c r="Z99" s="270"/>
      <c r="AA99" s="270"/>
      <c r="AB99" s="270"/>
      <c r="AC99" s="31" t="s">
        <v>1283</v>
      </c>
    </row>
    <row r="100" spans="1:29" ht="30" customHeight="1" x14ac:dyDescent="0.25">
      <c r="A100" s="270">
        <v>45677</v>
      </c>
      <c r="B100" s="270" t="s">
        <v>1128</v>
      </c>
      <c r="C100" s="270" t="s">
        <v>1117</v>
      </c>
      <c r="D100" s="270" t="s">
        <v>112</v>
      </c>
      <c r="E100" s="270"/>
      <c r="F100" s="270" t="s">
        <v>1289</v>
      </c>
      <c r="G100" s="270" t="s">
        <v>1288</v>
      </c>
      <c r="H100" s="270">
        <v>45814</v>
      </c>
      <c r="I100" s="277" t="str">
        <f ca="1">IF(ListeInventaire3811[[#This Row],[Statut de la réalisation de l''action]]="Effectué","À jour",IF(ListeInventaire3811[[#This Row],[échéance de réalisation]]&lt;TODAY(),"En retard","À jour"))</f>
        <v>À jour</v>
      </c>
      <c r="J100" s="270" t="s">
        <v>1121</v>
      </c>
      <c r="K100" s="270"/>
      <c r="L100" s="270"/>
      <c r="M100" s="270"/>
      <c r="N100" s="270"/>
      <c r="O100" s="270"/>
      <c r="P100" s="270"/>
      <c r="Q100" s="270"/>
      <c r="R100" s="270"/>
      <c r="S100" s="270"/>
      <c r="T100" s="270"/>
      <c r="U100" s="270"/>
      <c r="V100" s="270"/>
      <c r="W100" s="270"/>
      <c r="X100" s="270"/>
      <c r="Y100" s="270"/>
      <c r="Z100" s="270"/>
      <c r="AA100" s="270"/>
      <c r="AB100" s="270"/>
      <c r="AC100" s="31" t="s">
        <v>1283</v>
      </c>
    </row>
    <row r="101" spans="1:29" ht="30" customHeight="1" x14ac:dyDescent="0.25">
      <c r="A101" s="270">
        <v>45677</v>
      </c>
      <c r="B101" s="270" t="s">
        <v>1128</v>
      </c>
      <c r="C101" s="270" t="s">
        <v>1117</v>
      </c>
      <c r="D101" s="270" t="s">
        <v>112</v>
      </c>
      <c r="E101" s="270"/>
      <c r="F101" s="270" t="s">
        <v>1290</v>
      </c>
      <c r="G101" s="270" t="s">
        <v>1291</v>
      </c>
      <c r="H101" s="270">
        <v>45838</v>
      </c>
      <c r="I101" s="277" t="str">
        <f ca="1">IF(ListeInventaire3811[[#This Row],[Statut de la réalisation de l''action]]="Effectué","À jour",IF(ListeInventaire3811[[#This Row],[échéance de réalisation]]&lt;TODAY(),"En retard","À jour"))</f>
        <v>En retard</v>
      </c>
      <c r="J101" s="270" t="s">
        <v>1182</v>
      </c>
      <c r="K101" s="270"/>
      <c r="L101" s="270"/>
      <c r="M101" s="270"/>
      <c r="N101" s="270"/>
      <c r="O101" s="270"/>
      <c r="P101" s="270"/>
      <c r="Q101" s="270"/>
      <c r="R101" s="270"/>
      <c r="S101" s="270"/>
      <c r="T101" s="270"/>
      <c r="U101" s="270"/>
      <c r="V101" s="270"/>
      <c r="W101" s="270"/>
      <c r="X101" s="270"/>
      <c r="Y101" s="270"/>
      <c r="Z101" s="270"/>
      <c r="AA101" s="270"/>
      <c r="AB101" s="270"/>
      <c r="AC101" s="31" t="s">
        <v>1283</v>
      </c>
    </row>
    <row r="102" spans="1:29" ht="40.5" customHeight="1" x14ac:dyDescent="0.25">
      <c r="A102" s="270">
        <v>45677</v>
      </c>
      <c r="B102" s="270" t="s">
        <v>1128</v>
      </c>
      <c r="C102" s="270" t="s">
        <v>1117</v>
      </c>
      <c r="D102" s="270" t="s">
        <v>112</v>
      </c>
      <c r="E102" s="270"/>
      <c r="F102" s="270" t="s">
        <v>1292</v>
      </c>
      <c r="G102" s="270" t="s">
        <v>450</v>
      </c>
      <c r="H102" s="270" t="s">
        <v>1293</v>
      </c>
      <c r="I102" s="277" t="str">
        <f ca="1">IF(ListeInventaire3811[[#This Row],[Statut de la réalisation de l''action]]="Effectué","À jour",IF(ListeInventaire3811[[#This Row],[échéance de réalisation]]&lt;TODAY(),"En retard","À jour"))</f>
        <v>À jour</v>
      </c>
      <c r="J102" s="270" t="s">
        <v>1182</v>
      </c>
      <c r="K102" s="270"/>
      <c r="L102" s="270"/>
      <c r="M102" s="270"/>
      <c r="N102" s="270"/>
      <c r="O102" s="270"/>
      <c r="P102" s="270"/>
      <c r="Q102" s="270"/>
      <c r="R102" s="270"/>
      <c r="S102" s="270"/>
      <c r="T102" s="270"/>
      <c r="U102" s="270"/>
      <c r="V102" s="270"/>
      <c r="W102" s="270"/>
      <c r="X102" s="270"/>
      <c r="Y102" s="270"/>
      <c r="Z102" s="270"/>
      <c r="AA102" s="270"/>
      <c r="AB102" s="270"/>
      <c r="AC102" s="31" t="s">
        <v>1283</v>
      </c>
    </row>
    <row r="103" spans="1:29" ht="18.75" x14ac:dyDescent="0.25">
      <c r="A103" s="270">
        <v>45677</v>
      </c>
      <c r="B103" s="270" t="s">
        <v>1128</v>
      </c>
      <c r="C103" s="270" t="s">
        <v>1117</v>
      </c>
      <c r="D103" s="270" t="s">
        <v>112</v>
      </c>
      <c r="E103" s="270"/>
      <c r="F103" s="270" t="s">
        <v>1294</v>
      </c>
      <c r="G103" s="270" t="s">
        <v>450</v>
      </c>
      <c r="H103" s="270">
        <v>46022</v>
      </c>
      <c r="I103" s="277" t="str">
        <f ca="1">IF(ListeInventaire3811[[#This Row],[Statut de la réalisation de l''action]]="Effectué","À jour",IF(ListeInventaire3811[[#This Row],[échéance de réalisation]]&lt;TODAY(),"En retard","À jour"))</f>
        <v>En retard</v>
      </c>
      <c r="J103" s="270" t="s">
        <v>1182</v>
      </c>
      <c r="K103" s="270"/>
      <c r="L103" s="270"/>
      <c r="M103" s="270"/>
      <c r="N103" s="270"/>
      <c r="O103" s="270"/>
      <c r="P103" s="270"/>
      <c r="Q103" s="270"/>
      <c r="R103" s="270"/>
      <c r="S103" s="270"/>
      <c r="T103" s="270"/>
      <c r="U103" s="270"/>
      <c r="V103" s="270"/>
      <c r="W103" s="270"/>
      <c r="X103" s="270"/>
      <c r="Y103" s="270"/>
      <c r="Z103" s="270"/>
      <c r="AA103" s="270"/>
      <c r="AB103" s="270"/>
      <c r="AC103" s="31" t="s">
        <v>1295</v>
      </c>
    </row>
    <row r="104" spans="1:29" ht="18.75" x14ac:dyDescent="0.25">
      <c r="A104" s="270">
        <v>45677</v>
      </c>
      <c r="B104" s="270" t="s">
        <v>1128</v>
      </c>
      <c r="C104" s="270" t="s">
        <v>1117</v>
      </c>
      <c r="D104" s="270" t="s">
        <v>112</v>
      </c>
      <c r="E104" s="270"/>
      <c r="F104" s="270" t="s">
        <v>1296</v>
      </c>
      <c r="G104" s="270" t="s">
        <v>450</v>
      </c>
      <c r="H104" s="270">
        <v>46022</v>
      </c>
      <c r="I104" s="277" t="str">
        <f ca="1">IF(ListeInventaire3811[[#This Row],[Statut de la réalisation de l''action]]="Effectué","À jour",IF(ListeInventaire3811[[#This Row],[échéance de réalisation]]&lt;TODAY(),"En retard","À jour"))</f>
        <v>En retard</v>
      </c>
      <c r="J104" s="270" t="s">
        <v>1182</v>
      </c>
      <c r="K104" s="270"/>
      <c r="L104" s="270"/>
      <c r="M104" s="270"/>
      <c r="N104" s="270"/>
      <c r="O104" s="270"/>
      <c r="P104" s="270"/>
      <c r="Q104" s="270"/>
      <c r="R104" s="270"/>
      <c r="S104" s="270"/>
      <c r="T104" s="270"/>
      <c r="U104" s="270"/>
      <c r="V104" s="270"/>
      <c r="W104" s="270"/>
      <c r="X104" s="270"/>
      <c r="Y104" s="270"/>
      <c r="Z104" s="270"/>
      <c r="AA104" s="270"/>
      <c r="AB104" s="270"/>
      <c r="AC104" s="31" t="s">
        <v>1295</v>
      </c>
    </row>
    <row r="105" spans="1:29" ht="18.75" x14ac:dyDescent="0.25">
      <c r="A105" s="270">
        <v>45677</v>
      </c>
      <c r="B105" s="270" t="s">
        <v>1128</v>
      </c>
      <c r="C105" s="270" t="s">
        <v>1117</v>
      </c>
      <c r="D105" s="270" t="s">
        <v>112</v>
      </c>
      <c r="E105" s="270"/>
      <c r="F105" s="270" t="s">
        <v>1297</v>
      </c>
      <c r="G105" s="270" t="s">
        <v>297</v>
      </c>
      <c r="H105" s="270">
        <v>46022</v>
      </c>
      <c r="I105" s="277" t="str">
        <f ca="1">IF(ListeInventaire3811[[#This Row],[Statut de la réalisation de l''action]]="Effectué","À jour",IF(ListeInventaire3811[[#This Row],[échéance de réalisation]]&lt;TODAY(),"En retard","À jour"))</f>
        <v>En retard</v>
      </c>
      <c r="J105" s="270"/>
      <c r="K105" s="270"/>
      <c r="L105" s="270"/>
      <c r="M105" s="270"/>
      <c r="N105" s="270"/>
      <c r="O105" s="270"/>
      <c r="P105" s="270"/>
      <c r="Q105" s="270"/>
      <c r="R105" s="270"/>
      <c r="S105" s="270"/>
      <c r="T105" s="270"/>
      <c r="U105" s="270"/>
      <c r="V105" s="270"/>
      <c r="W105" s="270"/>
      <c r="X105" s="270"/>
      <c r="Y105" s="270"/>
      <c r="Z105" s="270"/>
      <c r="AA105" s="270"/>
      <c r="AB105" s="270"/>
      <c r="AC105" s="31" t="s">
        <v>1295</v>
      </c>
    </row>
    <row r="106" spans="1:29" ht="37.5" x14ac:dyDescent="0.25">
      <c r="A106" s="270">
        <v>45677</v>
      </c>
      <c r="B106" s="270" t="s">
        <v>1128</v>
      </c>
      <c r="C106" s="270" t="s">
        <v>1117</v>
      </c>
      <c r="D106" s="270" t="s">
        <v>112</v>
      </c>
      <c r="E106" s="270"/>
      <c r="F106" s="270" t="s">
        <v>1298</v>
      </c>
      <c r="G106" s="270" t="s">
        <v>1299</v>
      </c>
      <c r="H106" s="270">
        <v>45991</v>
      </c>
      <c r="I106" s="277" t="str">
        <f ca="1">IF(ListeInventaire3811[[#This Row],[Statut de la réalisation de l''action]]="Effectué","À jour",IF(ListeInventaire3811[[#This Row],[échéance de réalisation]]&lt;TODAY(),"En retard","À jour"))</f>
        <v>En retard</v>
      </c>
      <c r="J106" s="270"/>
      <c r="K106" s="270"/>
      <c r="L106" s="270"/>
      <c r="M106" s="270"/>
      <c r="N106" s="270"/>
      <c r="O106" s="270"/>
      <c r="P106" s="270"/>
      <c r="Q106" s="270"/>
      <c r="R106" s="270"/>
      <c r="S106" s="270"/>
      <c r="T106" s="270"/>
      <c r="U106" s="270"/>
      <c r="V106" s="270"/>
      <c r="W106" s="270"/>
      <c r="X106" s="270"/>
      <c r="Y106" s="270"/>
      <c r="Z106" s="270"/>
      <c r="AA106" s="270"/>
      <c r="AB106" s="270"/>
      <c r="AC106" s="31" t="s">
        <v>1295</v>
      </c>
    </row>
    <row r="107" spans="1:29" ht="18.75" x14ac:dyDescent="0.25">
      <c r="A107" s="270">
        <v>45677</v>
      </c>
      <c r="B107" s="270" t="s">
        <v>1128</v>
      </c>
      <c r="C107" s="270" t="s">
        <v>1117</v>
      </c>
      <c r="D107" s="270" t="s">
        <v>112</v>
      </c>
      <c r="E107" s="270"/>
      <c r="F107" s="270" t="s">
        <v>1300</v>
      </c>
      <c r="G107" s="270" t="s">
        <v>297</v>
      </c>
      <c r="H107" s="270">
        <v>46022</v>
      </c>
      <c r="I107" s="277" t="str">
        <f ca="1">IF(ListeInventaire3811[[#This Row],[Statut de la réalisation de l''action]]="Effectué","À jour",IF(ListeInventaire3811[[#This Row],[échéance de réalisation]]&lt;TODAY(),"En retard","À jour"))</f>
        <v>En retard</v>
      </c>
      <c r="J107" s="270"/>
      <c r="K107" s="270"/>
      <c r="L107" s="270"/>
      <c r="M107" s="270"/>
      <c r="N107" s="270"/>
      <c r="O107" s="270"/>
      <c r="P107" s="270"/>
      <c r="Q107" s="270"/>
      <c r="R107" s="270"/>
      <c r="S107" s="270"/>
      <c r="T107" s="270"/>
      <c r="U107" s="270"/>
      <c r="V107" s="270"/>
      <c r="W107" s="270"/>
      <c r="X107" s="270"/>
      <c r="Y107" s="270"/>
      <c r="Z107" s="270"/>
      <c r="AA107" s="270"/>
      <c r="AB107" s="270"/>
      <c r="AC107" s="31" t="s">
        <v>1295</v>
      </c>
    </row>
    <row r="108" spans="1:29" ht="18.75" x14ac:dyDescent="0.25">
      <c r="A108" s="270">
        <v>45677</v>
      </c>
      <c r="B108" s="270" t="s">
        <v>1128</v>
      </c>
      <c r="C108" s="270" t="s">
        <v>1117</v>
      </c>
      <c r="D108" s="270" t="s">
        <v>112</v>
      </c>
      <c r="E108" s="270"/>
      <c r="F108" s="270" t="s">
        <v>1301</v>
      </c>
      <c r="G108" s="270" t="s">
        <v>450</v>
      </c>
      <c r="H108" s="270">
        <v>45808</v>
      </c>
      <c r="I108" s="277" t="str">
        <f ca="1">IF(ListeInventaire3811[[#This Row],[Statut de la réalisation de l''action]]="Effectué","À jour",IF(ListeInventaire3811[[#This Row],[échéance de réalisation]]&lt;TODAY(),"En retard","À jour"))</f>
        <v>En retard</v>
      </c>
      <c r="J108" s="270" t="s">
        <v>1194</v>
      </c>
      <c r="K108" s="270"/>
      <c r="L108" s="270"/>
      <c r="M108" s="270"/>
      <c r="N108" s="270"/>
      <c r="O108" s="270"/>
      <c r="P108" s="270"/>
      <c r="Q108" s="270"/>
      <c r="R108" s="270"/>
      <c r="S108" s="270"/>
      <c r="T108" s="270"/>
      <c r="U108" s="270"/>
      <c r="V108" s="270"/>
      <c r="W108" s="270"/>
      <c r="X108" s="270"/>
      <c r="Y108" s="270"/>
      <c r="Z108" s="270"/>
      <c r="AA108" s="270"/>
      <c r="AB108" s="270"/>
      <c r="AC108" s="31" t="s">
        <v>1295</v>
      </c>
    </row>
    <row r="109" spans="1:29" ht="18.75" x14ac:dyDescent="0.25">
      <c r="A109" s="270">
        <v>45677</v>
      </c>
      <c r="B109" s="270" t="s">
        <v>1128</v>
      </c>
      <c r="C109" s="270" t="s">
        <v>1117</v>
      </c>
      <c r="D109" s="270" t="s">
        <v>112</v>
      </c>
      <c r="E109" s="270"/>
      <c r="F109" s="270" t="s">
        <v>1302</v>
      </c>
      <c r="G109" s="270" t="s">
        <v>1136</v>
      </c>
      <c r="H109" s="270">
        <v>46022</v>
      </c>
      <c r="I109" s="277" t="str">
        <f ca="1">IF(ListeInventaire3811[[#This Row],[Statut de la réalisation de l''action]]="Effectué","À jour",IF(ListeInventaire3811[[#This Row],[échéance de réalisation]]&lt;TODAY(),"En retard","À jour"))</f>
        <v>En retard</v>
      </c>
      <c r="J109" s="109"/>
      <c r="K109" s="10"/>
      <c r="L109" s="10"/>
      <c r="M109" s="31"/>
      <c r="N109" s="32"/>
      <c r="O109" s="31"/>
      <c r="P109" s="10"/>
      <c r="Q109" s="31"/>
      <c r="R109" s="31"/>
      <c r="S109" s="31"/>
      <c r="T109" s="31"/>
      <c r="U109" s="31"/>
      <c r="V109" s="31"/>
      <c r="W109" s="31"/>
      <c r="X109" s="31"/>
      <c r="Y109" s="31"/>
      <c r="Z109" s="31"/>
      <c r="AA109" s="31"/>
      <c r="AB109" s="31"/>
      <c r="AC109" s="31" t="s">
        <v>1295</v>
      </c>
    </row>
    <row r="110" spans="1:29" ht="27.75" customHeight="1" x14ac:dyDescent="0.25">
      <c r="A110" s="270">
        <v>45677</v>
      </c>
      <c r="B110" s="270" t="s">
        <v>1128</v>
      </c>
      <c r="C110" s="270" t="s">
        <v>1117</v>
      </c>
      <c r="D110" s="270" t="s">
        <v>112</v>
      </c>
      <c r="E110" s="270"/>
      <c r="F110" s="270" t="s">
        <v>1303</v>
      </c>
      <c r="G110" s="270" t="s">
        <v>1136</v>
      </c>
      <c r="H110" s="270">
        <v>46022</v>
      </c>
      <c r="I110" s="277" t="str">
        <f ca="1">IF(ListeInventaire3811[[#This Row],[Statut de la réalisation de l''action]]="Effectué","À jour",IF(ListeInventaire3811[[#This Row],[échéance de réalisation]]&lt;TODAY(),"En retard","À jour"))</f>
        <v>En retard</v>
      </c>
      <c r="J110" s="109"/>
      <c r="K110" s="10"/>
      <c r="L110" s="10"/>
      <c r="M110" s="31"/>
      <c r="N110" s="32"/>
      <c r="O110" s="31"/>
      <c r="P110" s="10"/>
      <c r="Q110" s="31"/>
      <c r="R110" s="31"/>
      <c r="S110" s="31"/>
      <c r="T110" s="31"/>
      <c r="U110" s="31"/>
      <c r="V110" s="31"/>
      <c r="W110" s="31"/>
      <c r="X110" s="31"/>
      <c r="Y110" s="31"/>
      <c r="Z110" s="31"/>
      <c r="AA110" s="31"/>
      <c r="AB110" s="31"/>
      <c r="AC110" s="31" t="s">
        <v>1295</v>
      </c>
    </row>
    <row r="111" spans="1:29" ht="28.5" customHeight="1" x14ac:dyDescent="0.25">
      <c r="A111" s="270">
        <v>45708</v>
      </c>
      <c r="B111" s="271" t="s">
        <v>1304</v>
      </c>
      <c r="C111" s="271" t="s">
        <v>180</v>
      </c>
      <c r="D111" s="271" t="s">
        <v>35</v>
      </c>
      <c r="E111" s="271" t="s">
        <v>1129</v>
      </c>
      <c r="F111" s="272" t="s">
        <v>1305</v>
      </c>
      <c r="G111" s="271" t="s">
        <v>1214</v>
      </c>
      <c r="H111" s="273">
        <v>45717</v>
      </c>
      <c r="I111" s="277" t="str">
        <f ca="1">IF(ListeInventaire3811[[#This Row],[Statut de la réalisation de l''action]]="Effectué","À jour",IF(ListeInventaire3811[[#This Row],[échéance de réalisation]]&lt;TODAY(),"En retard","À jour"))</f>
        <v>À jour</v>
      </c>
      <c r="J111" s="275" t="s">
        <v>1121</v>
      </c>
      <c r="K111" s="274"/>
      <c r="L111" s="274"/>
      <c r="M111" s="275"/>
      <c r="N111" s="276"/>
      <c r="O111" s="277"/>
      <c r="P111" s="274"/>
      <c r="Q111" s="31"/>
      <c r="R111" s="31"/>
      <c r="S111" s="31"/>
      <c r="T111" s="31"/>
      <c r="U111" s="31"/>
      <c r="V111" s="31"/>
      <c r="W111" s="31"/>
      <c r="X111" s="31"/>
      <c r="Y111" s="31"/>
      <c r="Z111" s="31"/>
      <c r="AA111" s="31"/>
      <c r="AB111" s="31"/>
      <c r="AC111" s="31"/>
    </row>
    <row r="112" spans="1:29" ht="93.75" x14ac:dyDescent="0.25">
      <c r="A112" s="270">
        <v>45714</v>
      </c>
      <c r="B112" s="271" t="s">
        <v>1230</v>
      </c>
      <c r="C112" s="271" t="s">
        <v>1117</v>
      </c>
      <c r="D112" s="271" t="s">
        <v>1117</v>
      </c>
      <c r="E112" s="271" t="s">
        <v>1129</v>
      </c>
      <c r="F112" s="272" t="s">
        <v>1306</v>
      </c>
      <c r="G112" s="271" t="s">
        <v>1307</v>
      </c>
      <c r="H112" s="273">
        <v>45722</v>
      </c>
      <c r="I112" s="277" t="str">
        <f ca="1">IF(ListeInventaire3811[[#This Row],[Statut de la réalisation de l''action]]="Effectué","À jour",IF(ListeInventaire3811[[#This Row],[échéance de réalisation]]&lt;TODAY(),"En retard","À jour"))</f>
        <v>En retard</v>
      </c>
      <c r="J112" s="275" t="s">
        <v>1182</v>
      </c>
      <c r="K112" s="274"/>
      <c r="L112" s="274"/>
      <c r="M112" s="275"/>
      <c r="N112" s="276"/>
      <c r="O112" s="275"/>
      <c r="P112" s="274"/>
      <c r="Q112" s="31" t="s">
        <v>663</v>
      </c>
      <c r="R112" s="31"/>
      <c r="S112" s="31"/>
      <c r="T112" s="31"/>
      <c r="U112" s="31"/>
      <c r="V112" s="31"/>
      <c r="W112" s="31"/>
      <c r="X112" s="31"/>
      <c r="Y112" s="31"/>
      <c r="Z112" s="31"/>
      <c r="AA112" s="31"/>
      <c r="AB112" s="31" t="s">
        <v>48</v>
      </c>
      <c r="AC112" s="31"/>
    </row>
    <row r="113" spans="1:29" ht="56.25" x14ac:dyDescent="0.25">
      <c r="A113" s="270">
        <v>45714</v>
      </c>
      <c r="B113" s="271" t="s">
        <v>1230</v>
      </c>
      <c r="C113" s="271" t="s">
        <v>1308</v>
      </c>
      <c r="D113" s="271" t="s">
        <v>501</v>
      </c>
      <c r="E113" s="271" t="s">
        <v>1218</v>
      </c>
      <c r="F113" s="272" t="s">
        <v>1309</v>
      </c>
      <c r="G113" s="271" t="s">
        <v>1310</v>
      </c>
      <c r="H113" s="273">
        <v>45747</v>
      </c>
      <c r="I113" s="277" t="str">
        <f ca="1">IF(ListeInventaire3811[[#This Row],[Statut de la réalisation de l''action]]="Effectué","À jour",IF(ListeInventaire3811[[#This Row],[échéance de réalisation]]&lt;TODAY(),"En retard","À jour"))</f>
        <v>En retard</v>
      </c>
      <c r="J113" s="275" t="s">
        <v>1182</v>
      </c>
      <c r="K113" s="274"/>
      <c r="L113" s="274"/>
      <c r="M113" s="275"/>
      <c r="N113" s="276"/>
      <c r="O113" s="275"/>
      <c r="P113" s="274"/>
      <c r="Q113" s="31" t="s">
        <v>663</v>
      </c>
      <c r="R113" s="31"/>
      <c r="S113" s="31"/>
      <c r="T113" s="31"/>
      <c r="U113" s="31"/>
      <c r="V113" s="31"/>
      <c r="W113" s="31"/>
      <c r="X113" s="31"/>
      <c r="Y113" s="31"/>
      <c r="Z113" s="31"/>
      <c r="AA113" s="31"/>
      <c r="AB113" s="31" t="s">
        <v>48</v>
      </c>
      <c r="AC113" s="31"/>
    </row>
    <row r="114" spans="1:29" ht="56.25" x14ac:dyDescent="0.25">
      <c r="A114" s="270">
        <v>45714</v>
      </c>
      <c r="B114" s="271" t="s">
        <v>1230</v>
      </c>
      <c r="C114" s="271" t="s">
        <v>668</v>
      </c>
      <c r="D114" s="271" t="s">
        <v>469</v>
      </c>
      <c r="E114" s="271" t="s">
        <v>1129</v>
      </c>
      <c r="F114" s="272" t="s">
        <v>1311</v>
      </c>
      <c r="G114" s="271" t="s">
        <v>1312</v>
      </c>
      <c r="H114" s="273">
        <v>45747</v>
      </c>
      <c r="I114" s="277" t="str">
        <f ca="1">IF(ListeInventaire3811[[#This Row],[Statut de la réalisation de l''action]]="Effectué","À jour",IF(ListeInventaire3811[[#This Row],[échéance de réalisation]]&lt;TODAY(),"En retard","À jour"))</f>
        <v>En retard</v>
      </c>
      <c r="J114" s="275" t="s">
        <v>1182</v>
      </c>
      <c r="K114" s="274"/>
      <c r="L114" s="274"/>
      <c r="M114" s="275"/>
      <c r="N114" s="276"/>
      <c r="O114" s="277"/>
      <c r="P114" s="274"/>
      <c r="Q114" s="31" t="s">
        <v>663</v>
      </c>
      <c r="R114" s="31"/>
      <c r="S114" s="31"/>
      <c r="T114" s="31"/>
      <c r="U114" s="31"/>
      <c r="V114" s="31"/>
      <c r="W114" s="31" t="s">
        <v>663</v>
      </c>
      <c r="X114" s="31"/>
      <c r="Y114" s="31"/>
      <c r="Z114" s="31"/>
      <c r="AA114" s="31"/>
      <c r="AB114" s="31" t="s">
        <v>48</v>
      </c>
      <c r="AC114" s="31"/>
    </row>
    <row r="115" spans="1:29" ht="56.25" x14ac:dyDescent="0.25">
      <c r="A115" s="270">
        <v>45714</v>
      </c>
      <c r="B115" s="271" t="s">
        <v>1230</v>
      </c>
      <c r="C115" s="271" t="s">
        <v>1308</v>
      </c>
      <c r="D115" s="271" t="s">
        <v>501</v>
      </c>
      <c r="E115" s="271" t="s">
        <v>1218</v>
      </c>
      <c r="F115" s="272" t="s">
        <v>1313</v>
      </c>
      <c r="G115" s="271" t="s">
        <v>1314</v>
      </c>
      <c r="H115" s="273">
        <v>45747</v>
      </c>
      <c r="I115" s="277" t="str">
        <f ca="1">IF(ListeInventaire3811[[#This Row],[Statut de la réalisation de l''action]]="Effectué","À jour",IF(ListeInventaire3811[[#This Row],[échéance de réalisation]]&lt;TODAY(),"En retard","À jour"))</f>
        <v>En retard</v>
      </c>
      <c r="J115" s="275" t="s">
        <v>1182</v>
      </c>
      <c r="K115" s="274"/>
      <c r="L115" s="274"/>
      <c r="M115" s="275"/>
      <c r="N115" s="276"/>
      <c r="O115" s="275"/>
      <c r="P115" s="274"/>
      <c r="Q115" s="31"/>
      <c r="R115" s="31"/>
      <c r="S115" s="31"/>
      <c r="T115" s="31"/>
      <c r="U115" s="31"/>
      <c r="V115" s="31"/>
      <c r="W115" s="31"/>
      <c r="X115" s="31"/>
      <c r="Y115" s="31"/>
      <c r="Z115" s="31"/>
      <c r="AA115" s="31" t="s">
        <v>663</v>
      </c>
      <c r="AB115" s="31" t="s">
        <v>48</v>
      </c>
      <c r="AC115" s="31"/>
    </row>
    <row r="116" spans="1:29" ht="41.25" customHeight="1" x14ac:dyDescent="0.25">
      <c r="A116" s="270">
        <v>45720</v>
      </c>
      <c r="B116" s="271" t="s">
        <v>1315</v>
      </c>
      <c r="C116" s="271" t="s">
        <v>50</v>
      </c>
      <c r="D116" s="271" t="s">
        <v>51</v>
      </c>
      <c r="E116" s="271" t="s">
        <v>1129</v>
      </c>
      <c r="F116" s="272" t="s">
        <v>1316</v>
      </c>
      <c r="G116" s="271" t="s">
        <v>1214</v>
      </c>
      <c r="H116" s="273">
        <v>45935</v>
      </c>
      <c r="I116" s="277" t="str">
        <f ca="1">IF(ListeInventaire3811[[#This Row],[Statut de la réalisation de l''action]]="Effectué","À jour",IF(ListeInventaire3811[[#This Row],[échéance de réalisation]]&lt;TODAY(),"En retard","À jour"))</f>
        <v>À jour</v>
      </c>
      <c r="J116" s="275" t="s">
        <v>1121</v>
      </c>
      <c r="K116" s="274"/>
      <c r="L116" s="274"/>
      <c r="M116" s="275"/>
      <c r="N116" s="276"/>
      <c r="O116" s="275"/>
      <c r="P116" s="274"/>
      <c r="Q116" s="31"/>
      <c r="R116" s="31"/>
      <c r="S116" s="31"/>
      <c r="T116" s="31"/>
      <c r="U116" s="31"/>
      <c r="V116" s="31"/>
      <c r="W116" s="31"/>
      <c r="X116" s="31"/>
      <c r="Y116" s="31"/>
      <c r="Z116" s="31"/>
      <c r="AA116" s="31"/>
      <c r="AB116" s="31"/>
      <c r="AC116" s="31"/>
    </row>
    <row r="117" spans="1:29" ht="42.75" customHeight="1" x14ac:dyDescent="0.25">
      <c r="A117" s="279">
        <v>45720</v>
      </c>
      <c r="B117" s="271" t="s">
        <v>1315</v>
      </c>
      <c r="C117" s="271" t="s">
        <v>68</v>
      </c>
      <c r="D117" s="271" t="s">
        <v>35</v>
      </c>
      <c r="E117" s="271" t="s">
        <v>1129</v>
      </c>
      <c r="F117" s="272" t="s">
        <v>1317</v>
      </c>
      <c r="G117" s="271" t="s">
        <v>1214</v>
      </c>
      <c r="H117" s="273">
        <v>45726</v>
      </c>
      <c r="I117" s="277" t="str">
        <f ca="1">IF(ListeInventaire3811[[#This Row],[Statut de la réalisation de l''action]]="Effectué","À jour",IF(ListeInventaire3811[[#This Row],[échéance de réalisation]]&lt;TODAY(),"En retard","À jour"))</f>
        <v>À jour</v>
      </c>
      <c r="J117" s="275" t="s">
        <v>1121</v>
      </c>
      <c r="K117" s="274"/>
      <c r="L117" s="274"/>
      <c r="M117" s="275"/>
      <c r="N117" s="276"/>
      <c r="O117" s="275"/>
      <c r="P117" s="274"/>
      <c r="Q117" s="31"/>
      <c r="R117" s="31"/>
      <c r="S117" s="31"/>
      <c r="T117" s="31"/>
      <c r="U117" s="31"/>
      <c r="V117" s="31"/>
      <c r="W117" s="31"/>
      <c r="X117" s="31"/>
      <c r="Y117" s="31"/>
      <c r="Z117" s="31"/>
      <c r="AA117" s="31"/>
      <c r="AB117" s="31"/>
      <c r="AC117" s="31"/>
    </row>
    <row r="118" spans="1:29" ht="30" customHeight="1" x14ac:dyDescent="0.25">
      <c r="A118" s="279">
        <v>45735</v>
      </c>
      <c r="B118" s="271" t="s">
        <v>1315</v>
      </c>
      <c r="C118" s="271" t="s">
        <v>59</v>
      </c>
      <c r="D118" s="271" t="s">
        <v>501</v>
      </c>
      <c r="E118" s="271" t="s">
        <v>1129</v>
      </c>
      <c r="F118" s="272" t="s">
        <v>1318</v>
      </c>
      <c r="G118" s="271" t="s">
        <v>1319</v>
      </c>
      <c r="H118" s="273">
        <v>45809</v>
      </c>
      <c r="I118" s="277" t="str">
        <f ca="1">IF(ListeInventaire3811[[#This Row],[Statut de la réalisation de l''action]]="Effectué","À jour",IF(ListeInventaire3811[[#This Row],[échéance de réalisation]]&lt;TODAY(),"En retard","À jour"))</f>
        <v>À jour</v>
      </c>
      <c r="J118" s="275" t="s">
        <v>1121</v>
      </c>
      <c r="K118" s="274"/>
      <c r="L118" s="274"/>
      <c r="M118" s="275"/>
      <c r="N118" s="276"/>
      <c r="O118" s="275"/>
      <c r="P118" s="274"/>
      <c r="Q118" s="31"/>
      <c r="R118" s="31"/>
      <c r="S118" s="31"/>
      <c r="T118" s="31"/>
      <c r="U118" s="31"/>
      <c r="V118" s="31"/>
      <c r="W118" s="31"/>
      <c r="X118" s="31"/>
      <c r="Y118" s="31"/>
      <c r="Z118" s="31"/>
      <c r="AA118" s="31"/>
      <c r="AB118" s="31"/>
      <c r="AC118" s="31"/>
    </row>
    <row r="119" spans="1:29" ht="37.5" x14ac:dyDescent="0.25">
      <c r="A119" s="279">
        <v>45748</v>
      </c>
      <c r="B119" s="271" t="s">
        <v>1691</v>
      </c>
      <c r="C119" s="271" t="s">
        <v>1692</v>
      </c>
      <c r="D119" s="271" t="s">
        <v>1697</v>
      </c>
      <c r="E119" s="9" t="s">
        <v>1249</v>
      </c>
      <c r="F119" s="11" t="s">
        <v>1693</v>
      </c>
      <c r="G119" s="9" t="s">
        <v>1214</v>
      </c>
      <c r="H119" s="25">
        <v>45869</v>
      </c>
      <c r="I119" s="277" t="str">
        <f ca="1">IF(ListeInventaire3811[[#This Row],[Statut de la réalisation de l''action]]="Effectué","À jour",IF(ListeInventaire3811[[#This Row],[échéance de réalisation]]&lt;TODAY(),"En retard","À jour"))</f>
        <v>À jour</v>
      </c>
      <c r="J119" s="31" t="s">
        <v>1121</v>
      </c>
      <c r="K119" s="4"/>
      <c r="L119" s="4"/>
      <c r="N119" s="4"/>
      <c r="P119" s="4"/>
      <c r="W119" s="4"/>
      <c r="X119" s="4"/>
    </row>
    <row r="120" spans="1:29" ht="37.5" x14ac:dyDescent="0.25">
      <c r="A120" s="270">
        <v>45765</v>
      </c>
      <c r="B120" s="270" t="s">
        <v>1128</v>
      </c>
      <c r="C120" s="270" t="s">
        <v>1117</v>
      </c>
      <c r="D120" s="270" t="s">
        <v>112</v>
      </c>
      <c r="E120" s="270"/>
      <c r="F120" s="270" t="s">
        <v>1320</v>
      </c>
      <c r="G120" s="270" t="s">
        <v>1321</v>
      </c>
      <c r="H120" s="270">
        <v>45792</v>
      </c>
      <c r="I120" s="277" t="str">
        <f ca="1">IF(ListeInventaire3811[[#This Row],[Statut de la réalisation de l''action]]="Effectué","À jour",IF(ListeInventaire3811[[#This Row],[échéance de réalisation]]&lt;TODAY(),"En retard","À jour"))</f>
        <v>En retard</v>
      </c>
      <c r="J120" s="109"/>
      <c r="K120" s="10"/>
      <c r="L120" s="10"/>
      <c r="M120" s="31"/>
      <c r="N120" s="32"/>
      <c r="O120" s="31"/>
      <c r="P120" s="10"/>
      <c r="Q120" s="31"/>
      <c r="R120" s="31"/>
      <c r="S120" s="31"/>
      <c r="T120" s="31"/>
      <c r="U120" s="31"/>
      <c r="V120" s="31"/>
      <c r="W120" s="31"/>
      <c r="X120" s="31"/>
      <c r="Y120" s="31"/>
      <c r="Z120" s="31"/>
      <c r="AA120" s="31"/>
      <c r="AB120" s="31"/>
      <c r="AC120" s="31" t="s">
        <v>1322</v>
      </c>
    </row>
    <row r="121" spans="1:29" ht="37.5" x14ac:dyDescent="0.25">
      <c r="A121" s="270">
        <v>45765</v>
      </c>
      <c r="B121" s="270" t="s">
        <v>1128</v>
      </c>
      <c r="C121" s="270" t="s">
        <v>1117</v>
      </c>
      <c r="D121" s="270" t="s">
        <v>112</v>
      </c>
      <c r="E121" s="12"/>
      <c r="F121" s="270" t="s">
        <v>1323</v>
      </c>
      <c r="G121" s="271" t="s">
        <v>1324</v>
      </c>
      <c r="H121" s="270">
        <v>45792</v>
      </c>
      <c r="I121" s="277" t="str">
        <f ca="1">IF(ListeInventaire3811[[#This Row],[Statut de la réalisation de l''action]]="Effectué","À jour",IF(ListeInventaire3811[[#This Row],[échéance de réalisation]]&lt;TODAY(),"En retard","À jour"))</f>
        <v>En retard</v>
      </c>
      <c r="J121" s="109"/>
      <c r="K121" s="10"/>
      <c r="L121" s="10"/>
      <c r="M121" s="31"/>
      <c r="N121" s="32"/>
      <c r="O121" s="31"/>
      <c r="P121" s="10"/>
      <c r="Q121" s="31"/>
      <c r="R121" s="31"/>
      <c r="S121" s="31"/>
      <c r="T121" s="31"/>
      <c r="U121" s="31"/>
      <c r="V121" s="31"/>
      <c r="W121" s="31"/>
      <c r="X121" s="31"/>
      <c r="Y121" s="31"/>
      <c r="Z121" s="31"/>
      <c r="AA121" s="31"/>
      <c r="AB121" s="31"/>
      <c r="AC121" s="31" t="s">
        <v>1322</v>
      </c>
    </row>
    <row r="122" spans="1:29" ht="37.5" x14ac:dyDescent="0.25">
      <c r="A122" s="270">
        <v>45765</v>
      </c>
      <c r="B122" s="270" t="s">
        <v>1128</v>
      </c>
      <c r="C122" s="270" t="s">
        <v>1117</v>
      </c>
      <c r="D122" s="270" t="s">
        <v>112</v>
      </c>
      <c r="E122" s="12"/>
      <c r="F122" s="270" t="s">
        <v>1325</v>
      </c>
      <c r="G122" s="271" t="s">
        <v>450</v>
      </c>
      <c r="H122" s="270">
        <v>45792</v>
      </c>
      <c r="I122" s="277" t="str">
        <f ca="1">IF(ListeInventaire3811[[#This Row],[Statut de la réalisation de l''action]]="Effectué","À jour",IF(ListeInventaire3811[[#This Row],[échéance de réalisation]]&lt;TODAY(),"En retard","À jour"))</f>
        <v>En retard</v>
      </c>
      <c r="J122" s="109"/>
      <c r="K122" s="10"/>
      <c r="L122" s="10"/>
      <c r="M122" s="31"/>
      <c r="N122" s="32"/>
      <c r="O122" s="31"/>
      <c r="P122" s="10"/>
      <c r="Q122" s="31"/>
      <c r="R122" s="31"/>
      <c r="S122" s="31"/>
      <c r="T122" s="31"/>
      <c r="U122" s="31"/>
      <c r="V122" s="31"/>
      <c r="W122" s="31"/>
      <c r="X122" s="31"/>
      <c r="Y122" s="31"/>
      <c r="Z122" s="31"/>
      <c r="AA122" s="31"/>
      <c r="AB122" s="31"/>
      <c r="AC122" s="31" t="s">
        <v>1322</v>
      </c>
    </row>
    <row r="123" spans="1:29" ht="37.5" x14ac:dyDescent="0.25">
      <c r="A123" s="270">
        <v>45765</v>
      </c>
      <c r="B123" s="270" t="s">
        <v>1128</v>
      </c>
      <c r="C123" s="270" t="s">
        <v>1117</v>
      </c>
      <c r="D123" s="270" t="s">
        <v>112</v>
      </c>
      <c r="E123" s="12"/>
      <c r="F123" s="270" t="s">
        <v>1326</v>
      </c>
      <c r="G123" s="271" t="s">
        <v>450</v>
      </c>
      <c r="H123" s="270">
        <v>45792</v>
      </c>
      <c r="I123" s="277" t="str">
        <f ca="1">IF(ListeInventaire3811[[#This Row],[Statut de la réalisation de l''action]]="Effectué","À jour",IF(ListeInventaire3811[[#This Row],[échéance de réalisation]]&lt;TODAY(),"En retard","À jour"))</f>
        <v>En retard</v>
      </c>
      <c r="J123" s="109"/>
      <c r="K123" s="10"/>
      <c r="L123" s="10"/>
      <c r="M123" s="31"/>
      <c r="N123" s="32"/>
      <c r="O123" s="31"/>
      <c r="P123" s="10"/>
      <c r="Q123" s="31"/>
      <c r="R123" s="31"/>
      <c r="S123" s="31"/>
      <c r="T123" s="31"/>
      <c r="U123" s="31"/>
      <c r="V123" s="31"/>
      <c r="W123" s="31"/>
      <c r="X123" s="31"/>
      <c r="Y123" s="31"/>
      <c r="Z123" s="31"/>
      <c r="AA123" s="31"/>
      <c r="AB123" s="31"/>
      <c r="AC123" s="31" t="s">
        <v>1322</v>
      </c>
    </row>
    <row r="124" spans="1:29" ht="37.5" x14ac:dyDescent="0.25">
      <c r="A124" s="270">
        <v>45765</v>
      </c>
      <c r="B124" s="270" t="s">
        <v>1128</v>
      </c>
      <c r="C124" s="270" t="s">
        <v>1117</v>
      </c>
      <c r="D124" s="270" t="s">
        <v>112</v>
      </c>
      <c r="E124" s="12"/>
      <c r="F124" s="270" t="s">
        <v>1327</v>
      </c>
      <c r="G124" s="271" t="s">
        <v>450</v>
      </c>
      <c r="H124" s="270">
        <v>45782</v>
      </c>
      <c r="I124" s="277" t="str">
        <f ca="1">IF(ListeInventaire3811[[#This Row],[Statut de la réalisation de l''action]]="Effectué","À jour",IF(ListeInventaire3811[[#This Row],[échéance de réalisation]]&lt;TODAY(),"En retard","À jour"))</f>
        <v>À jour</v>
      </c>
      <c r="J124" s="109" t="s">
        <v>1121</v>
      </c>
      <c r="K124" s="10"/>
      <c r="L124" s="10"/>
      <c r="M124" s="31"/>
      <c r="N124" s="32"/>
      <c r="O124" s="31"/>
      <c r="P124" s="10"/>
      <c r="Q124" s="31"/>
      <c r="R124" s="31"/>
      <c r="S124" s="31"/>
      <c r="T124" s="31"/>
      <c r="U124" s="31"/>
      <c r="V124" s="31"/>
      <c r="W124" s="31"/>
      <c r="X124" s="31"/>
      <c r="Y124" s="31"/>
      <c r="Z124" s="31"/>
      <c r="AA124" s="31"/>
      <c r="AB124" s="31"/>
      <c r="AC124" s="31" t="s">
        <v>1322</v>
      </c>
    </row>
    <row r="125" spans="1:29" ht="56.25" customHeight="1" x14ac:dyDescent="0.25">
      <c r="A125" s="270">
        <v>45765</v>
      </c>
      <c r="B125" s="270" t="s">
        <v>1128</v>
      </c>
      <c r="C125" s="270" t="s">
        <v>1117</v>
      </c>
      <c r="D125" s="270" t="s">
        <v>112</v>
      </c>
      <c r="E125" s="12"/>
      <c r="F125" s="270" t="s">
        <v>1328</v>
      </c>
      <c r="G125" s="271" t="s">
        <v>450</v>
      </c>
      <c r="H125" s="273">
        <v>45777</v>
      </c>
      <c r="I125" s="277" t="str">
        <f ca="1">IF(ListeInventaire3811[[#This Row],[Statut de la réalisation de l''action]]="Effectué","À jour",IF(ListeInventaire3811[[#This Row],[échéance de réalisation]]&lt;TODAY(),"En retard","À jour"))</f>
        <v>À jour</v>
      </c>
      <c r="J125" s="109" t="s">
        <v>1121</v>
      </c>
      <c r="K125" s="10"/>
      <c r="L125" s="10"/>
      <c r="M125" s="31"/>
      <c r="N125" s="32"/>
      <c r="O125" s="31"/>
      <c r="P125" s="10"/>
      <c r="Q125" s="31"/>
      <c r="R125" s="31"/>
      <c r="S125" s="31"/>
      <c r="T125" s="31"/>
      <c r="U125" s="31"/>
      <c r="V125" s="31"/>
      <c r="W125" s="31"/>
      <c r="X125" s="31"/>
      <c r="Y125" s="31"/>
      <c r="Z125" s="31"/>
      <c r="AA125" s="31"/>
      <c r="AB125" s="31"/>
      <c r="AC125" s="31" t="s">
        <v>1322</v>
      </c>
    </row>
    <row r="126" spans="1:29" ht="30" customHeight="1" x14ac:dyDescent="0.3">
      <c r="A126" s="270">
        <v>45765</v>
      </c>
      <c r="B126" s="270" t="s">
        <v>1128</v>
      </c>
      <c r="C126" s="270" t="s">
        <v>1117</v>
      </c>
      <c r="D126" s="270" t="s">
        <v>112</v>
      </c>
      <c r="E126" s="12"/>
      <c r="F126" s="388" t="s">
        <v>1329</v>
      </c>
      <c r="G126" s="271" t="s">
        <v>1330</v>
      </c>
      <c r="H126" s="273">
        <v>45930</v>
      </c>
      <c r="I126" s="277" t="str">
        <f ca="1">IF(ListeInventaire3811[[#This Row],[Statut de la réalisation de l''action]]="Effectué","À jour",IF(ListeInventaire3811[[#This Row],[échéance de réalisation]]&lt;TODAY(),"En retard","À jour"))</f>
        <v>En retard</v>
      </c>
      <c r="J126" s="109"/>
      <c r="K126" s="10"/>
      <c r="L126" s="10"/>
      <c r="M126" s="31"/>
      <c r="N126" s="32"/>
      <c r="O126" s="31"/>
      <c r="P126" s="10"/>
      <c r="Q126" s="31"/>
      <c r="R126" s="31"/>
      <c r="S126" s="31"/>
      <c r="T126" s="31"/>
      <c r="U126" s="31"/>
      <c r="V126" s="31"/>
      <c r="W126" s="31"/>
      <c r="X126" s="31"/>
      <c r="Y126" s="31"/>
      <c r="Z126" s="31"/>
      <c r="AA126" s="31"/>
      <c r="AB126" s="31"/>
      <c r="AC126" s="31" t="s">
        <v>1322</v>
      </c>
    </row>
    <row r="127" spans="1:29" ht="30" customHeight="1" x14ac:dyDescent="0.25">
      <c r="A127" s="270">
        <v>45765</v>
      </c>
      <c r="B127" s="270" t="s">
        <v>1128</v>
      </c>
      <c r="C127" s="270" t="s">
        <v>1117</v>
      </c>
      <c r="D127" s="270" t="s">
        <v>112</v>
      </c>
      <c r="E127" s="12"/>
      <c r="F127" s="270" t="s">
        <v>1331</v>
      </c>
      <c r="G127" s="271" t="s">
        <v>450</v>
      </c>
      <c r="H127" s="273">
        <v>45838</v>
      </c>
      <c r="I127" s="277" t="str">
        <f ca="1">IF(ListeInventaire3811[[#This Row],[Statut de la réalisation de l''action]]="Effectué","À jour",IF(ListeInventaire3811[[#This Row],[échéance de réalisation]]&lt;TODAY(),"En retard","À jour"))</f>
        <v>En retard</v>
      </c>
      <c r="J127" s="109" t="s">
        <v>1194</v>
      </c>
      <c r="K127" s="10"/>
      <c r="L127" s="10"/>
      <c r="M127" s="31"/>
      <c r="N127" s="32"/>
      <c r="O127" s="31"/>
      <c r="P127" s="10"/>
      <c r="Q127" s="31"/>
      <c r="R127" s="31"/>
      <c r="S127" s="31"/>
      <c r="T127" s="31"/>
      <c r="U127" s="31"/>
      <c r="V127" s="31"/>
      <c r="W127" s="31"/>
      <c r="X127" s="31"/>
      <c r="Y127" s="31"/>
      <c r="Z127" s="31"/>
      <c r="AA127" s="31"/>
      <c r="AB127" s="31"/>
      <c r="AC127" s="31" t="s">
        <v>1322</v>
      </c>
    </row>
    <row r="128" spans="1:29" ht="30" customHeight="1" x14ac:dyDescent="0.25">
      <c r="A128" s="270">
        <v>45765</v>
      </c>
      <c r="B128" s="270" t="s">
        <v>1128</v>
      </c>
      <c r="C128" s="270" t="s">
        <v>1117</v>
      </c>
      <c r="D128" s="270" t="s">
        <v>112</v>
      </c>
      <c r="E128" s="12"/>
      <c r="F128" s="278" t="s">
        <v>1332</v>
      </c>
      <c r="G128" s="271" t="s">
        <v>1333</v>
      </c>
      <c r="H128" s="273">
        <v>45838</v>
      </c>
      <c r="I128" s="277" t="str">
        <f ca="1">IF(ListeInventaire3811[[#This Row],[Statut de la réalisation de l''action]]="Effectué","À jour",IF(ListeInventaire3811[[#This Row],[échéance de réalisation]]&lt;TODAY(),"En retard","À jour"))</f>
        <v>En retard</v>
      </c>
      <c r="J128" s="109" t="s">
        <v>1182</v>
      </c>
      <c r="K128" s="10"/>
      <c r="L128" s="10"/>
      <c r="M128" s="31"/>
      <c r="N128" s="32"/>
      <c r="O128" s="31"/>
      <c r="P128" s="10"/>
      <c r="Q128" s="31"/>
      <c r="R128" s="31"/>
      <c r="S128" s="31"/>
      <c r="T128" s="31"/>
      <c r="U128" s="31"/>
      <c r="V128" s="31"/>
      <c r="W128" s="31"/>
      <c r="X128" s="31"/>
      <c r="Y128" s="31"/>
      <c r="Z128" s="31"/>
      <c r="AA128" s="31"/>
      <c r="AB128" s="31"/>
      <c r="AC128" s="31" t="s">
        <v>1334</v>
      </c>
    </row>
    <row r="129" spans="1:29" ht="41.1" customHeight="1" x14ac:dyDescent="0.25">
      <c r="A129" s="270">
        <v>45765</v>
      </c>
      <c r="B129" s="270" t="s">
        <v>1128</v>
      </c>
      <c r="C129" s="270" t="s">
        <v>1117</v>
      </c>
      <c r="D129" s="270" t="s">
        <v>112</v>
      </c>
      <c r="E129" s="12"/>
      <c r="F129" s="270" t="s">
        <v>1335</v>
      </c>
      <c r="G129" s="271" t="s">
        <v>1336</v>
      </c>
      <c r="H129" s="273">
        <v>45849</v>
      </c>
      <c r="I129" s="277" t="str">
        <f ca="1">IF(ListeInventaire3811[[#This Row],[Statut de la réalisation de l''action]]="Effectué","À jour",IF(ListeInventaire3811[[#This Row],[échéance de réalisation]]&lt;TODAY(),"En retard","À jour"))</f>
        <v>En retard</v>
      </c>
      <c r="J129" s="109" t="s">
        <v>1182</v>
      </c>
      <c r="K129" s="10"/>
      <c r="L129" s="10"/>
      <c r="M129" s="31"/>
      <c r="N129" s="32"/>
      <c r="O129" s="31"/>
      <c r="P129" s="10"/>
      <c r="Q129" s="31"/>
      <c r="R129" s="31"/>
      <c r="S129" s="31"/>
      <c r="T129" s="31"/>
      <c r="U129" s="31"/>
      <c r="V129" s="31"/>
      <c r="W129" s="31"/>
      <c r="X129" s="31"/>
      <c r="Y129" s="31"/>
      <c r="Z129" s="31"/>
      <c r="AA129" s="31"/>
      <c r="AB129" s="31"/>
      <c r="AC129" s="31" t="s">
        <v>1334</v>
      </c>
    </row>
    <row r="130" spans="1:29" ht="30" customHeight="1" x14ac:dyDescent="0.25">
      <c r="A130" s="270">
        <v>45765</v>
      </c>
      <c r="B130" s="270" t="s">
        <v>1128</v>
      </c>
      <c r="C130" s="270" t="s">
        <v>1117</v>
      </c>
      <c r="D130" s="270" t="s">
        <v>112</v>
      </c>
      <c r="E130" s="12"/>
      <c r="F130" s="270" t="s">
        <v>1337</v>
      </c>
      <c r="G130" s="271" t="s">
        <v>317</v>
      </c>
      <c r="H130" s="273">
        <v>45849</v>
      </c>
      <c r="I130" s="277" t="str">
        <f ca="1">IF(ListeInventaire3811[[#This Row],[Statut de la réalisation de l''action]]="Effectué","À jour",IF(ListeInventaire3811[[#This Row],[échéance de réalisation]]&lt;TODAY(),"En retard","À jour"))</f>
        <v>En retard</v>
      </c>
      <c r="J130" s="109" t="s">
        <v>1182</v>
      </c>
      <c r="K130" s="10"/>
      <c r="L130" s="10"/>
      <c r="M130" s="31"/>
      <c r="N130" s="32"/>
      <c r="O130" s="31"/>
      <c r="P130" s="10"/>
      <c r="Q130" s="31"/>
      <c r="R130" s="31"/>
      <c r="S130" s="31"/>
      <c r="T130" s="31"/>
      <c r="U130" s="31"/>
      <c r="V130" s="31"/>
      <c r="W130" s="31"/>
      <c r="X130" s="31"/>
      <c r="Y130" s="31"/>
      <c r="Z130" s="31"/>
      <c r="AA130" s="31"/>
      <c r="AB130" s="31"/>
      <c r="AC130" s="31" t="s">
        <v>1334</v>
      </c>
    </row>
    <row r="131" spans="1:29" ht="30" customHeight="1" x14ac:dyDescent="0.25">
      <c r="A131" s="270">
        <v>45765</v>
      </c>
      <c r="B131" s="270" t="s">
        <v>1128</v>
      </c>
      <c r="C131" s="270" t="s">
        <v>1117</v>
      </c>
      <c r="D131" s="270" t="s">
        <v>112</v>
      </c>
      <c r="E131" s="9"/>
      <c r="F131" s="270" t="s">
        <v>1338</v>
      </c>
      <c r="G131" s="271" t="s">
        <v>1339</v>
      </c>
      <c r="H131" s="273">
        <v>45849</v>
      </c>
      <c r="I131" s="277" t="str">
        <f ca="1">IF(ListeInventaire3811[[#This Row],[Statut de la réalisation de l''action]]="Effectué","À jour",IF(ListeInventaire3811[[#This Row],[échéance de réalisation]]&lt;TODAY(),"En retard","À jour"))</f>
        <v>En retard</v>
      </c>
      <c r="J131" s="109" t="s">
        <v>1182</v>
      </c>
      <c r="K131" s="10"/>
      <c r="L131" s="10"/>
      <c r="M131" s="31"/>
      <c r="N131" s="32"/>
      <c r="O131" s="31"/>
      <c r="P131" s="10"/>
      <c r="Q131" s="31"/>
      <c r="R131" s="31"/>
      <c r="S131" s="31"/>
      <c r="T131" s="31"/>
      <c r="U131" s="31"/>
      <c r="V131" s="31"/>
      <c r="W131" s="31"/>
      <c r="X131" s="31"/>
      <c r="Y131" s="31"/>
      <c r="Z131" s="31"/>
      <c r="AA131" s="31"/>
      <c r="AB131" s="31"/>
      <c r="AC131" s="31" t="s">
        <v>1334</v>
      </c>
    </row>
    <row r="132" spans="1:29" ht="18.75" x14ac:dyDescent="0.25">
      <c r="A132" s="270">
        <v>45765</v>
      </c>
      <c r="B132" s="270" t="s">
        <v>1128</v>
      </c>
      <c r="C132" s="270" t="s">
        <v>1117</v>
      </c>
      <c r="D132" s="270" t="s">
        <v>112</v>
      </c>
      <c r="E132" s="271"/>
      <c r="F132" s="270" t="s">
        <v>1340</v>
      </c>
      <c r="G132" s="271" t="s">
        <v>342</v>
      </c>
      <c r="H132" s="273">
        <v>45838</v>
      </c>
      <c r="I132" s="277" t="str">
        <f ca="1">IF(ListeInventaire3811[[#This Row],[Statut de la réalisation de l''action]]="Effectué","À jour",IF(ListeInventaire3811[[#This Row],[échéance de réalisation]]&lt;TODAY(),"En retard","À jour"))</f>
        <v>En retard</v>
      </c>
      <c r="J132" s="277" t="s">
        <v>1182</v>
      </c>
      <c r="K132" s="10"/>
      <c r="L132" s="10"/>
      <c r="M132" s="31"/>
      <c r="N132" s="32"/>
      <c r="O132" s="31"/>
      <c r="P132" s="10"/>
      <c r="Q132" s="31"/>
      <c r="R132" s="31"/>
      <c r="S132" s="31"/>
      <c r="T132" s="31"/>
      <c r="U132" s="31"/>
      <c r="V132" s="31"/>
      <c r="W132" s="31"/>
      <c r="X132" s="31"/>
      <c r="Y132" s="31"/>
      <c r="Z132" s="31"/>
      <c r="AA132" s="31"/>
      <c r="AB132" s="31"/>
      <c r="AC132" s="31" t="s">
        <v>1334</v>
      </c>
    </row>
    <row r="133" spans="1:29" ht="30" customHeight="1" x14ac:dyDescent="0.25">
      <c r="A133" s="270">
        <v>45765</v>
      </c>
      <c r="B133" s="270" t="s">
        <v>1128</v>
      </c>
      <c r="C133" s="270" t="s">
        <v>1117</v>
      </c>
      <c r="D133" s="270" t="s">
        <v>112</v>
      </c>
      <c r="E133" s="271"/>
      <c r="F133" s="278" t="s">
        <v>1341</v>
      </c>
      <c r="G133" s="271" t="s">
        <v>1288</v>
      </c>
      <c r="H133" s="273">
        <v>45807</v>
      </c>
      <c r="I133" s="277" t="str">
        <f ca="1">IF(ListeInventaire3811[[#This Row],[Statut de la réalisation de l''action]]="Effectué","À jour",IF(ListeInventaire3811[[#This Row],[échéance de réalisation]]&lt;TODAY(),"En retard","À jour"))</f>
        <v>En retard</v>
      </c>
      <c r="J133" s="277" t="s">
        <v>1182</v>
      </c>
      <c r="K133" s="10"/>
      <c r="L133" s="10"/>
      <c r="M133" s="31"/>
      <c r="N133" s="32"/>
      <c r="O133" s="31"/>
      <c r="P133" s="10"/>
      <c r="Q133" s="31"/>
      <c r="R133" s="31"/>
      <c r="S133" s="31"/>
      <c r="T133" s="31"/>
      <c r="U133" s="31"/>
      <c r="V133" s="31"/>
      <c r="W133" s="31"/>
      <c r="X133" s="31"/>
      <c r="Y133" s="31"/>
      <c r="Z133" s="31"/>
      <c r="AA133" s="31"/>
      <c r="AB133" s="31"/>
      <c r="AC133" s="31" t="s">
        <v>1334</v>
      </c>
    </row>
    <row r="134" spans="1:29" ht="30" customHeight="1" x14ac:dyDescent="0.25">
      <c r="A134" s="270">
        <v>45765</v>
      </c>
      <c r="B134" s="270" t="s">
        <v>1128</v>
      </c>
      <c r="C134" s="270" t="s">
        <v>1117</v>
      </c>
      <c r="D134" s="270" t="s">
        <v>112</v>
      </c>
      <c r="E134" s="270"/>
      <c r="F134" s="270" t="s">
        <v>1320</v>
      </c>
      <c r="G134" s="270"/>
      <c r="H134" s="270"/>
      <c r="I134" s="277" t="str">
        <f ca="1">IF(ListeInventaire3811[[#This Row],[Statut de la réalisation de l''action]]="Effectué","À jour",IF(ListeInventaire3811[[#This Row],[échéance de réalisation]]&lt;TODAY(),"En retard","À jour"))</f>
        <v>En retard</v>
      </c>
      <c r="J134" s="109"/>
      <c r="K134" s="10"/>
      <c r="L134" s="10"/>
      <c r="M134" s="31"/>
      <c r="N134" s="32"/>
      <c r="O134" s="31"/>
      <c r="P134" s="10"/>
      <c r="Q134" s="31"/>
      <c r="R134" s="31"/>
      <c r="S134" s="31"/>
      <c r="T134" s="31"/>
      <c r="U134" s="31"/>
      <c r="V134" s="31"/>
      <c r="W134" s="31"/>
      <c r="X134" s="31"/>
      <c r="Y134" s="31"/>
      <c r="Z134" s="31"/>
      <c r="AA134" s="31"/>
      <c r="AB134" s="31"/>
      <c r="AC134" s="31" t="s">
        <v>1334</v>
      </c>
    </row>
    <row r="135" spans="1:29" ht="45" customHeight="1" x14ac:dyDescent="0.25">
      <c r="A135" s="279">
        <v>45775</v>
      </c>
      <c r="B135" s="271" t="s">
        <v>1342</v>
      </c>
      <c r="C135" s="271" t="s">
        <v>1343</v>
      </c>
      <c r="D135" s="271" t="s">
        <v>1344</v>
      </c>
      <c r="E135" s="271" t="s">
        <v>1129</v>
      </c>
      <c r="F135" s="272" t="s">
        <v>1345</v>
      </c>
      <c r="G135" s="271" t="s">
        <v>1346</v>
      </c>
      <c r="H135" s="273">
        <v>45836</v>
      </c>
      <c r="I135" s="277" t="str">
        <f ca="1">IF(ListeInventaire3811[[#This Row],[Statut de la réalisation de l''action]]="Effectué","À jour",IF(ListeInventaire3811[[#This Row],[échéance de réalisation]]&lt;TODAY(),"En retard","À jour"))</f>
        <v>En retard</v>
      </c>
      <c r="J135" s="275" t="s">
        <v>1182</v>
      </c>
      <c r="K135" s="274"/>
      <c r="L135" s="274"/>
      <c r="M135" s="275"/>
      <c r="N135" s="276"/>
      <c r="O135" s="275"/>
      <c r="P135" s="274"/>
      <c r="Q135" s="31"/>
      <c r="R135" s="31"/>
      <c r="S135" s="31"/>
      <c r="T135" s="31"/>
      <c r="U135" s="31"/>
      <c r="V135" s="31"/>
      <c r="W135" s="31"/>
      <c r="X135" s="31"/>
      <c r="Y135" s="31"/>
      <c r="Z135" s="31"/>
      <c r="AA135" s="31"/>
      <c r="AB135" s="31"/>
      <c r="AC135" s="31"/>
    </row>
    <row r="136" spans="1:29" ht="30" customHeight="1" x14ac:dyDescent="0.25">
      <c r="A136" s="279">
        <v>45789</v>
      </c>
      <c r="B136" s="271" t="s">
        <v>61</v>
      </c>
      <c r="C136" s="271" t="s">
        <v>43</v>
      </c>
      <c r="D136" s="9" t="s">
        <v>35</v>
      </c>
      <c r="E136" s="9" t="s">
        <v>1129</v>
      </c>
      <c r="F136" s="11" t="s">
        <v>1347</v>
      </c>
      <c r="G136" s="9" t="s">
        <v>1127</v>
      </c>
      <c r="H136" s="25">
        <v>45807</v>
      </c>
      <c r="I136" s="277" t="str">
        <f ca="1">IF(ListeInventaire3811[[#This Row],[Statut de la réalisation de l''action]]="Effectué","À jour",IF(ListeInventaire3811[[#This Row],[échéance de réalisation]]&lt;TODAY(),"En retard","À jour"))</f>
        <v>À jour</v>
      </c>
      <c r="J136" s="31" t="s">
        <v>1121</v>
      </c>
      <c r="K136" s="10"/>
      <c r="L136" s="10"/>
      <c r="M136" s="31"/>
      <c r="N136" s="32"/>
      <c r="O136" s="31"/>
      <c r="P136" s="10"/>
      <c r="Q136" s="31"/>
      <c r="R136" s="31"/>
      <c r="S136" s="31"/>
      <c r="T136" s="31"/>
      <c r="U136" s="31"/>
      <c r="V136" s="31"/>
      <c r="W136" s="31"/>
      <c r="X136" s="31"/>
      <c r="Y136" s="31"/>
      <c r="Z136" s="31"/>
      <c r="AA136" s="31"/>
      <c r="AB136" s="31"/>
      <c r="AC136" s="31"/>
    </row>
    <row r="137" spans="1:29" ht="30" customHeight="1" x14ac:dyDescent="0.25">
      <c r="A137" s="279">
        <v>45789</v>
      </c>
      <c r="B137" s="271" t="s">
        <v>61</v>
      </c>
      <c r="C137" s="271" t="s">
        <v>43</v>
      </c>
      <c r="D137" s="9" t="s">
        <v>35</v>
      </c>
      <c r="E137" s="9" t="s">
        <v>1129</v>
      </c>
      <c r="F137" s="11" t="s">
        <v>1348</v>
      </c>
      <c r="G137" s="9" t="s">
        <v>1349</v>
      </c>
      <c r="H137" s="25">
        <v>45838</v>
      </c>
      <c r="I137" s="277" t="str">
        <f ca="1">IF(ListeInventaire3811[[#This Row],[Statut de la réalisation de l''action]]="Effectué","À jour",IF(ListeInventaire3811[[#This Row],[échéance de réalisation]]&lt;TODAY(),"En retard","À jour"))</f>
        <v>À jour</v>
      </c>
      <c r="J137" s="31" t="s">
        <v>1121</v>
      </c>
      <c r="K137" s="10"/>
      <c r="L137" s="10"/>
      <c r="M137" s="31"/>
      <c r="N137" s="32"/>
      <c r="O137" s="31"/>
      <c r="P137" s="10"/>
      <c r="Q137" s="31"/>
      <c r="R137" s="31"/>
      <c r="S137" s="31"/>
      <c r="T137" s="31"/>
      <c r="U137" s="31"/>
      <c r="V137" s="31"/>
      <c r="W137" s="31"/>
      <c r="X137" s="31"/>
      <c r="Y137" s="31"/>
      <c r="Z137" s="31"/>
      <c r="AA137" s="31"/>
      <c r="AB137" s="31"/>
      <c r="AC137" s="31"/>
    </row>
    <row r="138" spans="1:29" ht="41.1" customHeight="1" x14ac:dyDescent="0.25">
      <c r="A138" s="279">
        <v>45789</v>
      </c>
      <c r="B138" s="271" t="s">
        <v>61</v>
      </c>
      <c r="C138" s="271" t="s">
        <v>43</v>
      </c>
      <c r="D138" s="9" t="s">
        <v>35</v>
      </c>
      <c r="E138" s="9" t="s">
        <v>1129</v>
      </c>
      <c r="F138" s="11" t="s">
        <v>1350</v>
      </c>
      <c r="G138" s="9" t="s">
        <v>1127</v>
      </c>
      <c r="H138" s="25">
        <v>45823</v>
      </c>
      <c r="I138" s="277" t="str">
        <f ca="1">IF(ListeInventaire3811[[#This Row],[Statut de la réalisation de l''action]]="Effectué","À jour",IF(ListeInventaire3811[[#This Row],[échéance de réalisation]]&lt;TODAY(),"En retard","À jour"))</f>
        <v>En retard</v>
      </c>
      <c r="J138" s="31"/>
      <c r="K138" s="10"/>
      <c r="L138" s="10"/>
      <c r="M138" s="31"/>
      <c r="N138" s="32"/>
      <c r="O138" s="31"/>
      <c r="P138" s="10"/>
      <c r="Q138" s="31"/>
      <c r="R138" s="31"/>
      <c r="S138" s="31"/>
      <c r="T138" s="31"/>
      <c r="U138" s="31"/>
      <c r="V138" s="31"/>
      <c r="W138" s="31"/>
      <c r="X138" s="31"/>
      <c r="Y138" s="31"/>
      <c r="Z138" s="31"/>
      <c r="AA138" s="31"/>
      <c r="AB138" s="31"/>
      <c r="AC138" s="31"/>
    </row>
    <row r="139" spans="1:29" ht="41.1" customHeight="1" x14ac:dyDescent="0.25">
      <c r="A139" s="279">
        <v>45791</v>
      </c>
      <c r="B139" s="271" t="s">
        <v>1128</v>
      </c>
      <c r="C139" s="271" t="s">
        <v>1351</v>
      </c>
      <c r="D139" s="271" t="s">
        <v>1706</v>
      </c>
      <c r="E139" s="271" t="s">
        <v>1180</v>
      </c>
      <c r="F139" s="13" t="s">
        <v>1352</v>
      </c>
      <c r="G139" s="12" t="s">
        <v>1353</v>
      </c>
      <c r="H139" s="27">
        <v>45853</v>
      </c>
      <c r="I139" s="277" t="str">
        <f ca="1">IF(ListeInventaire3811[[#This Row],[Statut de la réalisation de l''action]]="Effectué","À jour",IF(ListeInventaire3811[[#This Row],[échéance de réalisation]]&lt;TODAY(),"En retard","À jour"))</f>
        <v>À jour</v>
      </c>
      <c r="J139" s="31" t="s">
        <v>1121</v>
      </c>
      <c r="K139" s="10"/>
      <c r="L139" s="10"/>
      <c r="M139" s="31"/>
      <c r="N139" s="32"/>
      <c r="O139" s="31"/>
      <c r="P139" s="10"/>
      <c r="Q139" s="31"/>
      <c r="R139" s="31"/>
      <c r="S139" s="31"/>
      <c r="T139" s="31"/>
      <c r="U139" s="31"/>
      <c r="V139" s="31"/>
      <c r="W139" s="31"/>
      <c r="X139" s="31"/>
      <c r="Y139" s="31"/>
      <c r="Z139" s="31"/>
      <c r="AA139" s="31"/>
      <c r="AB139" s="31"/>
      <c r="AC139" s="31"/>
    </row>
    <row r="140" spans="1:29" ht="41.1" customHeight="1" x14ac:dyDescent="0.25">
      <c r="A140" s="279">
        <v>45791</v>
      </c>
      <c r="B140" s="271" t="s">
        <v>1128</v>
      </c>
      <c r="C140" s="271" t="s">
        <v>1351</v>
      </c>
      <c r="D140" s="271" t="s">
        <v>1706</v>
      </c>
      <c r="E140" s="9" t="s">
        <v>583</v>
      </c>
      <c r="F140" s="11" t="s">
        <v>1354</v>
      </c>
      <c r="G140" s="9" t="s">
        <v>1355</v>
      </c>
      <c r="H140" s="25">
        <v>45853</v>
      </c>
      <c r="I140" s="277" t="str">
        <f ca="1">IF(ListeInventaire3811[[#This Row],[Statut de la réalisation de l''action]]="Effectué","À jour",IF(ListeInventaire3811[[#This Row],[échéance de réalisation]]&lt;TODAY(),"En retard","À jour"))</f>
        <v>En retard</v>
      </c>
      <c r="J140" s="31" t="s">
        <v>1182</v>
      </c>
      <c r="K140" s="10"/>
      <c r="L140" s="10"/>
      <c r="M140" s="31"/>
      <c r="N140" s="32"/>
      <c r="O140" s="31"/>
      <c r="P140" s="10"/>
      <c r="Q140" s="31"/>
      <c r="R140" s="31"/>
      <c r="S140" s="31"/>
      <c r="T140" s="31"/>
      <c r="U140" s="31"/>
      <c r="V140" s="31"/>
      <c r="W140" s="31"/>
      <c r="X140" s="31"/>
      <c r="Y140" s="31"/>
      <c r="Z140" s="31"/>
      <c r="AA140" s="31"/>
      <c r="AB140" s="31"/>
      <c r="AC140" s="31"/>
    </row>
    <row r="141" spans="1:29" ht="41.1" customHeight="1" x14ac:dyDescent="0.25">
      <c r="A141" s="279">
        <v>45791</v>
      </c>
      <c r="B141" s="271" t="s">
        <v>1128</v>
      </c>
      <c r="C141" s="271" t="s">
        <v>1351</v>
      </c>
      <c r="D141" s="271" t="s">
        <v>1706</v>
      </c>
      <c r="E141" s="9" t="s">
        <v>1249</v>
      </c>
      <c r="F141" s="11" t="s">
        <v>1356</v>
      </c>
      <c r="G141" s="9" t="s">
        <v>1214</v>
      </c>
      <c r="H141" s="25">
        <v>45853</v>
      </c>
      <c r="I141" s="277" t="str">
        <f ca="1">IF(ListeInventaire3811[[#This Row],[Statut de la réalisation de l''action]]="Effectué","À jour",IF(ListeInventaire3811[[#This Row],[échéance de réalisation]]&lt;TODAY(),"En retard","À jour"))</f>
        <v>À jour</v>
      </c>
      <c r="J141" s="31" t="s">
        <v>1121</v>
      </c>
      <c r="K141" s="10"/>
      <c r="L141" s="10"/>
      <c r="M141" s="31"/>
      <c r="N141" s="32"/>
      <c r="O141" s="31"/>
      <c r="P141" s="10"/>
      <c r="Q141" s="31"/>
      <c r="R141" s="31"/>
      <c r="S141" s="31"/>
      <c r="T141" s="31"/>
      <c r="U141" s="31"/>
      <c r="V141" s="31"/>
      <c r="W141" s="31"/>
      <c r="X141" s="31"/>
      <c r="Y141" s="31"/>
      <c r="Z141" s="31"/>
      <c r="AA141" s="31"/>
      <c r="AB141" s="31"/>
      <c r="AC141" s="31"/>
    </row>
    <row r="142" spans="1:29" ht="41.1" customHeight="1" x14ac:dyDescent="0.25">
      <c r="A142" s="279">
        <v>45791</v>
      </c>
      <c r="B142" s="271" t="s">
        <v>1128</v>
      </c>
      <c r="C142" s="271" t="s">
        <v>1351</v>
      </c>
      <c r="D142" s="271" t="s">
        <v>1706</v>
      </c>
      <c r="E142" s="12" t="s">
        <v>1357</v>
      </c>
      <c r="F142" s="13" t="s">
        <v>1358</v>
      </c>
      <c r="G142" s="12" t="s">
        <v>1359</v>
      </c>
      <c r="H142" s="27">
        <v>45853</v>
      </c>
      <c r="I142" s="277" t="str">
        <f ca="1">IF(ListeInventaire3811[[#This Row],[Statut de la réalisation de l''action]]="Effectué","À jour",IF(ListeInventaire3811[[#This Row],[échéance de réalisation]]&lt;TODAY(),"En retard","À jour"))</f>
        <v>À jour</v>
      </c>
      <c r="J142" s="31" t="s">
        <v>1121</v>
      </c>
      <c r="K142" s="10"/>
      <c r="L142" s="10"/>
      <c r="M142" s="31"/>
      <c r="N142" s="32"/>
      <c r="O142" s="109"/>
      <c r="P142" s="10"/>
      <c r="Q142" s="31"/>
      <c r="R142" s="31"/>
      <c r="S142" s="31"/>
      <c r="T142" s="31"/>
      <c r="U142" s="31"/>
      <c r="V142" s="31"/>
      <c r="W142" s="31"/>
      <c r="X142" s="31"/>
      <c r="Y142" s="31"/>
      <c r="Z142" s="31"/>
      <c r="AA142" s="31"/>
      <c r="AB142" s="31"/>
      <c r="AC142" s="31" t="s">
        <v>1360</v>
      </c>
    </row>
    <row r="143" spans="1:29" ht="41.1" customHeight="1" x14ac:dyDescent="0.25">
      <c r="A143" s="279">
        <v>45791</v>
      </c>
      <c r="B143" s="271" t="s">
        <v>1128</v>
      </c>
      <c r="C143" s="271" t="s">
        <v>1351</v>
      </c>
      <c r="D143" s="271" t="s">
        <v>1706</v>
      </c>
      <c r="E143" s="12" t="s">
        <v>1218</v>
      </c>
      <c r="F143" s="13" t="s">
        <v>1361</v>
      </c>
      <c r="G143" s="12" t="s">
        <v>1362</v>
      </c>
      <c r="H143" s="27">
        <v>45900</v>
      </c>
      <c r="I143" s="277" t="str">
        <f ca="1">IF(ListeInventaire3811[[#This Row],[Statut de la réalisation de l''action]]="Effectué","À jour",IF(ListeInventaire3811[[#This Row],[échéance de réalisation]]&lt;TODAY(),"En retard","À jour"))</f>
        <v>À jour</v>
      </c>
      <c r="J143" s="31" t="s">
        <v>1121</v>
      </c>
      <c r="K143" s="10"/>
      <c r="L143" s="10"/>
      <c r="M143" s="31"/>
      <c r="N143" s="32"/>
      <c r="O143" s="31"/>
      <c r="P143" s="10"/>
      <c r="Q143" s="31"/>
      <c r="R143" s="31"/>
      <c r="S143" s="31"/>
      <c r="T143" s="31"/>
      <c r="U143" s="31"/>
      <c r="V143" s="31"/>
      <c r="W143" s="31"/>
      <c r="X143" s="31"/>
      <c r="Y143" s="31"/>
      <c r="Z143" s="31"/>
      <c r="AA143" s="31"/>
      <c r="AB143" s="31"/>
      <c r="AC143" s="31"/>
    </row>
    <row r="144" spans="1:29" ht="41.1" customHeight="1" x14ac:dyDescent="0.25">
      <c r="A144" s="279">
        <v>45791</v>
      </c>
      <c r="B144" s="271" t="s">
        <v>1128</v>
      </c>
      <c r="C144" s="271" t="s">
        <v>1351</v>
      </c>
      <c r="D144" s="271" t="s">
        <v>1706</v>
      </c>
      <c r="E144" s="9" t="s">
        <v>1129</v>
      </c>
      <c r="F144" s="11" t="s">
        <v>1363</v>
      </c>
      <c r="G144" s="9" t="s">
        <v>1127</v>
      </c>
      <c r="H144" s="25">
        <v>45922</v>
      </c>
      <c r="I144" s="277" t="str">
        <f ca="1">IF(ListeInventaire3811[[#This Row],[Statut de la réalisation de l''action]]="Effectué","À jour",IF(ListeInventaire3811[[#This Row],[échéance de réalisation]]&lt;TODAY(),"En retard","À jour"))</f>
        <v>À jour</v>
      </c>
      <c r="J144" s="31" t="s">
        <v>1121</v>
      </c>
      <c r="K144" s="10"/>
      <c r="L144" s="10"/>
      <c r="M144" s="31"/>
      <c r="N144" s="32"/>
      <c r="O144" s="31"/>
      <c r="P144" s="10"/>
      <c r="Q144" s="31"/>
      <c r="R144" s="31"/>
      <c r="S144" s="31"/>
      <c r="T144" s="31"/>
      <c r="U144" s="31"/>
      <c r="V144" s="31"/>
      <c r="W144" s="31"/>
      <c r="X144" s="31"/>
      <c r="Y144" s="31"/>
      <c r="Z144" s="31"/>
      <c r="AA144" s="31"/>
      <c r="AB144" s="31"/>
      <c r="AC144" s="31"/>
    </row>
    <row r="145" spans="1:29" ht="41.1" customHeight="1" x14ac:dyDescent="0.25">
      <c r="A145" s="279">
        <v>45791</v>
      </c>
      <c r="B145" s="271" t="s">
        <v>1128</v>
      </c>
      <c r="C145" s="271" t="s">
        <v>1351</v>
      </c>
      <c r="D145" s="271" t="s">
        <v>1706</v>
      </c>
      <c r="E145" s="12" t="s">
        <v>1357</v>
      </c>
      <c r="F145" s="13" t="s">
        <v>1364</v>
      </c>
      <c r="G145" s="12" t="s">
        <v>1362</v>
      </c>
      <c r="H145" s="27">
        <v>45900</v>
      </c>
      <c r="I145" s="277" t="str">
        <f ca="1">IF(ListeInventaire3811[[#This Row],[Statut de la réalisation de l''action]]="Effectué","À jour",IF(ListeInventaire3811[[#This Row],[échéance de réalisation]]&lt;TODAY(),"En retard","À jour"))</f>
        <v>À jour</v>
      </c>
      <c r="J145" s="31" t="s">
        <v>1121</v>
      </c>
      <c r="K145" s="10"/>
      <c r="L145" s="10"/>
      <c r="M145" s="31"/>
      <c r="N145" s="32"/>
      <c r="O145" s="31"/>
      <c r="P145" s="10"/>
      <c r="Q145" s="31"/>
      <c r="R145" s="31"/>
      <c r="S145" s="31"/>
      <c r="T145" s="31"/>
      <c r="U145" s="31"/>
      <c r="V145" s="31"/>
      <c r="W145" s="31"/>
      <c r="X145" s="31"/>
      <c r="Y145" s="31"/>
      <c r="Z145" s="31"/>
      <c r="AA145" s="31"/>
      <c r="AB145" s="31"/>
      <c r="AC145" s="31"/>
    </row>
    <row r="146" spans="1:29" ht="41.1" customHeight="1" x14ac:dyDescent="0.25">
      <c r="A146" s="279">
        <v>45791</v>
      </c>
      <c r="B146" s="271" t="s">
        <v>1128</v>
      </c>
      <c r="C146" s="271" t="s">
        <v>1351</v>
      </c>
      <c r="D146" s="271" t="s">
        <v>1706</v>
      </c>
      <c r="E146" s="9" t="s">
        <v>1183</v>
      </c>
      <c r="F146" s="11" t="s">
        <v>1365</v>
      </c>
      <c r="G146" s="12" t="s">
        <v>1362</v>
      </c>
      <c r="H146" s="25">
        <v>45900</v>
      </c>
      <c r="I146" s="277" t="str">
        <f ca="1">IF(ListeInventaire3811[[#This Row],[Statut de la réalisation de l''action]]="Effectué","À jour",IF(ListeInventaire3811[[#This Row],[échéance de réalisation]]&lt;TODAY(),"En retard","À jour"))</f>
        <v>À jour</v>
      </c>
      <c r="J146" s="31" t="s">
        <v>1121</v>
      </c>
      <c r="K146" s="10"/>
      <c r="L146" s="10"/>
      <c r="M146" s="31"/>
      <c r="N146" s="32"/>
      <c r="O146" s="31"/>
      <c r="P146" s="10"/>
      <c r="Q146" s="31"/>
      <c r="R146" s="31"/>
      <c r="S146" s="31"/>
      <c r="T146" s="31"/>
      <c r="U146" s="31"/>
      <c r="V146" s="31"/>
      <c r="W146" s="31"/>
      <c r="X146" s="31"/>
      <c r="Y146" s="31"/>
      <c r="Z146" s="31"/>
      <c r="AA146" s="31"/>
      <c r="AB146" s="31"/>
      <c r="AC146" s="31"/>
    </row>
    <row r="147" spans="1:29" ht="41.1" customHeight="1" x14ac:dyDescent="0.25">
      <c r="A147" s="279">
        <v>45791</v>
      </c>
      <c r="B147" s="271" t="s">
        <v>1128</v>
      </c>
      <c r="C147" s="271" t="s">
        <v>1351</v>
      </c>
      <c r="D147" s="271" t="s">
        <v>1706</v>
      </c>
      <c r="E147" s="12" t="s">
        <v>1357</v>
      </c>
      <c r="F147" s="13" t="s">
        <v>1366</v>
      </c>
      <c r="G147" s="12" t="s">
        <v>1214</v>
      </c>
      <c r="H147" s="27">
        <v>45869</v>
      </c>
      <c r="I147" s="277" t="str">
        <f ca="1">IF(ListeInventaire3811[[#This Row],[Statut de la réalisation de l''action]]="Effectué","À jour",IF(ListeInventaire3811[[#This Row],[échéance de réalisation]]&lt;TODAY(),"En retard","À jour"))</f>
        <v>À jour</v>
      </c>
      <c r="J147" s="31" t="s">
        <v>1121</v>
      </c>
      <c r="K147" s="10"/>
      <c r="L147" s="10"/>
      <c r="M147" s="31"/>
      <c r="N147" s="32"/>
      <c r="O147" s="31"/>
      <c r="P147" s="10"/>
      <c r="Q147" s="31"/>
      <c r="R147" s="31"/>
      <c r="S147" s="31"/>
      <c r="T147" s="31"/>
      <c r="U147" s="31"/>
      <c r="V147" s="31"/>
      <c r="W147" s="31"/>
      <c r="X147" s="31"/>
      <c r="Y147" s="31"/>
      <c r="Z147" s="31"/>
      <c r="AA147" s="31"/>
      <c r="AB147" s="31"/>
      <c r="AC147" s="31"/>
    </row>
    <row r="148" spans="1:29" ht="41.1" customHeight="1" x14ac:dyDescent="0.25">
      <c r="A148" s="279">
        <v>45791</v>
      </c>
      <c r="B148" s="271" t="s">
        <v>1128</v>
      </c>
      <c r="C148" s="271" t="s">
        <v>1351</v>
      </c>
      <c r="D148" s="271" t="s">
        <v>1706</v>
      </c>
      <c r="E148" s="12" t="s">
        <v>1357</v>
      </c>
      <c r="F148" s="13" t="s">
        <v>1367</v>
      </c>
      <c r="G148" s="9" t="s">
        <v>1355</v>
      </c>
      <c r="H148" s="27">
        <v>46022</v>
      </c>
      <c r="I148" s="277" t="str">
        <f ca="1">IF(ListeInventaire3811[[#This Row],[Statut de la réalisation de l''action]]="Effectué","À jour",IF(ListeInventaire3811[[#This Row],[échéance de réalisation]]&lt;TODAY(),"En retard","À jour"))</f>
        <v>En retard</v>
      </c>
      <c r="J148" s="31" t="s">
        <v>1182</v>
      </c>
      <c r="K148" s="10"/>
      <c r="L148" s="10"/>
      <c r="M148" s="31"/>
      <c r="N148" s="32"/>
      <c r="O148" s="31"/>
      <c r="P148" s="10"/>
      <c r="Q148" s="31"/>
      <c r="R148" s="31"/>
      <c r="S148" s="31"/>
      <c r="T148" s="31"/>
      <c r="U148" s="31"/>
      <c r="V148" s="31"/>
      <c r="W148" s="31"/>
      <c r="X148" s="31"/>
      <c r="Y148" s="31"/>
      <c r="Z148" s="31"/>
      <c r="AA148" s="31"/>
      <c r="AB148" s="31"/>
      <c r="AC148" s="31"/>
    </row>
    <row r="149" spans="1:29" ht="41.1" customHeight="1" x14ac:dyDescent="0.25">
      <c r="A149" s="279">
        <v>45791</v>
      </c>
      <c r="B149" s="271" t="s">
        <v>1128</v>
      </c>
      <c r="C149" s="271" t="s">
        <v>1351</v>
      </c>
      <c r="D149" s="271" t="s">
        <v>1706</v>
      </c>
      <c r="E149" s="12" t="s">
        <v>1218</v>
      </c>
      <c r="F149" s="13" t="s">
        <v>1368</v>
      </c>
      <c r="G149" s="12" t="s">
        <v>1369</v>
      </c>
      <c r="H149" s="27">
        <v>46022</v>
      </c>
      <c r="I149" s="277" t="str">
        <f ca="1">IF(ListeInventaire3811[[#This Row],[Statut de la réalisation de l''action]]="Effectué","À jour",IF(ListeInventaire3811[[#This Row],[échéance de réalisation]]&lt;TODAY(),"En retard","À jour"))</f>
        <v>En retard</v>
      </c>
      <c r="J149" s="31" t="s">
        <v>1182</v>
      </c>
      <c r="K149" s="10"/>
      <c r="L149" s="10"/>
      <c r="M149" s="31"/>
      <c r="N149" s="32"/>
      <c r="O149" s="109"/>
      <c r="P149" s="10"/>
      <c r="Q149" s="31"/>
      <c r="R149" s="31"/>
      <c r="S149" s="31"/>
      <c r="T149" s="31"/>
      <c r="U149" s="31"/>
      <c r="V149" s="31"/>
      <c r="W149" s="31"/>
      <c r="X149" s="31"/>
      <c r="Y149" s="31"/>
      <c r="Z149" s="31"/>
      <c r="AA149" s="31"/>
      <c r="AB149" s="31"/>
      <c r="AC149" s="31"/>
    </row>
    <row r="150" spans="1:29" ht="41.1" customHeight="1" x14ac:dyDescent="0.25">
      <c r="A150" s="279">
        <v>45797</v>
      </c>
      <c r="B150" s="271" t="s">
        <v>1370</v>
      </c>
      <c r="C150" s="9" t="s">
        <v>1371</v>
      </c>
      <c r="D150" s="9" t="s">
        <v>51</v>
      </c>
      <c r="E150" s="9" t="s">
        <v>1218</v>
      </c>
      <c r="F150" s="11" t="s">
        <v>1372</v>
      </c>
      <c r="G150" s="9" t="s">
        <v>565</v>
      </c>
      <c r="H150" s="25">
        <v>45858</v>
      </c>
      <c r="I150" s="277" t="str">
        <f ca="1">IF(ListeInventaire3811[[#This Row],[Statut de la réalisation de l''action]]="Effectué","À jour",IF(ListeInventaire3811[[#This Row],[échéance de réalisation]]&lt;TODAY(),"En retard","À jour"))</f>
        <v>En retard</v>
      </c>
      <c r="J150" s="31" t="s">
        <v>1182</v>
      </c>
      <c r="K150" s="10"/>
      <c r="L150" s="10"/>
      <c r="M150" s="31"/>
      <c r="N150" s="32"/>
      <c r="O150" s="31"/>
      <c r="P150" s="10"/>
      <c r="Q150" s="31"/>
      <c r="R150" s="31"/>
      <c r="S150" s="31"/>
      <c r="T150" s="31"/>
      <c r="U150" s="31"/>
      <c r="V150" s="31"/>
      <c r="W150" s="31"/>
      <c r="X150" s="31"/>
      <c r="Y150" s="31"/>
      <c r="Z150" s="31"/>
      <c r="AA150" s="31"/>
      <c r="AB150" s="31"/>
      <c r="AC150" s="31"/>
    </row>
    <row r="151" spans="1:29" ht="41.1" customHeight="1" x14ac:dyDescent="0.25">
      <c r="A151" s="279">
        <v>45798</v>
      </c>
      <c r="B151" s="271" t="s">
        <v>1230</v>
      </c>
      <c r="C151" s="271" t="s">
        <v>1373</v>
      </c>
      <c r="D151" s="271" t="s">
        <v>51</v>
      </c>
      <c r="E151" s="12" t="s">
        <v>1218</v>
      </c>
      <c r="F151" s="13" t="s">
        <v>1374</v>
      </c>
      <c r="G151" s="12" t="s">
        <v>1127</v>
      </c>
      <c r="H151" s="27">
        <v>45838</v>
      </c>
      <c r="I151" s="277" t="str">
        <f ca="1">IF(ListeInventaire3811[[#This Row],[Statut de la réalisation de l''action]]="Effectué","À jour",IF(ListeInventaire3811[[#This Row],[échéance de réalisation]]&lt;TODAY(),"En retard","À jour"))</f>
        <v>En retard</v>
      </c>
      <c r="J151" s="31" t="s">
        <v>1182</v>
      </c>
      <c r="K151" s="4"/>
      <c r="L151" s="4"/>
      <c r="N151" s="4"/>
      <c r="P151" s="4"/>
      <c r="W151" s="4"/>
      <c r="X151" s="4"/>
    </row>
    <row r="152" spans="1:29" ht="41.1" customHeight="1" x14ac:dyDescent="0.25">
      <c r="A152" s="279">
        <v>45819</v>
      </c>
      <c r="B152" s="271" t="s">
        <v>1207</v>
      </c>
      <c r="C152" s="9" t="s">
        <v>843</v>
      </c>
      <c r="D152" s="9" t="s">
        <v>51</v>
      </c>
      <c r="E152" s="9" t="s">
        <v>1129</v>
      </c>
      <c r="F152" s="11" t="s">
        <v>1208</v>
      </c>
      <c r="G152" s="9" t="s">
        <v>1127</v>
      </c>
      <c r="H152" s="25">
        <v>45849</v>
      </c>
      <c r="I152" s="277" t="str">
        <f ca="1">IF(ListeInventaire3811[[#This Row],[Statut de la réalisation de l''action]]="Effectué","À jour",IF(ListeInventaire3811[[#This Row],[échéance de réalisation]]&lt;TODAY(),"En retard","À jour"))</f>
        <v>En retard</v>
      </c>
      <c r="J152" s="31" t="s">
        <v>1182</v>
      </c>
      <c r="K152" s="10"/>
      <c r="L152" s="10"/>
      <c r="M152" s="31"/>
      <c r="N152" s="32"/>
      <c r="O152" s="31"/>
      <c r="P152" s="10"/>
      <c r="Q152" s="31"/>
      <c r="R152" s="31"/>
      <c r="S152" s="31"/>
      <c r="T152" s="31"/>
      <c r="U152" s="31"/>
      <c r="V152" s="31"/>
      <c r="W152" s="31"/>
      <c r="X152" s="31"/>
      <c r="Y152" s="31"/>
      <c r="Z152" s="31"/>
      <c r="AA152" s="31"/>
      <c r="AB152" s="31"/>
      <c r="AC152" s="31"/>
    </row>
    <row r="153" spans="1:29" ht="41.1" customHeight="1" x14ac:dyDescent="0.25">
      <c r="A153" s="279">
        <v>45825</v>
      </c>
      <c r="B153" s="271" t="s">
        <v>1370</v>
      </c>
      <c r="C153" s="9" t="s">
        <v>43</v>
      </c>
      <c r="D153" s="9" t="s">
        <v>35</v>
      </c>
      <c r="E153" s="9" t="s">
        <v>1249</v>
      </c>
      <c r="F153" s="11" t="s">
        <v>1375</v>
      </c>
      <c r="G153" s="9" t="s">
        <v>1127</v>
      </c>
      <c r="H153" s="25">
        <v>45842</v>
      </c>
      <c r="I153" s="277"/>
      <c r="J153" s="31" t="s">
        <v>1376</v>
      </c>
      <c r="K153" s="10"/>
      <c r="L153" s="10"/>
      <c r="M153" s="31"/>
      <c r="N153" s="32"/>
      <c r="O153" s="31"/>
      <c r="P153" s="10"/>
      <c r="Q153" s="31"/>
      <c r="R153" s="31"/>
      <c r="S153" s="31"/>
      <c r="T153" s="31"/>
      <c r="U153" s="31"/>
      <c r="V153" s="31"/>
      <c r="W153" s="31"/>
      <c r="X153" s="31"/>
      <c r="Y153" s="31"/>
      <c r="Z153" s="31"/>
      <c r="AA153" s="31"/>
      <c r="AB153" s="31"/>
      <c r="AC153" s="31"/>
    </row>
    <row r="154" spans="1:29" ht="41.1" customHeight="1" x14ac:dyDescent="0.25">
      <c r="A154" s="279">
        <v>45827</v>
      </c>
      <c r="B154" s="271" t="s">
        <v>1230</v>
      </c>
      <c r="C154" s="271" t="s">
        <v>180</v>
      </c>
      <c r="D154" s="271" t="s">
        <v>35</v>
      </c>
      <c r="E154" s="12" t="s">
        <v>1129</v>
      </c>
      <c r="F154" s="13" t="s">
        <v>1377</v>
      </c>
      <c r="G154" s="12" t="s">
        <v>1127</v>
      </c>
      <c r="H154" s="27">
        <v>45833</v>
      </c>
      <c r="I154" s="277" t="str">
        <f ca="1">IF(ListeInventaire3811[[#This Row],[Statut de la réalisation de l''action]]="Effectué","À jour",IF(ListeInventaire3811[[#This Row],[échéance de réalisation]]&lt;TODAY(),"En retard","À jour"))</f>
        <v>À jour</v>
      </c>
      <c r="J154" s="31" t="s">
        <v>1121</v>
      </c>
      <c r="K154" s="4"/>
      <c r="L154" s="4"/>
      <c r="N154" s="4"/>
      <c r="P154" s="4"/>
      <c r="W154" s="4"/>
      <c r="X154" s="4"/>
    </row>
    <row r="155" spans="1:29" ht="41.1" customHeight="1" x14ac:dyDescent="0.25">
      <c r="A155" s="279">
        <v>45833</v>
      </c>
      <c r="B155" s="271" t="s">
        <v>61</v>
      </c>
      <c r="C155" s="271" t="s">
        <v>43</v>
      </c>
      <c r="D155" s="9" t="s">
        <v>35</v>
      </c>
      <c r="E155" s="9" t="s">
        <v>1129</v>
      </c>
      <c r="F155" s="11" t="s">
        <v>1378</v>
      </c>
      <c r="G155" s="9" t="s">
        <v>588</v>
      </c>
      <c r="H155" s="25">
        <v>45870</v>
      </c>
      <c r="I155" s="277" t="str">
        <f ca="1">IF(ListeInventaire3811[[#This Row],[Statut de la réalisation de l''action]]="Effectué","À jour",IF(ListeInventaire3811[[#This Row],[échéance de réalisation]]&lt;TODAY(),"En retard","À jour"))</f>
        <v>À jour</v>
      </c>
      <c r="J155" s="31" t="s">
        <v>1121</v>
      </c>
      <c r="K155" s="10"/>
      <c r="L155" s="10"/>
      <c r="M155" s="31"/>
      <c r="N155" s="32"/>
      <c r="O155" s="31"/>
      <c r="P155" s="10"/>
      <c r="Q155" s="31"/>
      <c r="R155" s="31"/>
      <c r="S155" s="31"/>
      <c r="T155" s="31"/>
      <c r="U155" s="31"/>
      <c r="V155" s="31"/>
      <c r="W155" s="31"/>
      <c r="X155" s="31"/>
      <c r="Y155" s="31"/>
      <c r="Z155" s="31"/>
      <c r="AA155" s="31"/>
      <c r="AB155" s="31"/>
      <c r="AC155" s="31"/>
    </row>
    <row r="156" spans="1:29" ht="41.1" customHeight="1" x14ac:dyDescent="0.25">
      <c r="A156" s="279">
        <v>45833</v>
      </c>
      <c r="B156" s="271" t="s">
        <v>61</v>
      </c>
      <c r="C156" s="271" t="s">
        <v>43</v>
      </c>
      <c r="D156" s="9" t="s">
        <v>35</v>
      </c>
      <c r="E156" s="9" t="s">
        <v>1129</v>
      </c>
      <c r="F156" s="11" t="s">
        <v>1379</v>
      </c>
      <c r="G156" s="9" t="s">
        <v>1127</v>
      </c>
      <c r="H156" s="25">
        <v>45870</v>
      </c>
      <c r="I156" s="277" t="str">
        <f ca="1">IF(ListeInventaire3811[[#This Row],[Statut de la réalisation de l''action]]="Effectué","À jour",IF(ListeInventaire3811[[#This Row],[échéance de réalisation]]&lt;TODAY(),"En retard","À jour"))</f>
        <v>À jour</v>
      </c>
      <c r="J156" s="31" t="s">
        <v>1121</v>
      </c>
      <c r="K156" s="10"/>
      <c r="L156" s="10"/>
      <c r="M156" s="31"/>
      <c r="N156" s="32"/>
      <c r="O156" s="31"/>
      <c r="P156" s="10"/>
      <c r="Q156" s="31"/>
      <c r="R156" s="31"/>
      <c r="S156" s="31"/>
      <c r="T156" s="31"/>
      <c r="U156" s="31"/>
      <c r="V156" s="31"/>
      <c r="W156" s="31"/>
      <c r="X156" s="31"/>
      <c r="Y156" s="31"/>
      <c r="Z156" s="31"/>
      <c r="AA156" s="31"/>
      <c r="AB156" s="31"/>
      <c r="AC156" s="31"/>
    </row>
    <row r="157" spans="1:29" ht="41.1" customHeight="1" x14ac:dyDescent="0.25">
      <c r="A157" s="279">
        <v>45833</v>
      </c>
      <c r="B157" s="271" t="s">
        <v>61</v>
      </c>
      <c r="C157" s="271" t="s">
        <v>43</v>
      </c>
      <c r="D157" s="9" t="s">
        <v>35</v>
      </c>
      <c r="E157" s="9" t="s">
        <v>1129</v>
      </c>
      <c r="F157" s="11" t="s">
        <v>1380</v>
      </c>
      <c r="G157" s="9" t="s">
        <v>1127</v>
      </c>
      <c r="H157" s="25">
        <v>45870</v>
      </c>
      <c r="I157" s="277" t="str">
        <f ca="1">IF(ListeInventaire3811[[#This Row],[Statut de la réalisation de l''action]]="Effectué","À jour",IF(ListeInventaire3811[[#This Row],[échéance de réalisation]]&lt;TODAY(),"En retard","À jour"))</f>
        <v>En retard</v>
      </c>
      <c r="J157" s="31"/>
      <c r="K157" s="10"/>
      <c r="L157" s="10"/>
      <c r="M157" s="31"/>
      <c r="N157" s="32"/>
      <c r="O157" s="31"/>
      <c r="P157" s="10"/>
      <c r="Q157" s="31"/>
      <c r="R157" s="31"/>
      <c r="S157" s="31"/>
      <c r="T157" s="31"/>
      <c r="U157" s="31"/>
      <c r="V157" s="31"/>
      <c r="W157" s="31"/>
      <c r="X157" s="31"/>
      <c r="Y157" s="31"/>
      <c r="Z157" s="31"/>
      <c r="AA157" s="31"/>
      <c r="AB157" s="31"/>
      <c r="AC157" s="31"/>
    </row>
    <row r="158" spans="1:29" ht="41.1" customHeight="1" x14ac:dyDescent="0.25">
      <c r="A158" s="279">
        <v>45838</v>
      </c>
      <c r="B158" s="271" t="s">
        <v>61</v>
      </c>
      <c r="C158" s="271" t="s">
        <v>132</v>
      </c>
      <c r="D158" s="9" t="s">
        <v>35</v>
      </c>
      <c r="E158" s="9" t="s">
        <v>1129</v>
      </c>
      <c r="F158" s="11" t="s">
        <v>1381</v>
      </c>
      <c r="G158" s="9" t="s">
        <v>1127</v>
      </c>
      <c r="H158" s="25">
        <v>45900</v>
      </c>
      <c r="I158" s="277" t="str">
        <f ca="1">IF(ListeInventaire3811[[#This Row],[Statut de la réalisation de l''action]]="Effectué","À jour",IF(ListeInventaire3811[[#This Row],[échéance de réalisation]]&lt;TODAY(),"En retard","À jour"))</f>
        <v>À jour</v>
      </c>
      <c r="J158" s="31" t="s">
        <v>1121</v>
      </c>
      <c r="K158" s="10"/>
      <c r="L158" s="10"/>
      <c r="M158" s="31"/>
      <c r="N158" s="32"/>
      <c r="O158" s="31"/>
      <c r="P158" s="10"/>
      <c r="Q158" s="31"/>
      <c r="R158" s="31"/>
      <c r="S158" s="31"/>
      <c r="T158" s="31"/>
      <c r="U158" s="31"/>
      <c r="V158" s="31"/>
      <c r="W158" s="31"/>
      <c r="X158" s="31"/>
      <c r="Y158" s="31"/>
      <c r="Z158" s="31"/>
      <c r="AA158" s="31"/>
      <c r="AB158" s="31"/>
      <c r="AC158" s="31"/>
    </row>
    <row r="159" spans="1:29" ht="41.1" customHeight="1" x14ac:dyDescent="0.25">
      <c r="A159" s="279">
        <v>45848</v>
      </c>
      <c r="B159" s="271" t="s">
        <v>1382</v>
      </c>
      <c r="C159" s="9" t="s">
        <v>180</v>
      </c>
      <c r="D159" s="9" t="s">
        <v>35</v>
      </c>
      <c r="E159" s="9" t="s">
        <v>1129</v>
      </c>
      <c r="F159" s="11" t="s">
        <v>1383</v>
      </c>
      <c r="G159" s="9" t="s">
        <v>1127</v>
      </c>
      <c r="H159" s="25">
        <v>45513</v>
      </c>
      <c r="I159" s="277" t="str">
        <f ca="1">IF(ListeInventaire3811[[#This Row],[Statut de la réalisation de l''action]]="Effectué","À jour",IF(ListeInventaire3811[[#This Row],[échéance de réalisation]]&lt;TODAY(),"En retard","À jour"))</f>
        <v>En retard</v>
      </c>
      <c r="J159" s="31" t="s">
        <v>1182</v>
      </c>
      <c r="K159" s="10"/>
      <c r="L159" s="10"/>
      <c r="M159" s="31"/>
      <c r="N159" s="32"/>
      <c r="O159" s="31"/>
      <c r="P159" s="10"/>
      <c r="Q159" s="31"/>
      <c r="R159" s="31"/>
      <c r="S159" s="31"/>
      <c r="T159" s="31"/>
      <c r="U159" s="31"/>
      <c r="V159" s="31"/>
      <c r="W159" s="31"/>
      <c r="X159" s="31"/>
      <c r="Y159" s="31"/>
      <c r="Z159" s="31"/>
      <c r="AA159" s="31"/>
      <c r="AB159" s="31"/>
      <c r="AC159" s="31"/>
    </row>
    <row r="160" spans="1:29" ht="41.1" customHeight="1" x14ac:dyDescent="0.25">
      <c r="A160" s="279">
        <v>45848</v>
      </c>
      <c r="B160" s="271" t="s">
        <v>1382</v>
      </c>
      <c r="C160" s="9" t="s">
        <v>180</v>
      </c>
      <c r="D160" s="9" t="s">
        <v>35</v>
      </c>
      <c r="E160" s="9" t="s">
        <v>1129</v>
      </c>
      <c r="F160" s="11" t="s">
        <v>1384</v>
      </c>
      <c r="G160" s="9" t="s">
        <v>1127</v>
      </c>
      <c r="H160" s="25">
        <v>45513</v>
      </c>
      <c r="I160" s="277" t="str">
        <f ca="1">IF(ListeInventaire3811[[#This Row],[Statut de la réalisation de l''action]]="Effectué","À jour",IF(ListeInventaire3811[[#This Row],[échéance de réalisation]]&lt;TODAY(),"En retard","À jour"))</f>
        <v>En retard</v>
      </c>
      <c r="J160" s="31" t="s">
        <v>1182</v>
      </c>
      <c r="K160" s="10"/>
      <c r="L160" s="10"/>
      <c r="M160" s="31"/>
      <c r="N160" s="32"/>
      <c r="O160" s="31"/>
      <c r="P160" s="10"/>
      <c r="Q160" s="31"/>
      <c r="R160" s="31"/>
      <c r="S160" s="31"/>
      <c r="T160" s="31"/>
      <c r="U160" s="31"/>
      <c r="V160" s="31"/>
      <c r="W160" s="31"/>
      <c r="X160" s="31"/>
      <c r="Y160" s="31"/>
      <c r="Z160" s="31"/>
      <c r="AA160" s="31"/>
      <c r="AB160" s="31"/>
      <c r="AC160" s="31"/>
    </row>
    <row r="161" spans="1:29 16331:16376" ht="41.1" customHeight="1" x14ac:dyDescent="0.25">
      <c r="A161" s="279">
        <v>45848</v>
      </c>
      <c r="B161" s="271" t="s">
        <v>1382</v>
      </c>
      <c r="C161" s="9" t="s">
        <v>180</v>
      </c>
      <c r="D161" s="9" t="s">
        <v>35</v>
      </c>
      <c r="E161" s="9" t="s">
        <v>1129</v>
      </c>
      <c r="F161" s="11" t="s">
        <v>1385</v>
      </c>
      <c r="G161" s="9" t="s">
        <v>1386</v>
      </c>
      <c r="H161" s="25">
        <v>45513</v>
      </c>
      <c r="I161" s="277" t="str">
        <f ca="1">IF(ListeInventaire3811[[#This Row],[Statut de la réalisation de l''action]]="Effectué","À jour",IF(ListeInventaire3811[[#This Row],[échéance de réalisation]]&lt;TODAY(),"En retard","À jour"))</f>
        <v>À jour</v>
      </c>
      <c r="J161" s="31" t="s">
        <v>1121</v>
      </c>
      <c r="K161" s="10"/>
      <c r="L161" s="10"/>
      <c r="M161" s="31"/>
      <c r="N161" s="32"/>
      <c r="O161" s="31"/>
      <c r="P161" s="10"/>
      <c r="Q161" s="31"/>
      <c r="R161" s="31"/>
      <c r="S161" s="31"/>
      <c r="T161" s="31"/>
      <c r="U161" s="31"/>
      <c r="V161" s="31"/>
      <c r="W161" s="31"/>
      <c r="X161" s="31"/>
      <c r="Y161" s="31"/>
      <c r="Z161" s="31"/>
      <c r="AA161" s="31"/>
      <c r="AB161" s="31"/>
      <c r="AC161" s="31"/>
    </row>
    <row r="162" spans="1:29 16331:16376" ht="41.1" customHeight="1" x14ac:dyDescent="0.25">
      <c r="A162" s="279">
        <v>45848</v>
      </c>
      <c r="B162" s="271" t="s">
        <v>1382</v>
      </c>
      <c r="C162" s="9" t="s">
        <v>180</v>
      </c>
      <c r="D162" s="9" t="s">
        <v>35</v>
      </c>
      <c r="E162" s="9" t="s">
        <v>1129</v>
      </c>
      <c r="F162" s="11" t="s">
        <v>1387</v>
      </c>
      <c r="G162" s="9" t="s">
        <v>1386</v>
      </c>
      <c r="H162" s="25">
        <v>45503</v>
      </c>
      <c r="I162" s="277" t="str">
        <f ca="1">IF(ListeInventaire3811[[#This Row],[Statut de la réalisation de l''action]]="Effectué","À jour",IF(ListeInventaire3811[[#This Row],[échéance de réalisation]]&lt;TODAY(),"En retard","À jour"))</f>
        <v>En retard</v>
      </c>
      <c r="J162" s="31" t="s">
        <v>1182</v>
      </c>
      <c r="K162" s="10"/>
      <c r="L162" s="10"/>
      <c r="M162" s="31"/>
      <c r="N162" s="32"/>
      <c r="O162" s="31"/>
      <c r="P162" s="10"/>
      <c r="Q162" s="31"/>
      <c r="R162" s="31"/>
      <c r="S162" s="31"/>
      <c r="T162" s="31"/>
      <c r="U162" s="31"/>
      <c r="V162" s="31"/>
      <c r="W162" s="31"/>
      <c r="X162" s="31"/>
      <c r="Y162" s="31"/>
      <c r="Z162" s="31"/>
      <c r="AA162" s="31"/>
      <c r="AB162" s="31"/>
      <c r="AC162" s="31"/>
    </row>
    <row r="163" spans="1:29 16331:16376" ht="41.1" customHeight="1" x14ac:dyDescent="0.25">
      <c r="A163" s="279">
        <v>45848</v>
      </c>
      <c r="B163" s="271" t="s">
        <v>1382</v>
      </c>
      <c r="C163" s="9" t="s">
        <v>180</v>
      </c>
      <c r="D163" s="9" t="s">
        <v>35</v>
      </c>
      <c r="E163" s="9" t="s">
        <v>1129</v>
      </c>
      <c r="F163" s="11" t="s">
        <v>1388</v>
      </c>
      <c r="G163" s="9" t="s">
        <v>1386</v>
      </c>
      <c r="H163" s="25">
        <v>45503</v>
      </c>
      <c r="I163" s="277" t="str">
        <f ca="1">IF(ListeInventaire3811[[#This Row],[Statut de la réalisation de l''action]]="Effectué","À jour",IF(ListeInventaire3811[[#This Row],[échéance de réalisation]]&lt;TODAY(),"En retard","À jour"))</f>
        <v>En retard</v>
      </c>
      <c r="J163" s="31" t="s">
        <v>1182</v>
      </c>
      <c r="K163" s="10"/>
      <c r="L163" s="10"/>
      <c r="M163" s="31"/>
      <c r="N163" s="32"/>
      <c r="O163" s="31"/>
      <c r="P163" s="10"/>
      <c r="Q163" s="31"/>
      <c r="R163" s="31"/>
      <c r="S163" s="31"/>
      <c r="T163" s="31"/>
      <c r="U163" s="31"/>
      <c r="V163" s="31"/>
      <c r="W163" s="31"/>
      <c r="X163" s="31"/>
      <c r="Y163" s="31"/>
      <c r="Z163" s="31"/>
      <c r="AA163" s="31"/>
      <c r="AB163" s="31"/>
      <c r="AC163" s="31"/>
    </row>
    <row r="164" spans="1:29 16331:16376" ht="30" customHeight="1" x14ac:dyDescent="0.25">
      <c r="A164" s="279">
        <v>45848</v>
      </c>
      <c r="B164" s="271" t="s">
        <v>1382</v>
      </c>
      <c r="C164" s="9" t="s">
        <v>180</v>
      </c>
      <c r="D164" s="9" t="s">
        <v>35</v>
      </c>
      <c r="E164" s="9" t="s">
        <v>1129</v>
      </c>
      <c r="F164" s="11" t="s">
        <v>1389</v>
      </c>
      <c r="G164" s="9" t="s">
        <v>1386</v>
      </c>
      <c r="H164" s="25">
        <v>45503</v>
      </c>
      <c r="I164" s="277" t="str">
        <f ca="1">IF(ListeInventaire3811[[#This Row],[Statut de la réalisation de l''action]]="Effectué","À jour",IF(ListeInventaire3811[[#This Row],[échéance de réalisation]]&lt;TODAY(),"En retard","À jour"))</f>
        <v>À jour</v>
      </c>
      <c r="J164" s="31" t="s">
        <v>1121</v>
      </c>
      <c r="K164" s="10"/>
      <c r="L164" s="10"/>
      <c r="M164" s="31"/>
      <c r="N164" s="32"/>
      <c r="O164" s="31"/>
      <c r="P164" s="10"/>
      <c r="Q164" s="31"/>
      <c r="R164" s="31"/>
      <c r="S164" s="31"/>
      <c r="T164" s="31"/>
      <c r="U164" s="31"/>
      <c r="V164" s="31"/>
      <c r="W164" s="31"/>
      <c r="X164" s="31"/>
      <c r="Y164" s="31"/>
      <c r="Z164" s="31"/>
      <c r="AA164" s="31"/>
      <c r="AB164" s="31"/>
      <c r="AC164" s="31"/>
    </row>
    <row r="165" spans="1:29 16331:16376" ht="30" customHeight="1" x14ac:dyDescent="0.25">
      <c r="A165" s="279">
        <v>45848</v>
      </c>
      <c r="B165" s="271" t="s">
        <v>1382</v>
      </c>
      <c r="C165" s="9" t="s">
        <v>180</v>
      </c>
      <c r="D165" s="9" t="s">
        <v>35</v>
      </c>
      <c r="E165" s="9" t="s">
        <v>1129</v>
      </c>
      <c r="F165" s="11" t="s">
        <v>1390</v>
      </c>
      <c r="G165" s="9" t="s">
        <v>1127</v>
      </c>
      <c r="H165" s="25">
        <v>45503</v>
      </c>
      <c r="I165" s="277" t="str">
        <f ca="1">IF(ListeInventaire3811[[#This Row],[Statut de la réalisation de l''action]]="Effectué","À jour",IF(ListeInventaire3811[[#This Row],[échéance de réalisation]]&lt;TODAY(),"En retard","À jour"))</f>
        <v>En retard</v>
      </c>
      <c r="J165" s="31" t="s">
        <v>1182</v>
      </c>
      <c r="K165" s="10"/>
      <c r="L165" s="10"/>
      <c r="M165" s="31"/>
      <c r="N165" s="32"/>
      <c r="O165" s="31"/>
      <c r="P165" s="10"/>
      <c r="Q165" s="31"/>
      <c r="R165" s="31"/>
      <c r="S165" s="31"/>
      <c r="T165" s="31"/>
      <c r="U165" s="31"/>
      <c r="V165" s="31"/>
      <c r="W165" s="31"/>
      <c r="X165" s="31"/>
      <c r="Y165" s="31"/>
      <c r="Z165" s="31"/>
      <c r="AA165" s="31"/>
      <c r="AB165" s="31"/>
      <c r="AC165" s="31"/>
      <c r="XEM165" s="279"/>
      <c r="XEN165" s="271"/>
      <c r="XEO165" s="271"/>
      <c r="XEP165" s="271"/>
      <c r="XEQ165" s="9"/>
      <c r="XER165" s="11"/>
      <c r="XES165" s="9"/>
      <c r="XET165" s="25"/>
      <c r="XEU165" s="277"/>
      <c r="XEV165" s="31"/>
    </row>
    <row r="166" spans="1:29 16331:16376" ht="30" customHeight="1" x14ac:dyDescent="0.25">
      <c r="A166" s="279">
        <v>45853</v>
      </c>
      <c r="B166" s="271" t="s">
        <v>61</v>
      </c>
      <c r="C166" s="271" t="s">
        <v>180</v>
      </c>
      <c r="D166" s="9" t="s">
        <v>35</v>
      </c>
      <c r="E166" s="9" t="s">
        <v>1129</v>
      </c>
      <c r="F166" s="199" t="s">
        <v>1391</v>
      </c>
      <c r="G166" s="9" t="s">
        <v>541</v>
      </c>
      <c r="H166" s="25">
        <v>45870</v>
      </c>
      <c r="I166" s="277" t="str">
        <f ca="1">IF(ListeInventaire3811[[#This Row],[Statut de la réalisation de l''action]]="Effectué","À jour",IF(ListeInventaire3811[[#This Row],[échéance de réalisation]]&lt;TODAY(),"En retard","À jour"))</f>
        <v>À jour</v>
      </c>
      <c r="J166" s="31" t="s">
        <v>1121</v>
      </c>
      <c r="K166" s="10"/>
      <c r="L166" s="10"/>
      <c r="M166" s="31"/>
      <c r="N166" s="32"/>
      <c r="O166" s="31"/>
      <c r="P166" s="10"/>
      <c r="Q166" s="31"/>
      <c r="R166" s="31"/>
      <c r="S166" s="31"/>
      <c r="T166" s="31"/>
      <c r="U166" s="31"/>
      <c r="V166" s="31"/>
      <c r="W166" s="31"/>
      <c r="X166" s="31"/>
      <c r="Y166" s="31"/>
      <c r="Z166" s="31"/>
      <c r="AA166" s="31"/>
      <c r="AB166" s="31"/>
      <c r="AC166" s="31"/>
      <c r="XDU166" s="279"/>
      <c r="XDV166" s="271"/>
      <c r="XDW166" s="271"/>
      <c r="XDX166" s="271"/>
      <c r="XDY166" s="9"/>
      <c r="XDZ166" s="11"/>
      <c r="XEA166" s="9"/>
      <c r="XEB166" s="25"/>
      <c r="XEC166" s="277"/>
      <c r="XED166" s="31"/>
      <c r="XEM166" s="279"/>
      <c r="XEN166" s="271"/>
      <c r="XEO166" s="271"/>
      <c r="XEP166" s="271"/>
      <c r="XEQ166" s="9"/>
      <c r="XER166" s="11"/>
      <c r="XES166" s="9"/>
      <c r="XET166" s="25"/>
      <c r="XEU166" s="277"/>
      <c r="XEV166" s="31"/>
    </row>
    <row r="167" spans="1:29 16331:16376" ht="30" customHeight="1" x14ac:dyDescent="0.25">
      <c r="A167" s="279">
        <v>45853</v>
      </c>
      <c r="B167" s="271" t="s">
        <v>61</v>
      </c>
      <c r="C167" s="271" t="s">
        <v>180</v>
      </c>
      <c r="D167" s="271" t="s">
        <v>35</v>
      </c>
      <c r="E167" s="9" t="s">
        <v>1129</v>
      </c>
      <c r="F167" s="11" t="s">
        <v>1392</v>
      </c>
      <c r="G167" s="9" t="s">
        <v>1393</v>
      </c>
      <c r="H167" s="25">
        <v>45898</v>
      </c>
      <c r="I167" s="277" t="str">
        <f ca="1">IF(ListeInventaire3811[[#This Row],[Statut de la réalisation de l''action]]="Effectué","À jour",IF(ListeInventaire3811[[#This Row],[échéance de réalisation]]&lt;TODAY(),"En retard","À jour"))</f>
        <v>À jour</v>
      </c>
      <c r="J167" s="31" t="s">
        <v>1121</v>
      </c>
      <c r="K167" s="31"/>
      <c r="L167" s="4"/>
      <c r="N167" s="4"/>
      <c r="P167" s="4"/>
      <c r="W167" s="4"/>
      <c r="X167" s="4"/>
      <c r="XDU167" s="279"/>
      <c r="XDV167" s="271"/>
      <c r="XDW167" s="271"/>
      <c r="XDX167" s="271"/>
      <c r="XDY167" s="9"/>
      <c r="XDZ167" s="11"/>
      <c r="XEA167" s="9"/>
      <c r="XEB167" s="25"/>
      <c r="XEC167" s="277"/>
      <c r="XED167" s="31"/>
      <c r="XEM167" s="279"/>
      <c r="XEN167" s="271"/>
      <c r="XEO167" s="271"/>
      <c r="XEP167" s="271"/>
      <c r="XEQ167" s="9"/>
      <c r="XER167" s="11"/>
      <c r="XES167" s="9"/>
      <c r="XET167" s="25"/>
      <c r="XEU167" s="277"/>
      <c r="XEV167" s="31"/>
    </row>
    <row r="168" spans="1:29 16331:16376" ht="30" customHeight="1" x14ac:dyDescent="0.25">
      <c r="A168" s="279">
        <v>45853</v>
      </c>
      <c r="B168" s="271" t="s">
        <v>61</v>
      </c>
      <c r="C168" s="271" t="s">
        <v>180</v>
      </c>
      <c r="D168" s="9" t="s">
        <v>35</v>
      </c>
      <c r="E168" s="9" t="s">
        <v>1218</v>
      </c>
      <c r="F168" s="11" t="s">
        <v>1394</v>
      </c>
      <c r="G168" s="9" t="s">
        <v>541</v>
      </c>
      <c r="H168" s="25">
        <v>45898</v>
      </c>
      <c r="I168" s="277"/>
      <c r="J168" s="31" t="s">
        <v>1376</v>
      </c>
      <c r="K168" s="10"/>
      <c r="L168" s="10"/>
      <c r="M168" s="31"/>
      <c r="N168" s="32"/>
      <c r="O168" s="31"/>
      <c r="P168" s="10"/>
      <c r="Q168" s="31"/>
      <c r="R168" s="31"/>
      <c r="S168" s="31"/>
      <c r="T168" s="31"/>
      <c r="U168" s="31"/>
      <c r="V168" s="31"/>
      <c r="W168" s="31"/>
      <c r="X168" s="31"/>
      <c r="Y168" s="31"/>
      <c r="Z168" s="31"/>
      <c r="AA168" s="31"/>
      <c r="AB168" s="31"/>
      <c r="AC168" s="31"/>
      <c r="XDC168" s="279"/>
      <c r="XDD168" s="271"/>
      <c r="XDE168" s="271"/>
      <c r="XDF168" s="271"/>
      <c r="XDG168" s="9"/>
      <c r="XDH168" s="11"/>
      <c r="XDI168" s="9"/>
      <c r="XDJ168" s="25"/>
      <c r="XDK168" s="277"/>
      <c r="XDL168" s="31"/>
      <c r="XDU168" s="279"/>
      <c r="XDV168" s="271"/>
      <c r="XDW168" s="271"/>
      <c r="XDX168" s="271"/>
      <c r="XDY168" s="9"/>
      <c r="XDZ168" s="11"/>
      <c r="XEA168" s="9"/>
      <c r="XEB168" s="25"/>
      <c r="XEC168" s="277"/>
      <c r="XED168" s="31"/>
      <c r="XEM168" s="279"/>
      <c r="XEN168" s="271"/>
      <c r="XEO168" s="271"/>
      <c r="XEP168" s="271"/>
      <c r="XEQ168" s="9"/>
      <c r="XER168" s="11"/>
      <c r="XES168" s="9"/>
      <c r="XET168" s="25"/>
      <c r="XEU168" s="277"/>
      <c r="XEV168" s="31"/>
    </row>
    <row r="169" spans="1:29 16331:16376" ht="30" customHeight="1" x14ac:dyDescent="0.25">
      <c r="A169" s="279">
        <v>45853</v>
      </c>
      <c r="B169" s="271" t="s">
        <v>61</v>
      </c>
      <c r="C169" s="271" t="s">
        <v>180</v>
      </c>
      <c r="D169" s="9" t="s">
        <v>35</v>
      </c>
      <c r="E169" s="9" t="s">
        <v>1129</v>
      </c>
      <c r="F169" s="11" t="s">
        <v>1395</v>
      </c>
      <c r="G169" s="9" t="s">
        <v>541</v>
      </c>
      <c r="H169" s="25">
        <v>45898</v>
      </c>
      <c r="I169" s="277" t="str">
        <f ca="1">IF(ListeInventaire3811[[#This Row],[Statut de la réalisation de l''action]]="Effectué","À jour",IF(ListeInventaire3811[[#This Row],[échéance de réalisation]]&lt;TODAY(),"En retard","À jour"))</f>
        <v>En retard</v>
      </c>
      <c r="J169" s="31"/>
      <c r="K169" s="10"/>
      <c r="L169" s="10"/>
      <c r="M169" s="31"/>
      <c r="N169" s="32"/>
      <c r="O169" s="31"/>
      <c r="P169" s="10"/>
      <c r="Q169" s="31"/>
      <c r="R169" s="31"/>
      <c r="S169" s="31"/>
      <c r="T169" s="31"/>
      <c r="U169" s="31"/>
      <c r="V169" s="31"/>
      <c r="W169" s="31"/>
      <c r="X169" s="31"/>
      <c r="Y169" s="31"/>
      <c r="Z169" s="31"/>
      <c r="AA169" s="31"/>
      <c r="AB169" s="31"/>
      <c r="AC169" s="31"/>
      <c r="XDU169" s="279"/>
      <c r="XDV169" s="271"/>
      <c r="XDW169" s="271"/>
      <c r="XDX169" s="271"/>
      <c r="XDY169" s="9"/>
      <c r="XDZ169" s="11"/>
      <c r="XEA169" s="9"/>
      <c r="XEB169" s="25"/>
      <c r="XEC169" s="277"/>
      <c r="XED169" s="31"/>
      <c r="XEM169" s="279"/>
      <c r="XEN169" s="271"/>
      <c r="XEO169" s="271"/>
      <c r="XEP169" s="271"/>
      <c r="XEQ169" s="9"/>
      <c r="XER169" s="11"/>
      <c r="XES169" s="9"/>
      <c r="XET169" s="25"/>
      <c r="XEU169" s="277"/>
      <c r="XEV169" s="31"/>
    </row>
    <row r="170" spans="1:29 16331:16376" ht="30" customHeight="1" x14ac:dyDescent="0.25">
      <c r="A170" s="279">
        <v>45853</v>
      </c>
      <c r="B170" s="271" t="s">
        <v>1315</v>
      </c>
      <c r="C170" s="271" t="s">
        <v>156</v>
      </c>
      <c r="D170" s="271" t="s">
        <v>1697</v>
      </c>
      <c r="E170" s="9" t="s">
        <v>1129</v>
      </c>
      <c r="F170" s="11" t="s">
        <v>1710</v>
      </c>
      <c r="G170" s="9" t="s">
        <v>1214</v>
      </c>
      <c r="H170" s="25">
        <v>45869</v>
      </c>
      <c r="I170" s="277" t="str">
        <f ca="1">IF(ListeInventaire3811[[#This Row],[Statut de la réalisation de l''action]]="Effectué","À jour",IF(ListeInventaire3811[[#This Row],[échéance de réalisation]]&lt;TODAY(),"En retard","À jour"))</f>
        <v>À jour</v>
      </c>
      <c r="J170" s="31" t="s">
        <v>1121</v>
      </c>
      <c r="K170" s="4"/>
      <c r="L170" s="4"/>
      <c r="N170" s="4"/>
      <c r="P170" s="4"/>
      <c r="W170" s="4"/>
      <c r="X170" s="4"/>
      <c r="XDU170" s="279"/>
      <c r="XDV170" s="271"/>
      <c r="XDW170" s="271"/>
      <c r="XDX170" s="271"/>
      <c r="XDY170" s="9"/>
      <c r="XDZ170" s="11"/>
      <c r="XEA170" s="9"/>
      <c r="XEB170" s="25"/>
      <c r="XEC170" s="277"/>
      <c r="XED170" s="31"/>
      <c r="XEM170" s="279"/>
      <c r="XEN170" s="271"/>
      <c r="XEO170" s="271"/>
      <c r="XEP170" s="271"/>
      <c r="XEQ170" s="9"/>
      <c r="XER170" s="11"/>
      <c r="XES170" s="9"/>
      <c r="XET170" s="25"/>
      <c r="XEU170" s="277"/>
      <c r="XEV170" s="31"/>
    </row>
    <row r="171" spans="1:29 16331:16376" ht="30" customHeight="1" x14ac:dyDescent="0.25">
      <c r="A171" s="279">
        <v>45859</v>
      </c>
      <c r="B171" s="271" t="s">
        <v>1370</v>
      </c>
      <c r="C171" s="9" t="s">
        <v>660</v>
      </c>
      <c r="D171" s="9" t="s">
        <v>35</v>
      </c>
      <c r="E171" s="9" t="s">
        <v>1129</v>
      </c>
      <c r="F171" s="11" t="s">
        <v>1396</v>
      </c>
      <c r="G171" s="9" t="s">
        <v>1127</v>
      </c>
      <c r="H171" s="25">
        <v>45899</v>
      </c>
      <c r="I171" s="277" t="str">
        <f ca="1">IF(ListeInventaire3811[[#This Row],[Statut de la réalisation de l''action]]="Effectué","À jour",IF(ListeInventaire3811[[#This Row],[échéance de réalisation]]&lt;TODAY(),"En retard","À jour"))</f>
        <v>En retard</v>
      </c>
      <c r="J171" s="31" t="s">
        <v>1182</v>
      </c>
      <c r="K171" s="10"/>
      <c r="L171" s="10"/>
      <c r="M171" s="31"/>
      <c r="N171" s="32"/>
      <c r="O171" s="31"/>
      <c r="P171" s="10"/>
      <c r="Q171" s="31"/>
      <c r="R171" s="31"/>
      <c r="S171" s="31"/>
      <c r="T171" s="31"/>
      <c r="U171" s="31"/>
      <c r="V171" s="31"/>
      <c r="W171" s="31"/>
      <c r="X171" s="31"/>
      <c r="Y171" s="31"/>
      <c r="Z171" s="31"/>
      <c r="AA171" s="31"/>
      <c r="AB171" s="31"/>
      <c r="AC171" s="31"/>
      <c r="XDU171" s="279"/>
      <c r="XDV171" s="271"/>
      <c r="XDW171" s="271"/>
      <c r="XDX171" s="271"/>
      <c r="XDY171" s="9"/>
      <c r="XDZ171" s="11"/>
      <c r="XEA171" s="9"/>
      <c r="XEB171" s="25"/>
      <c r="XEC171" s="277"/>
      <c r="XED171" s="31"/>
      <c r="XEM171" s="279"/>
      <c r="XEN171" s="271"/>
      <c r="XEO171" s="271"/>
      <c r="XEP171" s="271"/>
      <c r="XEQ171" s="9"/>
      <c r="XER171" s="11"/>
      <c r="XES171" s="9"/>
      <c r="XET171" s="25"/>
      <c r="XEU171" s="277"/>
      <c r="XEV171" s="31"/>
    </row>
    <row r="172" spans="1:29 16331:16376" ht="30" customHeight="1" x14ac:dyDescent="0.25">
      <c r="A172" s="279">
        <v>45862</v>
      </c>
      <c r="B172" s="271" t="s">
        <v>1370</v>
      </c>
      <c r="C172" s="9" t="s">
        <v>660</v>
      </c>
      <c r="D172" s="9" t="s">
        <v>35</v>
      </c>
      <c r="E172" s="9" t="s">
        <v>1223</v>
      </c>
      <c r="F172" s="11" t="s">
        <v>1397</v>
      </c>
      <c r="G172" s="9" t="s">
        <v>1398</v>
      </c>
      <c r="H172" s="25">
        <v>45899</v>
      </c>
      <c r="I172" s="277" t="str">
        <f ca="1">IF(ListeInventaire3811[[#This Row],[Statut de la réalisation de l''action]]="Effectué","À jour",IF(ListeInventaire3811[[#This Row],[échéance de réalisation]]&lt;TODAY(),"En retard","À jour"))</f>
        <v>À jour</v>
      </c>
      <c r="J172" s="31" t="s">
        <v>1121</v>
      </c>
      <c r="K172" s="10"/>
      <c r="L172" s="10"/>
      <c r="M172" s="31"/>
      <c r="N172" s="32"/>
      <c r="O172" s="31"/>
      <c r="P172" s="10"/>
      <c r="Q172" s="31"/>
      <c r="R172" s="31"/>
      <c r="S172" s="31"/>
      <c r="T172" s="31"/>
      <c r="U172" s="31"/>
      <c r="V172" s="31"/>
      <c r="W172" s="31"/>
      <c r="X172" s="31"/>
      <c r="Y172" s="31"/>
      <c r="Z172" s="31"/>
      <c r="AA172" s="31"/>
      <c r="AB172" s="31"/>
      <c r="AC172" s="31"/>
      <c r="XDU172" s="279"/>
      <c r="XDV172" s="271"/>
      <c r="XDW172" s="271"/>
      <c r="XDX172" s="271"/>
      <c r="XDY172" s="9"/>
      <c r="XDZ172" s="11"/>
      <c r="XEA172" s="9"/>
      <c r="XEB172" s="25"/>
      <c r="XEC172" s="277"/>
      <c r="XED172" s="31"/>
      <c r="XEM172" s="279"/>
      <c r="XEN172" s="271"/>
      <c r="XEO172" s="271"/>
      <c r="XEP172" s="271"/>
      <c r="XEQ172" s="9"/>
      <c r="XER172" s="11"/>
      <c r="XES172" s="9"/>
      <c r="XET172" s="25"/>
      <c r="XEU172" s="277"/>
      <c r="XEV172" s="31"/>
    </row>
    <row r="173" spans="1:29 16331:16376" ht="18.75" x14ac:dyDescent="0.25">
      <c r="A173" s="279">
        <v>45863</v>
      </c>
      <c r="B173" s="271" t="s">
        <v>1370</v>
      </c>
      <c r="C173" s="9" t="s">
        <v>43</v>
      </c>
      <c r="D173" s="9" t="s">
        <v>35</v>
      </c>
      <c r="E173" s="9" t="s">
        <v>1129</v>
      </c>
      <c r="F173" s="11" t="s">
        <v>1399</v>
      </c>
      <c r="G173" s="9" t="s">
        <v>1127</v>
      </c>
      <c r="H173" s="25">
        <v>45899</v>
      </c>
      <c r="I173" s="277" t="str">
        <f ca="1">IF(ListeInventaire3811[[#This Row],[Statut de la réalisation de l''action]]="Effectué","À jour",IF(ListeInventaire3811[[#This Row],[échéance de réalisation]]&lt;TODAY(),"En retard","À jour"))</f>
        <v>En retard</v>
      </c>
      <c r="J173" s="31" t="s">
        <v>1182</v>
      </c>
      <c r="K173" s="10"/>
      <c r="L173" s="10"/>
      <c r="M173" s="31"/>
      <c r="N173" s="32"/>
      <c r="O173" s="31"/>
      <c r="P173" s="10"/>
      <c r="Q173" s="31"/>
      <c r="R173" s="31"/>
      <c r="S173" s="31"/>
      <c r="T173" s="31"/>
      <c r="U173" s="31"/>
      <c r="V173" s="31"/>
      <c r="W173" s="31"/>
      <c r="X173" s="31"/>
      <c r="Y173" s="31"/>
      <c r="Z173" s="31"/>
      <c r="AA173" s="31"/>
      <c r="AB173" s="31"/>
      <c r="AC173" s="31"/>
      <c r="XDU173" s="279"/>
      <c r="XDV173" s="271"/>
      <c r="XDW173" s="271"/>
      <c r="XDX173" s="271"/>
      <c r="XDY173" s="9"/>
      <c r="XDZ173" s="11"/>
      <c r="XEA173" s="9"/>
      <c r="XEB173" s="25"/>
      <c r="XEC173" s="277"/>
      <c r="XED173" s="31"/>
      <c r="XEM173" s="279"/>
      <c r="XEN173" s="271"/>
      <c r="XEO173" s="271"/>
      <c r="XEP173" s="271"/>
      <c r="XEQ173" s="9"/>
      <c r="XER173" s="11"/>
      <c r="XES173" s="9"/>
      <c r="XET173" s="25"/>
      <c r="XEU173" s="277"/>
      <c r="XEV173" s="31"/>
    </row>
    <row r="174" spans="1:29 16331:16376" ht="18.75" x14ac:dyDescent="0.25">
      <c r="A174" s="279">
        <v>45904</v>
      </c>
      <c r="B174" s="271" t="s">
        <v>1400</v>
      </c>
      <c r="C174" s="271" t="s">
        <v>1117</v>
      </c>
      <c r="D174" s="271" t="s">
        <v>1706</v>
      </c>
      <c r="E174" s="9" t="s">
        <v>1218</v>
      </c>
      <c r="F174" s="11" t="s">
        <v>1401</v>
      </c>
      <c r="G174" s="9" t="s">
        <v>583</v>
      </c>
      <c r="H174" s="25">
        <v>45992</v>
      </c>
      <c r="I174" s="277" t="str">
        <f ca="1">IF(ListeInventaire3811[[#This Row],[Statut de la réalisation de l''action]]="Effectué","À jour",IF(ListeInventaire3811[[#This Row],[échéance de réalisation]]&lt;TODAY(),"En retard","À jour"))</f>
        <v>À jour</v>
      </c>
      <c r="J174" s="31" t="s">
        <v>1121</v>
      </c>
      <c r="K174" s="4"/>
      <c r="L174" s="4"/>
      <c r="N174" s="4"/>
      <c r="P174" s="4"/>
      <c r="W174" s="4"/>
      <c r="X174" s="4"/>
      <c r="XDU174" s="279"/>
      <c r="XDV174" s="271"/>
      <c r="XDW174" s="271"/>
      <c r="XDX174" s="271"/>
      <c r="XDY174" s="9"/>
      <c r="XDZ174" s="11"/>
      <c r="XEA174" s="9"/>
      <c r="XEB174" s="25"/>
      <c r="XEC174" s="277"/>
      <c r="XED174" s="31"/>
      <c r="XEM174" s="279"/>
      <c r="XEN174" s="271"/>
      <c r="XEO174" s="271"/>
      <c r="XEP174" s="271"/>
      <c r="XEQ174" s="9"/>
      <c r="XER174" s="11"/>
      <c r="XES174" s="9"/>
      <c r="XET174" s="25"/>
      <c r="XEU174" s="277"/>
      <c r="XEV174" s="31"/>
    </row>
    <row r="175" spans="1:29 16331:16376" x14ac:dyDescent="0.25">
      <c r="A175" s="279">
        <v>45904</v>
      </c>
      <c r="B175" s="271" t="s">
        <v>1400</v>
      </c>
      <c r="C175" s="271" t="s">
        <v>1117</v>
      </c>
      <c r="D175" s="271" t="s">
        <v>1706</v>
      </c>
      <c r="E175" s="9" t="s">
        <v>1129</v>
      </c>
      <c r="F175" s="11" t="s">
        <v>1402</v>
      </c>
      <c r="G175" s="9" t="s">
        <v>1403</v>
      </c>
      <c r="H175" s="25">
        <v>45992</v>
      </c>
      <c r="I175" s="277" t="str">
        <f ca="1">IF(ListeInventaire3811[[#This Row],[Statut de la réalisation de l''action]]="Effectué","À jour",IF(ListeInventaire3811[[#This Row],[échéance de réalisation]]&lt;TODAY(),"En retard","À jour"))</f>
        <v>En retard</v>
      </c>
      <c r="J175" s="31" t="s">
        <v>1182</v>
      </c>
      <c r="K175" s="4"/>
      <c r="L175" s="4"/>
      <c r="N175" s="4"/>
      <c r="P175" s="4"/>
      <c r="W175" s="4"/>
      <c r="X175" s="4"/>
      <c r="XDU175" s="279"/>
      <c r="XDV175" s="271"/>
      <c r="XDW175" s="271"/>
      <c r="XDX175" s="271"/>
      <c r="XDY175" s="9"/>
      <c r="XDZ175" s="11"/>
      <c r="XEA175" s="9"/>
      <c r="XEB175" s="25"/>
      <c r="XEC175" s="277"/>
      <c r="XED175" s="31"/>
      <c r="XEM175" s="279"/>
      <c r="XEN175" s="271"/>
      <c r="XEO175" s="271"/>
      <c r="XEP175" s="271"/>
      <c r="XEQ175" s="9"/>
      <c r="XER175" s="11"/>
      <c r="XES175" s="9"/>
      <c r="XET175" s="25"/>
      <c r="XEU175" s="277"/>
      <c r="XEV175" s="31"/>
    </row>
    <row r="176" spans="1:29 16331:16376" ht="18.75" x14ac:dyDescent="0.25">
      <c r="A176" s="279">
        <v>45904</v>
      </c>
      <c r="B176" s="271" t="s">
        <v>1400</v>
      </c>
      <c r="C176" s="271" t="s">
        <v>1117</v>
      </c>
      <c r="D176" s="271" t="s">
        <v>1706</v>
      </c>
      <c r="E176" s="9" t="s">
        <v>1218</v>
      </c>
      <c r="F176" s="11" t="s">
        <v>1404</v>
      </c>
      <c r="G176" s="9" t="s">
        <v>583</v>
      </c>
      <c r="H176" s="25">
        <v>45931</v>
      </c>
      <c r="I176" s="277" t="str">
        <f ca="1">IF(ListeInventaire3811[[#This Row],[Statut de la réalisation de l''action]]="Effectué","À jour",IF(ListeInventaire3811[[#This Row],[échéance de réalisation]]&lt;TODAY(),"En retard","À jour"))</f>
        <v>En retard</v>
      </c>
      <c r="J176" s="31" t="s">
        <v>1182</v>
      </c>
      <c r="K176" s="4"/>
      <c r="L176" s="4"/>
      <c r="N176" s="4"/>
      <c r="P176" s="4"/>
      <c r="W176" s="4"/>
      <c r="X176" s="4"/>
      <c r="XDU176" s="279"/>
      <c r="XDV176" s="271"/>
      <c r="XDW176" s="271"/>
      <c r="XDX176" s="271"/>
      <c r="XDY176" s="9"/>
      <c r="XDZ176" s="11"/>
      <c r="XEA176" s="9"/>
      <c r="XEB176" s="25"/>
      <c r="XEC176" s="277"/>
      <c r="XED176" s="31"/>
      <c r="XEM176" s="279"/>
      <c r="XEN176" s="271"/>
      <c r="XEO176" s="271"/>
      <c r="XEP176" s="271"/>
      <c r="XEQ176" s="9"/>
      <c r="XER176" s="11"/>
      <c r="XES176" s="9"/>
      <c r="XET176" s="25"/>
      <c r="XEU176" s="277"/>
      <c r="XEV176" s="31"/>
    </row>
    <row r="177" spans="1:29 16349:16376" ht="18.75" x14ac:dyDescent="0.25">
      <c r="A177" s="279">
        <v>45904</v>
      </c>
      <c r="B177" s="271" t="s">
        <v>1400</v>
      </c>
      <c r="C177" s="271" t="s">
        <v>1117</v>
      </c>
      <c r="D177" s="271" t="s">
        <v>1706</v>
      </c>
      <c r="E177" s="9" t="s">
        <v>1129</v>
      </c>
      <c r="F177" s="11" t="s">
        <v>1405</v>
      </c>
      <c r="G177" s="9" t="s">
        <v>583</v>
      </c>
      <c r="H177" s="25">
        <v>45976</v>
      </c>
      <c r="I177" s="277" t="str">
        <f ca="1">IF(ListeInventaire3811[[#This Row],[Statut de la réalisation de l''action]]="Effectué","À jour",IF(ListeInventaire3811[[#This Row],[échéance de réalisation]]&lt;TODAY(),"En retard","À jour"))</f>
        <v>En retard</v>
      </c>
      <c r="J177" s="31" t="s">
        <v>1182</v>
      </c>
      <c r="K177" s="4"/>
      <c r="L177" s="4"/>
      <c r="N177" s="4"/>
      <c r="P177" s="4"/>
      <c r="W177" s="4"/>
      <c r="X177" s="4"/>
      <c r="XDU177" s="279"/>
      <c r="XDV177" s="271"/>
      <c r="XDW177" s="271"/>
      <c r="XDX177" s="271"/>
      <c r="XDY177" s="9"/>
      <c r="XDZ177" s="11"/>
      <c r="XEA177" s="9"/>
      <c r="XEB177" s="25"/>
      <c r="XEC177" s="277"/>
      <c r="XED177" s="31"/>
      <c r="XEM177" s="279"/>
      <c r="XEN177" s="271"/>
      <c r="XEO177" s="271"/>
      <c r="XEP177" s="271"/>
      <c r="XEQ177" s="9"/>
      <c r="XER177" s="11"/>
      <c r="XES177" s="9"/>
      <c r="XET177" s="25"/>
      <c r="XEU177" s="277"/>
      <c r="XEV177" s="31"/>
    </row>
    <row r="178" spans="1:29 16349:16376" x14ac:dyDescent="0.25">
      <c r="A178" s="279">
        <v>45904</v>
      </c>
      <c r="B178" s="271" t="s">
        <v>1400</v>
      </c>
      <c r="C178" s="271" t="s">
        <v>1117</v>
      </c>
      <c r="D178" s="271" t="s">
        <v>1706</v>
      </c>
      <c r="E178" s="9" t="s">
        <v>1129</v>
      </c>
      <c r="F178" s="11" t="s">
        <v>1406</v>
      </c>
      <c r="G178" s="9" t="s">
        <v>1407</v>
      </c>
      <c r="H178" s="25">
        <v>45931</v>
      </c>
      <c r="I178" s="277" t="str">
        <f ca="1">IF(ListeInventaire3811[[#This Row],[Statut de la réalisation de l''action]]="Effectué","À jour",IF(ListeInventaire3811[[#This Row],[échéance de réalisation]]&lt;TODAY(),"En retard","À jour"))</f>
        <v>À jour</v>
      </c>
      <c r="J178" s="31" t="s">
        <v>1121</v>
      </c>
      <c r="K178" s="4"/>
      <c r="L178" s="4"/>
      <c r="N178" s="4"/>
      <c r="P178" s="4"/>
      <c r="W178" s="4"/>
      <c r="X178" s="4"/>
      <c r="XDU178" s="279"/>
      <c r="XDV178" s="271"/>
      <c r="XDW178" s="271"/>
      <c r="XDX178" s="271"/>
      <c r="XDY178" s="9"/>
      <c r="XDZ178" s="11"/>
      <c r="XEA178" s="9"/>
      <c r="XEB178" s="25"/>
      <c r="XEC178" s="277"/>
      <c r="XED178" s="31"/>
      <c r="XEM178" s="279"/>
      <c r="XEN178" s="271"/>
      <c r="XEO178" s="271"/>
      <c r="XEP178" s="271"/>
      <c r="XEQ178" s="9"/>
      <c r="XER178" s="11"/>
      <c r="XES178" s="9"/>
      <c r="XET178" s="25"/>
      <c r="XEU178" s="277"/>
      <c r="XEV178" s="31"/>
    </row>
    <row r="179" spans="1:29 16349:16376" ht="18.75" x14ac:dyDescent="0.25">
      <c r="A179" s="279">
        <v>45904</v>
      </c>
      <c r="B179" s="271" t="s">
        <v>1400</v>
      </c>
      <c r="C179" s="271" t="s">
        <v>1117</v>
      </c>
      <c r="D179" s="271" t="s">
        <v>1706</v>
      </c>
      <c r="E179" s="9" t="s">
        <v>1129</v>
      </c>
      <c r="F179" s="11" t="s">
        <v>1408</v>
      </c>
      <c r="G179" s="9" t="s">
        <v>583</v>
      </c>
      <c r="H179" s="25">
        <v>45992</v>
      </c>
      <c r="I179" s="277" t="str">
        <f ca="1">IF(ListeInventaire3811[[#This Row],[Statut de la réalisation de l''action]]="Effectué","À jour",IF(ListeInventaire3811[[#This Row],[échéance de réalisation]]&lt;TODAY(),"En retard","À jour"))</f>
        <v>En retard</v>
      </c>
      <c r="J179" s="31" t="s">
        <v>1182</v>
      </c>
      <c r="K179" s="4"/>
      <c r="L179" s="4"/>
      <c r="N179" s="4"/>
      <c r="P179" s="4"/>
      <c r="W179" s="4"/>
      <c r="X179" s="4"/>
      <c r="XDU179" s="279"/>
      <c r="XDV179" s="271"/>
      <c r="XDW179" s="271"/>
      <c r="XDX179" s="271"/>
      <c r="XDY179" s="9"/>
      <c r="XDZ179" s="11"/>
      <c r="XEA179" s="9"/>
      <c r="XEB179" s="25"/>
      <c r="XEC179" s="277"/>
      <c r="XED179" s="31"/>
      <c r="XEM179" s="279"/>
      <c r="XEN179" s="271"/>
      <c r="XEO179" s="271"/>
      <c r="XEP179" s="271"/>
      <c r="XEQ179" s="9"/>
      <c r="XER179" s="11"/>
      <c r="XES179" s="9"/>
      <c r="XET179" s="25"/>
      <c r="XEU179" s="277"/>
      <c r="XEV179" s="31"/>
    </row>
    <row r="180" spans="1:29 16349:16376" x14ac:dyDescent="0.25">
      <c r="A180" s="279">
        <v>45904</v>
      </c>
      <c r="B180" s="271" t="s">
        <v>1400</v>
      </c>
      <c r="C180" s="271" t="s">
        <v>1117</v>
      </c>
      <c r="D180" s="271" t="s">
        <v>1706</v>
      </c>
      <c r="E180" s="9" t="s">
        <v>1129</v>
      </c>
      <c r="F180" s="11" t="s">
        <v>1409</v>
      </c>
      <c r="G180" s="9" t="s">
        <v>583</v>
      </c>
      <c r="H180" s="25">
        <v>46174</v>
      </c>
      <c r="I180" s="277" t="str">
        <f ca="1">IF(ListeInventaire3811[[#This Row],[Statut de la réalisation de l''action]]="Effectué","À jour",IF(ListeInventaire3811[[#This Row],[échéance de réalisation]]&lt;TODAY(),"En retard","À jour"))</f>
        <v>À jour</v>
      </c>
      <c r="J180" s="31" t="s">
        <v>1182</v>
      </c>
      <c r="K180" s="4"/>
      <c r="L180" s="4"/>
      <c r="N180" s="4"/>
      <c r="P180" s="4"/>
      <c r="W180" s="4"/>
      <c r="X180" s="4"/>
      <c r="XDU180" s="279"/>
      <c r="XDV180" s="271"/>
      <c r="XDW180" s="271"/>
      <c r="XDX180" s="271"/>
      <c r="XDY180" s="9"/>
      <c r="XDZ180" s="11"/>
      <c r="XEA180" s="9"/>
      <c r="XEB180" s="25"/>
      <c r="XEC180" s="277"/>
      <c r="XED180" s="31"/>
      <c r="XEM180" s="279"/>
      <c r="XEN180" s="271"/>
      <c r="XEO180" s="271"/>
      <c r="XEP180" s="271"/>
      <c r="XEQ180" s="9"/>
      <c r="XER180" s="11"/>
      <c r="XES180" s="9"/>
      <c r="XET180" s="25"/>
      <c r="XEU180" s="277"/>
      <c r="XEV180" s="31"/>
    </row>
    <row r="181" spans="1:29 16349:16376" ht="18.75" x14ac:dyDescent="0.25">
      <c r="A181" s="279">
        <v>45904</v>
      </c>
      <c r="B181" s="271" t="s">
        <v>1400</v>
      </c>
      <c r="C181" s="271" t="s">
        <v>1117</v>
      </c>
      <c r="D181" s="271" t="s">
        <v>1706</v>
      </c>
      <c r="E181" s="9" t="s">
        <v>1223</v>
      </c>
      <c r="F181" s="11" t="s">
        <v>1410</v>
      </c>
      <c r="G181" s="9" t="s">
        <v>1411</v>
      </c>
      <c r="H181" s="25">
        <v>46174</v>
      </c>
      <c r="I181" s="277" t="str">
        <f ca="1">IF(ListeInventaire3811[[#This Row],[Statut de la réalisation de l''action]]="Effectué","À jour",IF(ListeInventaire3811[[#This Row],[échéance de réalisation]]&lt;TODAY(),"En retard","À jour"))</f>
        <v>À jour</v>
      </c>
      <c r="J181" s="31" t="s">
        <v>1182</v>
      </c>
      <c r="K181" s="4"/>
      <c r="L181" s="4"/>
      <c r="N181" s="4"/>
      <c r="P181" s="4"/>
      <c r="W181" s="4"/>
      <c r="X181" s="4"/>
      <c r="XDU181" s="279"/>
      <c r="XDV181" s="271"/>
      <c r="XDW181" s="271"/>
      <c r="XDX181" s="271"/>
      <c r="XDY181" s="9"/>
      <c r="XDZ181" s="11"/>
      <c r="XEA181" s="9"/>
      <c r="XEB181" s="25"/>
      <c r="XEC181" s="277"/>
      <c r="XED181" s="31"/>
      <c r="XEM181" s="279"/>
      <c r="XEN181" s="271"/>
      <c r="XEO181" s="271"/>
      <c r="XEP181" s="271"/>
      <c r="XEQ181" s="9"/>
      <c r="XER181" s="11"/>
      <c r="XES181" s="9"/>
      <c r="XET181" s="25"/>
      <c r="XEU181" s="277"/>
      <c r="XEV181" s="31"/>
    </row>
    <row r="182" spans="1:29 16349:16376" ht="18.75" x14ac:dyDescent="0.25">
      <c r="A182" s="279">
        <v>45904</v>
      </c>
      <c r="B182" s="271" t="s">
        <v>1400</v>
      </c>
      <c r="C182" s="271" t="s">
        <v>1117</v>
      </c>
      <c r="D182" s="271" t="s">
        <v>1706</v>
      </c>
      <c r="E182" s="9" t="s">
        <v>1218</v>
      </c>
      <c r="F182" s="11" t="s">
        <v>1412</v>
      </c>
      <c r="G182" s="9" t="s">
        <v>1403</v>
      </c>
      <c r="H182" s="25">
        <v>45992</v>
      </c>
      <c r="I182" s="277" t="str">
        <f ca="1">IF(ListeInventaire3811[[#This Row],[Statut de la réalisation de l''action]]="Effectué","À jour",IF(ListeInventaire3811[[#This Row],[échéance de réalisation]]&lt;TODAY(),"En retard","À jour"))</f>
        <v>En retard</v>
      </c>
      <c r="J182" s="31" t="s">
        <v>1194</v>
      </c>
      <c r="K182" s="4"/>
      <c r="L182" s="4"/>
      <c r="N182" s="4"/>
      <c r="P182" s="4"/>
      <c r="W182" s="4"/>
      <c r="X182" s="4"/>
      <c r="XDU182" s="279"/>
      <c r="XDV182" s="271"/>
      <c r="XDW182" s="271"/>
      <c r="XDX182" s="271"/>
      <c r="XDY182" s="9"/>
      <c r="XDZ182" s="11"/>
      <c r="XEA182" s="9"/>
      <c r="XEB182" s="25"/>
      <c r="XEC182" s="277"/>
      <c r="XED182" s="31"/>
      <c r="XEM182" s="279"/>
      <c r="XEN182" s="271"/>
      <c r="XEO182" s="271"/>
      <c r="XEP182" s="271"/>
      <c r="XEQ182" s="9"/>
      <c r="XER182" s="11"/>
      <c r="XES182" s="9"/>
      <c r="XET182" s="25"/>
      <c r="XEU182" s="277"/>
      <c r="XEV182" s="31"/>
    </row>
    <row r="183" spans="1:29 16349:16376" x14ac:dyDescent="0.25">
      <c r="A183" s="279">
        <v>45904</v>
      </c>
      <c r="B183" s="271" t="s">
        <v>1400</v>
      </c>
      <c r="C183" s="271" t="s">
        <v>1117</v>
      </c>
      <c r="D183" s="271" t="s">
        <v>1706</v>
      </c>
      <c r="E183" s="9" t="s">
        <v>1129</v>
      </c>
      <c r="F183" s="11" t="s">
        <v>1413</v>
      </c>
      <c r="G183" s="9" t="s">
        <v>1414</v>
      </c>
      <c r="H183" s="25">
        <v>46174</v>
      </c>
      <c r="I183" s="277" t="str">
        <f ca="1">IF(ListeInventaire3811[[#This Row],[Statut de la réalisation de l''action]]="Effectué","À jour",IF(ListeInventaire3811[[#This Row],[échéance de réalisation]]&lt;TODAY(),"En retard","À jour"))</f>
        <v>À jour</v>
      </c>
      <c r="J183" s="31" t="s">
        <v>1182</v>
      </c>
      <c r="K183" s="4"/>
      <c r="L183" s="4"/>
      <c r="N183" s="4"/>
      <c r="P183" s="4"/>
      <c r="W183" s="4"/>
      <c r="X183" s="4"/>
      <c r="XDU183" s="279"/>
      <c r="XDV183" s="271"/>
      <c r="XDW183" s="271"/>
      <c r="XDX183" s="271"/>
      <c r="XDY183" s="9"/>
      <c r="XDZ183" s="11"/>
      <c r="XEA183" s="9"/>
      <c r="XEB183" s="25"/>
      <c r="XEC183" s="277"/>
      <c r="XED183" s="31"/>
      <c r="XEM183" s="279"/>
      <c r="XEN183" s="271"/>
      <c r="XEO183" s="271"/>
      <c r="XEP183" s="271"/>
      <c r="XEQ183" s="9"/>
      <c r="XER183" s="11"/>
      <c r="XES183" s="9"/>
      <c r="XET183" s="25"/>
      <c r="XEU183" s="277"/>
      <c r="XEV183" s="31"/>
    </row>
    <row r="184" spans="1:29 16349:16376" x14ac:dyDescent="0.25">
      <c r="A184" s="279">
        <v>45904</v>
      </c>
      <c r="B184" s="271" t="s">
        <v>1400</v>
      </c>
      <c r="C184" s="271" t="s">
        <v>1117</v>
      </c>
      <c r="D184" s="271" t="s">
        <v>1706</v>
      </c>
      <c r="E184" s="9" t="s">
        <v>1129</v>
      </c>
      <c r="F184" s="11" t="s">
        <v>1415</v>
      </c>
      <c r="G184" s="9" t="s">
        <v>1416</v>
      </c>
      <c r="H184" s="25">
        <v>45992</v>
      </c>
      <c r="I184" s="277" t="str">
        <f ca="1">IF(ListeInventaire3811[[#This Row],[Statut de la réalisation de l''action]]="Effectué","À jour",IF(ListeInventaire3811[[#This Row],[échéance de réalisation]]&lt;TODAY(),"En retard","À jour"))</f>
        <v>En retard</v>
      </c>
      <c r="J184" s="31" t="s">
        <v>1182</v>
      </c>
      <c r="K184" s="4"/>
      <c r="L184" s="4"/>
      <c r="N184" s="4"/>
      <c r="P184" s="4"/>
      <c r="W184" s="4"/>
      <c r="X184" s="4"/>
      <c r="XDU184" s="279"/>
      <c r="XDV184" s="271"/>
      <c r="XDW184" s="271"/>
      <c r="XDX184" s="271"/>
      <c r="XDY184" s="9"/>
      <c r="XDZ184" s="11"/>
      <c r="XEA184" s="9"/>
      <c r="XEB184" s="25"/>
      <c r="XEC184" s="277"/>
      <c r="XED184" s="31"/>
      <c r="XEM184" s="279"/>
      <c r="XEN184" s="271"/>
      <c r="XEO184" s="271"/>
      <c r="XEP184" s="271"/>
      <c r="XEQ184" s="9"/>
      <c r="XER184" s="11"/>
      <c r="XES184" s="9"/>
      <c r="XET184" s="25"/>
      <c r="XEU184" s="277"/>
      <c r="XEV184" s="31"/>
    </row>
    <row r="185" spans="1:29 16349:16376" ht="25.5" x14ac:dyDescent="0.25">
      <c r="A185" s="279">
        <v>45904</v>
      </c>
      <c r="B185" s="271" t="s">
        <v>1400</v>
      </c>
      <c r="C185" s="271" t="s">
        <v>1117</v>
      </c>
      <c r="D185" s="271" t="s">
        <v>1706</v>
      </c>
      <c r="E185" s="9" t="s">
        <v>1129</v>
      </c>
      <c r="F185" s="11" t="s">
        <v>1417</v>
      </c>
      <c r="G185" s="9" t="s">
        <v>1418</v>
      </c>
      <c r="H185" s="25">
        <v>46174</v>
      </c>
      <c r="I185" s="277" t="str">
        <f ca="1">IF(ListeInventaire3811[[#This Row],[Statut de la réalisation de l''action]]="Effectué","À jour",IF(ListeInventaire3811[[#This Row],[échéance de réalisation]]&lt;TODAY(),"En retard","À jour"))</f>
        <v>À jour</v>
      </c>
      <c r="J185" s="31" t="s">
        <v>1194</v>
      </c>
      <c r="K185" s="4"/>
      <c r="L185" s="4"/>
      <c r="N185" s="4"/>
      <c r="P185" s="4"/>
      <c r="W185" s="4"/>
      <c r="X185" s="4"/>
      <c r="AC185" s="4" t="s">
        <v>1419</v>
      </c>
      <c r="XDU185" s="279"/>
      <c r="XDV185" s="271"/>
      <c r="XDW185" s="271"/>
      <c r="XDX185" s="271"/>
      <c r="XDY185" s="9"/>
      <c r="XDZ185" s="11"/>
      <c r="XEA185" s="9"/>
      <c r="XEB185" s="25"/>
      <c r="XEC185" s="277"/>
      <c r="XED185" s="31"/>
      <c r="XEM185" s="279"/>
      <c r="XEN185" s="271"/>
      <c r="XEO185" s="271"/>
      <c r="XEP185" s="271"/>
      <c r="XEQ185" s="9"/>
      <c r="XER185" s="11"/>
      <c r="XES185" s="9"/>
      <c r="XET185" s="25"/>
      <c r="XEU185" s="277"/>
      <c r="XEV185" s="31"/>
    </row>
    <row r="186" spans="1:29 16349:16376" ht="18.75" x14ac:dyDescent="0.25">
      <c r="A186" s="279">
        <v>45904</v>
      </c>
      <c r="B186" s="271" t="s">
        <v>1400</v>
      </c>
      <c r="C186" s="271" t="s">
        <v>1117</v>
      </c>
      <c r="D186" s="271" t="s">
        <v>1706</v>
      </c>
      <c r="E186" s="9" t="s">
        <v>1129</v>
      </c>
      <c r="F186" s="11" t="s">
        <v>1420</v>
      </c>
      <c r="G186" s="9" t="s">
        <v>1421</v>
      </c>
      <c r="H186" s="25">
        <v>45992</v>
      </c>
      <c r="I186" s="277" t="str">
        <f ca="1">IF(ListeInventaire3811[[#This Row],[Statut de la réalisation de l''action]]="Effectué","À jour",IF(ListeInventaire3811[[#This Row],[échéance de réalisation]]&lt;TODAY(),"En retard","À jour"))</f>
        <v>À jour</v>
      </c>
      <c r="J186" s="31" t="s">
        <v>1121</v>
      </c>
      <c r="K186" s="4"/>
      <c r="L186" s="4"/>
      <c r="N186" s="4"/>
      <c r="P186" s="4"/>
      <c r="W186" s="4"/>
      <c r="X186" s="4"/>
      <c r="XDU186" s="279"/>
      <c r="XDV186" s="271"/>
      <c r="XDW186" s="271"/>
      <c r="XDX186" s="271"/>
      <c r="XDY186" s="9"/>
      <c r="XDZ186" s="11"/>
      <c r="XEA186" s="9"/>
      <c r="XEB186" s="25"/>
      <c r="XEC186" s="277"/>
      <c r="XED186" s="31"/>
      <c r="XEM186" s="279"/>
      <c r="XEN186" s="271"/>
      <c r="XEO186" s="271"/>
      <c r="XEP186" s="271"/>
      <c r="XEQ186" s="9"/>
      <c r="XER186" s="11"/>
      <c r="XES186" s="9"/>
      <c r="XET186" s="25"/>
      <c r="XEU186" s="277"/>
      <c r="XEV186" s="31"/>
    </row>
    <row r="187" spans="1:29 16349:16376" ht="18.75" x14ac:dyDescent="0.25">
      <c r="A187" s="279">
        <v>45904</v>
      </c>
      <c r="B187" s="271" t="s">
        <v>1400</v>
      </c>
      <c r="C187" s="271" t="s">
        <v>1117</v>
      </c>
      <c r="D187" s="271" t="s">
        <v>1706</v>
      </c>
      <c r="E187" s="9" t="s">
        <v>1129</v>
      </c>
      <c r="F187" s="11" t="s">
        <v>1422</v>
      </c>
      <c r="G187" s="9" t="s">
        <v>1423</v>
      </c>
      <c r="H187" s="25">
        <v>46174</v>
      </c>
      <c r="I187" s="277" t="str">
        <f ca="1">IF(ListeInventaire3811[[#This Row],[Statut de la réalisation de l''action]]="Effectué","À jour",IF(ListeInventaire3811[[#This Row],[échéance de réalisation]]&lt;TODAY(),"En retard","À jour"))</f>
        <v>À jour</v>
      </c>
      <c r="J187" s="31" t="s">
        <v>1182</v>
      </c>
      <c r="K187" s="4"/>
      <c r="L187" s="4"/>
      <c r="N187" s="4"/>
      <c r="P187" s="4"/>
      <c r="W187" s="4"/>
      <c r="X187" s="4"/>
      <c r="XDU187" s="279"/>
      <c r="XDV187" s="271"/>
      <c r="XDW187" s="271"/>
      <c r="XDX187" s="271"/>
      <c r="XDY187" s="9"/>
      <c r="XDZ187" s="11"/>
      <c r="XEA187" s="9"/>
      <c r="XEB187" s="25"/>
      <c r="XEC187" s="277"/>
      <c r="XED187" s="31"/>
      <c r="XEM187" s="279"/>
      <c r="XEN187" s="271"/>
      <c r="XEO187" s="271"/>
      <c r="XEP187" s="271"/>
      <c r="XEQ187" s="9"/>
      <c r="XER187" s="11"/>
      <c r="XES187" s="9"/>
      <c r="XET187" s="25"/>
      <c r="XEU187" s="277"/>
      <c r="XEV187" s="31"/>
    </row>
    <row r="188" spans="1:29 16349:16376" ht="18.75" x14ac:dyDescent="0.25">
      <c r="A188" s="279">
        <v>45904</v>
      </c>
      <c r="B188" s="271" t="s">
        <v>1400</v>
      </c>
      <c r="C188" s="271" t="s">
        <v>1117</v>
      </c>
      <c r="D188" s="271" t="s">
        <v>1706</v>
      </c>
      <c r="E188" s="9" t="s">
        <v>1129</v>
      </c>
      <c r="F188" s="11" t="s">
        <v>1424</v>
      </c>
      <c r="G188" s="9" t="s">
        <v>1425</v>
      </c>
      <c r="H188" s="25">
        <v>46174</v>
      </c>
      <c r="I188" s="277" t="str">
        <f ca="1">IF(ListeInventaire3811[[#This Row],[Statut de la réalisation de l''action]]="Effectué","À jour",IF(ListeInventaire3811[[#This Row],[échéance de réalisation]]&lt;TODAY(),"En retard","À jour"))</f>
        <v>À jour</v>
      </c>
      <c r="J188" s="31" t="s">
        <v>1194</v>
      </c>
      <c r="K188" s="4"/>
      <c r="L188" s="4"/>
      <c r="N188" s="4"/>
      <c r="P188" s="4"/>
      <c r="W188" s="4"/>
      <c r="X188" s="4"/>
      <c r="XDU188" s="279"/>
      <c r="XDV188" s="271"/>
      <c r="XDW188" s="271"/>
      <c r="XDX188" s="271"/>
      <c r="XDY188" s="9"/>
      <c r="XDZ188" s="11"/>
      <c r="XEA188" s="9"/>
      <c r="XEB188" s="25"/>
      <c r="XEC188" s="277"/>
      <c r="XED188" s="31"/>
      <c r="XEM188" s="279"/>
      <c r="XEN188" s="271"/>
      <c r="XEO188" s="271"/>
      <c r="XEP188" s="271"/>
      <c r="XEQ188" s="9"/>
      <c r="XER188" s="11"/>
      <c r="XES188" s="9"/>
      <c r="XET188" s="25"/>
      <c r="XEU188" s="277"/>
      <c r="XEV188" s="31"/>
    </row>
    <row r="189" spans="1:29 16349:16376" ht="18.75" x14ac:dyDescent="0.25">
      <c r="A189" s="279">
        <v>45904</v>
      </c>
      <c r="B189" s="271" t="s">
        <v>1400</v>
      </c>
      <c r="C189" s="271" t="s">
        <v>1117</v>
      </c>
      <c r="D189" s="271" t="s">
        <v>1706</v>
      </c>
      <c r="E189" s="9" t="s">
        <v>1129</v>
      </c>
      <c r="F189" s="11" t="s">
        <v>1426</v>
      </c>
      <c r="G189" s="9" t="s">
        <v>1427</v>
      </c>
      <c r="H189" s="25">
        <v>45992</v>
      </c>
      <c r="I189" s="277" t="str">
        <f ca="1">IF(ListeInventaire3811[[#This Row],[Statut de la réalisation de l''action]]="Effectué","À jour",IF(ListeInventaire3811[[#This Row],[échéance de réalisation]]&lt;TODAY(),"En retard","À jour"))</f>
        <v>En retard</v>
      </c>
      <c r="J189" s="31" t="s">
        <v>1182</v>
      </c>
      <c r="K189" s="4"/>
      <c r="L189" s="4"/>
      <c r="N189" s="4"/>
      <c r="P189" s="4"/>
      <c r="W189" s="4"/>
      <c r="X189" s="4"/>
      <c r="XDU189" s="279"/>
      <c r="XDV189" s="271"/>
      <c r="XDW189" s="271"/>
      <c r="XDX189" s="271"/>
      <c r="XDY189" s="9"/>
      <c r="XDZ189" s="11"/>
      <c r="XEA189" s="9"/>
      <c r="XEB189" s="25"/>
      <c r="XEC189" s="277"/>
      <c r="XED189" s="31"/>
      <c r="XEM189" s="279"/>
      <c r="XEN189" s="271"/>
      <c r="XEO189" s="271"/>
      <c r="XEP189" s="271"/>
      <c r="XEQ189" s="9"/>
      <c r="XER189" s="11"/>
      <c r="XES189" s="9"/>
      <c r="XET189" s="25"/>
      <c r="XEU189" s="277"/>
      <c r="XEV189" s="31"/>
    </row>
    <row r="190" spans="1:29 16349:16376" ht="18.75" x14ac:dyDescent="0.25">
      <c r="A190" s="279">
        <v>45904</v>
      </c>
      <c r="B190" s="271" t="s">
        <v>1400</v>
      </c>
      <c r="C190" s="271" t="s">
        <v>1117</v>
      </c>
      <c r="D190" s="271" t="s">
        <v>1706</v>
      </c>
      <c r="E190" s="9" t="s">
        <v>1218</v>
      </c>
      <c r="F190" s="11" t="s">
        <v>1428</v>
      </c>
      <c r="G190" s="9" t="s">
        <v>583</v>
      </c>
      <c r="H190" s="25">
        <v>45992</v>
      </c>
      <c r="I190" s="277" t="str">
        <f ca="1">IF(ListeInventaire3811[[#This Row],[Statut de la réalisation de l''action]]="Effectué","À jour",IF(ListeInventaire3811[[#This Row],[échéance de réalisation]]&lt;TODAY(),"En retard","À jour"))</f>
        <v>À jour</v>
      </c>
      <c r="J190" s="31" t="s">
        <v>1121</v>
      </c>
      <c r="K190" s="4"/>
      <c r="L190" s="4"/>
      <c r="N190" s="4"/>
      <c r="P190" s="4"/>
      <c r="W190" s="4"/>
      <c r="X190" s="4"/>
      <c r="XDU190" s="279"/>
      <c r="XDV190" s="271"/>
      <c r="XDW190" s="271"/>
      <c r="XDX190" s="271"/>
      <c r="XDY190" s="9"/>
      <c r="XDZ190" s="11"/>
      <c r="XEA190" s="9"/>
      <c r="XEB190" s="25"/>
      <c r="XEC190" s="277"/>
      <c r="XED190" s="31"/>
      <c r="XEM190" s="279"/>
      <c r="XEN190" s="271"/>
      <c r="XEO190" s="271"/>
      <c r="XEP190" s="271"/>
      <c r="XEQ190" s="9"/>
      <c r="XER190" s="11"/>
      <c r="XES190" s="9"/>
      <c r="XET190" s="25"/>
      <c r="XEU190" s="277"/>
      <c r="XEV190" s="31"/>
    </row>
    <row r="191" spans="1:29 16349:16376" ht="18.75" x14ac:dyDescent="0.25">
      <c r="A191" s="279">
        <v>45904</v>
      </c>
      <c r="B191" s="271" t="s">
        <v>1400</v>
      </c>
      <c r="C191" s="271" t="s">
        <v>1117</v>
      </c>
      <c r="D191" s="271" t="s">
        <v>1706</v>
      </c>
      <c r="E191" s="9" t="s">
        <v>1129</v>
      </c>
      <c r="F191" s="11" t="s">
        <v>1429</v>
      </c>
      <c r="G191" s="9" t="s">
        <v>583</v>
      </c>
      <c r="H191" s="25">
        <v>45992</v>
      </c>
      <c r="I191" s="277" t="str">
        <f ca="1">IF(ListeInventaire3811[[#This Row],[Statut de la réalisation de l''action]]="Effectué","À jour",IF(ListeInventaire3811[[#This Row],[échéance de réalisation]]&lt;TODAY(),"En retard","À jour"))</f>
        <v>À jour</v>
      </c>
      <c r="J191" s="31" t="s">
        <v>1121</v>
      </c>
      <c r="K191" s="4"/>
      <c r="L191" s="4"/>
      <c r="N191" s="4"/>
      <c r="P191" s="4"/>
      <c r="W191" s="4"/>
      <c r="X191" s="4"/>
      <c r="XDU191" s="279"/>
      <c r="XDV191" s="271"/>
      <c r="XDW191" s="271"/>
      <c r="XDX191" s="271"/>
      <c r="XDY191" s="9"/>
      <c r="XDZ191" s="11"/>
      <c r="XEA191" s="9"/>
      <c r="XEB191" s="25"/>
      <c r="XEC191" s="277"/>
      <c r="XED191" s="31"/>
      <c r="XEM191" s="279"/>
      <c r="XEN191" s="271"/>
      <c r="XEO191" s="271"/>
      <c r="XEP191" s="271"/>
      <c r="XEQ191" s="9"/>
      <c r="XER191" s="11"/>
      <c r="XES191" s="9"/>
      <c r="XET191" s="25"/>
      <c r="XEU191" s="277"/>
      <c r="XEV191" s="31"/>
    </row>
    <row r="192" spans="1:29 16349:16376" ht="45" x14ac:dyDescent="0.25">
      <c r="A192" s="279">
        <v>45904</v>
      </c>
      <c r="B192" s="271" t="s">
        <v>1400</v>
      </c>
      <c r="C192" s="271" t="s">
        <v>1117</v>
      </c>
      <c r="D192" s="271" t="s">
        <v>1706</v>
      </c>
      <c r="E192" s="9" t="s">
        <v>1129</v>
      </c>
      <c r="F192" s="11" t="s">
        <v>1430</v>
      </c>
      <c r="G192" s="9" t="s">
        <v>583</v>
      </c>
      <c r="H192" s="25">
        <v>45992</v>
      </c>
      <c r="I192" s="277" t="str">
        <f ca="1">IF(ListeInventaire3811[[#This Row],[Statut de la réalisation de l''action]]="Effectué","À jour",IF(ListeInventaire3811[[#This Row],[échéance de réalisation]]&lt;TODAY(),"En retard","À jour"))</f>
        <v>En retard</v>
      </c>
      <c r="J192" s="31" t="s">
        <v>1182</v>
      </c>
      <c r="K192" s="4"/>
      <c r="L192" s="4"/>
      <c r="N192" s="4"/>
      <c r="P192" s="4"/>
      <c r="W192" s="4"/>
      <c r="X192" s="4"/>
      <c r="XDU192" s="279"/>
      <c r="XDV192" s="271"/>
      <c r="XDW192" s="271"/>
      <c r="XDX192" s="271"/>
      <c r="XDY192" s="9"/>
      <c r="XDZ192" s="11"/>
      <c r="XEA192" s="9"/>
      <c r="XEB192" s="25"/>
      <c r="XEC192" s="277"/>
      <c r="XED192" s="31"/>
      <c r="XEM192" s="279"/>
      <c r="XEN192" s="271"/>
      <c r="XEO192" s="271"/>
      <c r="XEP192" s="271"/>
      <c r="XEQ192" s="9"/>
      <c r="XER192" s="11"/>
      <c r="XES192" s="9"/>
      <c r="XET192" s="25"/>
      <c r="XEU192" s="277"/>
      <c r="XEV192" s="31"/>
    </row>
    <row r="193" spans="1:29 16349:16376" x14ac:dyDescent="0.25">
      <c r="A193" s="279">
        <v>45904</v>
      </c>
      <c r="B193" s="271" t="s">
        <v>1400</v>
      </c>
      <c r="C193" s="271" t="s">
        <v>1117</v>
      </c>
      <c r="D193" s="271" t="s">
        <v>1706</v>
      </c>
      <c r="E193" s="9" t="s">
        <v>1183</v>
      </c>
      <c r="F193" s="11" t="s">
        <v>1431</v>
      </c>
      <c r="G193" s="9" t="s">
        <v>1403</v>
      </c>
      <c r="H193" s="25">
        <v>45992</v>
      </c>
      <c r="I193" s="277" t="str">
        <f ca="1">IF(ListeInventaire3811[[#This Row],[Statut de la réalisation de l''action]]="Effectué","À jour",IF(ListeInventaire3811[[#This Row],[échéance de réalisation]]&lt;TODAY(),"En retard","À jour"))</f>
        <v>En retard</v>
      </c>
      <c r="J193" s="31" t="s">
        <v>1182</v>
      </c>
      <c r="K193" s="4"/>
      <c r="L193" s="4"/>
      <c r="N193" s="4"/>
      <c r="P193" s="4"/>
      <c r="W193" s="4"/>
      <c r="X193" s="4"/>
      <c r="XDU193" s="279"/>
      <c r="XDV193" s="271"/>
      <c r="XDW193" s="271"/>
      <c r="XDX193" s="271"/>
      <c r="XDY193" s="9"/>
      <c r="XDZ193" s="11"/>
      <c r="XEA193" s="9"/>
      <c r="XEB193" s="25"/>
      <c r="XEC193" s="277"/>
      <c r="XED193" s="31"/>
      <c r="XEM193" s="279"/>
      <c r="XEN193" s="271"/>
      <c r="XEO193" s="271"/>
      <c r="XEP193" s="271"/>
      <c r="XEQ193" s="9"/>
      <c r="XER193" s="11"/>
      <c r="XES193" s="9"/>
      <c r="XET193" s="25"/>
      <c r="XEU193" s="277"/>
      <c r="XEV193" s="31"/>
    </row>
    <row r="194" spans="1:29 16349:16376" ht="51" x14ac:dyDescent="0.25">
      <c r="A194" s="279">
        <v>45904</v>
      </c>
      <c r="B194" s="271" t="s">
        <v>1400</v>
      </c>
      <c r="C194" s="271" t="s">
        <v>1117</v>
      </c>
      <c r="D194" s="271" t="s">
        <v>1706</v>
      </c>
      <c r="E194" s="9" t="s">
        <v>1183</v>
      </c>
      <c r="F194" s="11" t="s">
        <v>1432</v>
      </c>
      <c r="G194" s="9" t="s">
        <v>1421</v>
      </c>
      <c r="H194" s="25">
        <v>45992</v>
      </c>
      <c r="I194" s="277" t="str">
        <f ca="1">IF(ListeInventaire3811[[#This Row],[Statut de la réalisation de l''action]]="Effectué","À jour",IF(ListeInventaire3811[[#This Row],[échéance de réalisation]]&lt;TODAY(),"En retard","À jour"))</f>
        <v>À jour</v>
      </c>
      <c r="J194" s="31" t="s">
        <v>1121</v>
      </c>
      <c r="K194" s="4"/>
      <c r="L194" s="4"/>
      <c r="N194" s="4"/>
      <c r="P194" s="4"/>
      <c r="W194" s="4"/>
      <c r="X194" s="4"/>
      <c r="AC194" s="4" t="s">
        <v>1433</v>
      </c>
      <c r="XDU194" s="279"/>
      <c r="XDV194" s="271"/>
      <c r="XDW194" s="271"/>
      <c r="XDX194" s="271"/>
      <c r="XDY194" s="9"/>
      <c r="XDZ194" s="11"/>
      <c r="XEA194" s="9"/>
      <c r="XEB194" s="25"/>
      <c r="XEC194" s="277"/>
      <c r="XED194" s="31"/>
      <c r="XEM194" s="279"/>
      <c r="XEN194" s="271"/>
      <c r="XEO194" s="271"/>
      <c r="XEP194" s="271"/>
      <c r="XEQ194" s="9"/>
      <c r="XER194" s="11"/>
      <c r="XES194" s="9"/>
      <c r="XET194" s="25"/>
      <c r="XEU194" s="277"/>
      <c r="XEV194" s="31"/>
    </row>
    <row r="195" spans="1:29 16349:16376" x14ac:dyDescent="0.25">
      <c r="A195" s="279">
        <v>45904</v>
      </c>
      <c r="B195" s="271" t="s">
        <v>1400</v>
      </c>
      <c r="C195" s="271" t="s">
        <v>1117</v>
      </c>
      <c r="D195" s="271" t="s">
        <v>1706</v>
      </c>
      <c r="E195" s="9" t="s">
        <v>1129</v>
      </c>
      <c r="F195" s="11" t="s">
        <v>1434</v>
      </c>
      <c r="G195" s="9" t="s">
        <v>1416</v>
      </c>
      <c r="H195" s="25">
        <v>46082</v>
      </c>
      <c r="I195" s="277" t="str">
        <f ca="1">IF(ListeInventaire3811[[#This Row],[Statut de la réalisation de l''action]]="Effectué","À jour",IF(ListeInventaire3811[[#This Row],[échéance de réalisation]]&lt;TODAY(),"En retard","À jour"))</f>
        <v>En retard</v>
      </c>
      <c r="J195" s="31" t="s">
        <v>1182</v>
      </c>
      <c r="K195" s="4"/>
      <c r="L195" s="4"/>
      <c r="N195" s="4"/>
      <c r="P195" s="4"/>
      <c r="W195" s="4"/>
      <c r="X195" s="4"/>
      <c r="XDU195" s="279"/>
      <c r="XDV195" s="271"/>
      <c r="XDW195" s="271"/>
      <c r="XDX195" s="271"/>
      <c r="XDY195" s="9"/>
      <c r="XDZ195" s="11"/>
      <c r="XEA195" s="9"/>
      <c r="XEB195" s="25"/>
      <c r="XEC195" s="277"/>
      <c r="XED195" s="31"/>
      <c r="XEM195" s="279"/>
      <c r="XEN195" s="271"/>
      <c r="XEO195" s="271"/>
      <c r="XEP195" s="271"/>
      <c r="XEQ195" s="9"/>
      <c r="XER195" s="11"/>
      <c r="XES195" s="9"/>
      <c r="XET195" s="25"/>
      <c r="XEU195" s="277"/>
      <c r="XEV195" s="31"/>
    </row>
    <row r="196" spans="1:29 16349:16376" x14ac:dyDescent="0.25">
      <c r="A196" s="279">
        <v>45904</v>
      </c>
      <c r="B196" s="271" t="s">
        <v>1400</v>
      </c>
      <c r="C196" s="271" t="s">
        <v>1117</v>
      </c>
      <c r="D196" s="271" t="s">
        <v>1706</v>
      </c>
      <c r="E196" s="9" t="s">
        <v>1129</v>
      </c>
      <c r="F196" s="11" t="s">
        <v>1435</v>
      </c>
      <c r="G196" s="9" t="s">
        <v>1414</v>
      </c>
      <c r="H196" s="25">
        <v>46023</v>
      </c>
      <c r="I196" s="277" t="str">
        <f ca="1">IF(ListeInventaire3811[[#This Row],[Statut de la réalisation de l''action]]="Effectué","À jour",IF(ListeInventaire3811[[#This Row],[échéance de réalisation]]&lt;TODAY(),"En retard","À jour"))</f>
        <v>En retard</v>
      </c>
      <c r="J196" s="31" t="s">
        <v>1194</v>
      </c>
      <c r="K196" s="4"/>
      <c r="L196" s="4"/>
      <c r="N196" s="4"/>
      <c r="P196" s="4"/>
      <c r="W196" s="4"/>
      <c r="X196" s="4"/>
      <c r="XDU196" s="279"/>
      <c r="XDV196" s="271"/>
      <c r="XDW196" s="271"/>
      <c r="XDX196" s="271"/>
      <c r="XDY196" s="9"/>
      <c r="XDZ196" s="11"/>
      <c r="XEA196" s="9"/>
      <c r="XEB196" s="25"/>
      <c r="XEC196" s="277"/>
      <c r="XED196" s="31"/>
      <c r="XEM196" s="279"/>
      <c r="XEN196" s="271"/>
      <c r="XEO196" s="271"/>
      <c r="XEP196" s="271"/>
      <c r="XEQ196" s="9"/>
      <c r="XER196" s="11"/>
      <c r="XES196" s="9"/>
      <c r="XET196" s="25"/>
      <c r="XEU196" s="277"/>
      <c r="XEV196" s="31"/>
    </row>
    <row r="197" spans="1:29 16349:16376" ht="37.5" x14ac:dyDescent="0.25">
      <c r="A197" s="279">
        <v>45915</v>
      </c>
      <c r="B197" s="271" t="s">
        <v>1230</v>
      </c>
      <c r="C197" s="271" t="s">
        <v>180</v>
      </c>
      <c r="D197" s="271" t="s">
        <v>35</v>
      </c>
      <c r="E197" s="12" t="s">
        <v>1218</v>
      </c>
      <c r="F197" s="13" t="s">
        <v>1436</v>
      </c>
      <c r="G197" s="12" t="s">
        <v>1127</v>
      </c>
      <c r="H197" s="27">
        <v>46006</v>
      </c>
      <c r="I197" s="277" t="str">
        <f ca="1">IF(ListeInventaire3811[[#This Row],[Statut de la réalisation de l''action]]="Effectué","À jour",IF(ListeInventaire3811[[#This Row],[échéance de réalisation]]&lt;TODAY(),"En retard","À jour"))</f>
        <v>En retard</v>
      </c>
      <c r="J197" s="31" t="s">
        <v>1182</v>
      </c>
      <c r="K197" s="4"/>
      <c r="L197" s="4"/>
      <c r="N197" s="4"/>
      <c r="P197" s="4"/>
      <c r="W197" s="4"/>
      <c r="X197" s="4"/>
      <c r="XDU197" s="279"/>
      <c r="XDV197" s="271"/>
      <c r="XDW197" s="271"/>
      <c r="XDX197" s="271"/>
      <c r="XDY197" s="9"/>
      <c r="XDZ197" s="11"/>
      <c r="XEA197" s="9"/>
      <c r="XEB197" s="25"/>
      <c r="XEC197" s="277"/>
      <c r="XED197" s="31"/>
      <c r="XEM197" s="279"/>
      <c r="XEN197" s="271"/>
      <c r="XEO197" s="271"/>
      <c r="XEP197" s="271"/>
      <c r="XEQ197" s="9"/>
      <c r="XER197" s="11"/>
      <c r="XES197" s="9"/>
      <c r="XET197" s="25"/>
      <c r="XEU197" s="277"/>
      <c r="XEV197" s="31"/>
    </row>
    <row r="198" spans="1:29 16349:16376" ht="37.5" x14ac:dyDescent="0.25">
      <c r="A198" s="279">
        <v>45915</v>
      </c>
      <c r="B198" s="271" t="s">
        <v>1230</v>
      </c>
      <c r="C198" s="271" t="s">
        <v>180</v>
      </c>
      <c r="D198" s="271" t="s">
        <v>35</v>
      </c>
      <c r="E198" s="12" t="s">
        <v>1129</v>
      </c>
      <c r="F198" s="13" t="s">
        <v>1437</v>
      </c>
      <c r="G198" s="12" t="s">
        <v>1127</v>
      </c>
      <c r="H198" s="27">
        <v>45931</v>
      </c>
      <c r="I198" s="277" t="str">
        <f ca="1">IF(ListeInventaire3811[[#This Row],[Statut de la réalisation de l''action]]="Effectué","À jour",IF(ListeInventaire3811[[#This Row],[échéance de réalisation]]&lt;TODAY(),"En retard","À jour"))</f>
        <v>À jour</v>
      </c>
      <c r="J198" s="31" t="s">
        <v>1121</v>
      </c>
      <c r="K198" s="4"/>
      <c r="L198" s="4"/>
      <c r="N198" s="4"/>
      <c r="P198" s="4"/>
      <c r="W198" s="4"/>
      <c r="X198" s="4"/>
      <c r="XDU198" s="279"/>
      <c r="XDV198" s="271"/>
      <c r="XDW198" s="271"/>
      <c r="XDX198" s="271"/>
      <c r="XDY198" s="9"/>
      <c r="XDZ198" s="11"/>
      <c r="XEA198" s="9"/>
      <c r="XEB198" s="25"/>
      <c r="XEC198" s="277"/>
      <c r="XED198" s="31"/>
      <c r="XEM198" s="279"/>
      <c r="XEN198" s="271"/>
      <c r="XEO198" s="271"/>
      <c r="XEP198" s="271"/>
      <c r="XEQ198" s="9"/>
      <c r="XER198" s="11"/>
      <c r="XES198" s="9"/>
      <c r="XET198" s="25"/>
      <c r="XEU198" s="277"/>
      <c r="XEV198" s="31"/>
    </row>
    <row r="199" spans="1:29 16349:16376" ht="37.5" x14ac:dyDescent="0.25">
      <c r="A199" s="279">
        <v>45915</v>
      </c>
      <c r="B199" s="271" t="s">
        <v>1230</v>
      </c>
      <c r="C199" s="271" t="s">
        <v>180</v>
      </c>
      <c r="D199" s="271" t="s">
        <v>35</v>
      </c>
      <c r="E199" s="12" t="s">
        <v>1129</v>
      </c>
      <c r="F199" s="13" t="s">
        <v>1438</v>
      </c>
      <c r="G199" s="12" t="s">
        <v>1127</v>
      </c>
      <c r="H199" s="27">
        <v>45945</v>
      </c>
      <c r="I199" s="277" t="str">
        <f ca="1">IF(ListeInventaire3811[[#This Row],[Statut de la réalisation de l''action]]="Effectué","À jour",IF(ListeInventaire3811[[#This Row],[échéance de réalisation]]&lt;TODAY(),"En retard","À jour"))</f>
        <v>À jour</v>
      </c>
      <c r="J199" s="31" t="s">
        <v>1121</v>
      </c>
      <c r="K199" s="4"/>
      <c r="L199" s="4"/>
      <c r="N199" s="4"/>
      <c r="P199" s="4"/>
      <c r="W199" s="4"/>
      <c r="X199" s="4"/>
      <c r="XDU199" s="279"/>
      <c r="XDV199" s="271"/>
      <c r="XDW199" s="271"/>
      <c r="XDX199" s="271"/>
      <c r="XDY199" s="9"/>
      <c r="XDZ199" s="11"/>
      <c r="XEA199" s="9"/>
      <c r="XEB199" s="25"/>
      <c r="XEC199" s="277"/>
      <c r="XED199" s="31"/>
      <c r="XEM199" s="279"/>
      <c r="XEN199" s="271"/>
      <c r="XEO199" s="271"/>
      <c r="XEP199" s="271"/>
      <c r="XEQ199" s="9"/>
      <c r="XER199" s="11"/>
      <c r="XES199" s="9"/>
      <c r="XET199" s="25"/>
      <c r="XEU199" s="277"/>
      <c r="XEV199" s="31"/>
    </row>
    <row r="200" spans="1:29 16349:16376" x14ac:dyDescent="0.25">
      <c r="A200" s="279">
        <v>45924</v>
      </c>
      <c r="B200" s="271" t="s">
        <v>61</v>
      </c>
      <c r="C200" s="271" t="s">
        <v>186</v>
      </c>
      <c r="D200" s="271" t="s">
        <v>51</v>
      </c>
      <c r="E200" s="9" t="s">
        <v>1129</v>
      </c>
      <c r="F200" s="11" t="s">
        <v>1439</v>
      </c>
      <c r="G200" s="9" t="s">
        <v>563</v>
      </c>
      <c r="H200" s="25">
        <v>45971</v>
      </c>
      <c r="I200" s="277" t="str">
        <f ca="1">IF(ListeInventaire3811[[#This Row],[Statut de la réalisation de l''action]]="Effectué","À jour",IF(ListeInventaire3811[[#This Row],[échéance de réalisation]]&lt;TODAY(),"En retard","À jour"))</f>
        <v>En retard</v>
      </c>
      <c r="J200" s="31" t="s">
        <v>1182</v>
      </c>
      <c r="K200" s="4"/>
      <c r="L200" s="4"/>
      <c r="N200" s="4"/>
      <c r="P200" s="4"/>
      <c r="W200" s="4"/>
      <c r="X200" s="4"/>
      <c r="XDU200" s="279"/>
      <c r="XDV200" s="271"/>
      <c r="XDW200" s="271"/>
      <c r="XDX200" s="271"/>
      <c r="XDY200" s="9"/>
      <c r="XDZ200" s="11"/>
      <c r="XEA200" s="9"/>
      <c r="XEB200" s="25"/>
      <c r="XEC200" s="277"/>
      <c r="XED200" s="31"/>
      <c r="XEM200" s="279"/>
      <c r="XEN200" s="271"/>
      <c r="XEO200" s="271"/>
      <c r="XEP200" s="271"/>
      <c r="XEQ200" s="9"/>
      <c r="XER200" s="11"/>
      <c r="XES200" s="9"/>
      <c r="XET200" s="25"/>
      <c r="XEU200" s="277"/>
      <c r="XEV200" s="31"/>
    </row>
    <row r="201" spans="1:29 16349:16376" ht="18.75" x14ac:dyDescent="0.25">
      <c r="A201" s="279">
        <v>45931</v>
      </c>
      <c r="B201" s="271" t="s">
        <v>61</v>
      </c>
      <c r="C201" s="271" t="s">
        <v>186</v>
      </c>
      <c r="D201" s="271" t="s">
        <v>51</v>
      </c>
      <c r="E201" s="9" t="s">
        <v>1129</v>
      </c>
      <c r="F201" s="11" t="s">
        <v>1440</v>
      </c>
      <c r="G201" s="9" t="s">
        <v>1127</v>
      </c>
      <c r="H201" s="25">
        <v>45962</v>
      </c>
      <c r="I201" s="277" t="str">
        <f ca="1">IF(ListeInventaire3811[[#This Row],[Statut de la réalisation de l''action]]="Effectué","À jour",IF(ListeInventaire3811[[#This Row],[échéance de réalisation]]&lt;TODAY(),"En retard","À jour"))</f>
        <v>En retard</v>
      </c>
      <c r="J201" s="31" t="s">
        <v>1182</v>
      </c>
      <c r="K201" s="4"/>
      <c r="L201" s="4"/>
      <c r="N201" s="4"/>
      <c r="P201" s="4"/>
      <c r="W201" s="4"/>
      <c r="X201" s="4"/>
      <c r="XDU201" s="279"/>
      <c r="XDV201" s="271"/>
      <c r="XDW201" s="271"/>
      <c r="XDX201" s="271"/>
      <c r="XDY201" s="9"/>
      <c r="XDZ201" s="11"/>
      <c r="XEA201" s="9"/>
      <c r="XEB201" s="25"/>
      <c r="XEC201" s="277"/>
      <c r="XED201" s="31"/>
      <c r="XEM201" s="279"/>
      <c r="XEN201" s="271"/>
      <c r="XEO201" s="271"/>
      <c r="XEP201" s="271"/>
      <c r="XEQ201" s="9"/>
      <c r="XER201" s="11"/>
      <c r="XES201" s="9"/>
      <c r="XET201" s="25"/>
      <c r="XEU201" s="277"/>
      <c r="XEV201" s="31"/>
    </row>
    <row r="202" spans="1:29 16349:16376" ht="37.5" x14ac:dyDescent="0.25">
      <c r="A202" s="279">
        <v>45945</v>
      </c>
      <c r="B202" s="271" t="s">
        <v>1230</v>
      </c>
      <c r="C202" s="271" t="s">
        <v>1373</v>
      </c>
      <c r="D202" s="271" t="s">
        <v>51</v>
      </c>
      <c r="E202" s="12" t="s">
        <v>1218</v>
      </c>
      <c r="F202" s="13" t="s">
        <v>1441</v>
      </c>
      <c r="G202" s="12" t="s">
        <v>1442</v>
      </c>
      <c r="H202" s="27">
        <v>45945</v>
      </c>
      <c r="I202" s="277" t="str">
        <f ca="1">IF(ListeInventaire3811[[#This Row],[Statut de la réalisation de l''action]]="Effectué","À jour",IF(ListeInventaire3811[[#This Row],[échéance de réalisation]]&lt;TODAY(),"En retard","À jour"))</f>
        <v>En retard</v>
      </c>
      <c r="J202" s="31" t="s">
        <v>1194</v>
      </c>
      <c r="K202" s="4"/>
      <c r="L202" s="4"/>
      <c r="N202" s="4"/>
      <c r="P202" s="4"/>
      <c r="W202" s="4"/>
      <c r="X202" s="4"/>
      <c r="XDU202" s="279"/>
      <c r="XDV202" s="271"/>
      <c r="XDW202" s="271"/>
      <c r="XDX202" s="271"/>
      <c r="XDY202" s="9"/>
      <c r="XDZ202" s="11"/>
      <c r="XEA202" s="9"/>
      <c r="XEB202" s="25"/>
      <c r="XEC202" s="277"/>
      <c r="XED202" s="31"/>
      <c r="XEM202" s="279"/>
      <c r="XEN202" s="271"/>
      <c r="XEO202" s="271"/>
      <c r="XEP202" s="271"/>
      <c r="XEQ202" s="9"/>
      <c r="XER202" s="11"/>
      <c r="XES202" s="9"/>
      <c r="XET202" s="25"/>
      <c r="XEU202" s="277"/>
      <c r="XEV202" s="31"/>
    </row>
    <row r="203" spans="1:29 16349:16376" ht="37.5" x14ac:dyDescent="0.25">
      <c r="A203" s="279">
        <v>45945</v>
      </c>
      <c r="B203" s="271" t="s">
        <v>1230</v>
      </c>
      <c r="C203" s="271" t="s">
        <v>1373</v>
      </c>
      <c r="D203" s="271" t="s">
        <v>51</v>
      </c>
      <c r="E203" s="12" t="s">
        <v>1218</v>
      </c>
      <c r="F203" s="13" t="s">
        <v>1443</v>
      </c>
      <c r="G203" s="12" t="s">
        <v>565</v>
      </c>
      <c r="H203" s="27">
        <v>46052</v>
      </c>
      <c r="I203" s="277" t="str">
        <f ca="1">IF(ListeInventaire3811[[#This Row],[Statut de la réalisation de l''action]]="Effectué","À jour",IF(ListeInventaire3811[[#This Row],[échéance de réalisation]]&lt;TODAY(),"En retard","À jour"))</f>
        <v>En retard</v>
      </c>
      <c r="J203" s="31" t="s">
        <v>1182</v>
      </c>
      <c r="K203" s="4"/>
      <c r="L203" s="4"/>
      <c r="N203" s="4"/>
      <c r="P203" s="4"/>
      <c r="W203" s="4"/>
      <c r="X203" s="4"/>
      <c r="XDU203" s="279"/>
      <c r="XDV203" s="271"/>
      <c r="XDW203" s="271"/>
      <c r="XDX203" s="271"/>
      <c r="XDY203" s="9"/>
      <c r="XDZ203" s="11"/>
      <c r="XEA203" s="9"/>
      <c r="XEB203" s="25"/>
      <c r="XEC203" s="277"/>
      <c r="XED203" s="31"/>
      <c r="XEM203" s="279"/>
      <c r="XEN203" s="271"/>
      <c r="XEO203" s="271"/>
      <c r="XEP203" s="271"/>
      <c r="XEQ203" s="9"/>
      <c r="XER203" s="11"/>
      <c r="XES203" s="9"/>
      <c r="XET203" s="25"/>
      <c r="XEU203" s="277"/>
      <c r="XEV203" s="31"/>
    </row>
    <row r="204" spans="1:29 16349:16376" x14ac:dyDescent="0.25">
      <c r="A204" s="279">
        <v>45946</v>
      </c>
      <c r="B204" s="271" t="s">
        <v>1123</v>
      </c>
      <c r="C204" s="271" t="s">
        <v>746</v>
      </c>
      <c r="D204" s="271" t="s">
        <v>51</v>
      </c>
      <c r="E204" s="9" t="s">
        <v>1218</v>
      </c>
      <c r="F204" s="11" t="s">
        <v>1444</v>
      </c>
      <c r="G204" s="9" t="s">
        <v>1445</v>
      </c>
      <c r="H204" s="25">
        <v>46174</v>
      </c>
      <c r="I204" s="277" t="str">
        <f ca="1">IF(ListeInventaire3811[[#This Row],[Statut de la réalisation de l''action]]="Effectué","À jour",IF(ListeInventaire3811[[#This Row],[échéance de réalisation]]&lt;TODAY(),"En retard","À jour"))</f>
        <v>À jour</v>
      </c>
      <c r="J204" s="31" t="s">
        <v>1194</v>
      </c>
      <c r="K204" s="4"/>
      <c r="L204" s="4"/>
      <c r="N204" s="4"/>
      <c r="P204" s="4"/>
      <c r="W204" s="4"/>
      <c r="X204" s="4"/>
      <c r="XDU204" s="279"/>
      <c r="XDV204" s="271"/>
      <c r="XDW204" s="271"/>
      <c r="XDX204" s="271"/>
      <c r="XDY204" s="9"/>
      <c r="XDZ204" s="11"/>
      <c r="XEA204" s="9"/>
      <c r="XEB204" s="25"/>
      <c r="XEC204" s="277"/>
      <c r="XED204" s="31"/>
      <c r="XEM204" s="279"/>
      <c r="XEN204" s="271"/>
      <c r="XEO204" s="271"/>
      <c r="XEP204" s="271"/>
      <c r="XEQ204" s="9"/>
      <c r="XER204" s="11"/>
      <c r="XES204" s="9"/>
      <c r="XET204" s="25"/>
      <c r="XEU204" s="277"/>
      <c r="XEV204" s="31"/>
    </row>
    <row r="205" spans="1:29 16349:16376" ht="37.5" x14ac:dyDescent="0.25">
      <c r="A205" s="279">
        <v>45952</v>
      </c>
      <c r="B205" s="271" t="s">
        <v>1230</v>
      </c>
      <c r="C205" s="271" t="s">
        <v>180</v>
      </c>
      <c r="D205" s="271" t="s">
        <v>35</v>
      </c>
      <c r="E205" s="9" t="s">
        <v>1218</v>
      </c>
      <c r="F205" s="11" t="s">
        <v>1446</v>
      </c>
      <c r="G205" s="9" t="s">
        <v>1127</v>
      </c>
      <c r="H205" s="25">
        <v>45976</v>
      </c>
      <c r="I205" s="277" t="str">
        <f ca="1">IF(ListeInventaire3811[[#This Row],[Statut de la réalisation de l''action]]="Effectué","À jour",IF(ListeInventaire3811[[#This Row],[échéance de réalisation]]&lt;TODAY(),"En retard","À jour"))</f>
        <v>En retard</v>
      </c>
      <c r="J205" s="31" t="s">
        <v>1182</v>
      </c>
      <c r="K205" s="4"/>
      <c r="L205" s="4"/>
      <c r="N205" s="4"/>
      <c r="P205" s="4"/>
      <c r="W205" s="4"/>
      <c r="X205" s="4"/>
      <c r="XDU205" s="279"/>
      <c r="XDV205" s="271"/>
      <c r="XDW205" s="271"/>
      <c r="XDX205" s="271"/>
      <c r="XDY205" s="9"/>
      <c r="XDZ205" s="11"/>
      <c r="XEA205" s="9"/>
      <c r="XEB205" s="25"/>
      <c r="XEC205" s="277"/>
      <c r="XED205" s="31"/>
      <c r="XEM205" s="279"/>
      <c r="XEN205" s="271"/>
      <c r="XEO205" s="271"/>
      <c r="XEP205" s="271"/>
      <c r="XEQ205" s="9"/>
      <c r="XER205" s="11"/>
      <c r="XES205" s="9"/>
      <c r="XET205" s="25"/>
      <c r="XEU205" s="277"/>
      <c r="XEV205" s="31"/>
    </row>
    <row r="206" spans="1:29 16349:16376" ht="18.75" x14ac:dyDescent="0.25">
      <c r="A206" s="279">
        <v>45954</v>
      </c>
      <c r="B206" s="271" t="s">
        <v>1123</v>
      </c>
      <c r="C206" s="271" t="s">
        <v>186</v>
      </c>
      <c r="D206" s="271" t="s">
        <v>51</v>
      </c>
      <c r="E206" s="9" t="s">
        <v>1129</v>
      </c>
      <c r="F206" s="11" t="s">
        <v>1447</v>
      </c>
      <c r="G206" s="9" t="s">
        <v>1127</v>
      </c>
      <c r="H206" s="25">
        <v>45954</v>
      </c>
      <c r="I206" s="277" t="str">
        <f ca="1">IF(ListeInventaire3811[[#This Row],[Statut de la réalisation de l''action]]="Effectué","À jour",IF(ListeInventaire3811[[#This Row],[échéance de réalisation]]&lt;TODAY(),"En retard","À jour"))</f>
        <v>À jour</v>
      </c>
      <c r="J206" s="31" t="s">
        <v>1121</v>
      </c>
      <c r="K206" s="4"/>
      <c r="L206" s="4"/>
      <c r="N206" s="4"/>
      <c r="P206" s="4"/>
      <c r="W206" s="4"/>
      <c r="X206" s="4"/>
      <c r="XDU206" s="279"/>
      <c r="XDV206" s="271"/>
      <c r="XDW206" s="271"/>
      <c r="XDX206" s="271"/>
      <c r="XDY206" s="9"/>
      <c r="XDZ206" s="11"/>
      <c r="XEA206" s="9"/>
      <c r="XEB206" s="25"/>
      <c r="XEC206" s="277"/>
      <c r="XED206" s="31"/>
      <c r="XEM206" s="279"/>
      <c r="XEN206" s="271"/>
      <c r="XEO206" s="271"/>
      <c r="XEP206" s="271"/>
      <c r="XEQ206" s="9"/>
      <c r="XER206" s="11"/>
      <c r="XES206" s="9"/>
      <c r="XET206" s="25"/>
      <c r="XEU206" s="277"/>
      <c r="XEV206" s="31"/>
    </row>
    <row r="207" spans="1:29 16349:16376" x14ac:dyDescent="0.25">
      <c r="A207" s="279">
        <v>45966</v>
      </c>
      <c r="B207" s="271" t="s">
        <v>1315</v>
      </c>
      <c r="C207" s="271" t="s">
        <v>217</v>
      </c>
      <c r="D207" s="271" t="s">
        <v>1697</v>
      </c>
      <c r="E207" s="9" t="s">
        <v>1129</v>
      </c>
      <c r="F207" s="11" t="s">
        <v>1707</v>
      </c>
      <c r="G207" s="9" t="s">
        <v>1214</v>
      </c>
      <c r="H207" s="25">
        <v>45968</v>
      </c>
      <c r="I207" s="277" t="str">
        <f ca="1">IF(ListeInventaire3811[[#This Row],[Statut de la réalisation de l''action]]="Effectué","À jour",IF(ListeInventaire3811[[#This Row],[échéance de réalisation]]&lt;TODAY(),"En retard","À jour"))</f>
        <v>À jour</v>
      </c>
      <c r="J207" s="31" t="s">
        <v>1121</v>
      </c>
      <c r="K207" s="4"/>
      <c r="L207" s="4"/>
      <c r="N207" s="4"/>
      <c r="P207" s="4"/>
      <c r="W207" s="4"/>
      <c r="X207" s="4"/>
      <c r="XDU207" s="279"/>
      <c r="XDV207" s="271"/>
      <c r="XDW207" s="271"/>
      <c r="XDX207" s="271"/>
      <c r="XDY207" s="9"/>
      <c r="XDZ207" s="11"/>
      <c r="XEA207" s="9"/>
      <c r="XEB207" s="25"/>
      <c r="XEC207" s="277"/>
      <c r="XED207" s="31"/>
      <c r="XEM207" s="279"/>
      <c r="XEN207" s="271"/>
      <c r="XEO207" s="271"/>
      <c r="XEP207" s="271"/>
      <c r="XEQ207" s="9"/>
      <c r="XER207" s="11"/>
      <c r="XES207" s="9"/>
      <c r="XET207" s="25"/>
      <c r="XEU207" s="277"/>
      <c r="XEV207" s="31"/>
    </row>
    <row r="208" spans="1:29 16349:16376" x14ac:dyDescent="0.25">
      <c r="A208" s="279">
        <v>45966</v>
      </c>
      <c r="B208" s="271" t="s">
        <v>1315</v>
      </c>
      <c r="C208" s="271" t="s">
        <v>217</v>
      </c>
      <c r="D208" s="271" t="s">
        <v>1697</v>
      </c>
      <c r="E208" s="9" t="s">
        <v>1357</v>
      </c>
      <c r="F208" s="11" t="s">
        <v>1708</v>
      </c>
      <c r="G208" s="9" t="s">
        <v>1214</v>
      </c>
      <c r="H208" s="25">
        <v>46022</v>
      </c>
      <c r="I208" s="277" t="str">
        <f ca="1">IF(ListeInventaire3811[[#This Row],[Statut de la réalisation de l''action]]="Effectué","À jour",IF(ListeInventaire3811[[#This Row],[échéance de réalisation]]&lt;TODAY(),"En retard","À jour"))</f>
        <v>En retard</v>
      </c>
      <c r="J208" s="31" t="s">
        <v>1182</v>
      </c>
      <c r="K208" s="4"/>
      <c r="L208" s="4"/>
      <c r="N208" s="4"/>
      <c r="P208" s="4"/>
      <c r="W208" s="4"/>
      <c r="X208" s="4"/>
      <c r="XDU208" s="279"/>
      <c r="XDV208" s="271"/>
      <c r="XDW208" s="271"/>
      <c r="XDX208" s="271"/>
      <c r="XDY208" s="9"/>
      <c r="XDZ208" s="11"/>
      <c r="XEA208" s="9"/>
      <c r="XEB208" s="25"/>
      <c r="XEC208" s="277"/>
      <c r="XED208" s="31"/>
      <c r="XEM208" s="279"/>
      <c r="XEN208" s="271"/>
      <c r="XEO208" s="271"/>
      <c r="XEP208" s="271"/>
      <c r="XEQ208" s="9"/>
      <c r="XER208" s="11"/>
      <c r="XES208" s="9"/>
      <c r="XET208" s="25"/>
      <c r="XEU208" s="277"/>
      <c r="XEV208" s="31"/>
    </row>
    <row r="209" spans="1:24 16349:16376" x14ac:dyDescent="0.25">
      <c r="A209" s="279">
        <v>45966</v>
      </c>
      <c r="B209" s="271" t="s">
        <v>1315</v>
      </c>
      <c r="C209" s="271" t="s">
        <v>217</v>
      </c>
      <c r="D209" s="271" t="s">
        <v>1697</v>
      </c>
      <c r="E209" s="9" t="s">
        <v>1129</v>
      </c>
      <c r="F209" s="11" t="s">
        <v>1709</v>
      </c>
      <c r="G209" s="9" t="s">
        <v>1214</v>
      </c>
      <c r="H209" s="25">
        <v>46053</v>
      </c>
      <c r="I209" s="277" t="str">
        <f ca="1">IF(ListeInventaire3811[[#This Row],[Statut de la réalisation de l''action]]="Effectué","À jour",IF(ListeInventaire3811[[#This Row],[échéance de réalisation]]&lt;TODAY(),"En retard","À jour"))</f>
        <v>En retard</v>
      </c>
      <c r="J209" s="31" t="s">
        <v>1182</v>
      </c>
      <c r="K209" s="4"/>
      <c r="L209" s="4"/>
      <c r="N209" s="4"/>
      <c r="P209" s="4"/>
      <c r="W209" s="4"/>
      <c r="X209" s="4"/>
      <c r="XDU209" s="279"/>
      <c r="XDV209" s="271"/>
      <c r="XDW209" s="271"/>
      <c r="XDX209" s="271"/>
      <c r="XDY209" s="9"/>
      <c r="XDZ209" s="11"/>
      <c r="XEA209" s="9"/>
      <c r="XEB209" s="25"/>
      <c r="XEC209" s="277"/>
      <c r="XED209" s="31"/>
      <c r="XEM209" s="279"/>
      <c r="XEN209" s="271"/>
      <c r="XEO209" s="271"/>
      <c r="XEP209" s="271"/>
      <c r="XEQ209" s="9"/>
      <c r="XER209" s="11"/>
      <c r="XES209" s="9"/>
      <c r="XET209" s="25"/>
      <c r="XEU209" s="277"/>
      <c r="XEV209" s="31"/>
    </row>
    <row r="210" spans="1:24 16349:16376" x14ac:dyDescent="0.25">
      <c r="A210" s="279">
        <v>45973</v>
      </c>
      <c r="B210" s="271" t="s">
        <v>61</v>
      </c>
      <c r="C210" s="271" t="s">
        <v>221</v>
      </c>
      <c r="D210" s="271" t="s">
        <v>124</v>
      </c>
      <c r="E210" s="9" t="s">
        <v>1249</v>
      </c>
      <c r="F210" s="11" t="s">
        <v>1448</v>
      </c>
      <c r="G210" s="9" t="s">
        <v>1214</v>
      </c>
      <c r="H210" s="25">
        <v>45991</v>
      </c>
      <c r="I210" s="277" t="str">
        <f ca="1">IF(ListeInventaire3811[[#This Row],[Statut de la réalisation de l''action]]="Effectué","À jour",IF(ListeInventaire3811[[#This Row],[échéance de réalisation]]&lt;TODAY(),"En retard","À jour"))</f>
        <v>À jour</v>
      </c>
      <c r="J210" s="31" t="s">
        <v>1121</v>
      </c>
      <c r="K210" s="4"/>
      <c r="L210" s="4"/>
      <c r="N210" s="4"/>
      <c r="P210" s="4"/>
      <c r="W210" s="4"/>
      <c r="X210" s="4"/>
      <c r="XDU210" s="279"/>
      <c r="XDV210" s="271"/>
      <c r="XDW210" s="271"/>
      <c r="XDX210" s="271"/>
      <c r="XDY210" s="9"/>
      <c r="XDZ210" s="11"/>
      <c r="XEA210" s="9"/>
      <c r="XEB210" s="25"/>
      <c r="XEC210" s="277"/>
      <c r="XED210" s="31"/>
      <c r="XEM210" s="279"/>
      <c r="XEN210" s="271"/>
      <c r="XEO210" s="271"/>
      <c r="XEP210" s="271"/>
      <c r="XEQ210" s="9"/>
      <c r="XER210" s="11"/>
      <c r="XES210" s="9"/>
      <c r="XET210" s="25"/>
      <c r="XEU210" s="277"/>
      <c r="XEV210" s="31"/>
    </row>
    <row r="211" spans="1:24 16349:16376" ht="18.75" x14ac:dyDescent="0.25">
      <c r="A211" s="279">
        <v>45989</v>
      </c>
      <c r="B211" s="271" t="s">
        <v>1315</v>
      </c>
      <c r="C211" s="271" t="s">
        <v>1449</v>
      </c>
      <c r="D211" s="271" t="s">
        <v>102</v>
      </c>
      <c r="E211" s="9" t="s">
        <v>1129</v>
      </c>
      <c r="F211" s="11" t="s">
        <v>1450</v>
      </c>
      <c r="G211" s="9" t="s">
        <v>1214</v>
      </c>
      <c r="H211" s="25">
        <v>46010</v>
      </c>
      <c r="I211" s="277" t="str">
        <f ca="1">IF(ListeInventaire3811[[#This Row],[Statut de la réalisation de l''action]]="Effectué","À jour",IF(ListeInventaire3811[[#This Row],[échéance de réalisation]]&lt;TODAY(),"En retard","À jour"))</f>
        <v>En retard</v>
      </c>
      <c r="J211" s="31"/>
      <c r="K211" s="4"/>
      <c r="L211" s="4"/>
      <c r="N211" s="4"/>
      <c r="P211" s="4"/>
      <c r="W211" s="4"/>
      <c r="X211" s="4"/>
      <c r="XDU211" s="279"/>
      <c r="XDV211" s="271"/>
      <c r="XDW211" s="271"/>
      <c r="XDX211" s="271"/>
      <c r="XDY211" s="9"/>
      <c r="XDZ211" s="11"/>
      <c r="XEA211" s="9"/>
      <c r="XEB211" s="25"/>
      <c r="XEC211" s="277"/>
      <c r="XED211" s="31"/>
      <c r="XEM211" s="279"/>
      <c r="XEN211" s="271"/>
      <c r="XEO211" s="271"/>
      <c r="XEP211" s="271"/>
      <c r="XEQ211" s="9"/>
      <c r="XER211" s="11"/>
      <c r="XES211" s="9"/>
      <c r="XET211" s="25"/>
      <c r="XEU211" s="277"/>
      <c r="XEV211" s="31"/>
    </row>
    <row r="212" spans="1:24 16349:16376" ht="18.75" x14ac:dyDescent="0.25">
      <c r="A212" s="279">
        <v>45989</v>
      </c>
      <c r="B212" s="271" t="s">
        <v>1315</v>
      </c>
      <c r="C212" s="271" t="s">
        <v>1449</v>
      </c>
      <c r="D212" s="271" t="s">
        <v>102</v>
      </c>
      <c r="E212" s="9" t="s">
        <v>1129</v>
      </c>
      <c r="F212" s="11" t="s">
        <v>1451</v>
      </c>
      <c r="G212" s="9" t="s">
        <v>1214</v>
      </c>
      <c r="H212" s="25">
        <v>46010</v>
      </c>
      <c r="I212" s="277" t="str">
        <f ca="1">IF(ListeInventaire3811[[#This Row],[Statut de la réalisation de l''action]]="Effectué","À jour",IF(ListeInventaire3811[[#This Row],[échéance de réalisation]]&lt;TODAY(),"En retard","À jour"))</f>
        <v>En retard</v>
      </c>
      <c r="J212" s="31"/>
      <c r="K212" s="4"/>
      <c r="L212" s="4"/>
      <c r="N212" s="4"/>
      <c r="P212" s="4"/>
      <c r="W212" s="4"/>
      <c r="X212" s="4"/>
      <c r="XDU212" s="279"/>
      <c r="XDV212" s="271"/>
      <c r="XDW212" s="271"/>
      <c r="XDX212" s="271"/>
      <c r="XDY212" s="9"/>
      <c r="XDZ212" s="11"/>
      <c r="XEA212" s="9"/>
      <c r="XEB212" s="25"/>
      <c r="XEC212" s="277"/>
      <c r="XED212" s="31"/>
      <c r="XEM212" s="279"/>
      <c r="XEN212" s="271"/>
      <c r="XEO212" s="271"/>
      <c r="XEP212" s="271"/>
      <c r="XEQ212" s="9"/>
      <c r="XER212" s="11"/>
      <c r="XES212" s="9"/>
      <c r="XET212" s="25"/>
      <c r="XEU212" s="277"/>
      <c r="XEV212" s="31"/>
    </row>
    <row r="213" spans="1:24 16349:16376" ht="18.75" x14ac:dyDescent="0.25">
      <c r="A213" s="279">
        <v>45989</v>
      </c>
      <c r="B213" s="271" t="s">
        <v>1315</v>
      </c>
      <c r="C213" s="271" t="s">
        <v>1449</v>
      </c>
      <c r="D213" s="271" t="s">
        <v>102</v>
      </c>
      <c r="E213" s="9" t="s">
        <v>1129</v>
      </c>
      <c r="F213" s="11" t="s">
        <v>1452</v>
      </c>
      <c r="G213" s="9" t="s">
        <v>1214</v>
      </c>
      <c r="H213" s="25">
        <v>46081</v>
      </c>
      <c r="I213" s="277" t="str">
        <f ca="1">IF(ListeInventaire3811[[#This Row],[Statut de la réalisation de l''action]]="Effectué","À jour",IF(ListeInventaire3811[[#This Row],[échéance de réalisation]]&lt;TODAY(),"En retard","À jour"))</f>
        <v>En retard</v>
      </c>
      <c r="J213" s="31"/>
      <c r="K213" s="4"/>
      <c r="L213" s="4"/>
      <c r="N213" s="4"/>
      <c r="P213" s="4"/>
      <c r="W213" s="4"/>
      <c r="X213" s="4"/>
      <c r="XDU213" s="279"/>
      <c r="XDV213" s="271"/>
      <c r="XDW213" s="271"/>
      <c r="XDX213" s="271"/>
      <c r="XDY213" s="9"/>
      <c r="XDZ213" s="11"/>
      <c r="XEA213" s="9"/>
      <c r="XEB213" s="25"/>
      <c r="XEC213" s="277"/>
      <c r="XED213" s="31"/>
      <c r="XEM213" s="279"/>
      <c r="XEN213" s="271"/>
      <c r="XEO213" s="271"/>
      <c r="XEP213" s="271"/>
      <c r="XEQ213" s="9"/>
      <c r="XER213" s="11"/>
      <c r="XES213" s="9"/>
      <c r="XET213" s="25"/>
      <c r="XEU213" s="277"/>
      <c r="XEV213" s="31"/>
    </row>
    <row r="214" spans="1:24 16349:16376" ht="18.75" x14ac:dyDescent="0.25">
      <c r="A214" s="279">
        <v>45989</v>
      </c>
      <c r="B214" s="271" t="s">
        <v>1315</v>
      </c>
      <c r="C214" s="271" t="s">
        <v>1449</v>
      </c>
      <c r="D214" s="271" t="s">
        <v>102</v>
      </c>
      <c r="E214" s="9" t="s">
        <v>1129</v>
      </c>
      <c r="F214" s="11" t="s">
        <v>1453</v>
      </c>
      <c r="G214" s="9" t="s">
        <v>1454</v>
      </c>
      <c r="H214" s="25">
        <v>46053</v>
      </c>
      <c r="I214" s="277" t="str">
        <f ca="1">IF(ListeInventaire3811[[#This Row],[Statut de la réalisation de l''action]]="Effectué","À jour",IF(ListeInventaire3811[[#This Row],[échéance de réalisation]]&lt;TODAY(),"En retard","À jour"))</f>
        <v>En retard</v>
      </c>
      <c r="J214" s="31"/>
      <c r="K214" s="4"/>
      <c r="L214" s="4"/>
      <c r="N214" s="4"/>
      <c r="P214" s="4"/>
      <c r="W214" s="4"/>
      <c r="X214" s="4"/>
      <c r="XDU214" s="279"/>
      <c r="XDV214" s="271"/>
      <c r="XDW214" s="271"/>
      <c r="XDX214" s="271"/>
      <c r="XDY214" s="9"/>
      <c r="XDZ214" s="11"/>
      <c r="XEA214" s="9"/>
      <c r="XEB214" s="25"/>
      <c r="XEC214" s="277"/>
      <c r="XED214" s="31"/>
      <c r="XEM214" s="279"/>
      <c r="XEN214" s="271"/>
      <c r="XEO214" s="271"/>
      <c r="XEP214" s="271"/>
      <c r="XEQ214" s="9"/>
      <c r="XER214" s="11"/>
      <c r="XES214" s="9"/>
      <c r="XET214" s="25"/>
      <c r="XEU214" s="277"/>
      <c r="XEV214" s="31"/>
    </row>
    <row r="215" spans="1:24 16349:16376" ht="18.75" x14ac:dyDescent="0.25">
      <c r="A215" s="279">
        <v>45989</v>
      </c>
      <c r="B215" s="271" t="s">
        <v>1315</v>
      </c>
      <c r="C215" s="271" t="s">
        <v>1449</v>
      </c>
      <c r="D215" s="271" t="s">
        <v>102</v>
      </c>
      <c r="E215" s="9" t="s">
        <v>1129</v>
      </c>
      <c r="F215" s="495" t="s">
        <v>1455</v>
      </c>
      <c r="G215" s="9" t="s">
        <v>1454</v>
      </c>
      <c r="H215" s="25">
        <v>46081</v>
      </c>
      <c r="I215" s="277" t="str">
        <f ca="1">IF(ListeInventaire3811[[#This Row],[Statut de la réalisation de l''action]]="Effectué","À jour",IF(ListeInventaire3811[[#This Row],[échéance de réalisation]]&lt;TODAY(),"En retard","À jour"))</f>
        <v>En retard</v>
      </c>
      <c r="J215" s="31"/>
      <c r="K215" s="4"/>
      <c r="L215" s="4"/>
      <c r="N215" s="4"/>
      <c r="P215" s="4"/>
      <c r="W215" s="4"/>
      <c r="X215" s="4"/>
      <c r="XDU215" s="279"/>
      <c r="XDV215" s="271"/>
      <c r="XDW215" s="271"/>
      <c r="XDX215" s="271"/>
      <c r="XDY215" s="9"/>
      <c r="XDZ215" s="11"/>
      <c r="XEA215" s="9"/>
      <c r="XEB215" s="25"/>
      <c r="XEC215" s="277"/>
      <c r="XED215" s="31"/>
      <c r="XEM215" s="279"/>
      <c r="XEN215" s="271"/>
      <c r="XEO215" s="271"/>
      <c r="XEP215" s="271"/>
      <c r="XEQ215" s="9"/>
      <c r="XER215" s="11"/>
      <c r="XES215" s="9"/>
      <c r="XET215" s="25"/>
      <c r="XEU215" s="277"/>
      <c r="XEV215" s="31"/>
    </row>
    <row r="216" spans="1:24 16349:16376" ht="18.75" x14ac:dyDescent="0.25">
      <c r="A216" s="547">
        <v>46023</v>
      </c>
      <c r="B216" s="271" t="s">
        <v>1694</v>
      </c>
      <c r="C216" s="271" t="s">
        <v>1692</v>
      </c>
      <c r="D216" s="271" t="s">
        <v>1697</v>
      </c>
      <c r="E216" s="9" t="s">
        <v>1129</v>
      </c>
      <c r="F216" s="11" t="s">
        <v>1695</v>
      </c>
      <c r="G216" s="9" t="s">
        <v>1214</v>
      </c>
      <c r="H216" s="25">
        <v>46053</v>
      </c>
      <c r="I216" s="277" t="str">
        <f ca="1">IF(ListeInventaire3811[[#This Row],[Statut de la réalisation de l''action]]="Effectué","À jour",IF(ListeInventaire3811[[#This Row],[échéance de réalisation]]&lt;TODAY(),"En retard","À jour"))</f>
        <v>À jour</v>
      </c>
      <c r="J216" s="31" t="s">
        <v>1121</v>
      </c>
      <c r="K216" s="4"/>
      <c r="L216" s="4"/>
      <c r="N216" s="4"/>
      <c r="P216" s="4"/>
      <c r="W216" s="4"/>
      <c r="X216" s="4"/>
      <c r="XDU216" s="279"/>
      <c r="XDV216" s="271"/>
      <c r="XDW216" s="271"/>
      <c r="XDX216" s="271"/>
      <c r="XDY216" s="9"/>
      <c r="XDZ216" s="11"/>
      <c r="XEA216" s="9"/>
      <c r="XEB216" s="25"/>
      <c r="XEC216" s="277"/>
      <c r="XED216" s="31"/>
      <c r="XEM216" s="279"/>
      <c r="XEN216" s="271"/>
      <c r="XEO216" s="271"/>
      <c r="XEP216" s="271"/>
      <c r="XEQ216" s="9"/>
      <c r="XER216" s="11"/>
      <c r="XES216" s="9"/>
      <c r="XET216" s="25"/>
      <c r="XEU216" s="277"/>
      <c r="XEV216" s="31"/>
    </row>
    <row r="217" spans="1:24 16349:16376" ht="18.75" x14ac:dyDescent="0.25">
      <c r="A217" s="279">
        <v>46023</v>
      </c>
      <c r="B217" s="271" t="s">
        <v>1696</v>
      </c>
      <c r="C217" s="271" t="s">
        <v>1117</v>
      </c>
      <c r="D217" s="271" t="s">
        <v>1706</v>
      </c>
      <c r="E217" s="9" t="s">
        <v>1180</v>
      </c>
      <c r="F217" s="11" t="s">
        <v>1698</v>
      </c>
      <c r="G217" s="9" t="s">
        <v>583</v>
      </c>
      <c r="H217" s="25">
        <v>46053</v>
      </c>
      <c r="I217" s="277" t="str">
        <f ca="1">IF(ListeInventaire3811[[#This Row],[Statut de la réalisation de l''action]]="Effectué","À jour",IF(ListeInventaire3811[[#This Row],[échéance de réalisation]]&lt;TODAY(),"En retard","À jour"))</f>
        <v>À jour</v>
      </c>
      <c r="J217" s="31" t="s">
        <v>1121</v>
      </c>
      <c r="K217" s="4"/>
      <c r="L217" s="4"/>
      <c r="N217" s="4"/>
      <c r="P217" s="4"/>
      <c r="W217" s="4"/>
      <c r="X217" s="4"/>
      <c r="XDU217" s="279"/>
      <c r="XDV217" s="271"/>
      <c r="XDW217" s="271"/>
      <c r="XDX217" s="271"/>
      <c r="XDY217" s="9"/>
      <c r="XDZ217" s="11"/>
      <c r="XEA217" s="9"/>
      <c r="XEB217" s="25"/>
      <c r="XEC217" s="277"/>
      <c r="XED217" s="31"/>
      <c r="XEM217" s="279"/>
      <c r="XEN217" s="271"/>
      <c r="XEO217" s="271"/>
      <c r="XEP217" s="271"/>
      <c r="XEQ217" s="9"/>
      <c r="XER217" s="11"/>
      <c r="XES217" s="9"/>
      <c r="XET217" s="25"/>
      <c r="XEU217" s="277"/>
      <c r="XEV217" s="31"/>
    </row>
    <row r="218" spans="1:24 16349:16376" ht="18.75" x14ac:dyDescent="0.25">
      <c r="A218" s="279">
        <v>46023</v>
      </c>
      <c r="B218" s="271" t="s">
        <v>1400</v>
      </c>
      <c r="C218" s="271" t="s">
        <v>1117</v>
      </c>
      <c r="D218" s="271" t="s">
        <v>1706</v>
      </c>
      <c r="E218" s="9" t="s">
        <v>1357</v>
      </c>
      <c r="F218" s="11" t="s">
        <v>1699</v>
      </c>
      <c r="G218" s="9" t="s">
        <v>583</v>
      </c>
      <c r="H218" s="25">
        <v>46053</v>
      </c>
      <c r="I218" s="277" t="str">
        <f ca="1">IF(ListeInventaire3811[[#This Row],[Statut de la réalisation de l''action]]="Effectué","À jour",IF(ListeInventaire3811[[#This Row],[échéance de réalisation]]&lt;TODAY(),"En retard","À jour"))</f>
        <v>À jour</v>
      </c>
      <c r="J218" s="31" t="s">
        <v>1121</v>
      </c>
      <c r="K218" s="4"/>
      <c r="L218" s="4"/>
      <c r="N218" s="4"/>
      <c r="P218" s="4"/>
      <c r="W218" s="4"/>
      <c r="X218" s="4"/>
      <c r="XDU218" s="279"/>
      <c r="XDV218" s="271"/>
      <c r="XDW218" s="271"/>
      <c r="XDX218" s="271"/>
      <c r="XDY218" s="9"/>
      <c r="XDZ218" s="11"/>
      <c r="XEA218" s="9"/>
      <c r="XEB218" s="25"/>
      <c r="XEC218" s="277"/>
      <c r="XED218" s="31"/>
      <c r="XEM218" s="279"/>
      <c r="XEN218" s="271"/>
      <c r="XEO218" s="271"/>
      <c r="XEP218" s="271"/>
      <c r="XEQ218" s="9"/>
      <c r="XER218" s="11"/>
      <c r="XES218" s="9"/>
      <c r="XET218" s="25"/>
      <c r="XEU218" s="277"/>
      <c r="XEV218" s="31"/>
    </row>
    <row r="219" spans="1:24 16349:16376" x14ac:dyDescent="0.25">
      <c r="A219" s="279">
        <v>46023</v>
      </c>
      <c r="B219" s="271" t="s">
        <v>1700</v>
      </c>
      <c r="C219" s="271" t="s">
        <v>1117</v>
      </c>
      <c r="D219" s="271" t="s">
        <v>1117</v>
      </c>
      <c r="E219" s="9" t="s">
        <v>1357</v>
      </c>
      <c r="F219" s="11" t="s">
        <v>1701</v>
      </c>
      <c r="G219" s="9" t="s">
        <v>583</v>
      </c>
      <c r="H219" s="25">
        <v>46112</v>
      </c>
      <c r="I219" s="277" t="str">
        <f ca="1">IF(ListeInventaire3811[[#This Row],[Statut de la réalisation de l''action]]="Effectué","À jour",IF(ListeInventaire3811[[#This Row],[échéance de réalisation]]&lt;TODAY(),"En retard","À jour"))</f>
        <v>En retard</v>
      </c>
      <c r="J219" s="31" t="s">
        <v>1194</v>
      </c>
      <c r="K219" s="4"/>
      <c r="L219" s="4"/>
      <c r="N219" s="4"/>
      <c r="P219" s="4"/>
      <c r="W219" s="4"/>
      <c r="X219" s="4"/>
      <c r="XDU219" s="279"/>
      <c r="XDV219" s="271"/>
      <c r="XDW219" s="271"/>
      <c r="XDX219" s="271"/>
      <c r="XDY219" s="9"/>
      <c r="XDZ219" s="11"/>
      <c r="XEA219" s="9"/>
      <c r="XEB219" s="25"/>
      <c r="XEC219" s="277"/>
      <c r="XED219" s="31"/>
      <c r="XEM219" s="279"/>
      <c r="XEN219" s="271"/>
      <c r="XEO219" s="271"/>
      <c r="XEP219" s="271"/>
      <c r="XEQ219" s="9"/>
      <c r="XER219" s="11"/>
      <c r="XES219" s="9"/>
      <c r="XET219" s="25"/>
      <c r="XEU219" s="277"/>
      <c r="XEV219" s="31"/>
    </row>
    <row r="220" spans="1:24 16349:16376" ht="37.5" x14ac:dyDescent="0.25">
      <c r="A220" s="279">
        <v>46023</v>
      </c>
      <c r="B220" s="271" t="s">
        <v>1691</v>
      </c>
      <c r="C220" s="271" t="s">
        <v>1117</v>
      </c>
      <c r="D220" s="271" t="s">
        <v>1117</v>
      </c>
      <c r="E220" s="9" t="s">
        <v>1357</v>
      </c>
      <c r="F220" s="11" t="s">
        <v>1702</v>
      </c>
      <c r="G220" s="9" t="s">
        <v>583</v>
      </c>
      <c r="H220" s="25">
        <v>46053</v>
      </c>
      <c r="I220" s="277" t="str">
        <f ca="1">IF(ListeInventaire3811[[#This Row],[Statut de la réalisation de l''action]]="Effectué","À jour",IF(ListeInventaire3811[[#This Row],[échéance de réalisation]]&lt;TODAY(),"En retard","À jour"))</f>
        <v>À jour</v>
      </c>
      <c r="J220" s="31" t="s">
        <v>1121</v>
      </c>
      <c r="K220" s="4"/>
      <c r="L220" s="4"/>
      <c r="N220" s="4"/>
      <c r="P220" s="4"/>
      <c r="W220" s="4"/>
      <c r="X220" s="4"/>
      <c r="XDU220" s="279"/>
      <c r="XDV220" s="271"/>
      <c r="XDW220" s="271"/>
      <c r="XDX220" s="271"/>
      <c r="XDY220" s="9"/>
      <c r="XDZ220" s="11"/>
      <c r="XEA220" s="9"/>
      <c r="XEB220" s="25"/>
      <c r="XEC220" s="277"/>
      <c r="XED220" s="31"/>
      <c r="XEM220" s="279"/>
      <c r="XEN220" s="271"/>
      <c r="XEO220" s="271"/>
      <c r="XEP220" s="271"/>
      <c r="XEQ220" s="9"/>
      <c r="XER220" s="11"/>
      <c r="XES220" s="9"/>
      <c r="XET220" s="25"/>
      <c r="XEU220" s="277"/>
      <c r="XEV220" s="31"/>
    </row>
    <row r="221" spans="1:24 16349:16376" x14ac:dyDescent="0.25">
      <c r="A221" s="279">
        <v>46023</v>
      </c>
      <c r="B221" s="271" t="s">
        <v>1694</v>
      </c>
      <c r="C221" s="271" t="s">
        <v>1117</v>
      </c>
      <c r="D221" s="271" t="s">
        <v>1117</v>
      </c>
      <c r="E221" s="9" t="s">
        <v>1249</v>
      </c>
      <c r="F221" s="11" t="s">
        <v>1703</v>
      </c>
      <c r="G221" s="9" t="s">
        <v>583</v>
      </c>
      <c r="H221" s="25">
        <v>46387</v>
      </c>
      <c r="I221" s="277" t="str">
        <f ca="1">IF(ListeInventaire3811[[#This Row],[Statut de la réalisation de l''action]]="Effectué","À jour",IF(ListeInventaire3811[[#This Row],[échéance de réalisation]]&lt;TODAY(),"En retard","À jour"))</f>
        <v>À jour</v>
      </c>
      <c r="J221" s="31" t="s">
        <v>1182</v>
      </c>
      <c r="K221" s="4"/>
      <c r="L221" s="4"/>
      <c r="N221" s="4"/>
      <c r="P221" s="4"/>
      <c r="W221" s="4"/>
      <c r="X221" s="4"/>
      <c r="XDU221" s="279"/>
      <c r="XDV221" s="271"/>
      <c r="XDW221" s="271"/>
      <c r="XDX221" s="271"/>
      <c r="XDY221" s="9"/>
      <c r="XDZ221" s="11"/>
      <c r="XEA221" s="9"/>
      <c r="XEB221" s="25"/>
      <c r="XEC221" s="277"/>
      <c r="XED221" s="31"/>
      <c r="XEM221" s="279"/>
      <c r="XEN221" s="271"/>
      <c r="XEO221" s="271"/>
      <c r="XEP221" s="271"/>
      <c r="XEQ221" s="9"/>
      <c r="XER221" s="11"/>
      <c r="XES221" s="9"/>
      <c r="XET221" s="25"/>
      <c r="XEU221" s="277"/>
      <c r="XEV221" s="31"/>
    </row>
    <row r="222" spans="1:24 16349:16376" x14ac:dyDescent="0.25">
      <c r="A222" s="279">
        <v>46023</v>
      </c>
      <c r="B222" s="271" t="s">
        <v>1694</v>
      </c>
      <c r="C222" s="271" t="s">
        <v>1117</v>
      </c>
      <c r="D222" s="271" t="s">
        <v>1117</v>
      </c>
      <c r="E222" s="9" t="s">
        <v>1129</v>
      </c>
      <c r="F222" s="11" t="s">
        <v>1704</v>
      </c>
      <c r="G222" s="9" t="s">
        <v>583</v>
      </c>
      <c r="H222" s="25">
        <v>46387</v>
      </c>
      <c r="I222" s="277" t="str">
        <f ca="1">IF(ListeInventaire3811[[#This Row],[Statut de la réalisation de l''action]]="Effectué","À jour",IF(ListeInventaire3811[[#This Row],[échéance de réalisation]]&lt;TODAY(),"En retard","À jour"))</f>
        <v>À jour</v>
      </c>
      <c r="J222" s="31" t="s">
        <v>1182</v>
      </c>
      <c r="K222" s="4"/>
      <c r="L222" s="4"/>
      <c r="N222" s="4"/>
      <c r="P222" s="4"/>
      <c r="W222" s="4"/>
      <c r="X222" s="4"/>
      <c r="XDU222" s="279"/>
      <c r="XDV222" s="271"/>
      <c r="XDW222" s="271"/>
      <c r="XDX222" s="271"/>
      <c r="XDY222" s="9"/>
      <c r="XDZ222" s="11"/>
      <c r="XEA222" s="9"/>
      <c r="XEB222" s="25"/>
      <c r="XEC222" s="277"/>
      <c r="XED222" s="31"/>
      <c r="XEM222" s="279"/>
      <c r="XEN222" s="271"/>
      <c r="XEO222" s="271"/>
      <c r="XEP222" s="271"/>
      <c r="XEQ222" s="9"/>
      <c r="XER222" s="11"/>
      <c r="XES222" s="9"/>
      <c r="XET222" s="25"/>
      <c r="XEU222" s="277"/>
      <c r="XEV222" s="31"/>
    </row>
    <row r="223" spans="1:24 16349:16376" ht="45" x14ac:dyDescent="0.25">
      <c r="A223" s="279">
        <v>46023</v>
      </c>
      <c r="B223" s="271" t="s">
        <v>1173</v>
      </c>
      <c r="C223" s="271" t="s">
        <v>1117</v>
      </c>
      <c r="D223" s="271" t="s">
        <v>1117</v>
      </c>
      <c r="E223" s="9" t="s">
        <v>1129</v>
      </c>
      <c r="F223" s="11" t="s">
        <v>1705</v>
      </c>
      <c r="G223" s="9" t="s">
        <v>583</v>
      </c>
      <c r="H223" s="25">
        <v>46112</v>
      </c>
      <c r="I223" s="277" t="str">
        <f ca="1">IF(ListeInventaire3811[[#This Row],[Statut de la réalisation de l''action]]="Effectué","À jour",IF(ListeInventaire3811[[#This Row],[échéance de réalisation]]&lt;TODAY(),"En retard","À jour"))</f>
        <v>En retard</v>
      </c>
      <c r="J223" s="31" t="s">
        <v>1194</v>
      </c>
      <c r="K223" s="4"/>
      <c r="L223" s="4"/>
      <c r="N223" s="4"/>
      <c r="P223" s="4"/>
      <c r="W223" s="4"/>
      <c r="X223" s="4"/>
      <c r="XDU223" s="279"/>
      <c r="XDV223" s="271"/>
      <c r="XDW223" s="271"/>
      <c r="XDX223" s="271"/>
      <c r="XDY223" s="9"/>
      <c r="XDZ223" s="11"/>
      <c r="XEA223" s="9"/>
      <c r="XEB223" s="25"/>
      <c r="XEC223" s="277"/>
      <c r="XED223" s="31"/>
      <c r="XEM223" s="279"/>
      <c r="XEN223" s="271"/>
      <c r="XEO223" s="271"/>
      <c r="XEP223" s="271"/>
      <c r="XEQ223" s="9"/>
      <c r="XER223" s="11"/>
      <c r="XES223" s="9"/>
      <c r="XET223" s="25"/>
      <c r="XEU223" s="277"/>
      <c r="XEV223" s="31"/>
    </row>
    <row r="224" spans="1:24 16349:16376" ht="18.75" x14ac:dyDescent="0.25">
      <c r="A224" s="279">
        <v>46023</v>
      </c>
      <c r="B224" s="271" t="s">
        <v>1400</v>
      </c>
      <c r="C224" s="271" t="s">
        <v>1117</v>
      </c>
      <c r="D224" s="271" t="s">
        <v>1706</v>
      </c>
      <c r="E224" s="9" t="s">
        <v>1249</v>
      </c>
      <c r="F224" s="11" t="s">
        <v>1711</v>
      </c>
      <c r="G224" s="9" t="s">
        <v>583</v>
      </c>
      <c r="H224" s="25">
        <v>46053</v>
      </c>
      <c r="I224" s="277" t="str">
        <f ca="1">IF(ListeInventaire3811[[#This Row],[Statut de la réalisation de l''action]]="Effectué","À jour",IF(ListeInventaire3811[[#This Row],[échéance de réalisation]]&lt;TODAY(),"En retard","À jour"))</f>
        <v>À jour</v>
      </c>
      <c r="J224" s="31" t="s">
        <v>1121</v>
      </c>
      <c r="K224" s="4"/>
      <c r="L224" s="4"/>
      <c r="N224" s="4"/>
      <c r="P224" s="4"/>
      <c r="W224" s="4"/>
      <c r="X224" s="4"/>
      <c r="XDU224" s="279"/>
      <c r="XDV224" s="271"/>
      <c r="XDW224" s="271"/>
      <c r="XDX224" s="271"/>
      <c r="XDY224" s="9"/>
      <c r="XDZ224" s="11"/>
      <c r="XEA224" s="9"/>
      <c r="XEB224" s="25"/>
      <c r="XEC224" s="277"/>
      <c r="XED224" s="31"/>
      <c r="XEM224" s="279"/>
      <c r="XEN224" s="271"/>
      <c r="XEO224" s="271"/>
      <c r="XEP224" s="271"/>
      <c r="XEQ224" s="9"/>
      <c r="XER224" s="11"/>
      <c r="XES224" s="9"/>
      <c r="XET224" s="25"/>
      <c r="XEU224" s="277"/>
      <c r="XEV224" s="31"/>
    </row>
    <row r="225" spans="1:24 16349:16376" ht="18.75" x14ac:dyDescent="0.25">
      <c r="A225" s="279">
        <v>46023</v>
      </c>
      <c r="B225" s="271" t="s">
        <v>1400</v>
      </c>
      <c r="C225" s="271" t="s">
        <v>1117</v>
      </c>
      <c r="D225" s="271" t="s">
        <v>1706</v>
      </c>
      <c r="E225" s="9" t="s">
        <v>1357</v>
      </c>
      <c r="F225" s="11" t="s">
        <v>1712</v>
      </c>
      <c r="G225" s="9" t="s">
        <v>583</v>
      </c>
      <c r="H225" s="25">
        <v>46053</v>
      </c>
      <c r="I225" s="277" t="str">
        <f ca="1">IF(ListeInventaire3811[[#This Row],[Statut de la réalisation de l''action]]="Effectué","À jour",IF(ListeInventaire3811[[#This Row],[échéance de réalisation]]&lt;TODAY(),"En retard","À jour"))</f>
        <v>À jour</v>
      </c>
      <c r="J225" s="31" t="s">
        <v>1121</v>
      </c>
      <c r="K225" s="4"/>
      <c r="L225" s="4"/>
      <c r="N225" s="4"/>
      <c r="P225" s="4"/>
      <c r="W225" s="4"/>
      <c r="X225" s="4"/>
      <c r="XDU225" s="279"/>
      <c r="XDV225" s="271"/>
      <c r="XDW225" s="271"/>
      <c r="XDX225" s="271"/>
      <c r="XDY225" s="9"/>
      <c r="XDZ225" s="11"/>
      <c r="XEA225" s="9"/>
      <c r="XEB225" s="25"/>
      <c r="XEC225" s="277"/>
      <c r="XED225" s="31"/>
      <c r="XEM225" s="279"/>
      <c r="XEN225" s="271"/>
      <c r="XEO225" s="271"/>
      <c r="XEP225" s="271"/>
      <c r="XEQ225" s="9"/>
      <c r="XER225" s="11"/>
      <c r="XES225" s="9"/>
      <c r="XET225" s="25"/>
      <c r="XEU225" s="277"/>
      <c r="XEV225" s="31"/>
    </row>
    <row r="226" spans="1:24 16349:16376" ht="18.75" x14ac:dyDescent="0.25">
      <c r="A226" s="279">
        <v>46023</v>
      </c>
      <c r="B226" s="271" t="s">
        <v>1713</v>
      </c>
      <c r="C226" s="271" t="s">
        <v>1117</v>
      </c>
      <c r="D226" s="271" t="s">
        <v>1117</v>
      </c>
      <c r="E226" s="9" t="s">
        <v>1129</v>
      </c>
      <c r="F226" s="11" t="s">
        <v>1714</v>
      </c>
      <c r="G226" s="9" t="s">
        <v>583</v>
      </c>
      <c r="H226" s="25">
        <v>46234</v>
      </c>
      <c r="I226" s="277" t="str">
        <f ca="1">IF(ListeInventaire3811[[#This Row],[Statut de la réalisation de l''action]]="Effectué","À jour",IF(ListeInventaire3811[[#This Row],[échéance de réalisation]]&lt;TODAY(),"En retard","À jour"))</f>
        <v>À jour</v>
      </c>
      <c r="J226" s="31" t="s">
        <v>1182</v>
      </c>
      <c r="K226" s="4"/>
      <c r="L226" s="4"/>
      <c r="N226" s="4"/>
      <c r="P226" s="4"/>
      <c r="W226" s="4"/>
      <c r="X226" s="4"/>
      <c r="XDU226" s="279"/>
      <c r="XDV226" s="271"/>
      <c r="XDW226" s="271"/>
      <c r="XDX226" s="271"/>
      <c r="XDY226" s="9"/>
      <c r="XDZ226" s="11"/>
      <c r="XEA226" s="9"/>
      <c r="XEB226" s="25"/>
      <c r="XEC226" s="277"/>
      <c r="XED226" s="31"/>
      <c r="XEM226" s="279"/>
      <c r="XEN226" s="271"/>
      <c r="XEO226" s="271"/>
      <c r="XEP226" s="271"/>
      <c r="XEQ226" s="9"/>
      <c r="XER226" s="11"/>
      <c r="XES226" s="9"/>
      <c r="XET226" s="25"/>
      <c r="XEU226" s="277"/>
      <c r="XEV226" s="31"/>
    </row>
    <row r="227" spans="1:24 16349:16376" ht="18.75" x14ac:dyDescent="0.25">
      <c r="A227" s="279"/>
      <c r="B227" s="271"/>
      <c r="C227" s="271"/>
      <c r="D227" s="271"/>
      <c r="E227" s="9"/>
      <c r="F227" s="11"/>
      <c r="G227" s="9"/>
      <c r="H227" s="25"/>
      <c r="I227" s="277" t="str">
        <f ca="1">IF(ListeInventaire3811[[#This Row],[Statut de la réalisation de l''action]]="Effectué","À jour",IF(ListeInventaire3811[[#This Row],[échéance de réalisation]]&lt;TODAY(),"En retard","À jour"))</f>
        <v>En retard</v>
      </c>
      <c r="J227" s="31"/>
      <c r="K227" s="4"/>
      <c r="L227" s="4"/>
      <c r="N227" s="4"/>
      <c r="P227" s="4"/>
      <c r="W227" s="4"/>
      <c r="X227" s="4"/>
      <c r="XDU227" s="279"/>
      <c r="XDV227" s="271"/>
      <c r="XDW227" s="271"/>
      <c r="XDX227" s="271"/>
      <c r="XDY227" s="9"/>
      <c r="XDZ227" s="11"/>
      <c r="XEA227" s="9"/>
      <c r="XEB227" s="25"/>
      <c r="XEC227" s="277"/>
      <c r="XED227" s="31"/>
      <c r="XEM227" s="279"/>
      <c r="XEN227" s="271"/>
      <c r="XEO227" s="271"/>
      <c r="XEP227" s="271"/>
      <c r="XEQ227" s="9"/>
      <c r="XER227" s="11"/>
      <c r="XES227" s="9"/>
      <c r="XET227" s="25"/>
      <c r="XEU227" s="277"/>
      <c r="XEV227" s="31"/>
    </row>
    <row r="228" spans="1:24 16349:16376" ht="18.75" x14ac:dyDescent="0.25">
      <c r="A228" s="279"/>
      <c r="B228" s="271"/>
      <c r="C228" s="271"/>
      <c r="D228" s="271"/>
      <c r="E228" s="9"/>
      <c r="F228" s="11"/>
      <c r="G228" s="9"/>
      <c r="H228" s="25"/>
      <c r="I228" s="277" t="str">
        <f ca="1">IF(ListeInventaire3811[[#This Row],[Statut de la réalisation de l''action]]="Effectué","À jour",IF(ListeInventaire3811[[#This Row],[échéance de réalisation]]&lt;TODAY(),"En retard","À jour"))</f>
        <v>En retard</v>
      </c>
      <c r="J228" s="31"/>
      <c r="K228" s="4"/>
      <c r="L228" s="4"/>
      <c r="N228" s="4"/>
      <c r="P228" s="4"/>
      <c r="W228" s="4"/>
      <c r="X228" s="4"/>
      <c r="XDU228" s="279"/>
      <c r="XDV228" s="271"/>
      <c r="XDW228" s="271"/>
      <c r="XDX228" s="271"/>
      <c r="XDY228" s="9"/>
      <c r="XDZ228" s="11"/>
      <c r="XEA228" s="9"/>
      <c r="XEB228" s="25"/>
      <c r="XEC228" s="277"/>
      <c r="XED228" s="31"/>
      <c r="XEM228" s="279"/>
      <c r="XEN228" s="271"/>
      <c r="XEO228" s="271"/>
      <c r="XEP228" s="271"/>
      <c r="XEQ228" s="9"/>
      <c r="XER228" s="11"/>
      <c r="XES228" s="9"/>
      <c r="XET228" s="25"/>
      <c r="XEU228" s="277"/>
      <c r="XEV228" s="31"/>
    </row>
    <row r="229" spans="1:24 16349:16376" ht="18.75" x14ac:dyDescent="0.25">
      <c r="A229" s="279"/>
      <c r="B229" s="271"/>
      <c r="C229" s="271"/>
      <c r="D229" s="271"/>
      <c r="E229" s="9"/>
      <c r="F229" s="11"/>
      <c r="G229" s="9"/>
      <c r="H229" s="25"/>
      <c r="I229" s="277" t="str">
        <f ca="1">IF(ListeInventaire3811[[#This Row],[Statut de la réalisation de l''action]]="Effectué","À jour",IF(ListeInventaire3811[[#This Row],[échéance de réalisation]]&lt;TODAY(),"En retard","À jour"))</f>
        <v>En retard</v>
      </c>
      <c r="J229" s="31"/>
      <c r="K229" s="4"/>
      <c r="L229" s="4"/>
      <c r="N229" s="4"/>
      <c r="P229" s="4"/>
      <c r="W229" s="4"/>
      <c r="X229" s="4"/>
      <c r="XDU229" s="279"/>
      <c r="XDV229" s="271"/>
      <c r="XDW229" s="271"/>
      <c r="XDX229" s="271"/>
      <c r="XDY229" s="9"/>
      <c r="XDZ229" s="11"/>
      <c r="XEA229" s="9"/>
      <c r="XEB229" s="25"/>
      <c r="XEC229" s="277"/>
      <c r="XED229" s="31"/>
      <c r="XEM229" s="279"/>
      <c r="XEN229" s="271"/>
      <c r="XEO229" s="271"/>
      <c r="XEP229" s="271"/>
      <c r="XEQ229" s="9"/>
      <c r="XER229" s="11"/>
      <c r="XES229" s="9"/>
      <c r="XET229" s="25"/>
      <c r="XEU229" s="277"/>
      <c r="XEV229" s="31"/>
    </row>
    <row r="230" spans="1:24 16349:16376" ht="18.75" x14ac:dyDescent="0.25">
      <c r="A230" s="279"/>
      <c r="B230" s="271"/>
      <c r="C230" s="271"/>
      <c r="D230" s="271"/>
      <c r="E230" s="9"/>
      <c r="F230" s="11"/>
      <c r="G230" s="9"/>
      <c r="H230" s="25"/>
      <c r="I230" s="277" t="str">
        <f ca="1">IF(ListeInventaire3811[[#This Row],[Statut de la réalisation de l''action]]="Effectué","À jour",IF(ListeInventaire3811[[#This Row],[échéance de réalisation]]&lt;TODAY(),"En retard","À jour"))</f>
        <v>En retard</v>
      </c>
      <c r="J230" s="31"/>
      <c r="K230" s="4"/>
      <c r="L230" s="4"/>
      <c r="N230" s="4"/>
      <c r="P230" s="4"/>
      <c r="W230" s="4"/>
      <c r="X230" s="4"/>
      <c r="XDU230" s="279"/>
      <c r="XDV230" s="271"/>
      <c r="XDW230" s="271"/>
      <c r="XDX230" s="271"/>
      <c r="XDY230" s="9"/>
      <c r="XDZ230" s="11"/>
      <c r="XEA230" s="9"/>
      <c r="XEB230" s="25"/>
      <c r="XEC230" s="277"/>
      <c r="XED230" s="31"/>
      <c r="XEM230" s="279"/>
      <c r="XEN230" s="271"/>
      <c r="XEO230" s="271"/>
      <c r="XEP230" s="271"/>
      <c r="XEQ230" s="9"/>
      <c r="XER230" s="11"/>
      <c r="XES230" s="9"/>
      <c r="XET230" s="25"/>
      <c r="XEU230" s="277"/>
      <c r="XEV230" s="31"/>
    </row>
    <row r="231" spans="1:24 16349:16376" ht="18.75" x14ac:dyDescent="0.25">
      <c r="A231" s="279"/>
      <c r="B231" s="271"/>
      <c r="C231" s="271"/>
      <c r="D231" s="271"/>
      <c r="E231" s="9"/>
      <c r="F231" s="11"/>
      <c r="G231" s="9"/>
      <c r="H231" s="25"/>
      <c r="I231" s="277" t="str">
        <f ca="1">IF(ListeInventaire3811[[#This Row],[Statut de la réalisation de l''action]]="Effectué","À jour",IF(ListeInventaire3811[[#This Row],[échéance de réalisation]]&lt;TODAY(),"En retard","À jour"))</f>
        <v>En retard</v>
      </c>
      <c r="J231" s="31"/>
      <c r="K231" s="4"/>
      <c r="L231" s="4"/>
      <c r="N231" s="4"/>
      <c r="P231" s="4"/>
      <c r="W231" s="4"/>
      <c r="X231" s="4"/>
      <c r="XDU231" s="279"/>
      <c r="XDV231" s="271"/>
      <c r="XDW231" s="271"/>
      <c r="XDX231" s="271"/>
      <c r="XDY231" s="9"/>
      <c r="XDZ231" s="11"/>
      <c r="XEA231" s="9"/>
      <c r="XEB231" s="25"/>
      <c r="XEC231" s="277"/>
      <c r="XED231" s="31"/>
      <c r="XEM231" s="279"/>
      <c r="XEN231" s="271"/>
      <c r="XEO231" s="271"/>
      <c r="XEP231" s="271"/>
      <c r="XEQ231" s="9"/>
      <c r="XER231" s="11"/>
      <c r="XES231" s="9"/>
      <c r="XET231" s="25"/>
      <c r="XEU231" s="277"/>
      <c r="XEV231" s="31"/>
    </row>
    <row r="232" spans="1:24 16349:16376" ht="18.75" x14ac:dyDescent="0.25">
      <c r="A232" s="279"/>
      <c r="B232" s="271"/>
      <c r="C232" s="271"/>
      <c r="D232" s="271"/>
      <c r="E232" s="9"/>
      <c r="F232" s="11"/>
      <c r="G232" s="9"/>
      <c r="H232" s="25"/>
      <c r="I232" s="277" t="str">
        <f ca="1">IF(ListeInventaire3811[[#This Row],[Statut de la réalisation de l''action]]="Effectué","À jour",IF(ListeInventaire3811[[#This Row],[échéance de réalisation]]&lt;TODAY(),"En retard","À jour"))</f>
        <v>En retard</v>
      </c>
      <c r="J232" s="31"/>
      <c r="K232" s="4"/>
      <c r="L232" s="4"/>
      <c r="N232" s="4"/>
      <c r="P232" s="4"/>
      <c r="W232" s="4"/>
      <c r="X232" s="4"/>
      <c r="XDU232" s="279"/>
      <c r="XDV232" s="271"/>
      <c r="XDW232" s="271"/>
      <c r="XDX232" s="271"/>
      <c r="XDY232" s="9"/>
      <c r="XDZ232" s="11"/>
      <c r="XEA232" s="9"/>
      <c r="XEB232" s="25"/>
      <c r="XEC232" s="277"/>
      <c r="XED232" s="31"/>
      <c r="XEM232" s="279"/>
      <c r="XEN232" s="271"/>
      <c r="XEO232" s="271"/>
      <c r="XEP232" s="271"/>
      <c r="XEQ232" s="9"/>
      <c r="XER232" s="11"/>
      <c r="XES232" s="9"/>
      <c r="XET232" s="25"/>
      <c r="XEU232" s="277"/>
      <c r="XEV232" s="31"/>
    </row>
    <row r="233" spans="1:24 16349:16376" ht="18.75" x14ac:dyDescent="0.25">
      <c r="A233" s="279"/>
      <c r="B233" s="271"/>
      <c r="C233" s="271"/>
      <c r="D233" s="271"/>
      <c r="E233" s="9"/>
      <c r="F233" s="11"/>
      <c r="G233" s="9"/>
      <c r="H233" s="25"/>
      <c r="I233" s="277" t="str">
        <f ca="1">IF(ListeInventaire3811[[#This Row],[Statut de la réalisation de l''action]]="Effectué","À jour",IF(ListeInventaire3811[[#This Row],[échéance de réalisation]]&lt;TODAY(),"En retard","À jour"))</f>
        <v>En retard</v>
      </c>
      <c r="J233" s="31"/>
      <c r="K233" s="4"/>
      <c r="L233" s="4"/>
      <c r="N233" s="4"/>
      <c r="P233" s="4"/>
      <c r="W233" s="4"/>
      <c r="X233" s="4"/>
      <c r="XDU233" s="279"/>
      <c r="XDV233" s="271"/>
      <c r="XDW233" s="271"/>
      <c r="XDX233" s="271"/>
      <c r="XDY233" s="9"/>
      <c r="XDZ233" s="11"/>
      <c r="XEA233" s="9"/>
      <c r="XEB233" s="25"/>
      <c r="XEC233" s="277"/>
      <c r="XED233" s="31"/>
      <c r="XEM233" s="279"/>
      <c r="XEN233" s="271"/>
      <c r="XEO233" s="271"/>
      <c r="XEP233" s="271"/>
      <c r="XEQ233" s="9"/>
      <c r="XER233" s="11"/>
      <c r="XES233" s="9"/>
      <c r="XET233" s="25"/>
      <c r="XEU233" s="277"/>
      <c r="XEV233" s="31"/>
    </row>
    <row r="234" spans="1:24 16349:16376" ht="18.75" x14ac:dyDescent="0.25">
      <c r="A234" s="279"/>
      <c r="B234" s="271"/>
      <c r="C234" s="271"/>
      <c r="D234" s="271"/>
      <c r="E234" s="9"/>
      <c r="F234" s="11"/>
      <c r="G234" s="9"/>
      <c r="H234" s="25"/>
      <c r="I234" s="277" t="str">
        <f ca="1">IF(ListeInventaire3811[[#This Row],[Statut de la réalisation de l''action]]="Effectué","À jour",IF(ListeInventaire3811[[#This Row],[échéance de réalisation]]&lt;TODAY(),"En retard","À jour"))</f>
        <v>En retard</v>
      </c>
      <c r="J234" s="31"/>
      <c r="K234" s="4"/>
      <c r="L234" s="4"/>
      <c r="N234" s="4"/>
      <c r="P234" s="4"/>
      <c r="W234" s="4"/>
      <c r="X234" s="4"/>
      <c r="XDU234" s="279"/>
      <c r="XDV234" s="271"/>
      <c r="XDW234" s="271"/>
      <c r="XDX234" s="271"/>
      <c r="XDY234" s="9"/>
      <c r="XDZ234" s="11"/>
      <c r="XEA234" s="9"/>
      <c r="XEB234" s="25"/>
      <c r="XEC234" s="277"/>
      <c r="XED234" s="31"/>
      <c r="XEM234" s="279"/>
      <c r="XEN234" s="271"/>
      <c r="XEO234" s="271"/>
      <c r="XEP234" s="271"/>
      <c r="XEQ234" s="9"/>
      <c r="XER234" s="11"/>
      <c r="XES234" s="9"/>
      <c r="XET234" s="25"/>
      <c r="XEU234" s="277"/>
      <c r="XEV234" s="31"/>
    </row>
    <row r="235" spans="1:24 16349:16376" ht="18.75" x14ac:dyDescent="0.25">
      <c r="A235" s="279"/>
      <c r="B235" s="271"/>
      <c r="C235" s="271"/>
      <c r="D235" s="271"/>
      <c r="E235" s="9"/>
      <c r="F235" s="11"/>
      <c r="G235" s="9"/>
      <c r="H235" s="25"/>
      <c r="I235" s="277" t="str">
        <f ca="1">IF(ListeInventaire3811[[#This Row],[Statut de la réalisation de l''action]]="Effectué","À jour",IF(ListeInventaire3811[[#This Row],[échéance de réalisation]]&lt;TODAY(),"En retard","À jour"))</f>
        <v>En retard</v>
      </c>
      <c r="J235" s="31"/>
      <c r="K235" s="4"/>
      <c r="L235" s="4"/>
      <c r="N235" s="4"/>
      <c r="P235" s="4"/>
      <c r="W235" s="4"/>
      <c r="X235" s="4"/>
      <c r="XDU235" s="279"/>
      <c r="XDV235" s="271"/>
      <c r="XDW235" s="271"/>
      <c r="XDX235" s="271"/>
      <c r="XDY235" s="9"/>
      <c r="XDZ235" s="11"/>
      <c r="XEA235" s="9"/>
      <c r="XEB235" s="25"/>
      <c r="XEC235" s="277"/>
      <c r="XED235" s="31"/>
      <c r="XEM235" s="279"/>
      <c r="XEN235" s="271"/>
      <c r="XEO235" s="271"/>
      <c r="XEP235" s="271"/>
      <c r="XEQ235" s="9"/>
      <c r="XER235" s="11"/>
      <c r="XES235" s="9"/>
      <c r="XET235" s="25"/>
      <c r="XEU235" s="277"/>
      <c r="XEV235" s="31"/>
    </row>
    <row r="236" spans="1:24 16349:16376" ht="18.75" x14ac:dyDescent="0.25">
      <c r="A236" s="279"/>
      <c r="B236" s="271"/>
      <c r="C236" s="271"/>
      <c r="D236" s="271"/>
      <c r="E236" s="9"/>
      <c r="F236" s="11"/>
      <c r="G236" s="9"/>
      <c r="H236" s="25"/>
      <c r="I236" s="277" t="str">
        <f ca="1">IF(ListeInventaire3811[[#This Row],[Statut de la réalisation de l''action]]="Effectué","À jour",IF(ListeInventaire3811[[#This Row],[échéance de réalisation]]&lt;TODAY(),"En retard","À jour"))</f>
        <v>En retard</v>
      </c>
      <c r="J236" s="31"/>
      <c r="K236" s="4"/>
      <c r="L236" s="4"/>
      <c r="N236" s="4"/>
      <c r="P236" s="4"/>
      <c r="W236" s="4"/>
      <c r="X236" s="4"/>
      <c r="XDU236" s="279"/>
      <c r="XDV236" s="271"/>
      <c r="XDW236" s="271"/>
      <c r="XDX236" s="271"/>
      <c r="XDY236" s="9"/>
      <c r="XDZ236" s="11"/>
      <c r="XEA236" s="9"/>
      <c r="XEB236" s="25"/>
      <c r="XEC236" s="277"/>
      <c r="XED236" s="31"/>
      <c r="XEM236" s="279"/>
      <c r="XEN236" s="271"/>
      <c r="XEO236" s="271"/>
      <c r="XEP236" s="271"/>
      <c r="XEQ236" s="9"/>
      <c r="XER236" s="11"/>
      <c r="XES236" s="9"/>
      <c r="XET236" s="25"/>
      <c r="XEU236" s="277"/>
      <c r="XEV236" s="31"/>
    </row>
    <row r="237" spans="1:24 16349:16376" ht="18.75" x14ac:dyDescent="0.25">
      <c r="A237" s="279"/>
      <c r="B237" s="271"/>
      <c r="C237" s="271"/>
      <c r="D237" s="271"/>
      <c r="E237" s="9"/>
      <c r="F237" s="11"/>
      <c r="G237" s="9"/>
      <c r="H237" s="25"/>
      <c r="I237" s="277" t="str">
        <f ca="1">IF(ListeInventaire3811[[#This Row],[Statut de la réalisation de l''action]]="Effectué","À jour",IF(ListeInventaire3811[[#This Row],[échéance de réalisation]]&lt;TODAY(),"En retard","À jour"))</f>
        <v>En retard</v>
      </c>
      <c r="J237" s="31"/>
      <c r="K237" s="4"/>
      <c r="L237" s="4"/>
      <c r="N237" s="4"/>
      <c r="P237" s="4"/>
      <c r="W237" s="4"/>
      <c r="X237" s="4"/>
      <c r="XDU237" s="279"/>
      <c r="XDV237" s="271"/>
      <c r="XDW237" s="271"/>
      <c r="XDX237" s="271"/>
      <c r="XDY237" s="9"/>
      <c r="XDZ237" s="11"/>
      <c r="XEA237" s="9"/>
      <c r="XEB237" s="25"/>
      <c r="XEC237" s="277"/>
      <c r="XED237" s="31"/>
      <c r="XEM237" s="279"/>
      <c r="XEN237" s="271"/>
      <c r="XEO237" s="271"/>
      <c r="XEP237" s="271"/>
      <c r="XEQ237" s="9"/>
      <c r="XER237" s="11"/>
      <c r="XES237" s="9"/>
      <c r="XET237" s="25"/>
      <c r="XEU237" s="277"/>
      <c r="XEV237" s="31"/>
    </row>
    <row r="238" spans="1:24 16349:16376" ht="18.75" x14ac:dyDescent="0.25">
      <c r="A238" s="279"/>
      <c r="B238" s="271"/>
      <c r="C238" s="271"/>
      <c r="D238" s="271"/>
      <c r="E238" s="9"/>
      <c r="F238" s="11"/>
      <c r="G238" s="9"/>
      <c r="H238" s="25"/>
      <c r="I238" s="277" t="str">
        <f ca="1">IF(ListeInventaire3811[[#This Row],[Statut de la réalisation de l''action]]="Effectué","À jour",IF(ListeInventaire3811[[#This Row],[échéance de réalisation]]&lt;TODAY(),"En retard","À jour"))</f>
        <v>En retard</v>
      </c>
      <c r="J238" s="31"/>
      <c r="K238" s="4"/>
      <c r="L238" s="4"/>
      <c r="N238" s="4"/>
      <c r="P238" s="4"/>
      <c r="W238" s="4"/>
      <c r="X238" s="4"/>
      <c r="XDU238" s="279"/>
      <c r="XDV238" s="271"/>
      <c r="XDW238" s="271"/>
      <c r="XDX238" s="271"/>
      <c r="XDY238" s="9"/>
      <c r="XDZ238" s="11"/>
      <c r="XEA238" s="9"/>
      <c r="XEB238" s="25"/>
      <c r="XEC238" s="277"/>
      <c r="XED238" s="31"/>
      <c r="XEM238" s="279"/>
      <c r="XEN238" s="271"/>
      <c r="XEO238" s="271"/>
      <c r="XEP238" s="271"/>
      <c r="XEQ238" s="9"/>
      <c r="XER238" s="11"/>
      <c r="XES238" s="9"/>
      <c r="XET238" s="25"/>
      <c r="XEU238" s="277"/>
      <c r="XEV238" s="31"/>
    </row>
    <row r="239" spans="1:24 16349:16376" ht="18.75" x14ac:dyDescent="0.25">
      <c r="A239" s="279"/>
      <c r="B239" s="271"/>
      <c r="C239" s="271"/>
      <c r="D239" s="271"/>
      <c r="E239" s="9"/>
      <c r="F239" s="11"/>
      <c r="G239" s="9"/>
      <c r="H239" s="25"/>
      <c r="I239" s="277" t="str">
        <f ca="1">IF(ListeInventaire3811[[#This Row],[Statut de la réalisation de l''action]]="Effectué","À jour",IF(ListeInventaire3811[[#This Row],[échéance de réalisation]]&lt;TODAY(),"En retard","À jour"))</f>
        <v>En retard</v>
      </c>
      <c r="J239" s="31"/>
      <c r="K239" s="4"/>
      <c r="L239" s="4"/>
      <c r="N239" s="4"/>
      <c r="P239" s="4"/>
      <c r="W239" s="4"/>
      <c r="X239" s="4"/>
      <c r="XDU239" s="279"/>
      <c r="XDV239" s="271"/>
      <c r="XDW239" s="271"/>
      <c r="XDX239" s="271"/>
      <c r="XDY239" s="9"/>
      <c r="XDZ239" s="11"/>
      <c r="XEA239" s="9"/>
      <c r="XEB239" s="25"/>
      <c r="XEC239" s="277"/>
      <c r="XED239" s="31"/>
      <c r="XEM239" s="279"/>
      <c r="XEN239" s="271"/>
      <c r="XEO239" s="271"/>
      <c r="XEP239" s="271"/>
      <c r="XEQ239" s="9"/>
      <c r="XER239" s="11"/>
      <c r="XES239" s="9"/>
      <c r="XET239" s="25"/>
      <c r="XEU239" s="277"/>
      <c r="XEV239" s="31"/>
    </row>
    <row r="240" spans="1:24 16349:16376" ht="18.75" x14ac:dyDescent="0.25">
      <c r="A240" s="279"/>
      <c r="B240" s="271"/>
      <c r="C240" s="271"/>
      <c r="D240" s="271"/>
      <c r="E240" s="9"/>
      <c r="F240" s="11"/>
      <c r="G240" s="9"/>
      <c r="H240" s="25"/>
      <c r="I240" s="277" t="str">
        <f ca="1">IF(ListeInventaire3811[[#This Row],[Statut de la réalisation de l''action]]="Effectué","À jour",IF(ListeInventaire3811[[#This Row],[échéance de réalisation]]&lt;TODAY(),"En retard","À jour"))</f>
        <v>En retard</v>
      </c>
      <c r="J240" s="31"/>
      <c r="K240" s="4"/>
      <c r="L240" s="4"/>
      <c r="N240" s="4"/>
      <c r="P240" s="4"/>
      <c r="W240" s="4"/>
      <c r="X240" s="4"/>
      <c r="XDU240" s="279"/>
      <c r="XDV240" s="271"/>
      <c r="XDW240" s="271"/>
      <c r="XDX240" s="271"/>
      <c r="XDY240" s="9"/>
      <c r="XDZ240" s="11"/>
      <c r="XEA240" s="9"/>
      <c r="XEB240" s="25"/>
      <c r="XEC240" s="277"/>
      <c r="XED240" s="31"/>
      <c r="XEM240" s="279"/>
      <c r="XEN240" s="271"/>
      <c r="XEO240" s="271"/>
      <c r="XEP240" s="271"/>
      <c r="XEQ240" s="9"/>
      <c r="XER240" s="11"/>
      <c r="XES240" s="9"/>
      <c r="XET240" s="25"/>
      <c r="XEU240" s="277"/>
      <c r="XEV240" s="31"/>
    </row>
    <row r="241" spans="1:24 16349:16376" ht="18.75" x14ac:dyDescent="0.25">
      <c r="A241" s="279"/>
      <c r="B241" s="271"/>
      <c r="C241" s="271"/>
      <c r="D241" s="271"/>
      <c r="E241" s="9"/>
      <c r="F241" s="11"/>
      <c r="G241" s="9"/>
      <c r="H241" s="25"/>
      <c r="I241" s="277" t="str">
        <f ca="1">IF(ListeInventaire3811[[#This Row],[Statut de la réalisation de l''action]]="Effectué","À jour",IF(ListeInventaire3811[[#This Row],[échéance de réalisation]]&lt;TODAY(),"En retard","À jour"))</f>
        <v>En retard</v>
      </c>
      <c r="J241" s="31"/>
      <c r="K241" s="4"/>
      <c r="L241" s="4"/>
      <c r="N241" s="4"/>
      <c r="P241" s="4"/>
      <c r="W241" s="4"/>
      <c r="X241" s="4"/>
      <c r="XDU241" s="279"/>
      <c r="XDV241" s="271"/>
      <c r="XDW241" s="271"/>
      <c r="XDX241" s="271"/>
      <c r="XDY241" s="9"/>
      <c r="XDZ241" s="11"/>
      <c r="XEA241" s="9"/>
      <c r="XEB241" s="25"/>
      <c r="XEC241" s="277"/>
      <c r="XED241" s="31"/>
      <c r="XEM241" s="279"/>
      <c r="XEN241" s="271"/>
      <c r="XEO241" s="271"/>
      <c r="XEP241" s="271"/>
      <c r="XEQ241" s="9"/>
      <c r="XER241" s="11"/>
      <c r="XES241" s="9"/>
      <c r="XET241" s="25"/>
      <c r="XEU241" s="277"/>
      <c r="XEV241" s="31"/>
    </row>
    <row r="242" spans="1:24 16349:16376" ht="18.75" x14ac:dyDescent="0.25">
      <c r="A242" s="279"/>
      <c r="B242" s="271"/>
      <c r="C242" s="271"/>
      <c r="D242" s="271"/>
      <c r="E242" s="9"/>
      <c r="F242" s="11"/>
      <c r="G242" s="9"/>
      <c r="H242" s="25"/>
      <c r="I242" s="277" t="str">
        <f ca="1">IF(ListeInventaire3811[[#This Row],[Statut de la réalisation de l''action]]="Effectué","À jour",IF(ListeInventaire3811[[#This Row],[échéance de réalisation]]&lt;TODAY(),"En retard","À jour"))</f>
        <v>En retard</v>
      </c>
      <c r="J242" s="31"/>
      <c r="K242" s="4"/>
      <c r="L242" s="4"/>
      <c r="N242" s="4"/>
      <c r="P242" s="4"/>
      <c r="W242" s="4"/>
      <c r="X242" s="4"/>
      <c r="XDU242" s="279"/>
      <c r="XDV242" s="271"/>
      <c r="XDW242" s="271"/>
      <c r="XDX242" s="271"/>
      <c r="XDY242" s="9"/>
      <c r="XDZ242" s="11"/>
      <c r="XEA242" s="9"/>
      <c r="XEB242" s="25"/>
      <c r="XEC242" s="277"/>
      <c r="XED242" s="31"/>
      <c r="XEM242" s="279"/>
      <c r="XEN242" s="271"/>
      <c r="XEO242" s="271"/>
      <c r="XEP242" s="271"/>
      <c r="XEQ242" s="9"/>
      <c r="XER242" s="11"/>
      <c r="XES242" s="9"/>
      <c r="XET242" s="25"/>
      <c r="XEU242" s="277"/>
      <c r="XEV242" s="31"/>
    </row>
    <row r="243" spans="1:24 16349:16376" ht="18.75" x14ac:dyDescent="0.25">
      <c r="A243" s="279"/>
      <c r="B243" s="271"/>
      <c r="C243" s="271"/>
      <c r="D243" s="271"/>
      <c r="E243" s="9"/>
      <c r="F243" s="11"/>
      <c r="G243" s="9"/>
      <c r="H243" s="25"/>
      <c r="I243" s="277" t="str">
        <f ca="1">IF(ListeInventaire3811[[#This Row],[Statut de la réalisation de l''action]]="Effectué","À jour",IF(ListeInventaire3811[[#This Row],[échéance de réalisation]]&lt;TODAY(),"En retard","À jour"))</f>
        <v>En retard</v>
      </c>
      <c r="J243" s="31"/>
      <c r="K243" s="4"/>
      <c r="L243" s="4"/>
      <c r="N243" s="4"/>
      <c r="P243" s="4"/>
      <c r="W243" s="4"/>
      <c r="X243" s="4"/>
      <c r="XDU243" s="279"/>
      <c r="XDV243" s="271"/>
      <c r="XDW243" s="271"/>
      <c r="XDX243" s="271"/>
      <c r="XDY243" s="9"/>
      <c r="XDZ243" s="11"/>
      <c r="XEA243" s="9"/>
      <c r="XEB243" s="25"/>
      <c r="XEC243" s="277"/>
      <c r="XED243" s="31"/>
      <c r="XEM243" s="279"/>
      <c r="XEN243" s="271"/>
      <c r="XEO243" s="271"/>
      <c r="XEP243" s="271"/>
      <c r="XEQ243" s="9"/>
      <c r="XER243" s="11"/>
      <c r="XES243" s="9"/>
      <c r="XET243" s="25"/>
      <c r="XEU243" s="277"/>
      <c r="XEV243" s="31"/>
    </row>
    <row r="244" spans="1:24 16349:16376" ht="18.75" x14ac:dyDescent="0.25">
      <c r="A244" s="279"/>
      <c r="B244" s="271"/>
      <c r="C244" s="271"/>
      <c r="D244" s="271"/>
      <c r="E244" s="9"/>
      <c r="F244" s="11"/>
      <c r="G244" s="9"/>
      <c r="H244" s="25"/>
      <c r="I244" s="277" t="str">
        <f ca="1">IF(ListeInventaire3811[[#This Row],[Statut de la réalisation de l''action]]="Effectué","À jour",IF(ListeInventaire3811[[#This Row],[échéance de réalisation]]&lt;TODAY(),"En retard","À jour"))</f>
        <v>En retard</v>
      </c>
      <c r="J244" s="31"/>
      <c r="K244" s="4"/>
      <c r="L244" s="4"/>
      <c r="N244" s="4"/>
      <c r="P244" s="4"/>
      <c r="W244" s="4"/>
      <c r="X244" s="4"/>
      <c r="XDU244" s="279"/>
      <c r="XDV244" s="271"/>
      <c r="XDW244" s="271"/>
      <c r="XDX244" s="271"/>
      <c r="XDY244" s="9"/>
      <c r="XDZ244" s="11"/>
      <c r="XEA244" s="9"/>
      <c r="XEB244" s="25"/>
      <c r="XEC244" s="277"/>
      <c r="XED244" s="31"/>
      <c r="XEM244" s="279"/>
      <c r="XEN244" s="271"/>
      <c r="XEO244" s="271"/>
      <c r="XEP244" s="271"/>
      <c r="XEQ244" s="9"/>
      <c r="XER244" s="11"/>
      <c r="XES244" s="9"/>
      <c r="XET244" s="25"/>
      <c r="XEU244" s="277"/>
      <c r="XEV244" s="31"/>
    </row>
    <row r="245" spans="1:24 16349:16376" ht="18.75" x14ac:dyDescent="0.25">
      <c r="A245" s="279"/>
      <c r="B245" s="271"/>
      <c r="C245" s="271"/>
      <c r="D245" s="271"/>
      <c r="E245" s="9"/>
      <c r="F245" s="11"/>
      <c r="G245" s="9"/>
      <c r="H245" s="25"/>
      <c r="I245" s="277" t="str">
        <f ca="1">IF(ListeInventaire3811[[#This Row],[Statut de la réalisation de l''action]]="Effectué","À jour",IF(ListeInventaire3811[[#This Row],[échéance de réalisation]]&lt;TODAY(),"En retard","À jour"))</f>
        <v>En retard</v>
      </c>
      <c r="J245" s="31"/>
      <c r="K245" s="4"/>
      <c r="L245" s="4"/>
      <c r="N245" s="4"/>
      <c r="P245" s="4"/>
      <c r="W245" s="4"/>
      <c r="X245" s="4"/>
      <c r="XDU245" s="279"/>
      <c r="XDV245" s="271"/>
      <c r="XDW245" s="271"/>
      <c r="XDX245" s="271"/>
      <c r="XDY245" s="9"/>
      <c r="XDZ245" s="11"/>
      <c r="XEA245" s="9"/>
      <c r="XEB245" s="25"/>
      <c r="XEC245" s="277"/>
      <c r="XED245" s="31"/>
      <c r="XEM245" s="279"/>
      <c r="XEN245" s="271"/>
      <c r="XEO245" s="271"/>
      <c r="XEP245" s="271"/>
      <c r="XEQ245" s="9"/>
      <c r="XER245" s="11"/>
      <c r="XES245" s="9"/>
      <c r="XET245" s="25"/>
      <c r="XEU245" s="277"/>
      <c r="XEV245" s="31"/>
    </row>
    <row r="246" spans="1:24 16349:16376" ht="18.75" x14ac:dyDescent="0.25">
      <c r="A246" s="279"/>
      <c r="B246" s="271"/>
      <c r="C246" s="271"/>
      <c r="D246" s="271"/>
      <c r="E246" s="9"/>
      <c r="F246" s="11"/>
      <c r="G246" s="9"/>
      <c r="H246" s="25"/>
      <c r="I246" s="277" t="str">
        <f ca="1">IF(ListeInventaire3811[[#This Row],[Statut de la réalisation de l''action]]="Effectué","À jour",IF(ListeInventaire3811[[#This Row],[échéance de réalisation]]&lt;TODAY(),"En retard","À jour"))</f>
        <v>En retard</v>
      </c>
      <c r="J246" s="31"/>
      <c r="K246" s="4"/>
      <c r="L246" s="4"/>
      <c r="N246" s="4"/>
      <c r="P246" s="4"/>
      <c r="W246" s="4"/>
      <c r="X246" s="4"/>
      <c r="XDU246" s="279"/>
      <c r="XDV246" s="271"/>
      <c r="XDW246" s="271"/>
      <c r="XDX246" s="271"/>
      <c r="XDY246" s="9"/>
      <c r="XDZ246" s="11"/>
      <c r="XEA246" s="9"/>
      <c r="XEB246" s="25"/>
      <c r="XEC246" s="277"/>
      <c r="XED246" s="31"/>
      <c r="XEM246" s="279"/>
      <c r="XEN246" s="271"/>
      <c r="XEO246" s="271"/>
      <c r="XEP246" s="271"/>
      <c r="XEQ246" s="9"/>
      <c r="XER246" s="11"/>
      <c r="XES246" s="9"/>
      <c r="XET246" s="25"/>
      <c r="XEU246" s="277"/>
      <c r="XEV246" s="31"/>
    </row>
    <row r="247" spans="1:24 16349:16376" ht="18.75" x14ac:dyDescent="0.25">
      <c r="A247" s="279"/>
      <c r="B247" s="271"/>
      <c r="C247" s="271"/>
      <c r="D247" s="271"/>
      <c r="E247" s="9"/>
      <c r="F247" s="11"/>
      <c r="G247" s="9"/>
      <c r="H247" s="25"/>
      <c r="I247" s="277" t="str">
        <f ca="1">IF(ListeInventaire3811[[#This Row],[Statut de la réalisation de l''action]]="Effectué","À jour",IF(ListeInventaire3811[[#This Row],[échéance de réalisation]]&lt;TODAY(),"En retard","À jour"))</f>
        <v>En retard</v>
      </c>
      <c r="J247" s="31"/>
      <c r="K247" s="4"/>
      <c r="L247" s="4"/>
      <c r="N247" s="4"/>
      <c r="P247" s="4"/>
      <c r="W247" s="4"/>
      <c r="X247" s="4"/>
      <c r="XDU247" s="279"/>
      <c r="XDV247" s="271"/>
      <c r="XDW247" s="271"/>
      <c r="XDX247" s="271"/>
      <c r="XDY247" s="9"/>
      <c r="XDZ247" s="11"/>
      <c r="XEA247" s="9"/>
      <c r="XEB247" s="25"/>
      <c r="XEC247" s="277"/>
      <c r="XED247" s="31"/>
      <c r="XEM247" s="279"/>
      <c r="XEN247" s="271"/>
      <c r="XEO247" s="271"/>
      <c r="XEP247" s="271"/>
      <c r="XEQ247" s="9"/>
      <c r="XER247" s="11"/>
      <c r="XES247" s="9"/>
      <c r="XET247" s="25"/>
      <c r="XEU247" s="277"/>
      <c r="XEV247" s="31"/>
    </row>
    <row r="248" spans="1:24 16349:16376" ht="18.75" x14ac:dyDescent="0.25">
      <c r="A248" s="279"/>
      <c r="B248" s="271"/>
      <c r="C248" s="271"/>
      <c r="D248" s="271"/>
      <c r="E248" s="9"/>
      <c r="F248" s="11"/>
      <c r="G248" s="9"/>
      <c r="H248" s="25"/>
      <c r="I248" s="277" t="str">
        <f ca="1">IF(ListeInventaire3811[[#This Row],[Statut de la réalisation de l''action]]="Effectué","À jour",IF(ListeInventaire3811[[#This Row],[échéance de réalisation]]&lt;TODAY(),"En retard","À jour"))</f>
        <v>En retard</v>
      </c>
      <c r="J248" s="31"/>
      <c r="K248" s="4"/>
      <c r="L248" s="4"/>
      <c r="N248" s="4"/>
      <c r="P248" s="4"/>
      <c r="W248" s="4"/>
      <c r="X248" s="4"/>
      <c r="XDU248" s="279"/>
      <c r="XDV248" s="271"/>
      <c r="XDW248" s="271"/>
      <c r="XDX248" s="271"/>
      <c r="XDY248" s="9"/>
      <c r="XDZ248" s="11"/>
      <c r="XEA248" s="9"/>
      <c r="XEB248" s="25"/>
      <c r="XEC248" s="277"/>
      <c r="XED248" s="31"/>
      <c r="XEM248" s="279"/>
      <c r="XEN248" s="271"/>
      <c r="XEO248" s="271"/>
      <c r="XEP248" s="271"/>
      <c r="XEQ248" s="9"/>
      <c r="XER248" s="11"/>
      <c r="XES248" s="9"/>
      <c r="XET248" s="25"/>
      <c r="XEU248" s="277"/>
      <c r="XEV248" s="31"/>
    </row>
    <row r="249" spans="1:24 16349:16376" ht="18.75" x14ac:dyDescent="0.25">
      <c r="A249" s="279"/>
      <c r="B249" s="271"/>
      <c r="C249" s="271"/>
      <c r="D249" s="271"/>
      <c r="E249" s="9"/>
      <c r="F249" s="11"/>
      <c r="G249" s="9"/>
      <c r="H249" s="25"/>
      <c r="I249" s="277" t="str">
        <f ca="1">IF(ListeInventaire3811[[#This Row],[Statut de la réalisation de l''action]]="Effectué","À jour",IF(ListeInventaire3811[[#This Row],[échéance de réalisation]]&lt;TODAY(),"En retard","À jour"))</f>
        <v>En retard</v>
      </c>
      <c r="J249" s="31"/>
      <c r="K249" s="4"/>
      <c r="L249" s="4"/>
      <c r="N249" s="4"/>
      <c r="P249" s="4"/>
      <c r="W249" s="4"/>
      <c r="X249" s="4"/>
      <c r="XDU249" s="279"/>
      <c r="XDV249" s="271"/>
      <c r="XDW249" s="271"/>
      <c r="XDX249" s="271"/>
      <c r="XDY249" s="9"/>
      <c r="XDZ249" s="11"/>
      <c r="XEA249" s="9"/>
      <c r="XEB249" s="25"/>
      <c r="XEC249" s="277"/>
      <c r="XED249" s="31"/>
      <c r="XEM249" s="279"/>
      <c r="XEN249" s="271"/>
      <c r="XEO249" s="271"/>
      <c r="XEP249" s="271"/>
      <c r="XEQ249" s="9"/>
      <c r="XER249" s="11"/>
      <c r="XES249" s="9"/>
      <c r="XET249" s="25"/>
      <c r="XEU249" s="277"/>
      <c r="XEV249" s="31"/>
    </row>
    <row r="250" spans="1:24 16349:16376" ht="18.75" x14ac:dyDescent="0.25">
      <c r="A250" s="279"/>
      <c r="B250" s="271"/>
      <c r="C250" s="271"/>
      <c r="D250" s="271"/>
      <c r="E250" s="9"/>
      <c r="F250" s="11"/>
      <c r="G250" s="9"/>
      <c r="H250" s="25"/>
      <c r="I250" s="277" t="str">
        <f ca="1">IF(ListeInventaire3811[[#This Row],[Statut de la réalisation de l''action]]="Effectué","À jour",IF(ListeInventaire3811[[#This Row],[échéance de réalisation]]&lt;TODAY(),"En retard","À jour"))</f>
        <v>En retard</v>
      </c>
      <c r="J250" s="31"/>
      <c r="K250" s="4"/>
      <c r="L250" s="4"/>
      <c r="N250" s="4"/>
      <c r="P250" s="4"/>
      <c r="W250" s="4"/>
      <c r="X250" s="4"/>
      <c r="XDU250" s="279"/>
      <c r="XDV250" s="271"/>
      <c r="XDW250" s="271"/>
      <c r="XDX250" s="271"/>
      <c r="XDY250" s="9"/>
      <c r="XDZ250" s="11"/>
      <c r="XEA250" s="9"/>
      <c r="XEB250" s="25"/>
      <c r="XEC250" s="277"/>
      <c r="XED250" s="31"/>
      <c r="XEM250" s="279"/>
      <c r="XEN250" s="271"/>
      <c r="XEO250" s="271"/>
      <c r="XEP250" s="271"/>
      <c r="XEQ250" s="9"/>
      <c r="XER250" s="11"/>
      <c r="XES250" s="9"/>
      <c r="XET250" s="25"/>
      <c r="XEU250" s="277"/>
      <c r="XEV250" s="31"/>
    </row>
    <row r="251" spans="1:24 16349:16376" ht="18.75" x14ac:dyDescent="0.25">
      <c r="A251" s="279"/>
      <c r="B251" s="271"/>
      <c r="C251" s="271"/>
      <c r="D251" s="271"/>
      <c r="E251" s="9"/>
      <c r="F251" s="11"/>
      <c r="G251" s="9"/>
      <c r="H251" s="25"/>
      <c r="I251" s="277" t="str">
        <f ca="1">IF(ListeInventaire3811[[#This Row],[Statut de la réalisation de l''action]]="Effectué","À jour",IF(ListeInventaire3811[[#This Row],[échéance de réalisation]]&lt;TODAY(),"En retard","À jour"))</f>
        <v>En retard</v>
      </c>
      <c r="J251" s="31"/>
      <c r="K251" s="4"/>
      <c r="L251" s="4"/>
      <c r="N251" s="4"/>
      <c r="P251" s="4"/>
      <c r="W251" s="4"/>
      <c r="X251" s="4"/>
      <c r="XDU251" s="279"/>
      <c r="XDV251" s="271"/>
      <c r="XDW251" s="271"/>
      <c r="XDX251" s="271"/>
      <c r="XDY251" s="9"/>
      <c r="XDZ251" s="11"/>
      <c r="XEA251" s="9"/>
      <c r="XEB251" s="25"/>
      <c r="XEC251" s="277"/>
      <c r="XED251" s="31"/>
      <c r="XEM251" s="279"/>
      <c r="XEN251" s="271"/>
      <c r="XEO251" s="271"/>
      <c r="XEP251" s="271"/>
      <c r="XEQ251" s="9"/>
      <c r="XER251" s="11"/>
      <c r="XES251" s="9"/>
      <c r="XET251" s="25"/>
      <c r="XEU251" s="277"/>
      <c r="XEV251" s="31"/>
    </row>
    <row r="252" spans="1:24 16349:16376" ht="18.75" x14ac:dyDescent="0.25">
      <c r="A252" s="279"/>
      <c r="B252" s="271"/>
      <c r="C252" s="271"/>
      <c r="D252" s="271"/>
      <c r="E252" s="9"/>
      <c r="F252" s="11"/>
      <c r="G252" s="9"/>
      <c r="H252" s="25"/>
      <c r="I252" s="277" t="str">
        <f ca="1">IF(ListeInventaire3811[[#This Row],[Statut de la réalisation de l''action]]="Effectué","À jour",IF(ListeInventaire3811[[#This Row],[échéance de réalisation]]&lt;TODAY(),"En retard","À jour"))</f>
        <v>En retard</v>
      </c>
      <c r="J252" s="31"/>
      <c r="K252" s="4"/>
      <c r="L252" s="4"/>
      <c r="N252" s="4"/>
      <c r="P252" s="4"/>
      <c r="W252" s="4"/>
      <c r="X252" s="4"/>
      <c r="XDU252" s="279"/>
      <c r="XDV252" s="271"/>
      <c r="XDW252" s="271"/>
      <c r="XDX252" s="271"/>
      <c r="XDY252" s="9"/>
      <c r="XDZ252" s="11"/>
      <c r="XEA252" s="9"/>
      <c r="XEB252" s="25"/>
      <c r="XEC252" s="277"/>
      <c r="XED252" s="31"/>
      <c r="XEM252" s="279"/>
      <c r="XEN252" s="271"/>
      <c r="XEO252" s="271"/>
      <c r="XEP252" s="271"/>
      <c r="XEQ252" s="9"/>
      <c r="XER252" s="11"/>
      <c r="XES252" s="9"/>
      <c r="XET252" s="25"/>
      <c r="XEU252" s="277"/>
      <c r="XEV252" s="31"/>
    </row>
    <row r="253" spans="1:24 16349:16376" ht="18.75" x14ac:dyDescent="0.25">
      <c r="A253" s="279"/>
      <c r="B253" s="271"/>
      <c r="C253" s="271"/>
      <c r="D253" s="271"/>
      <c r="E253" s="9"/>
      <c r="F253" s="11"/>
      <c r="G253" s="9"/>
      <c r="H253" s="25"/>
      <c r="I253" s="277" t="str">
        <f ca="1">IF(ListeInventaire3811[[#This Row],[Statut de la réalisation de l''action]]="Effectué","À jour",IF(ListeInventaire3811[[#This Row],[échéance de réalisation]]&lt;TODAY(),"En retard","À jour"))</f>
        <v>En retard</v>
      </c>
      <c r="J253" s="31"/>
      <c r="K253" s="4"/>
      <c r="L253" s="4"/>
      <c r="N253" s="4"/>
      <c r="P253" s="4"/>
      <c r="W253" s="4"/>
      <c r="X253" s="4"/>
      <c r="XDU253" s="279"/>
      <c r="XDV253" s="271"/>
      <c r="XDW253" s="271"/>
      <c r="XDX253" s="271"/>
      <c r="XDY253" s="9"/>
      <c r="XDZ253" s="11"/>
      <c r="XEA253" s="9"/>
      <c r="XEB253" s="25"/>
      <c r="XEC253" s="277"/>
      <c r="XED253" s="31"/>
      <c r="XEM253" s="279"/>
      <c r="XEN253" s="271"/>
      <c r="XEO253" s="271"/>
      <c r="XEP253" s="271"/>
      <c r="XEQ253" s="9"/>
      <c r="XER253" s="11"/>
      <c r="XES253" s="9"/>
      <c r="XET253" s="25"/>
      <c r="XEU253" s="277"/>
      <c r="XEV253" s="31"/>
    </row>
    <row r="254" spans="1:24 16349:16376" ht="18.75" x14ac:dyDescent="0.25">
      <c r="A254" s="279"/>
      <c r="B254" s="271"/>
      <c r="C254" s="271"/>
      <c r="D254" s="271"/>
      <c r="E254" s="9"/>
      <c r="F254" s="11"/>
      <c r="G254" s="9"/>
      <c r="H254" s="25"/>
      <c r="I254" s="277" t="str">
        <f ca="1">IF(ListeInventaire3811[[#This Row],[Statut de la réalisation de l''action]]="Effectué","À jour",IF(ListeInventaire3811[[#This Row],[échéance de réalisation]]&lt;TODAY(),"En retard","À jour"))</f>
        <v>En retard</v>
      </c>
      <c r="J254" s="31"/>
      <c r="K254" s="4"/>
      <c r="L254" s="4"/>
      <c r="N254" s="4"/>
      <c r="P254" s="4"/>
      <c r="W254" s="4"/>
      <c r="X254" s="4"/>
      <c r="XDU254" s="279"/>
      <c r="XDV254" s="271"/>
      <c r="XDW254" s="271"/>
      <c r="XDX254" s="271"/>
      <c r="XDY254" s="9"/>
      <c r="XDZ254" s="11"/>
      <c r="XEA254" s="9"/>
      <c r="XEB254" s="25"/>
      <c r="XEC254" s="277"/>
      <c r="XED254" s="31"/>
      <c r="XEM254" s="279"/>
      <c r="XEN254" s="271"/>
      <c r="XEO254" s="271"/>
      <c r="XEP254" s="271"/>
      <c r="XEQ254" s="9"/>
      <c r="XER254" s="11"/>
      <c r="XES254" s="9"/>
      <c r="XET254" s="25"/>
      <c r="XEU254" s="277"/>
      <c r="XEV254" s="31"/>
    </row>
    <row r="255" spans="1:24 16349:16376" ht="18.75" x14ac:dyDescent="0.25">
      <c r="A255" s="279"/>
      <c r="B255" s="271"/>
      <c r="C255" s="271"/>
      <c r="D255" s="271"/>
      <c r="E255" s="9"/>
      <c r="F255" s="11"/>
      <c r="G255" s="9"/>
      <c r="H255" s="25"/>
      <c r="I255" s="277" t="str">
        <f ca="1">IF(ListeInventaire3811[[#This Row],[Statut de la réalisation de l''action]]="Effectué","À jour",IF(ListeInventaire3811[[#This Row],[échéance de réalisation]]&lt;TODAY(),"En retard","À jour"))</f>
        <v>En retard</v>
      </c>
      <c r="J255" s="31"/>
      <c r="K255" s="4"/>
      <c r="L255" s="4"/>
      <c r="N255" s="4"/>
      <c r="P255" s="4"/>
      <c r="W255" s="4"/>
      <c r="X255" s="4"/>
      <c r="XDU255" s="279"/>
      <c r="XDV255" s="271"/>
      <c r="XDW255" s="271"/>
      <c r="XDX255" s="271"/>
      <c r="XDY255" s="9"/>
      <c r="XDZ255" s="11"/>
      <c r="XEA255" s="9"/>
      <c r="XEB255" s="25"/>
      <c r="XEC255" s="277"/>
      <c r="XED255" s="31"/>
      <c r="XEM255" s="279"/>
      <c r="XEN255" s="271"/>
      <c r="XEO255" s="271"/>
      <c r="XEP255" s="271"/>
      <c r="XEQ255" s="9"/>
      <c r="XER255" s="11"/>
      <c r="XES255" s="9"/>
      <c r="XET255" s="25"/>
      <c r="XEU255" s="277"/>
      <c r="XEV255" s="31"/>
    </row>
    <row r="256" spans="1:24 16349:16376" ht="18.75" x14ac:dyDescent="0.25">
      <c r="A256" s="279"/>
      <c r="B256" s="271"/>
      <c r="C256" s="271"/>
      <c r="D256" s="271"/>
      <c r="E256" s="9"/>
      <c r="F256" s="11"/>
      <c r="G256" s="9"/>
      <c r="H256" s="25"/>
      <c r="I256" s="277" t="str">
        <f ca="1">IF(ListeInventaire3811[[#This Row],[Statut de la réalisation de l''action]]="Effectué","À jour",IF(ListeInventaire3811[[#This Row],[échéance de réalisation]]&lt;TODAY(),"En retard","À jour"))</f>
        <v>En retard</v>
      </c>
      <c r="J256" s="31"/>
      <c r="K256" s="4"/>
      <c r="L256" s="4"/>
      <c r="N256" s="4"/>
      <c r="P256" s="4"/>
      <c r="W256" s="4"/>
      <c r="X256" s="4"/>
      <c r="XDU256" s="279"/>
      <c r="XDV256" s="271"/>
      <c r="XDW256" s="271"/>
      <c r="XDX256" s="271"/>
      <c r="XDY256" s="9"/>
      <c r="XDZ256" s="11"/>
      <c r="XEA256" s="9"/>
      <c r="XEB256" s="25"/>
      <c r="XEC256" s="277"/>
      <c r="XED256" s="31"/>
      <c r="XEM256" s="279"/>
      <c r="XEN256" s="271"/>
      <c r="XEO256" s="271"/>
      <c r="XEP256" s="271"/>
      <c r="XEQ256" s="9"/>
      <c r="XER256" s="11"/>
      <c r="XES256" s="9"/>
      <c r="XET256" s="25"/>
      <c r="XEU256" s="277"/>
      <c r="XEV256" s="31"/>
    </row>
    <row r="257" spans="1:29 16349:16376" ht="18.75" x14ac:dyDescent="0.25">
      <c r="A257" s="279"/>
      <c r="B257" s="271"/>
      <c r="C257" s="271"/>
      <c r="D257" s="271"/>
      <c r="E257" s="9"/>
      <c r="F257" s="11"/>
      <c r="G257" s="9"/>
      <c r="H257" s="25"/>
      <c r="I257" s="277" t="str">
        <f ca="1">IF(ListeInventaire3811[[#This Row],[Statut de la réalisation de l''action]]="Effectué","À jour",IF(ListeInventaire3811[[#This Row],[échéance de réalisation]]&lt;TODAY(),"En retard","À jour"))</f>
        <v>En retard</v>
      </c>
      <c r="J257" s="31"/>
      <c r="K257" s="4"/>
      <c r="L257" s="4"/>
      <c r="N257" s="4"/>
      <c r="P257" s="4"/>
      <c r="W257" s="4"/>
      <c r="X257" s="4"/>
      <c r="XDU257" s="279"/>
      <c r="XDV257" s="271"/>
      <c r="XDW257" s="271"/>
      <c r="XDX257" s="271"/>
      <c r="XDY257" s="9"/>
      <c r="XDZ257" s="11"/>
      <c r="XEA257" s="9"/>
      <c r="XEB257" s="25"/>
      <c r="XEC257" s="277"/>
      <c r="XED257" s="31"/>
      <c r="XEM257" s="279"/>
      <c r="XEN257" s="271"/>
      <c r="XEO257" s="271"/>
      <c r="XEP257" s="271"/>
      <c r="XEQ257" s="9"/>
      <c r="XER257" s="11"/>
      <c r="XES257" s="9"/>
      <c r="XET257" s="25"/>
      <c r="XEU257" s="277"/>
      <c r="XEV257" s="31"/>
    </row>
    <row r="258" spans="1:29 16349:16376" ht="18.75" x14ac:dyDescent="0.25">
      <c r="A258" s="279"/>
      <c r="B258" s="271"/>
      <c r="C258" s="271"/>
      <c r="D258" s="271"/>
      <c r="E258" s="9"/>
      <c r="F258" s="11"/>
      <c r="G258" s="9"/>
      <c r="H258" s="25"/>
      <c r="I258" s="277" t="str">
        <f ca="1">IF(ListeInventaire3811[[#This Row],[Statut de la réalisation de l''action]]="Effectué","À jour",IF(ListeInventaire3811[[#This Row],[échéance de réalisation]]&lt;TODAY(),"En retard","À jour"))</f>
        <v>En retard</v>
      </c>
      <c r="J258" s="31"/>
      <c r="K258" s="4"/>
      <c r="L258" s="4"/>
      <c r="N258" s="4"/>
      <c r="P258" s="4"/>
      <c r="W258" s="4"/>
      <c r="X258" s="4"/>
      <c r="XDU258" s="279"/>
      <c r="XDV258" s="271"/>
      <c r="XDW258" s="271"/>
      <c r="XDX258" s="271"/>
      <c r="XDY258" s="9"/>
      <c r="XDZ258" s="11"/>
      <c r="XEA258" s="9"/>
      <c r="XEB258" s="25"/>
      <c r="XEC258" s="277"/>
      <c r="XED258" s="31"/>
      <c r="XEM258" s="279"/>
      <c r="XEN258" s="271"/>
      <c r="XEO258" s="271"/>
      <c r="XEP258" s="271"/>
      <c r="XEQ258" s="9"/>
      <c r="XER258" s="11"/>
      <c r="XES258" s="9"/>
      <c r="XET258" s="25"/>
      <c r="XEU258" s="277"/>
      <c r="XEV258" s="31"/>
    </row>
    <row r="259" spans="1:29 16349:16376" ht="18.75" x14ac:dyDescent="0.25">
      <c r="A259" s="279"/>
      <c r="B259" s="271"/>
      <c r="C259" s="271"/>
      <c r="D259" s="271"/>
      <c r="E259" s="9"/>
      <c r="F259" s="11"/>
      <c r="G259" s="9"/>
      <c r="H259" s="25"/>
      <c r="I259" s="277" t="str">
        <f ca="1">IF(ListeInventaire3811[[#This Row],[Statut de la réalisation de l''action]]="Effectué","À jour",IF(ListeInventaire3811[[#This Row],[échéance de réalisation]]&lt;TODAY(),"En retard","À jour"))</f>
        <v>En retard</v>
      </c>
      <c r="J259" s="31"/>
      <c r="K259" s="4"/>
      <c r="L259" s="4"/>
      <c r="N259" s="4"/>
      <c r="P259" s="4"/>
      <c r="W259" s="4"/>
      <c r="X259" s="4"/>
      <c r="XDU259" s="279"/>
      <c r="XDV259" s="271"/>
      <c r="XDW259" s="271"/>
      <c r="XDX259" s="271"/>
      <c r="XDY259" s="9"/>
      <c r="XDZ259" s="11"/>
      <c r="XEA259" s="9"/>
      <c r="XEB259" s="25"/>
      <c r="XEC259" s="277"/>
      <c r="XED259" s="31"/>
      <c r="XEM259" s="279"/>
      <c r="XEN259" s="271"/>
      <c r="XEO259" s="271"/>
      <c r="XEP259" s="271"/>
      <c r="XEQ259" s="9"/>
      <c r="XER259" s="11"/>
      <c r="XES259" s="9"/>
      <c r="XET259" s="25"/>
      <c r="XEU259" s="277"/>
      <c r="XEV259" s="31"/>
    </row>
    <row r="260" spans="1:29 16349:16376" ht="18.75" x14ac:dyDescent="0.25">
      <c r="A260" s="279"/>
      <c r="B260" s="271"/>
      <c r="C260" s="271"/>
      <c r="D260" s="271"/>
      <c r="E260" s="9"/>
      <c r="F260" s="11"/>
      <c r="G260" s="9"/>
      <c r="H260" s="25"/>
      <c r="I260" s="277" t="str">
        <f ca="1">IF(ListeInventaire3811[[#This Row],[Statut de la réalisation de l''action]]="Effectué","À jour",IF(ListeInventaire3811[[#This Row],[échéance de réalisation]]&lt;TODAY(),"En retard","À jour"))</f>
        <v>En retard</v>
      </c>
      <c r="J260" s="31"/>
      <c r="K260" s="4"/>
      <c r="L260" s="4"/>
      <c r="N260" s="4"/>
      <c r="P260" s="4"/>
      <c r="W260" s="4"/>
      <c r="X260" s="4"/>
      <c r="XDU260" s="279"/>
      <c r="XDV260" s="271"/>
      <c r="XDW260" s="271"/>
      <c r="XDX260" s="271"/>
      <c r="XDY260" s="9"/>
      <c r="XDZ260" s="11"/>
      <c r="XEA260" s="9"/>
      <c r="XEB260" s="25"/>
      <c r="XEC260" s="277"/>
      <c r="XED260" s="31"/>
      <c r="XEM260" s="279"/>
      <c r="XEN260" s="271"/>
      <c r="XEO260" s="271"/>
      <c r="XEP260" s="271"/>
      <c r="XEQ260" s="9"/>
      <c r="XER260" s="11"/>
      <c r="XES260" s="9"/>
      <c r="XET260" s="25"/>
      <c r="XEU260" s="277"/>
      <c r="XEV260" s="31"/>
    </row>
    <row r="261" spans="1:29 16349:16376" ht="30" customHeight="1" x14ac:dyDescent="0.25">
      <c r="A261" s="110"/>
      <c r="B261" s="9"/>
      <c r="C261" s="9"/>
      <c r="D261" s="9"/>
      <c r="E261" s="9"/>
      <c r="F261" s="11"/>
      <c r="G261" s="9"/>
      <c r="H261" s="25"/>
      <c r="I261" s="277" t="str">
        <f ca="1">IF(ListeInventaire3811[[#This Row],[Statut de la réalisation de l''action]]="Effectué","À jour",IF(ListeInventaire3811[[#This Row],[échéance de réalisation]]&lt;TODAY(),"En retard","À jour"))</f>
        <v>En retard</v>
      </c>
      <c r="J261" s="109"/>
      <c r="K261" s="10"/>
      <c r="L261" s="10"/>
      <c r="M261" s="31"/>
      <c r="N261" s="32"/>
      <c r="O261" s="31"/>
      <c r="P261" s="10"/>
      <c r="Q261" s="31"/>
      <c r="R261" s="31"/>
      <c r="S261" s="31"/>
      <c r="T261" s="31"/>
      <c r="U261" s="31"/>
      <c r="V261" s="31"/>
      <c r="W261" s="31"/>
      <c r="X261" s="31"/>
      <c r="Y261" s="31"/>
      <c r="Z261" s="31"/>
      <c r="AA261" s="31"/>
      <c r="AB261" s="31"/>
      <c r="AC261" s="31"/>
    </row>
    <row r="262" spans="1:29 16349:16376" ht="30" customHeight="1" x14ac:dyDescent="0.25">
      <c r="A262" s="7"/>
      <c r="B262" s="9"/>
      <c r="C262" s="9"/>
      <c r="D262" s="9"/>
      <c r="E262" s="9"/>
      <c r="F262" s="11"/>
      <c r="G262" s="9"/>
      <c r="H262" s="25"/>
      <c r="I262" s="277" t="str">
        <f ca="1">IF(ListeInventaire3811[[#This Row],[Statut de la réalisation de l''action]]="Effectué","À jour",IF(ListeInventaire3811[[#This Row],[échéance de réalisation]]&lt;TODAY(),"En retard","À jour"))</f>
        <v>En retard</v>
      </c>
      <c r="J262" s="109"/>
      <c r="K262" s="10"/>
      <c r="L262" s="10"/>
      <c r="M262" s="31"/>
      <c r="N262" s="32"/>
      <c r="O262" s="31"/>
      <c r="P262" s="10"/>
      <c r="Q262" s="31"/>
      <c r="R262" s="31"/>
      <c r="S262" s="31"/>
      <c r="T262" s="31"/>
      <c r="U262" s="31"/>
      <c r="V262" s="31"/>
      <c r="W262" s="31"/>
      <c r="X262" s="31"/>
      <c r="Y262" s="31"/>
      <c r="Z262" s="31"/>
      <c r="AA262" s="31"/>
      <c r="AB262" s="31"/>
      <c r="AC262" s="31"/>
    </row>
    <row r="263" spans="1:29 16349:16376" ht="30" customHeight="1" x14ac:dyDescent="0.25">
      <c r="A263" s="7"/>
      <c r="B263" s="9"/>
      <c r="C263" s="9"/>
      <c r="D263" s="9"/>
      <c r="E263" s="9"/>
      <c r="F263" s="11"/>
      <c r="G263" s="9"/>
      <c r="H263" s="25"/>
      <c r="I263" s="277" t="str">
        <f ca="1">IF(ListeInventaire3811[[#This Row],[Statut de la réalisation de l''action]]="Effectué","À jour",IF(ListeInventaire3811[[#This Row],[échéance de réalisation]]&lt;TODAY(),"En retard","À jour"))</f>
        <v>En retard</v>
      </c>
      <c r="J263" s="109"/>
      <c r="K263" s="10"/>
      <c r="L263" s="10"/>
      <c r="M263" s="31"/>
      <c r="N263" s="32"/>
      <c r="O263" s="31"/>
      <c r="P263" s="10"/>
      <c r="Q263" s="31"/>
      <c r="R263" s="31"/>
      <c r="S263" s="31"/>
      <c r="T263" s="31"/>
      <c r="U263" s="31"/>
      <c r="V263" s="31"/>
      <c r="W263" s="31"/>
      <c r="X263" s="31"/>
      <c r="Y263" s="31"/>
      <c r="Z263" s="31"/>
      <c r="AA263" s="31"/>
      <c r="AB263" s="31"/>
      <c r="AC263" s="31"/>
    </row>
    <row r="264" spans="1:29 16349:16376" ht="30" customHeight="1" x14ac:dyDescent="0.25">
      <c r="A264" s="7"/>
      <c r="B264" s="9"/>
      <c r="C264" s="9"/>
      <c r="D264" s="9"/>
      <c r="E264" s="9"/>
      <c r="F264" s="11"/>
      <c r="G264" s="9"/>
      <c r="H264" s="25"/>
      <c r="I264" s="277" t="str">
        <f ca="1">IF(ListeInventaire3811[[#This Row],[Statut de la réalisation de l''action]]="Effectué","À jour",IF(ListeInventaire3811[[#This Row],[échéance de réalisation]]&lt;TODAY(),"En retard","À jour"))</f>
        <v>En retard</v>
      </c>
      <c r="J264" s="109"/>
      <c r="K264" s="10"/>
      <c r="L264" s="10"/>
      <c r="M264" s="31"/>
      <c r="N264" s="32"/>
      <c r="O264" s="31"/>
      <c r="P264" s="10"/>
      <c r="Q264" s="31"/>
      <c r="R264" s="31"/>
      <c r="S264" s="31"/>
      <c r="T264" s="31"/>
      <c r="U264" s="31"/>
      <c r="V264" s="31"/>
      <c r="W264" s="31"/>
      <c r="X264" s="31"/>
      <c r="Y264" s="31"/>
      <c r="Z264" s="31"/>
      <c r="AA264" s="31"/>
      <c r="AB264" s="31"/>
      <c r="AC264" s="31"/>
    </row>
    <row r="265" spans="1:29 16349:16376" ht="30" customHeight="1" x14ac:dyDescent="0.25">
      <c r="A265" s="7"/>
      <c r="B265" s="9"/>
      <c r="C265" s="9"/>
      <c r="D265" s="9"/>
      <c r="E265" s="9"/>
      <c r="F265" s="11"/>
      <c r="G265" s="9"/>
      <c r="H265" s="25"/>
      <c r="I265" s="277" t="str">
        <f ca="1">IF(ListeInventaire3811[[#This Row],[Statut de la réalisation de l''action]]="Effectué","À jour",IF(ListeInventaire3811[[#This Row],[échéance de réalisation]]&lt;TODAY(),"En retard","À jour"))</f>
        <v>En retard</v>
      </c>
      <c r="J265" s="109"/>
      <c r="K265" s="10"/>
      <c r="L265" s="10"/>
      <c r="M265" s="31"/>
      <c r="N265" s="32"/>
      <c r="O265" s="31"/>
      <c r="P265" s="10"/>
      <c r="Q265" s="31"/>
      <c r="R265" s="31"/>
      <c r="S265" s="31"/>
      <c r="T265" s="31"/>
      <c r="U265" s="31"/>
      <c r="V265" s="31"/>
      <c r="W265" s="31"/>
      <c r="X265" s="31"/>
      <c r="Y265" s="31"/>
      <c r="Z265" s="31"/>
      <c r="AA265" s="31"/>
      <c r="AB265" s="31"/>
      <c r="AC265" s="31"/>
    </row>
    <row r="266" spans="1:29 16349:16376" ht="30" customHeight="1" x14ac:dyDescent="0.25">
      <c r="A266" s="7"/>
      <c r="B266" s="9"/>
      <c r="C266" s="9"/>
      <c r="D266" s="9"/>
      <c r="E266" s="9"/>
      <c r="F266" s="11"/>
      <c r="G266" s="9"/>
      <c r="H266" s="25"/>
      <c r="I266" s="277" t="str">
        <f ca="1">IF(ListeInventaire3811[[#This Row],[Statut de la réalisation de l''action]]="Effectué","À jour",IF(ListeInventaire3811[[#This Row],[échéance de réalisation]]&lt;TODAY(),"En retard","À jour"))</f>
        <v>En retard</v>
      </c>
      <c r="J266" s="109"/>
      <c r="K266" s="10"/>
      <c r="L266" s="10"/>
      <c r="M266" s="31"/>
      <c r="N266" s="32"/>
      <c r="O266" s="31"/>
      <c r="P266" s="10"/>
      <c r="Q266" s="31"/>
      <c r="R266" s="31"/>
      <c r="S266" s="31"/>
      <c r="T266" s="31"/>
      <c r="U266" s="31"/>
      <c r="V266" s="31"/>
      <c r="W266" s="31"/>
      <c r="X266" s="31"/>
      <c r="Y266" s="31"/>
      <c r="Z266" s="31"/>
      <c r="AA266" s="31"/>
      <c r="AB266" s="31"/>
      <c r="AC266" s="31"/>
    </row>
    <row r="267" spans="1:29 16349:16376" ht="30" customHeight="1" x14ac:dyDescent="0.25">
      <c r="A267" s="7"/>
      <c r="B267" s="9"/>
      <c r="C267" s="9"/>
      <c r="D267" s="9"/>
      <c r="E267" s="9"/>
      <c r="F267" s="11"/>
      <c r="G267" s="9"/>
      <c r="H267" s="25"/>
      <c r="I267" s="277" t="str">
        <f ca="1">IF(ListeInventaire3811[[#This Row],[Statut de la réalisation de l''action]]="Effectué","À jour",IF(ListeInventaire3811[[#This Row],[échéance de réalisation]]&lt;TODAY(),"En retard","À jour"))</f>
        <v>En retard</v>
      </c>
      <c r="J267" s="109"/>
      <c r="K267" s="10"/>
      <c r="L267" s="10"/>
      <c r="M267" s="31"/>
      <c r="N267" s="32"/>
      <c r="O267" s="31"/>
      <c r="P267" s="10"/>
      <c r="Q267" s="31"/>
      <c r="R267" s="31"/>
      <c r="S267" s="31"/>
      <c r="T267" s="31"/>
      <c r="U267" s="31"/>
      <c r="V267" s="31"/>
      <c r="W267" s="31"/>
      <c r="X267" s="31"/>
      <c r="Y267" s="31"/>
      <c r="Z267" s="31"/>
      <c r="AA267" s="31"/>
      <c r="AB267" s="31"/>
      <c r="AC267" s="31"/>
    </row>
    <row r="268" spans="1:29 16349:16376" ht="30" customHeight="1" x14ac:dyDescent="0.25">
      <c r="A268" s="7"/>
      <c r="B268" s="9"/>
      <c r="C268" s="9"/>
      <c r="D268" s="9"/>
      <c r="E268" s="9"/>
      <c r="F268" s="11"/>
      <c r="G268" s="9"/>
      <c r="H268" s="25"/>
      <c r="I268" s="277" t="str">
        <f ca="1">IF(ListeInventaire3811[[#This Row],[Statut de la réalisation de l''action]]="Effectué","À jour",IF(ListeInventaire3811[[#This Row],[échéance de réalisation]]&lt;TODAY(),"En retard","À jour"))</f>
        <v>En retard</v>
      </c>
      <c r="J268" s="109"/>
      <c r="K268" s="10"/>
      <c r="L268" s="10"/>
      <c r="M268" s="31"/>
      <c r="N268" s="32"/>
      <c r="O268" s="31"/>
      <c r="P268" s="10"/>
      <c r="Q268" s="31"/>
      <c r="R268" s="31"/>
      <c r="S268" s="31"/>
      <c r="T268" s="31"/>
      <c r="U268" s="31"/>
      <c r="V268" s="31"/>
      <c r="W268" s="31"/>
      <c r="X268" s="31"/>
      <c r="Y268" s="31"/>
      <c r="Z268" s="31"/>
      <c r="AA268" s="31"/>
      <c r="AB268" s="31"/>
      <c r="AC268" s="31"/>
    </row>
    <row r="269" spans="1:29 16349:16376" ht="30" customHeight="1" x14ac:dyDescent="0.25">
      <c r="A269" s="7"/>
      <c r="B269" s="9"/>
      <c r="C269" s="9"/>
      <c r="D269" s="9"/>
      <c r="E269" s="9"/>
      <c r="F269" s="11"/>
      <c r="G269" s="9"/>
      <c r="H269" s="25"/>
      <c r="I269" s="277" t="str">
        <f ca="1">IF(ListeInventaire3811[[#This Row],[Statut de la réalisation de l''action]]="Effectué","À jour",IF(ListeInventaire3811[[#This Row],[échéance de réalisation]]&lt;TODAY(),"En retard","À jour"))</f>
        <v>En retard</v>
      </c>
      <c r="J269" s="109"/>
      <c r="K269" s="10"/>
      <c r="L269" s="10"/>
      <c r="M269" s="31"/>
      <c r="N269" s="32"/>
      <c r="O269" s="31"/>
      <c r="P269" s="10"/>
      <c r="Q269" s="31"/>
      <c r="R269" s="31"/>
      <c r="S269" s="31"/>
      <c r="T269" s="31"/>
      <c r="U269" s="31"/>
      <c r="V269" s="31"/>
      <c r="W269" s="31"/>
      <c r="X269" s="31"/>
      <c r="Y269" s="31"/>
      <c r="Z269" s="31"/>
      <c r="AA269" s="31"/>
      <c r="AB269" s="31"/>
      <c r="AC269" s="31"/>
    </row>
    <row r="270" spans="1:29 16349:16376" ht="30" customHeight="1" x14ac:dyDescent="0.25">
      <c r="A270" s="7"/>
      <c r="B270" s="9"/>
      <c r="C270" s="9"/>
      <c r="D270" s="9"/>
      <c r="E270" s="9"/>
      <c r="F270" s="11"/>
      <c r="G270" s="9"/>
      <c r="H270" s="25"/>
      <c r="I270" s="277" t="str">
        <f ca="1">IF(ListeInventaire3811[[#This Row],[Statut de la réalisation de l''action]]="Effectué","À jour",IF(ListeInventaire3811[[#This Row],[échéance de réalisation]]&lt;TODAY(),"En retard","À jour"))</f>
        <v>En retard</v>
      </c>
      <c r="J270" s="109"/>
      <c r="K270" s="10"/>
      <c r="L270" s="10"/>
      <c r="M270" s="31"/>
      <c r="N270" s="32"/>
      <c r="O270" s="31"/>
      <c r="P270" s="10"/>
      <c r="Q270" s="31"/>
      <c r="R270" s="31"/>
      <c r="S270" s="31"/>
      <c r="T270" s="31"/>
      <c r="U270" s="31"/>
      <c r="V270" s="31"/>
      <c r="W270" s="31"/>
      <c r="X270" s="31"/>
      <c r="Y270" s="31"/>
      <c r="Z270" s="31"/>
      <c r="AA270" s="31"/>
      <c r="AB270" s="31"/>
      <c r="AC270" s="31"/>
    </row>
    <row r="271" spans="1:29 16349:16376" ht="30" customHeight="1" x14ac:dyDescent="0.25">
      <c r="A271" s="7"/>
      <c r="B271" s="9"/>
      <c r="C271" s="9"/>
      <c r="D271" s="9"/>
      <c r="E271" s="9"/>
      <c r="F271" s="11"/>
      <c r="G271" s="9"/>
      <c r="H271" s="25"/>
      <c r="I271" s="277" t="str">
        <f ca="1">IF(ListeInventaire3811[[#This Row],[Statut de la réalisation de l''action]]="Effectué","À jour",IF(ListeInventaire3811[[#This Row],[échéance de réalisation]]&lt;TODAY(),"En retard","À jour"))</f>
        <v>En retard</v>
      </c>
      <c r="J271" s="109"/>
      <c r="K271" s="10"/>
      <c r="L271" s="10"/>
      <c r="M271" s="31"/>
      <c r="N271" s="32"/>
      <c r="O271" s="31"/>
      <c r="P271" s="10"/>
      <c r="Q271" s="31"/>
      <c r="R271" s="31"/>
      <c r="S271" s="31"/>
      <c r="T271" s="31"/>
      <c r="U271" s="31"/>
      <c r="V271" s="31"/>
      <c r="W271" s="31"/>
      <c r="X271" s="31"/>
      <c r="Y271" s="31"/>
      <c r="Z271" s="31"/>
      <c r="AA271" s="31"/>
      <c r="AB271" s="31"/>
      <c r="AC271" s="31"/>
    </row>
    <row r="272" spans="1:29 16349:16376" ht="30" customHeight="1" x14ac:dyDescent="0.25">
      <c r="A272" s="7"/>
      <c r="B272" s="9"/>
      <c r="C272" s="9"/>
      <c r="D272" s="9"/>
      <c r="E272" s="9"/>
      <c r="F272" s="11"/>
      <c r="G272" s="9"/>
      <c r="H272" s="25"/>
      <c r="I272" s="277" t="str">
        <f ca="1">IF(ListeInventaire3811[[#This Row],[Statut de la réalisation de l''action]]="Effectué","À jour",IF(ListeInventaire3811[[#This Row],[échéance de réalisation]]&lt;TODAY(),"En retard","À jour"))</f>
        <v>En retard</v>
      </c>
      <c r="J272" s="109"/>
      <c r="K272" s="10"/>
      <c r="L272" s="10"/>
      <c r="M272" s="31"/>
      <c r="N272" s="32"/>
      <c r="O272" s="31"/>
      <c r="P272" s="10"/>
      <c r="Q272" s="31"/>
      <c r="R272" s="31"/>
      <c r="S272" s="31"/>
      <c r="T272" s="31"/>
      <c r="U272" s="31"/>
      <c r="V272" s="31"/>
      <c r="W272" s="31"/>
      <c r="X272" s="31"/>
      <c r="Y272" s="31"/>
      <c r="Z272" s="31"/>
      <c r="AA272" s="31"/>
      <c r="AB272" s="31"/>
      <c r="AC272" s="31"/>
    </row>
    <row r="273" spans="1:29" ht="30" customHeight="1" x14ac:dyDescent="0.25">
      <c r="A273" s="7"/>
      <c r="B273" s="9"/>
      <c r="C273" s="9"/>
      <c r="D273" s="9"/>
      <c r="E273" s="9"/>
      <c r="F273" s="11"/>
      <c r="G273" s="9"/>
      <c r="H273" s="25"/>
      <c r="I273" s="277" t="str">
        <f ca="1">IF(ListeInventaire3811[[#This Row],[Statut de la réalisation de l''action]]="Effectué","À jour",IF(ListeInventaire3811[[#This Row],[échéance de réalisation]]&lt;TODAY(),"En retard","À jour"))</f>
        <v>En retard</v>
      </c>
      <c r="J273" s="109"/>
      <c r="K273" s="10"/>
      <c r="L273" s="10"/>
      <c r="M273" s="31"/>
      <c r="N273" s="32"/>
      <c r="O273" s="31"/>
      <c r="P273" s="10"/>
      <c r="Q273" s="31"/>
      <c r="R273" s="31"/>
      <c r="S273" s="31"/>
      <c r="T273" s="31"/>
      <c r="U273" s="31"/>
      <c r="V273" s="31"/>
      <c r="W273" s="31"/>
      <c r="X273" s="31"/>
      <c r="Y273" s="31"/>
      <c r="Z273" s="31"/>
      <c r="AA273" s="31"/>
      <c r="AB273" s="31"/>
      <c r="AC273" s="31"/>
    </row>
    <row r="274" spans="1:29" ht="30" customHeight="1" x14ac:dyDescent="0.25">
      <c r="A274" s="7"/>
      <c r="B274" s="9"/>
      <c r="C274" s="9"/>
      <c r="D274" s="9"/>
      <c r="E274" s="9"/>
      <c r="F274" s="11"/>
      <c r="G274" s="9"/>
      <c r="H274" s="25"/>
      <c r="I274" s="277" t="str">
        <f ca="1">IF(ListeInventaire3811[[#This Row],[Statut de la réalisation de l''action]]="Effectué","À jour",IF(ListeInventaire3811[[#This Row],[échéance de réalisation]]&lt;TODAY(),"En retard","À jour"))</f>
        <v>En retard</v>
      </c>
      <c r="J274" s="109"/>
      <c r="K274" s="10"/>
      <c r="L274" s="10"/>
      <c r="M274" s="31"/>
      <c r="N274" s="32"/>
      <c r="O274" s="31"/>
      <c r="P274" s="10"/>
      <c r="Q274" s="31"/>
      <c r="R274" s="31"/>
      <c r="S274" s="31"/>
      <c r="T274" s="31"/>
      <c r="U274" s="31"/>
      <c r="V274" s="31"/>
      <c r="W274" s="31"/>
      <c r="X274" s="31"/>
      <c r="Y274" s="31"/>
      <c r="Z274" s="31"/>
      <c r="AA274" s="31"/>
      <c r="AB274" s="31"/>
      <c r="AC274" s="31"/>
    </row>
    <row r="275" spans="1:29" ht="30" customHeight="1" x14ac:dyDescent="0.25">
      <c r="A275" s="7"/>
      <c r="B275" s="9"/>
      <c r="C275" s="9"/>
      <c r="D275" s="9"/>
      <c r="E275" s="9"/>
      <c r="F275" s="11"/>
      <c r="G275" s="9"/>
      <c r="H275" s="25"/>
      <c r="I275" s="277" t="str">
        <f ca="1">IF(ListeInventaire3811[[#This Row],[Statut de la réalisation de l''action]]="Effectué","À jour",IF(ListeInventaire3811[[#This Row],[échéance de réalisation]]&lt;TODAY(),"En retard","À jour"))</f>
        <v>En retard</v>
      </c>
      <c r="J275" s="109"/>
      <c r="K275" s="10"/>
      <c r="L275" s="10"/>
      <c r="M275" s="31"/>
      <c r="N275" s="32"/>
      <c r="O275" s="31"/>
      <c r="P275" s="10"/>
      <c r="Q275" s="31"/>
      <c r="R275" s="31"/>
      <c r="S275" s="31"/>
      <c r="T275" s="31"/>
      <c r="U275" s="31"/>
      <c r="V275" s="31"/>
      <c r="W275" s="31"/>
      <c r="X275" s="31"/>
      <c r="Y275" s="31"/>
      <c r="Z275" s="31"/>
      <c r="AA275" s="31"/>
      <c r="AB275" s="31"/>
      <c r="AC275" s="31"/>
    </row>
    <row r="276" spans="1:29" ht="30" customHeight="1" x14ac:dyDescent="0.25">
      <c r="A276" s="7"/>
      <c r="B276" s="9"/>
      <c r="C276" s="9"/>
      <c r="D276" s="9"/>
      <c r="E276" s="9"/>
      <c r="F276" s="11"/>
      <c r="G276" s="9"/>
      <c r="H276" s="25"/>
      <c r="I276" s="277" t="str">
        <f ca="1">IF(ListeInventaire3811[[#This Row],[Statut de la réalisation de l''action]]="Effectué","À jour",IF(ListeInventaire3811[[#This Row],[échéance de réalisation]]&lt;TODAY(),"En retard","À jour"))</f>
        <v>En retard</v>
      </c>
      <c r="J276" s="109"/>
      <c r="K276" s="10"/>
      <c r="L276" s="10"/>
      <c r="M276" s="31"/>
      <c r="N276" s="32"/>
      <c r="O276" s="31"/>
      <c r="P276" s="10"/>
      <c r="Q276" s="31"/>
      <c r="R276" s="31"/>
      <c r="S276" s="31"/>
      <c r="T276" s="31"/>
      <c r="U276" s="31"/>
      <c r="V276" s="31"/>
      <c r="W276" s="31"/>
      <c r="X276" s="31"/>
      <c r="Y276" s="31"/>
      <c r="Z276" s="31"/>
      <c r="AA276" s="31"/>
      <c r="AB276" s="31"/>
      <c r="AC276" s="31"/>
    </row>
    <row r="277" spans="1:29" ht="30" customHeight="1" x14ac:dyDescent="0.25">
      <c r="A277" s="7"/>
      <c r="B277" s="9"/>
      <c r="C277" s="9"/>
      <c r="D277" s="9"/>
      <c r="E277" s="9"/>
      <c r="F277" s="11"/>
      <c r="G277" s="9"/>
      <c r="H277" s="25"/>
      <c r="I277" s="277" t="str">
        <f ca="1">IF(ListeInventaire3811[[#This Row],[Statut de la réalisation de l''action]]="Effectué","À jour",IF(ListeInventaire3811[[#This Row],[échéance de réalisation]]&lt;TODAY(),"En retard","À jour"))</f>
        <v>En retard</v>
      </c>
      <c r="J277" s="109"/>
      <c r="K277" s="10"/>
      <c r="L277" s="10"/>
      <c r="M277" s="31"/>
      <c r="N277" s="32"/>
      <c r="O277" s="31"/>
      <c r="P277" s="10"/>
      <c r="Q277" s="31"/>
      <c r="R277" s="31"/>
      <c r="S277" s="31"/>
      <c r="T277" s="31"/>
      <c r="U277" s="31"/>
      <c r="V277" s="31"/>
      <c r="W277" s="31"/>
      <c r="X277" s="31"/>
      <c r="Y277" s="31"/>
      <c r="Z277" s="31"/>
      <c r="AA277" s="31"/>
      <c r="AB277" s="31"/>
      <c r="AC277" s="31"/>
    </row>
    <row r="278" spans="1:29" ht="30" customHeight="1" x14ac:dyDescent="0.25">
      <c r="A278" s="7"/>
      <c r="B278" s="9"/>
      <c r="C278" s="9"/>
      <c r="D278" s="9"/>
      <c r="E278" s="9"/>
      <c r="F278" s="11"/>
      <c r="G278" s="9"/>
      <c r="H278" s="25"/>
      <c r="I278" s="277" t="str">
        <f ca="1">IF(ListeInventaire3811[[#This Row],[Statut de la réalisation de l''action]]="Effectué","À jour",IF(ListeInventaire3811[[#This Row],[échéance de réalisation]]&lt;TODAY(),"En retard","À jour"))</f>
        <v>En retard</v>
      </c>
      <c r="J278" s="109"/>
      <c r="K278" s="10"/>
      <c r="L278" s="10"/>
      <c r="M278" s="31"/>
      <c r="N278" s="32"/>
      <c r="O278" s="31"/>
      <c r="P278" s="10"/>
      <c r="Q278" s="31"/>
      <c r="R278" s="31"/>
      <c r="S278" s="31"/>
      <c r="T278" s="31"/>
      <c r="U278" s="31"/>
      <c r="V278" s="31"/>
      <c r="W278" s="31"/>
      <c r="X278" s="31"/>
      <c r="Y278" s="31"/>
      <c r="Z278" s="31"/>
      <c r="AA278" s="31"/>
      <c r="AB278" s="31"/>
      <c r="AC278" s="31"/>
    </row>
    <row r="279" spans="1:29" ht="30" customHeight="1" x14ac:dyDescent="0.25">
      <c r="A279" s="7"/>
      <c r="B279" s="9"/>
      <c r="C279" s="9"/>
      <c r="D279" s="9"/>
      <c r="E279" s="9"/>
      <c r="F279" s="11"/>
      <c r="G279" s="9"/>
      <c r="H279" s="25"/>
      <c r="I279" s="277" t="str">
        <f ca="1">IF(ListeInventaire3811[[#This Row],[Statut de la réalisation de l''action]]="Effectué","À jour",IF(ListeInventaire3811[[#This Row],[échéance de réalisation]]&lt;TODAY(),"En retard","À jour"))</f>
        <v>En retard</v>
      </c>
      <c r="J279" s="109"/>
      <c r="K279" s="10"/>
      <c r="L279" s="10"/>
      <c r="M279" s="31"/>
      <c r="N279" s="32"/>
      <c r="O279" s="31"/>
      <c r="P279" s="10"/>
      <c r="Q279" s="31"/>
      <c r="R279" s="31"/>
      <c r="S279" s="31"/>
      <c r="T279" s="31"/>
      <c r="U279" s="31"/>
      <c r="V279" s="31"/>
      <c r="W279" s="31"/>
      <c r="X279" s="31"/>
      <c r="Y279" s="31"/>
      <c r="Z279" s="31"/>
      <c r="AA279" s="31"/>
      <c r="AB279" s="31"/>
      <c r="AC279" s="31"/>
    </row>
    <row r="280" spans="1:29" ht="30" customHeight="1" x14ac:dyDescent="0.25">
      <c r="A280" s="7"/>
      <c r="B280" s="9"/>
      <c r="C280" s="9"/>
      <c r="D280" s="9"/>
      <c r="E280" s="9"/>
      <c r="F280" s="11"/>
      <c r="G280" s="9"/>
      <c r="H280" s="25"/>
      <c r="I280" s="277" t="str">
        <f ca="1">IF(ListeInventaire3811[[#This Row],[Statut de la réalisation de l''action]]="Effectué","À jour",IF(ListeInventaire3811[[#This Row],[échéance de réalisation]]&lt;TODAY(),"En retard","À jour"))</f>
        <v>En retard</v>
      </c>
      <c r="J280" s="109"/>
      <c r="K280" s="10"/>
      <c r="L280" s="10"/>
      <c r="M280" s="31"/>
      <c r="N280" s="32"/>
      <c r="O280" s="31"/>
      <c r="P280" s="10"/>
      <c r="Q280" s="31"/>
      <c r="R280" s="31"/>
      <c r="S280" s="31"/>
      <c r="T280" s="31"/>
      <c r="U280" s="31"/>
      <c r="V280" s="31"/>
      <c r="W280" s="31"/>
      <c r="X280" s="31"/>
      <c r="Y280" s="31"/>
      <c r="Z280" s="31"/>
      <c r="AA280" s="31"/>
      <c r="AB280" s="31"/>
      <c r="AC280" s="31"/>
    </row>
    <row r="281" spans="1:29" ht="30" customHeight="1" x14ac:dyDescent="0.25">
      <c r="A281" s="7"/>
      <c r="B281" s="9"/>
      <c r="C281" s="9"/>
      <c r="D281" s="9"/>
      <c r="E281" s="9"/>
      <c r="F281" s="11"/>
      <c r="G281" s="9"/>
      <c r="H281" s="25"/>
      <c r="I281" s="277" t="str">
        <f ca="1">IF(ListeInventaire3811[[#This Row],[Statut de la réalisation de l''action]]="Effectué","À jour",IF(ListeInventaire3811[[#This Row],[échéance de réalisation]]&lt;TODAY(),"En retard","À jour"))</f>
        <v>En retard</v>
      </c>
      <c r="J281" s="109"/>
      <c r="K281" s="10"/>
      <c r="L281" s="10"/>
      <c r="M281" s="31"/>
      <c r="N281" s="32"/>
      <c r="O281" s="31"/>
      <c r="P281" s="10"/>
      <c r="Q281" s="31"/>
      <c r="R281" s="31"/>
      <c r="S281" s="31"/>
      <c r="T281" s="31"/>
      <c r="U281" s="31"/>
      <c r="V281" s="31"/>
      <c r="W281" s="31"/>
      <c r="X281" s="31"/>
      <c r="Y281" s="31"/>
      <c r="Z281" s="31"/>
      <c r="AA281" s="31"/>
      <c r="AB281" s="31"/>
      <c r="AC281" s="31"/>
    </row>
    <row r="282" spans="1:29" ht="30" customHeight="1" x14ac:dyDescent="0.25">
      <c r="A282" s="7"/>
      <c r="B282" s="9"/>
      <c r="C282" s="9"/>
      <c r="D282" s="9"/>
      <c r="E282" s="9"/>
      <c r="F282" s="11"/>
      <c r="G282" s="9"/>
      <c r="H282" s="25"/>
      <c r="I282" s="277" t="str">
        <f ca="1">IF(ListeInventaire3811[[#This Row],[Statut de la réalisation de l''action]]="Effectué","À jour",IF(ListeInventaire3811[[#This Row],[échéance de réalisation]]&lt;TODAY(),"En retard","À jour"))</f>
        <v>En retard</v>
      </c>
      <c r="J282" s="109"/>
      <c r="K282" s="10"/>
      <c r="L282" s="10"/>
      <c r="M282" s="31"/>
      <c r="N282" s="32"/>
      <c r="O282" s="31"/>
      <c r="P282" s="10"/>
      <c r="Q282" s="31"/>
      <c r="R282" s="31"/>
      <c r="S282" s="31"/>
      <c r="T282" s="31"/>
      <c r="U282" s="31"/>
      <c r="V282" s="31"/>
      <c r="W282" s="31"/>
      <c r="X282" s="31"/>
      <c r="Y282" s="31"/>
      <c r="Z282" s="31"/>
      <c r="AA282" s="31"/>
      <c r="AB282" s="31"/>
      <c r="AC282" s="31"/>
    </row>
    <row r="283" spans="1:29" ht="30" customHeight="1" x14ac:dyDescent="0.25">
      <c r="A283" s="7"/>
      <c r="B283" s="9"/>
      <c r="C283" s="9"/>
      <c r="D283" s="9"/>
      <c r="E283" s="9"/>
      <c r="F283" s="11"/>
      <c r="G283" s="9"/>
      <c r="H283" s="25"/>
      <c r="I283" s="277" t="str">
        <f ca="1">IF(ListeInventaire3811[[#This Row],[Statut de la réalisation de l''action]]="Effectué","À jour",IF(ListeInventaire3811[[#This Row],[échéance de réalisation]]&lt;TODAY(),"En retard","À jour"))</f>
        <v>En retard</v>
      </c>
      <c r="J283" s="109"/>
      <c r="K283" s="10"/>
      <c r="L283" s="10"/>
      <c r="M283" s="31"/>
      <c r="N283" s="32"/>
      <c r="O283" s="31"/>
      <c r="P283" s="10"/>
      <c r="Q283" s="31"/>
      <c r="R283" s="31"/>
      <c r="S283" s="31"/>
      <c r="T283" s="31"/>
      <c r="U283" s="31"/>
      <c r="V283" s="31"/>
      <c r="W283" s="31"/>
      <c r="X283" s="31"/>
      <c r="Y283" s="31"/>
      <c r="Z283" s="31"/>
      <c r="AA283" s="31"/>
      <c r="AB283" s="31"/>
      <c r="AC283" s="31"/>
    </row>
    <row r="284" spans="1:29" ht="30" customHeight="1" x14ac:dyDescent="0.25">
      <c r="A284" s="7"/>
      <c r="B284" s="9"/>
      <c r="C284" s="9"/>
      <c r="D284" s="9"/>
      <c r="E284" s="9"/>
      <c r="F284" s="11"/>
      <c r="G284" s="9"/>
      <c r="H284" s="25"/>
      <c r="I284" s="277" t="str">
        <f ca="1">IF(ListeInventaire3811[[#This Row],[Statut de la réalisation de l''action]]="Effectué","À jour",IF(ListeInventaire3811[[#This Row],[échéance de réalisation]]&lt;TODAY(),"En retard","À jour"))</f>
        <v>En retard</v>
      </c>
      <c r="J284" s="109"/>
      <c r="K284" s="10"/>
      <c r="L284" s="10"/>
      <c r="M284" s="31"/>
      <c r="N284" s="32"/>
      <c r="O284" s="31"/>
      <c r="P284" s="10"/>
      <c r="Q284" s="31"/>
      <c r="R284" s="31"/>
      <c r="S284" s="31"/>
      <c r="T284" s="31"/>
      <c r="U284" s="31"/>
      <c r="V284" s="31"/>
      <c r="W284" s="31"/>
      <c r="X284" s="31"/>
      <c r="Y284" s="31"/>
      <c r="Z284" s="31"/>
      <c r="AA284" s="31"/>
      <c r="AB284" s="31"/>
      <c r="AC284" s="31"/>
    </row>
    <row r="285" spans="1:29" ht="30" customHeight="1" x14ac:dyDescent="0.25">
      <c r="A285" s="7"/>
      <c r="B285" s="9"/>
      <c r="C285" s="9"/>
      <c r="D285" s="9"/>
      <c r="E285" s="9"/>
      <c r="F285" s="11"/>
      <c r="G285" s="9"/>
      <c r="H285" s="25"/>
      <c r="I285" s="277" t="str">
        <f ca="1">IF(ListeInventaire3811[[#This Row],[Statut de la réalisation de l''action]]="Effectué","À jour",IF(ListeInventaire3811[[#This Row],[échéance de réalisation]]&lt;TODAY(),"En retard","À jour"))</f>
        <v>En retard</v>
      </c>
      <c r="J285" s="109"/>
      <c r="K285" s="10"/>
      <c r="L285" s="10"/>
      <c r="M285" s="31"/>
      <c r="N285" s="32"/>
      <c r="O285" s="31"/>
      <c r="P285" s="10"/>
      <c r="Q285" s="31"/>
      <c r="R285" s="31"/>
      <c r="S285" s="31"/>
      <c r="T285" s="31"/>
      <c r="U285" s="31"/>
      <c r="V285" s="31"/>
      <c r="W285" s="31"/>
      <c r="X285" s="31"/>
      <c r="Y285" s="31"/>
      <c r="Z285" s="31"/>
      <c r="AA285" s="31"/>
      <c r="AB285" s="31"/>
      <c r="AC285" s="31"/>
    </row>
    <row r="286" spans="1:29" ht="30" customHeight="1" x14ac:dyDescent="0.25">
      <c r="A286" s="7"/>
      <c r="B286" s="9"/>
      <c r="C286" s="9"/>
      <c r="D286" s="9"/>
      <c r="E286" s="9"/>
      <c r="F286" s="11"/>
      <c r="G286" s="9"/>
      <c r="H286" s="25"/>
      <c r="I286" s="277" t="str">
        <f ca="1">IF(ListeInventaire3811[[#This Row],[Statut de la réalisation de l''action]]="Effectué","À jour",IF(ListeInventaire3811[[#This Row],[échéance de réalisation]]&lt;TODAY(),"En retard","À jour"))</f>
        <v>En retard</v>
      </c>
      <c r="J286" s="109"/>
      <c r="K286" s="10"/>
      <c r="L286" s="10"/>
      <c r="M286" s="31"/>
      <c r="N286" s="32"/>
      <c r="O286" s="31"/>
      <c r="P286" s="10"/>
      <c r="Q286" s="31"/>
      <c r="R286" s="31"/>
      <c r="S286" s="31"/>
      <c r="T286" s="31"/>
      <c r="U286" s="31"/>
      <c r="V286" s="31"/>
      <c r="W286" s="31"/>
      <c r="X286" s="31"/>
      <c r="Y286" s="31"/>
      <c r="Z286" s="31"/>
      <c r="AA286" s="31"/>
      <c r="AB286" s="31"/>
      <c r="AC286" s="31"/>
    </row>
    <row r="287" spans="1:29" ht="30" customHeight="1" x14ac:dyDescent="0.25">
      <c r="A287" s="7"/>
      <c r="B287" s="9"/>
      <c r="C287" s="9"/>
      <c r="D287" s="9"/>
      <c r="E287" s="9"/>
      <c r="F287" s="11"/>
      <c r="G287" s="9"/>
      <c r="H287" s="25"/>
      <c r="I287" s="277" t="str">
        <f ca="1">IF(ListeInventaire3811[[#This Row],[Statut de la réalisation de l''action]]="Effectué","À jour",IF(ListeInventaire3811[[#This Row],[échéance de réalisation]]&lt;TODAY(),"En retard","À jour"))</f>
        <v>En retard</v>
      </c>
      <c r="J287" s="109"/>
      <c r="K287" s="10"/>
      <c r="L287" s="10"/>
      <c r="M287" s="31"/>
      <c r="N287" s="32"/>
      <c r="O287" s="31"/>
      <c r="P287" s="10"/>
      <c r="Q287" s="31"/>
      <c r="R287" s="31"/>
      <c r="S287" s="31"/>
      <c r="T287" s="31"/>
      <c r="U287" s="31"/>
      <c r="V287" s="31"/>
      <c r="W287" s="31"/>
      <c r="X287" s="31"/>
      <c r="Y287" s="31"/>
      <c r="Z287" s="31"/>
      <c r="AA287" s="31"/>
      <c r="AB287" s="31"/>
      <c r="AC287" s="31"/>
    </row>
    <row r="288" spans="1:29" ht="30" customHeight="1" x14ac:dyDescent="0.25">
      <c r="A288" s="7"/>
      <c r="B288" s="9"/>
      <c r="C288" s="9"/>
      <c r="D288" s="9"/>
      <c r="E288" s="9"/>
      <c r="F288" s="11"/>
      <c r="G288" s="9"/>
      <c r="H288" s="25"/>
      <c r="I288" s="277" t="str">
        <f ca="1">IF(ListeInventaire3811[[#This Row],[Statut de la réalisation de l''action]]="Effectué","À jour",IF(ListeInventaire3811[[#This Row],[échéance de réalisation]]&lt;TODAY(),"En retard","À jour"))</f>
        <v>En retard</v>
      </c>
      <c r="J288" s="109"/>
      <c r="K288" s="10"/>
      <c r="L288" s="10"/>
      <c r="M288" s="31"/>
      <c r="N288" s="32"/>
      <c r="O288" s="31"/>
      <c r="P288" s="10"/>
      <c r="Q288" s="31"/>
      <c r="R288" s="31"/>
      <c r="S288" s="31"/>
      <c r="T288" s="31"/>
      <c r="U288" s="31"/>
      <c r="V288" s="31"/>
      <c r="W288" s="31"/>
      <c r="X288" s="31"/>
      <c r="Y288" s="31"/>
      <c r="Z288" s="31"/>
      <c r="AA288" s="31"/>
      <c r="AB288" s="31"/>
      <c r="AC288" s="31"/>
    </row>
    <row r="289" spans="1:29" ht="30" customHeight="1" x14ac:dyDescent="0.25">
      <c r="A289" s="7"/>
      <c r="B289" s="9"/>
      <c r="C289" s="9"/>
      <c r="D289" s="9"/>
      <c r="E289" s="9"/>
      <c r="F289" s="11"/>
      <c r="G289" s="9"/>
      <c r="H289" s="25"/>
      <c r="I289" s="277" t="str">
        <f ca="1">IF(ListeInventaire3811[[#This Row],[Statut de la réalisation de l''action]]="Effectué","À jour",IF(ListeInventaire3811[[#This Row],[échéance de réalisation]]&lt;TODAY(),"En retard","À jour"))</f>
        <v>En retard</v>
      </c>
      <c r="J289" s="109"/>
      <c r="K289" s="10"/>
      <c r="L289" s="10"/>
      <c r="M289" s="31"/>
      <c r="N289" s="32"/>
      <c r="O289" s="31"/>
      <c r="P289" s="10"/>
      <c r="Q289" s="31"/>
      <c r="R289" s="31"/>
      <c r="S289" s="31"/>
      <c r="T289" s="31"/>
      <c r="U289" s="31"/>
      <c r="V289" s="31"/>
      <c r="W289" s="31"/>
      <c r="X289" s="31"/>
      <c r="Y289" s="31"/>
      <c r="Z289" s="31"/>
      <c r="AA289" s="31"/>
      <c r="AB289" s="31"/>
      <c r="AC289" s="31"/>
    </row>
    <row r="290" spans="1:29" ht="30" customHeight="1" x14ac:dyDescent="0.25">
      <c r="A290" s="7"/>
      <c r="B290" s="9"/>
      <c r="C290" s="9"/>
      <c r="D290" s="9"/>
      <c r="E290" s="9"/>
      <c r="F290" s="11"/>
      <c r="G290" s="9"/>
      <c r="H290" s="25"/>
      <c r="I290" s="277" t="str">
        <f ca="1">IF(ListeInventaire3811[[#This Row],[Statut de la réalisation de l''action]]="Effectué","À jour",IF(ListeInventaire3811[[#This Row],[échéance de réalisation]]&lt;TODAY(),"En retard","À jour"))</f>
        <v>En retard</v>
      </c>
      <c r="J290" s="109"/>
      <c r="K290" s="10"/>
      <c r="L290" s="10"/>
      <c r="M290" s="31"/>
      <c r="N290" s="32"/>
      <c r="O290" s="31"/>
      <c r="P290" s="10"/>
      <c r="Q290" s="31"/>
      <c r="R290" s="31"/>
      <c r="S290" s="31"/>
      <c r="T290" s="31"/>
      <c r="U290" s="31"/>
      <c r="V290" s="31"/>
      <c r="W290" s="31"/>
      <c r="X290" s="31"/>
      <c r="Y290" s="31"/>
      <c r="Z290" s="31"/>
      <c r="AA290" s="31"/>
      <c r="AB290" s="31"/>
      <c r="AC290" s="31"/>
    </row>
    <row r="291" spans="1:29" ht="30" customHeight="1" x14ac:dyDescent="0.25">
      <c r="A291" s="7"/>
      <c r="B291" s="9"/>
      <c r="C291" s="9"/>
      <c r="D291" s="9"/>
      <c r="E291" s="9"/>
      <c r="F291" s="11"/>
      <c r="G291" s="9"/>
      <c r="H291" s="25"/>
      <c r="I291" s="277" t="str">
        <f ca="1">IF(ListeInventaire3811[[#This Row],[Statut de la réalisation de l''action]]="Effectué","À jour",IF(ListeInventaire3811[[#This Row],[échéance de réalisation]]&lt;TODAY(),"En retard","À jour"))</f>
        <v>En retard</v>
      </c>
      <c r="J291" s="109"/>
      <c r="K291" s="10"/>
      <c r="L291" s="10"/>
      <c r="M291" s="31"/>
      <c r="N291" s="32"/>
      <c r="O291" s="31"/>
      <c r="P291" s="10"/>
      <c r="Q291" s="31"/>
      <c r="R291" s="31"/>
      <c r="S291" s="31"/>
      <c r="T291" s="31"/>
      <c r="U291" s="31"/>
      <c r="V291" s="31"/>
      <c r="W291" s="31"/>
      <c r="X291" s="31"/>
      <c r="Y291" s="31"/>
      <c r="Z291" s="31"/>
      <c r="AA291" s="31"/>
      <c r="AB291" s="31"/>
      <c r="AC291" s="31"/>
    </row>
    <row r="292" spans="1:29" ht="30" customHeight="1" x14ac:dyDescent="0.25">
      <c r="A292" s="7"/>
      <c r="B292" s="9"/>
      <c r="C292" s="9"/>
      <c r="D292" s="9"/>
      <c r="E292" s="9"/>
      <c r="F292" s="11"/>
      <c r="G292" s="9"/>
      <c r="H292" s="25"/>
      <c r="I292" s="277" t="str">
        <f ca="1">IF(ListeInventaire3811[[#This Row],[Statut de la réalisation de l''action]]="Effectué","À jour",IF(ListeInventaire3811[[#This Row],[échéance de réalisation]]&lt;TODAY(),"En retard","À jour"))</f>
        <v>En retard</v>
      </c>
      <c r="J292" s="109"/>
      <c r="K292" s="10"/>
      <c r="L292" s="10"/>
      <c r="M292" s="31"/>
      <c r="N292" s="32"/>
      <c r="O292" s="31"/>
      <c r="P292" s="10"/>
      <c r="Q292" s="31"/>
      <c r="R292" s="31"/>
      <c r="S292" s="31"/>
      <c r="T292" s="31"/>
      <c r="U292" s="31"/>
      <c r="V292" s="31"/>
      <c r="W292" s="31"/>
      <c r="X292" s="31"/>
      <c r="Y292" s="31"/>
      <c r="Z292" s="31"/>
      <c r="AA292" s="31"/>
      <c r="AB292" s="31"/>
      <c r="AC292" s="31"/>
    </row>
    <row r="293" spans="1:29" ht="30" customHeight="1" x14ac:dyDescent="0.25">
      <c r="A293" s="7"/>
      <c r="B293" s="9"/>
      <c r="C293" s="9"/>
      <c r="D293" s="9"/>
      <c r="E293" s="9"/>
      <c r="F293" s="11"/>
      <c r="G293" s="9"/>
      <c r="H293" s="25"/>
      <c r="I293" s="277" t="str">
        <f ca="1">IF(ListeInventaire3811[[#This Row],[Statut de la réalisation de l''action]]="Effectué","À jour",IF(ListeInventaire3811[[#This Row],[échéance de réalisation]]&lt;TODAY(),"En retard","À jour"))</f>
        <v>En retard</v>
      </c>
      <c r="J293" s="109"/>
      <c r="K293" s="10"/>
      <c r="L293" s="10"/>
      <c r="M293" s="31"/>
      <c r="N293" s="32"/>
      <c r="O293" s="31"/>
      <c r="P293" s="10"/>
      <c r="Q293" s="31"/>
      <c r="R293" s="31"/>
      <c r="S293" s="31"/>
      <c r="T293" s="31"/>
      <c r="U293" s="31"/>
      <c r="V293" s="31"/>
      <c r="W293" s="31"/>
      <c r="X293" s="31"/>
      <c r="Y293" s="31"/>
      <c r="Z293" s="31"/>
      <c r="AA293" s="31"/>
      <c r="AB293" s="31"/>
      <c r="AC293" s="31"/>
    </row>
    <row r="294" spans="1:29" ht="30" customHeight="1" x14ac:dyDescent="0.25">
      <c r="A294" s="7"/>
      <c r="B294" s="9"/>
      <c r="C294" s="9"/>
      <c r="D294" s="9"/>
      <c r="E294" s="9"/>
      <c r="F294" s="11"/>
      <c r="G294" s="9"/>
      <c r="H294" s="25"/>
      <c r="I294" s="277" t="str">
        <f ca="1">IF(ListeInventaire3811[[#This Row],[Statut de la réalisation de l''action]]="Effectué","À jour",IF(ListeInventaire3811[[#This Row],[échéance de réalisation]]&lt;TODAY(),"En retard","À jour"))</f>
        <v>En retard</v>
      </c>
      <c r="J294" s="109"/>
      <c r="K294" s="10"/>
      <c r="L294" s="10"/>
      <c r="M294" s="31"/>
      <c r="N294" s="32"/>
      <c r="O294" s="31"/>
      <c r="P294" s="10"/>
      <c r="Q294" s="31"/>
      <c r="R294" s="31"/>
      <c r="S294" s="31"/>
      <c r="T294" s="31"/>
      <c r="U294" s="31"/>
      <c r="V294" s="31"/>
      <c r="W294" s="31"/>
      <c r="X294" s="31"/>
      <c r="Y294" s="31"/>
      <c r="Z294" s="31"/>
      <c r="AA294" s="31"/>
      <c r="AB294" s="31"/>
      <c r="AC294" s="31"/>
    </row>
    <row r="295" spans="1:29" ht="30" customHeight="1" x14ac:dyDescent="0.25">
      <c r="A295" s="36"/>
      <c r="B295" s="12"/>
      <c r="C295" s="12"/>
      <c r="D295" s="12"/>
      <c r="E295" s="12"/>
      <c r="F295" s="13"/>
      <c r="G295" s="12"/>
      <c r="H295" s="27"/>
      <c r="I295" s="277" t="str">
        <f ca="1">IF(ListeInventaire3811[[#This Row],[Statut de la réalisation de l''action]]="Effectué","À jour",IF(ListeInventaire3811[[#This Row],[échéance de réalisation]]&lt;TODAY(),"En retard","À jour"))</f>
        <v>En retard</v>
      </c>
      <c r="J295" s="109"/>
      <c r="K295" s="10"/>
      <c r="L295" s="10"/>
      <c r="M295" s="31"/>
      <c r="N295" s="32"/>
      <c r="O295" s="31"/>
      <c r="P295" s="10"/>
      <c r="Q295" s="31"/>
      <c r="R295" s="31"/>
      <c r="S295" s="31"/>
      <c r="T295" s="31"/>
      <c r="U295" s="31"/>
      <c r="V295" s="31"/>
      <c r="W295" s="31"/>
      <c r="X295" s="31"/>
      <c r="Y295" s="31"/>
      <c r="Z295" s="31"/>
      <c r="AA295" s="31"/>
      <c r="AB295" s="31"/>
      <c r="AC295" s="31"/>
    </row>
    <row r="296" spans="1:29" ht="30" customHeight="1" x14ac:dyDescent="0.25">
      <c r="A296" s="36"/>
      <c r="B296" s="12"/>
      <c r="C296" s="12"/>
      <c r="D296" s="12"/>
      <c r="E296" s="12"/>
      <c r="F296" s="13"/>
      <c r="G296" s="12"/>
      <c r="H296" s="27"/>
      <c r="I296" s="277" t="str">
        <f ca="1">IF(ListeInventaire3811[[#This Row],[Statut de la réalisation de l''action]]="Effectué","À jour",IF(ListeInventaire3811[[#This Row],[échéance de réalisation]]&lt;TODAY(),"En retard","À jour"))</f>
        <v>En retard</v>
      </c>
      <c r="J296" s="109"/>
      <c r="K296" s="10"/>
      <c r="L296" s="10"/>
      <c r="M296" s="31"/>
      <c r="N296" s="32"/>
      <c r="O296" s="31"/>
      <c r="P296" s="10"/>
      <c r="Q296" s="31"/>
      <c r="R296" s="31"/>
      <c r="S296" s="31"/>
      <c r="T296" s="31"/>
      <c r="U296" s="31"/>
      <c r="V296" s="31"/>
      <c r="W296" s="31"/>
      <c r="X296" s="31"/>
      <c r="Y296" s="31"/>
      <c r="Z296" s="31"/>
      <c r="AA296" s="31"/>
      <c r="AB296" s="31"/>
      <c r="AC296" s="31"/>
    </row>
    <row r="297" spans="1:29" ht="30" customHeight="1" x14ac:dyDescent="0.25">
      <c r="A297" s="36"/>
      <c r="B297" s="12"/>
      <c r="C297" s="12"/>
      <c r="D297" s="12"/>
      <c r="E297" s="12"/>
      <c r="F297" s="13"/>
      <c r="G297" s="12"/>
      <c r="H297" s="27"/>
      <c r="I297" s="277" t="str">
        <f ca="1">IF(ListeInventaire3811[[#This Row],[Statut de la réalisation de l''action]]="Effectué","À jour",IF(ListeInventaire3811[[#This Row],[échéance de réalisation]]&lt;TODAY(),"En retard","À jour"))</f>
        <v>En retard</v>
      </c>
      <c r="J297" s="109"/>
      <c r="K297" s="10"/>
      <c r="L297" s="10"/>
      <c r="M297" s="31"/>
      <c r="N297" s="32"/>
      <c r="O297" s="31"/>
      <c r="P297" s="10"/>
      <c r="Q297" s="31"/>
      <c r="R297" s="31"/>
      <c r="S297" s="31"/>
      <c r="T297" s="31"/>
      <c r="U297" s="31"/>
      <c r="V297" s="31"/>
      <c r="W297" s="31"/>
      <c r="X297" s="31"/>
      <c r="Y297" s="31"/>
      <c r="Z297" s="31"/>
      <c r="AA297" s="31"/>
      <c r="AB297" s="31"/>
      <c r="AC297" s="31"/>
    </row>
    <row r="298" spans="1:29" ht="30" customHeight="1" x14ac:dyDescent="0.25">
      <c r="A298" s="36"/>
      <c r="B298" s="12"/>
      <c r="C298" s="12"/>
      <c r="D298" s="12"/>
      <c r="E298" s="12"/>
      <c r="F298" s="13"/>
      <c r="G298" s="12"/>
      <c r="H298" s="27"/>
      <c r="I298" s="277" t="str">
        <f ca="1">IF(ListeInventaire3811[[#This Row],[Statut de la réalisation de l''action]]="Effectué","À jour",IF(ListeInventaire3811[[#This Row],[échéance de réalisation]]&lt;TODAY(),"En retard","À jour"))</f>
        <v>En retard</v>
      </c>
      <c r="J298" s="109"/>
      <c r="K298" s="10"/>
      <c r="L298" s="10"/>
      <c r="M298" s="31"/>
      <c r="N298" s="32"/>
      <c r="O298" s="31"/>
      <c r="P298" s="10"/>
      <c r="Q298" s="31"/>
      <c r="R298" s="31"/>
      <c r="S298" s="31"/>
      <c r="T298" s="31"/>
      <c r="U298" s="31"/>
      <c r="V298" s="31"/>
      <c r="W298" s="31"/>
      <c r="X298" s="31"/>
      <c r="Y298" s="31"/>
      <c r="Z298" s="31"/>
      <c r="AA298" s="31"/>
      <c r="AB298" s="31"/>
      <c r="AC298" s="31"/>
    </row>
    <row r="299" spans="1:29" ht="30" customHeight="1" x14ac:dyDescent="0.25">
      <c r="A299" s="36"/>
      <c r="B299" s="12"/>
      <c r="C299" s="12"/>
      <c r="D299" s="12"/>
      <c r="E299" s="12"/>
      <c r="F299" s="13"/>
      <c r="G299" s="12"/>
      <c r="H299" s="27"/>
      <c r="I299" s="277" t="str">
        <f ca="1">IF(ListeInventaire3811[[#This Row],[Statut de la réalisation de l''action]]="Effectué","À jour",IF(ListeInventaire3811[[#This Row],[échéance de réalisation]]&lt;TODAY(),"En retard","À jour"))</f>
        <v>En retard</v>
      </c>
      <c r="J299" s="109"/>
      <c r="K299" s="10"/>
      <c r="L299" s="10"/>
      <c r="M299" s="31"/>
      <c r="N299" s="32"/>
      <c r="O299" s="31"/>
      <c r="P299" s="10"/>
      <c r="Q299" s="31"/>
      <c r="R299" s="31"/>
      <c r="S299" s="31"/>
      <c r="T299" s="31"/>
      <c r="U299" s="31"/>
      <c r="V299" s="31"/>
      <c r="W299" s="31"/>
      <c r="X299" s="31"/>
      <c r="Y299" s="31"/>
      <c r="Z299" s="31"/>
      <c r="AA299" s="31"/>
      <c r="AB299" s="31"/>
      <c r="AC299" s="31"/>
    </row>
    <row r="300" spans="1:29" ht="30" customHeight="1" x14ac:dyDescent="0.25">
      <c r="A300" s="36"/>
      <c r="B300" s="12"/>
      <c r="C300" s="12"/>
      <c r="D300" s="12"/>
      <c r="E300" s="12"/>
      <c r="F300" s="13"/>
      <c r="G300" s="12"/>
      <c r="H300" s="27"/>
      <c r="I300" s="277" t="str">
        <f ca="1">IF(ListeInventaire3811[[#This Row],[Statut de la réalisation de l''action]]="Effectué","À jour",IF(ListeInventaire3811[[#This Row],[échéance de réalisation]]&lt;TODAY(),"En retard","À jour"))</f>
        <v>En retard</v>
      </c>
      <c r="J300" s="109"/>
      <c r="K300" s="10"/>
      <c r="L300" s="10"/>
      <c r="M300" s="31"/>
      <c r="N300" s="32"/>
      <c r="O300" s="31"/>
      <c r="P300" s="10"/>
      <c r="Q300" s="31"/>
      <c r="R300" s="31"/>
      <c r="S300" s="31"/>
      <c r="T300" s="31"/>
      <c r="U300" s="31"/>
      <c r="V300" s="31"/>
      <c r="W300" s="31"/>
      <c r="X300" s="31"/>
      <c r="Y300" s="31"/>
      <c r="Z300" s="31"/>
      <c r="AA300" s="31"/>
      <c r="AB300" s="31"/>
      <c r="AC300" s="31"/>
    </row>
    <row r="301" spans="1:29" ht="30" customHeight="1" x14ac:dyDescent="0.25">
      <c r="A301" s="36"/>
      <c r="B301" s="12"/>
      <c r="C301" s="12"/>
      <c r="D301" s="12"/>
      <c r="E301" s="12"/>
      <c r="F301" s="13"/>
      <c r="G301" s="12"/>
      <c r="H301" s="27"/>
      <c r="I301" s="277" t="str">
        <f ca="1">IF(ListeInventaire3811[[#This Row],[Statut de la réalisation de l''action]]="Effectué","À jour",IF(ListeInventaire3811[[#This Row],[échéance de réalisation]]&lt;TODAY(),"En retard","À jour"))</f>
        <v>En retard</v>
      </c>
      <c r="J301" s="109"/>
      <c r="K301" s="10"/>
      <c r="L301" s="10"/>
      <c r="M301" s="31"/>
      <c r="N301" s="32"/>
      <c r="O301" s="31"/>
      <c r="P301" s="10"/>
      <c r="Q301" s="31"/>
      <c r="R301" s="31"/>
      <c r="S301" s="31"/>
      <c r="T301" s="31"/>
      <c r="U301" s="31"/>
      <c r="V301" s="31"/>
      <c r="W301" s="31"/>
      <c r="X301" s="31"/>
      <c r="Y301" s="31"/>
      <c r="Z301" s="31"/>
      <c r="AA301" s="31"/>
      <c r="AB301" s="31"/>
      <c r="AC301" s="31"/>
    </row>
    <row r="302" spans="1:29" ht="30" customHeight="1" x14ac:dyDescent="0.25">
      <c r="A302" s="36"/>
      <c r="B302" s="12"/>
      <c r="C302" s="12"/>
      <c r="D302" s="12"/>
      <c r="E302" s="12"/>
      <c r="F302" s="13"/>
      <c r="G302" s="12"/>
      <c r="H302" s="27"/>
      <c r="I302" s="277" t="str">
        <f ca="1">IF(ListeInventaire3811[[#This Row],[Statut de la réalisation de l''action]]="Effectué","À jour",IF(ListeInventaire3811[[#This Row],[échéance de réalisation]]&lt;TODAY(),"En retard","À jour"))</f>
        <v>En retard</v>
      </c>
      <c r="J302" s="109"/>
      <c r="K302" s="10"/>
      <c r="L302" s="10"/>
      <c r="M302" s="31"/>
      <c r="N302" s="32"/>
      <c r="O302" s="31"/>
      <c r="P302" s="10"/>
      <c r="Q302" s="31"/>
      <c r="R302" s="31"/>
      <c r="S302" s="31"/>
      <c r="T302" s="31"/>
      <c r="U302" s="31"/>
      <c r="V302" s="31"/>
      <c r="W302" s="31"/>
      <c r="X302" s="31"/>
      <c r="Y302" s="31"/>
      <c r="Z302" s="31"/>
      <c r="AA302" s="31"/>
      <c r="AB302" s="31"/>
      <c r="AC302" s="31"/>
    </row>
    <row r="303" spans="1:29" ht="30" customHeight="1" x14ac:dyDescent="0.25">
      <c r="A303" s="36"/>
      <c r="B303" s="12"/>
      <c r="C303" s="12"/>
      <c r="D303" s="12"/>
      <c r="E303" s="12"/>
      <c r="F303" s="13"/>
      <c r="G303" s="12"/>
      <c r="H303" s="27"/>
      <c r="I303" s="277" t="str">
        <f ca="1">IF(ListeInventaire3811[[#This Row],[Statut de la réalisation de l''action]]="Effectué","À jour",IF(ListeInventaire3811[[#This Row],[échéance de réalisation]]&lt;TODAY(),"En retard","À jour"))</f>
        <v>En retard</v>
      </c>
      <c r="J303" s="109"/>
      <c r="K303" s="10"/>
      <c r="L303" s="10"/>
      <c r="M303" s="31"/>
      <c r="N303" s="32"/>
      <c r="O303" s="31"/>
      <c r="P303" s="10"/>
      <c r="Q303" s="31"/>
      <c r="R303" s="31"/>
      <c r="S303" s="31"/>
      <c r="T303" s="31"/>
      <c r="U303" s="31"/>
      <c r="V303" s="31"/>
      <c r="W303" s="31"/>
      <c r="X303" s="31"/>
      <c r="Y303" s="31"/>
      <c r="Z303" s="31"/>
      <c r="AA303" s="31"/>
      <c r="AB303" s="31"/>
      <c r="AC303" s="31"/>
    </row>
    <row r="304" spans="1:29" ht="30" customHeight="1" x14ac:dyDescent="0.25">
      <c r="A304" s="36"/>
      <c r="B304" s="12"/>
      <c r="C304" s="12"/>
      <c r="D304" s="12"/>
      <c r="E304" s="12"/>
      <c r="F304" s="13"/>
      <c r="G304" s="12"/>
      <c r="H304" s="27"/>
      <c r="I304" s="277" t="str">
        <f ca="1">IF(ListeInventaire3811[[#This Row],[Statut de la réalisation de l''action]]="Effectué","À jour",IF(ListeInventaire3811[[#This Row],[échéance de réalisation]]&lt;TODAY(),"En retard","À jour"))</f>
        <v>En retard</v>
      </c>
      <c r="J304" s="109"/>
      <c r="K304" s="10"/>
      <c r="L304" s="10"/>
      <c r="M304" s="31"/>
      <c r="N304" s="32"/>
      <c r="O304" s="31"/>
      <c r="P304" s="10"/>
      <c r="Q304" s="31"/>
      <c r="R304" s="31"/>
      <c r="S304" s="31"/>
      <c r="T304" s="31"/>
      <c r="U304" s="31"/>
      <c r="V304" s="31"/>
      <c r="W304" s="31"/>
      <c r="X304" s="31"/>
      <c r="Y304" s="31"/>
      <c r="Z304" s="31"/>
      <c r="AA304" s="31"/>
      <c r="AB304" s="31"/>
      <c r="AC304" s="31"/>
    </row>
    <row r="305" spans="1:29" ht="30" customHeight="1" x14ac:dyDescent="0.25">
      <c r="A305" s="36"/>
      <c r="B305" s="12"/>
      <c r="C305" s="12"/>
      <c r="D305" s="12"/>
      <c r="E305" s="12"/>
      <c r="F305" s="13"/>
      <c r="G305" s="12"/>
      <c r="H305" s="27"/>
      <c r="I305" s="277" t="str">
        <f ca="1">IF(ListeInventaire3811[[#This Row],[Statut de la réalisation de l''action]]="Effectué","À jour",IF(ListeInventaire3811[[#This Row],[échéance de réalisation]]&lt;TODAY(),"En retard","À jour"))</f>
        <v>En retard</v>
      </c>
      <c r="J305" s="109"/>
      <c r="K305" s="10"/>
      <c r="L305" s="10"/>
      <c r="M305" s="31"/>
      <c r="N305" s="32"/>
      <c r="O305" s="31"/>
      <c r="P305" s="10"/>
      <c r="Q305" s="31"/>
      <c r="R305" s="31"/>
      <c r="S305" s="31"/>
      <c r="T305" s="31"/>
      <c r="U305" s="31"/>
      <c r="V305" s="31"/>
      <c r="W305" s="31"/>
      <c r="X305" s="31"/>
      <c r="Y305" s="31"/>
      <c r="Z305" s="31"/>
      <c r="AA305" s="31"/>
      <c r="AB305" s="31"/>
      <c r="AC305" s="31"/>
    </row>
    <row r="306" spans="1:29" ht="30" customHeight="1" x14ac:dyDescent="0.25">
      <c r="A306" s="36"/>
      <c r="B306" s="12"/>
      <c r="C306" s="12"/>
      <c r="D306" s="12"/>
      <c r="E306" s="12"/>
      <c r="F306" s="13"/>
      <c r="G306" s="12"/>
      <c r="H306" s="27"/>
      <c r="I306" s="277" t="str">
        <f ca="1">IF(ListeInventaire3811[[#This Row],[Statut de la réalisation de l''action]]="Effectué","À jour",IF(ListeInventaire3811[[#This Row],[échéance de réalisation]]&lt;TODAY(),"En retard","À jour"))</f>
        <v>En retard</v>
      </c>
      <c r="J306" s="109"/>
      <c r="K306" s="10"/>
      <c r="L306" s="10"/>
      <c r="M306" s="31"/>
      <c r="N306" s="32"/>
      <c r="O306" s="31"/>
      <c r="P306" s="10"/>
      <c r="Q306" s="31"/>
      <c r="R306" s="31"/>
      <c r="S306" s="31"/>
      <c r="T306" s="31"/>
      <c r="U306" s="31"/>
      <c r="V306" s="31"/>
      <c r="W306" s="31"/>
      <c r="X306" s="31"/>
      <c r="Y306" s="31"/>
      <c r="Z306" s="31"/>
      <c r="AA306" s="31"/>
      <c r="AB306" s="31"/>
      <c r="AC306" s="31"/>
    </row>
    <row r="307" spans="1:29" ht="30" customHeight="1" x14ac:dyDescent="0.25">
      <c r="A307" s="36"/>
      <c r="B307" s="12"/>
      <c r="C307" s="12"/>
      <c r="D307" s="12"/>
      <c r="E307" s="12"/>
      <c r="F307" s="13"/>
      <c r="G307" s="12"/>
      <c r="H307" s="27"/>
      <c r="I307" s="277" t="str">
        <f ca="1">IF(ListeInventaire3811[[#This Row],[Statut de la réalisation de l''action]]="Effectué","À jour",IF(ListeInventaire3811[[#This Row],[échéance de réalisation]]&lt;TODAY(),"En retard","À jour"))</f>
        <v>En retard</v>
      </c>
      <c r="J307" s="109"/>
      <c r="K307" s="10"/>
      <c r="L307" s="10"/>
      <c r="M307" s="31"/>
      <c r="N307" s="32"/>
      <c r="O307" s="31"/>
      <c r="P307" s="10"/>
      <c r="Q307" s="31"/>
      <c r="R307" s="31"/>
      <c r="S307" s="31"/>
      <c r="T307" s="31"/>
      <c r="U307" s="31"/>
      <c r="V307" s="31"/>
      <c r="W307" s="31"/>
      <c r="X307" s="31"/>
      <c r="Y307" s="31"/>
      <c r="Z307" s="31"/>
      <c r="AA307" s="31"/>
      <c r="AB307" s="31"/>
      <c r="AC307" s="31"/>
    </row>
    <row r="308" spans="1:29" ht="30" customHeight="1" x14ac:dyDescent="0.25">
      <c r="A308" s="7"/>
      <c r="B308" s="9"/>
      <c r="C308" s="9"/>
      <c r="D308" s="9"/>
      <c r="E308" s="9"/>
      <c r="F308" s="11"/>
      <c r="G308" s="9"/>
      <c r="H308" s="25"/>
      <c r="I308" s="277" t="str">
        <f ca="1">IF(ListeInventaire3811[[#This Row],[Statut de la réalisation de l''action]]="Effectué","À jour",IF(ListeInventaire3811[[#This Row],[échéance de réalisation]]&lt;TODAY(),"En retard","À jour"))</f>
        <v>En retard</v>
      </c>
      <c r="J308" s="109"/>
      <c r="K308" s="10"/>
      <c r="L308" s="10"/>
      <c r="M308" s="31"/>
      <c r="N308" s="32"/>
      <c r="O308" s="31"/>
      <c r="P308" s="10"/>
      <c r="Q308" s="31"/>
      <c r="R308" s="31"/>
      <c r="S308" s="31"/>
      <c r="T308" s="31"/>
      <c r="U308" s="31"/>
      <c r="V308" s="31"/>
      <c r="W308" s="31"/>
      <c r="X308" s="31"/>
      <c r="Y308" s="31"/>
      <c r="Z308" s="31"/>
      <c r="AA308" s="31"/>
      <c r="AB308" s="31"/>
      <c r="AC308" s="31"/>
    </row>
    <row r="309" spans="1:29" ht="30" customHeight="1" x14ac:dyDescent="0.25">
      <c r="A309" s="7"/>
      <c r="B309" s="9"/>
      <c r="C309" s="9"/>
      <c r="D309" s="9"/>
      <c r="E309" s="9"/>
      <c r="F309" s="11"/>
      <c r="G309" s="9"/>
      <c r="H309" s="25"/>
      <c r="I309" s="277" t="str">
        <f ca="1">IF(ListeInventaire3811[[#This Row],[Statut de la réalisation de l''action]]="Effectué","À jour",IF(ListeInventaire3811[[#This Row],[échéance de réalisation]]&lt;TODAY(),"En retard","À jour"))</f>
        <v>En retard</v>
      </c>
      <c r="J309" s="109"/>
      <c r="K309" s="10"/>
      <c r="L309" s="10"/>
      <c r="M309" s="31"/>
      <c r="N309" s="32"/>
      <c r="O309" s="31"/>
      <c r="P309" s="10"/>
      <c r="Q309" s="31"/>
      <c r="R309" s="31"/>
      <c r="S309" s="31"/>
      <c r="T309" s="31"/>
      <c r="U309" s="31"/>
      <c r="V309" s="31"/>
      <c r="W309" s="31"/>
      <c r="X309" s="31"/>
      <c r="Y309" s="31"/>
      <c r="Z309" s="31"/>
      <c r="AA309" s="31"/>
      <c r="AB309" s="31"/>
      <c r="AC309" s="31"/>
    </row>
    <row r="310" spans="1:29" ht="30" customHeight="1" x14ac:dyDescent="0.25">
      <c r="A310" s="7"/>
      <c r="B310" s="9"/>
      <c r="C310" s="9"/>
      <c r="D310" s="9"/>
      <c r="E310" s="9"/>
      <c r="F310" s="11"/>
      <c r="G310" s="9"/>
      <c r="H310" s="25"/>
      <c r="I310" s="277" t="str">
        <f ca="1">IF(ListeInventaire3811[[#This Row],[Statut de la réalisation de l''action]]="Effectué","À jour",IF(ListeInventaire3811[[#This Row],[échéance de réalisation]]&lt;TODAY(),"En retard","À jour"))</f>
        <v>En retard</v>
      </c>
      <c r="J310" s="109"/>
      <c r="K310" s="10"/>
      <c r="L310" s="10"/>
      <c r="M310" s="31"/>
      <c r="N310" s="32"/>
      <c r="O310" s="31"/>
      <c r="P310" s="10"/>
      <c r="Q310" s="31"/>
      <c r="R310" s="31"/>
      <c r="S310" s="31"/>
      <c r="T310" s="31"/>
      <c r="U310" s="31"/>
      <c r="V310" s="31"/>
      <c r="W310" s="31"/>
      <c r="X310" s="31"/>
      <c r="Y310" s="31"/>
      <c r="Z310" s="31"/>
      <c r="AA310" s="31"/>
      <c r="AB310" s="31"/>
      <c r="AC310" s="31"/>
    </row>
    <row r="311" spans="1:29" ht="30" customHeight="1" x14ac:dyDescent="0.25">
      <c r="A311" s="7"/>
      <c r="B311" s="9"/>
      <c r="C311" s="9"/>
      <c r="D311" s="9"/>
      <c r="E311" s="9"/>
      <c r="F311" s="11"/>
      <c r="G311" s="9"/>
      <c r="H311" s="27"/>
      <c r="I311" s="277" t="str">
        <f ca="1">IF(ListeInventaire3811[[#This Row],[Statut de la réalisation de l''action]]="Effectué","À jour",IF(ListeInventaire3811[[#This Row],[échéance de réalisation]]&lt;TODAY(),"En retard","À jour"))</f>
        <v>En retard</v>
      </c>
      <c r="J311" s="109"/>
      <c r="K311" s="10"/>
      <c r="L311" s="10"/>
      <c r="M311" s="31"/>
      <c r="N311" s="32"/>
      <c r="O311" s="31"/>
      <c r="P311" s="10"/>
      <c r="Q311" s="31"/>
      <c r="R311" s="31"/>
      <c r="S311" s="31"/>
      <c r="T311" s="31"/>
      <c r="U311" s="31"/>
      <c r="V311" s="31"/>
      <c r="W311" s="31"/>
      <c r="X311" s="31"/>
      <c r="Y311" s="31"/>
      <c r="Z311" s="31"/>
      <c r="AA311" s="31"/>
      <c r="AB311" s="31"/>
      <c r="AC311" s="31"/>
    </row>
    <row r="312" spans="1:29" ht="30" customHeight="1" x14ac:dyDescent="0.25">
      <c r="A312" s="26"/>
      <c r="B312" s="9"/>
      <c r="C312" s="9"/>
      <c r="D312" s="9"/>
      <c r="E312" s="9"/>
      <c r="F312" s="11"/>
      <c r="G312" s="9"/>
      <c r="H312" s="27"/>
      <c r="I312" s="277" t="str">
        <f ca="1">IF(ListeInventaire3811[[#This Row],[Statut de la réalisation de l''action]]="Effectué","À jour",IF(ListeInventaire3811[[#This Row],[échéance de réalisation]]&lt;TODAY(),"En retard","À jour"))</f>
        <v>En retard</v>
      </c>
      <c r="J312" s="109"/>
      <c r="K312" s="10"/>
      <c r="L312" s="10"/>
      <c r="M312" s="31"/>
      <c r="N312" s="32"/>
      <c r="O312" s="31"/>
      <c r="P312" s="10"/>
      <c r="Q312" s="31"/>
      <c r="R312" s="31"/>
      <c r="S312" s="31"/>
      <c r="T312" s="31"/>
      <c r="U312" s="31"/>
      <c r="V312" s="31"/>
      <c r="W312" s="31"/>
      <c r="X312" s="31"/>
      <c r="Y312" s="31"/>
      <c r="Z312" s="31"/>
      <c r="AA312" s="31"/>
      <c r="AB312" s="31"/>
      <c r="AC312" s="31"/>
    </row>
    <row r="313" spans="1:29" ht="30" customHeight="1" x14ac:dyDescent="0.25">
      <c r="A313" s="26"/>
      <c r="B313" s="9"/>
      <c r="C313" s="9"/>
      <c r="D313" s="9"/>
      <c r="E313" s="9"/>
      <c r="F313" s="11"/>
      <c r="G313" s="9"/>
      <c r="H313" s="27"/>
      <c r="I313" s="277" t="str">
        <f ca="1">IF(ListeInventaire3811[[#This Row],[Statut de la réalisation de l''action]]="Effectué","À jour",IF(ListeInventaire3811[[#This Row],[échéance de réalisation]]&lt;TODAY(),"En retard","À jour"))</f>
        <v>En retard</v>
      </c>
      <c r="J313" s="109"/>
      <c r="K313" s="10"/>
      <c r="L313" s="10"/>
      <c r="M313" s="31"/>
      <c r="N313" s="32"/>
      <c r="O313" s="31"/>
      <c r="P313" s="10"/>
      <c r="Q313" s="31"/>
      <c r="R313" s="31"/>
      <c r="S313" s="31"/>
      <c r="T313" s="31"/>
      <c r="U313" s="31"/>
      <c r="V313" s="31"/>
      <c r="W313" s="31"/>
      <c r="X313" s="31"/>
      <c r="Y313" s="31"/>
      <c r="Z313" s="31"/>
      <c r="AA313" s="31"/>
      <c r="AB313" s="31"/>
      <c r="AC313" s="31"/>
    </row>
    <row r="314" spans="1:29" ht="30" customHeight="1" x14ac:dyDescent="0.25">
      <c r="A314" s="26"/>
      <c r="B314" s="9"/>
      <c r="C314" s="9"/>
      <c r="D314" s="9"/>
      <c r="E314" s="9"/>
      <c r="F314" s="11"/>
      <c r="G314" s="9"/>
      <c r="H314" s="25"/>
      <c r="I314" s="277" t="str">
        <f ca="1">IF(ListeInventaire3811[[#This Row],[Statut de la réalisation de l''action]]="Effectué","À jour",IF(ListeInventaire3811[[#This Row],[échéance de réalisation]]&lt;TODAY(),"En retard","À jour"))</f>
        <v>En retard</v>
      </c>
      <c r="J314" s="109"/>
      <c r="K314" s="10"/>
      <c r="L314" s="10"/>
      <c r="M314" s="31"/>
      <c r="N314" s="32"/>
      <c r="O314" s="31"/>
      <c r="P314" s="10"/>
      <c r="Q314" s="31"/>
      <c r="R314" s="31"/>
      <c r="S314" s="31"/>
      <c r="T314" s="31"/>
      <c r="U314" s="31"/>
      <c r="V314" s="31"/>
      <c r="W314" s="31"/>
      <c r="X314" s="31"/>
      <c r="Y314" s="31"/>
      <c r="Z314" s="31"/>
      <c r="AA314" s="31"/>
      <c r="AB314" s="31"/>
      <c r="AC314" s="31"/>
    </row>
    <row r="315" spans="1:29" ht="30" customHeight="1" x14ac:dyDescent="0.25">
      <c r="A315" s="7"/>
      <c r="B315" s="12"/>
      <c r="C315" s="9"/>
      <c r="D315" s="12"/>
      <c r="E315" s="12"/>
      <c r="F315" s="13"/>
      <c r="G315" s="12"/>
      <c r="H315" s="27"/>
      <c r="I315" s="277" t="str">
        <f ca="1">IF(ListeInventaire3811[[#This Row],[Statut de la réalisation de l''action]]="Effectué","À jour",IF(ListeInventaire3811[[#This Row],[échéance de réalisation]]&lt;TODAY(),"En retard","À jour"))</f>
        <v>En retard</v>
      </c>
      <c r="J315" s="109"/>
      <c r="K315" s="10"/>
      <c r="L315" s="10"/>
      <c r="M315" s="31"/>
      <c r="N315" s="32"/>
      <c r="O315" s="31"/>
      <c r="P315" s="10"/>
      <c r="Q315" s="31"/>
      <c r="R315" s="31"/>
      <c r="S315" s="31"/>
      <c r="T315" s="31"/>
      <c r="U315" s="31"/>
      <c r="V315" s="31"/>
      <c r="W315" s="31"/>
      <c r="X315" s="31"/>
      <c r="Y315" s="31"/>
      <c r="Z315" s="31"/>
      <c r="AA315" s="31"/>
      <c r="AB315" s="31"/>
      <c r="AC315" s="31"/>
    </row>
    <row r="316" spans="1:29" ht="30" customHeight="1" x14ac:dyDescent="0.25">
      <c r="A316" s="36"/>
      <c r="B316" s="12"/>
      <c r="C316" s="9"/>
      <c r="D316" s="12"/>
      <c r="E316" s="12"/>
      <c r="F316" s="13"/>
      <c r="G316" s="12"/>
      <c r="H316" s="27"/>
      <c r="I316" s="277" t="str">
        <f ca="1">IF(ListeInventaire3811[[#This Row],[Statut de la réalisation de l''action]]="Effectué","À jour",IF(ListeInventaire3811[[#This Row],[échéance de réalisation]]&lt;TODAY(),"En retard","À jour"))</f>
        <v>En retard</v>
      </c>
      <c r="J316" s="109"/>
      <c r="K316" s="10"/>
      <c r="L316" s="10"/>
      <c r="M316" s="31"/>
      <c r="N316" s="32"/>
      <c r="O316" s="31"/>
      <c r="P316" s="10"/>
      <c r="Q316" s="31"/>
      <c r="R316" s="31"/>
      <c r="S316" s="31"/>
      <c r="T316" s="31"/>
      <c r="U316" s="31"/>
      <c r="V316" s="31"/>
      <c r="W316" s="31"/>
      <c r="X316" s="31"/>
      <c r="Y316" s="31"/>
      <c r="Z316" s="31"/>
      <c r="AA316" s="31"/>
      <c r="AB316" s="31"/>
      <c r="AC316" s="31"/>
    </row>
    <row r="317" spans="1:29" ht="30" customHeight="1" x14ac:dyDescent="0.25">
      <c r="A317" s="36"/>
      <c r="B317" s="12"/>
      <c r="C317" s="9"/>
      <c r="D317" s="12"/>
      <c r="E317" s="12"/>
      <c r="F317" s="13"/>
      <c r="G317" s="12"/>
      <c r="H317" s="27"/>
      <c r="I317" s="277" t="str">
        <f ca="1">IF(ListeInventaire3811[[#This Row],[Statut de la réalisation de l''action]]="Effectué","À jour",IF(ListeInventaire3811[[#This Row],[échéance de réalisation]]&lt;TODAY(),"En retard","À jour"))</f>
        <v>En retard</v>
      </c>
      <c r="J317" s="109"/>
      <c r="K317" s="10"/>
      <c r="L317" s="10"/>
      <c r="M317" s="31"/>
      <c r="N317" s="32"/>
      <c r="O317" s="31"/>
      <c r="P317" s="10"/>
      <c r="Q317" s="31"/>
      <c r="R317" s="31"/>
      <c r="S317" s="31"/>
      <c r="T317" s="31"/>
      <c r="U317" s="31"/>
      <c r="V317" s="31"/>
      <c r="W317" s="31"/>
      <c r="X317" s="31"/>
      <c r="Y317" s="31"/>
      <c r="Z317" s="31"/>
      <c r="AA317" s="31"/>
      <c r="AB317" s="31"/>
      <c r="AC317" s="31"/>
    </row>
    <row r="318" spans="1:29" ht="30" customHeight="1" x14ac:dyDescent="0.25">
      <c r="A318" s="36"/>
      <c r="B318" s="12"/>
      <c r="C318" s="9"/>
      <c r="D318" s="12"/>
      <c r="E318" s="12"/>
      <c r="F318" s="13"/>
      <c r="G318" s="12"/>
      <c r="H318" s="27"/>
      <c r="I318" s="277" t="str">
        <f ca="1">IF(ListeInventaire3811[[#This Row],[Statut de la réalisation de l''action]]="Effectué","À jour",IF(ListeInventaire3811[[#This Row],[échéance de réalisation]]&lt;TODAY(),"En retard","À jour"))</f>
        <v>En retard</v>
      </c>
      <c r="J318" s="109"/>
      <c r="K318" s="10"/>
      <c r="L318" s="10"/>
      <c r="M318" s="31"/>
      <c r="N318" s="32"/>
      <c r="O318" s="31"/>
      <c r="P318" s="10"/>
      <c r="Q318" s="31"/>
      <c r="R318" s="31"/>
      <c r="S318" s="31"/>
      <c r="T318" s="31"/>
      <c r="U318" s="31"/>
      <c r="V318" s="31"/>
      <c r="W318" s="31"/>
      <c r="X318" s="31"/>
      <c r="Y318" s="31"/>
      <c r="Z318" s="31"/>
      <c r="AA318" s="31"/>
      <c r="AB318" s="31"/>
      <c r="AC318" s="31"/>
    </row>
    <row r="319" spans="1:29" ht="30" customHeight="1" x14ac:dyDescent="0.25">
      <c r="A319" s="36"/>
      <c r="B319" s="12"/>
      <c r="C319" s="9"/>
      <c r="D319" s="12"/>
      <c r="E319" s="12"/>
      <c r="F319" s="13"/>
      <c r="G319" s="12"/>
      <c r="H319" s="27"/>
      <c r="I319" s="277" t="str">
        <f ca="1">IF(ListeInventaire3811[[#This Row],[Statut de la réalisation de l''action]]="Effectué","À jour",IF(ListeInventaire3811[[#This Row],[échéance de réalisation]]&lt;TODAY(),"En retard","À jour"))</f>
        <v>En retard</v>
      </c>
      <c r="J319" s="109"/>
      <c r="K319" s="10"/>
      <c r="L319" s="10"/>
      <c r="M319" s="31"/>
      <c r="N319" s="32"/>
      <c r="O319" s="31"/>
      <c r="P319" s="10"/>
      <c r="Q319" s="31"/>
      <c r="R319" s="31"/>
      <c r="S319" s="31"/>
      <c r="T319" s="31"/>
      <c r="U319" s="31"/>
      <c r="V319" s="31"/>
      <c r="W319" s="31"/>
      <c r="X319" s="31"/>
      <c r="Y319" s="31"/>
      <c r="Z319" s="31"/>
      <c r="AA319" s="31"/>
      <c r="AB319" s="31"/>
      <c r="AC319" s="31"/>
    </row>
    <row r="320" spans="1:29" ht="30" customHeight="1" x14ac:dyDescent="0.25">
      <c r="A320" s="26"/>
      <c r="B320" s="9"/>
      <c r="C320" s="9"/>
      <c r="D320" s="9"/>
      <c r="E320" s="9"/>
      <c r="F320" s="11"/>
      <c r="G320" s="9"/>
      <c r="H320" s="27"/>
      <c r="I320" s="277" t="str">
        <f ca="1">IF(ListeInventaire3811[[#This Row],[Statut de la réalisation de l''action]]="Effectué","À jour",IF(ListeInventaire3811[[#This Row],[échéance de réalisation]]&lt;TODAY(),"En retard","À jour"))</f>
        <v>En retard</v>
      </c>
      <c r="J320" s="109"/>
      <c r="K320" s="10"/>
      <c r="L320" s="10"/>
      <c r="M320" s="31"/>
      <c r="N320" s="32"/>
      <c r="O320" s="31"/>
      <c r="P320" s="10"/>
      <c r="Q320" s="31"/>
      <c r="R320" s="31"/>
      <c r="S320" s="31"/>
      <c r="T320" s="31"/>
      <c r="U320" s="31"/>
      <c r="V320" s="31"/>
      <c r="W320" s="31"/>
      <c r="X320" s="31"/>
      <c r="Y320" s="31"/>
      <c r="Z320" s="31"/>
      <c r="AA320" s="31"/>
      <c r="AB320" s="31"/>
      <c r="AC320" s="31"/>
    </row>
    <row r="321" spans="1:29" ht="30" customHeight="1" x14ac:dyDescent="0.25">
      <c r="A321" s="36"/>
      <c r="B321" s="12"/>
      <c r="C321" s="12"/>
      <c r="D321" s="12"/>
      <c r="E321" s="12"/>
      <c r="F321" s="13"/>
      <c r="G321" s="12"/>
      <c r="H321" s="27"/>
      <c r="I321" s="277" t="str">
        <f ca="1">IF(ListeInventaire3811[[#This Row],[Statut de la réalisation de l''action]]="Effectué","À jour",IF(ListeInventaire3811[[#This Row],[échéance de réalisation]]&lt;TODAY(),"En retard","À jour"))</f>
        <v>En retard</v>
      </c>
      <c r="J321" s="109"/>
      <c r="K321" s="10"/>
      <c r="L321" s="10"/>
      <c r="M321" s="31"/>
      <c r="N321" s="32"/>
      <c r="O321" s="31"/>
      <c r="P321" s="10"/>
      <c r="Q321" s="31"/>
      <c r="R321" s="31"/>
      <c r="S321" s="31"/>
      <c r="T321" s="31"/>
      <c r="U321" s="31"/>
      <c r="V321" s="31"/>
      <c r="W321" s="31"/>
      <c r="X321" s="31"/>
      <c r="Y321" s="31"/>
      <c r="Z321" s="31"/>
      <c r="AA321" s="31"/>
      <c r="AB321" s="31"/>
      <c r="AC321" s="31"/>
    </row>
    <row r="322" spans="1:29" ht="30" customHeight="1" x14ac:dyDescent="0.25">
      <c r="A322" s="36"/>
      <c r="B322" s="12"/>
      <c r="C322" s="12"/>
      <c r="D322" s="12"/>
      <c r="E322" s="12"/>
      <c r="F322" s="13"/>
      <c r="G322" s="12"/>
      <c r="H322" s="27"/>
      <c r="I322" s="277" t="str">
        <f ca="1">IF(ListeInventaire3811[[#This Row],[Statut de la réalisation de l''action]]="Effectué","À jour",IF(ListeInventaire3811[[#This Row],[échéance de réalisation]]&lt;TODAY(),"En retard","À jour"))</f>
        <v>En retard</v>
      </c>
      <c r="J322" s="109"/>
      <c r="K322" s="10"/>
      <c r="L322" s="10"/>
      <c r="M322" s="31"/>
      <c r="N322" s="32"/>
      <c r="O322" s="31"/>
      <c r="P322" s="10"/>
      <c r="Q322" s="31"/>
      <c r="R322" s="31"/>
      <c r="S322" s="31"/>
      <c r="T322" s="31"/>
      <c r="U322" s="31"/>
      <c r="V322" s="31"/>
      <c r="W322" s="31"/>
      <c r="X322" s="31"/>
      <c r="Y322" s="31"/>
      <c r="Z322" s="31"/>
      <c r="AA322" s="31"/>
      <c r="AB322" s="31"/>
      <c r="AC322" s="31"/>
    </row>
    <row r="323" spans="1:29" ht="30" customHeight="1" x14ac:dyDescent="0.25">
      <c r="A323" s="36"/>
      <c r="B323" s="12"/>
      <c r="C323" s="12"/>
      <c r="D323" s="12"/>
      <c r="E323" s="12"/>
      <c r="F323" s="13"/>
      <c r="G323" s="12"/>
      <c r="H323" s="27"/>
      <c r="I323" s="277" t="str">
        <f ca="1">IF(ListeInventaire3811[[#This Row],[Statut de la réalisation de l''action]]="Effectué","À jour",IF(ListeInventaire3811[[#This Row],[échéance de réalisation]]&lt;TODAY(),"En retard","À jour"))</f>
        <v>En retard</v>
      </c>
      <c r="J323" s="109"/>
      <c r="K323" s="10"/>
      <c r="L323" s="10"/>
      <c r="M323" s="31"/>
      <c r="N323" s="32"/>
      <c r="O323" s="31"/>
      <c r="P323" s="10"/>
      <c r="Q323" s="31"/>
      <c r="R323" s="31"/>
      <c r="S323" s="31"/>
      <c r="T323" s="31"/>
      <c r="U323" s="31"/>
      <c r="V323" s="31"/>
      <c r="W323" s="31"/>
      <c r="X323" s="31"/>
      <c r="Y323" s="31"/>
      <c r="Z323" s="31"/>
      <c r="AA323" s="31"/>
      <c r="AB323" s="31"/>
      <c r="AC323" s="31"/>
    </row>
    <row r="324" spans="1:29" ht="30" customHeight="1" x14ac:dyDescent="0.25">
      <c r="A324" s="36"/>
      <c r="B324" s="12"/>
      <c r="C324" s="12"/>
      <c r="D324" s="12"/>
      <c r="E324" s="12"/>
      <c r="F324" s="13"/>
      <c r="G324" s="12"/>
      <c r="H324" s="27"/>
      <c r="I324" s="277" t="str">
        <f ca="1">IF(ListeInventaire3811[[#This Row],[Statut de la réalisation de l''action]]="Effectué","À jour",IF(ListeInventaire3811[[#This Row],[échéance de réalisation]]&lt;TODAY(),"En retard","À jour"))</f>
        <v>En retard</v>
      </c>
      <c r="J324" s="109"/>
      <c r="K324" s="10"/>
      <c r="L324" s="10"/>
      <c r="M324" s="31"/>
      <c r="N324" s="32"/>
      <c r="O324" s="31"/>
      <c r="P324" s="10"/>
      <c r="Q324" s="31"/>
      <c r="R324" s="31"/>
      <c r="S324" s="31"/>
      <c r="T324" s="31"/>
      <c r="U324" s="31"/>
      <c r="V324" s="31"/>
      <c r="W324" s="31"/>
      <c r="X324" s="31"/>
      <c r="Y324" s="31"/>
      <c r="Z324" s="31"/>
      <c r="AA324" s="31"/>
      <c r="AB324" s="31"/>
      <c r="AC324" s="31"/>
    </row>
    <row r="325" spans="1:29" ht="30" customHeight="1" x14ac:dyDescent="0.25">
      <c r="A325" s="36"/>
      <c r="B325" s="12"/>
      <c r="C325" s="12"/>
      <c r="D325" s="12"/>
      <c r="E325" s="12"/>
      <c r="F325" s="13"/>
      <c r="G325" s="12"/>
      <c r="H325" s="27"/>
      <c r="I325" s="277" t="str">
        <f ca="1">IF(ListeInventaire3811[[#This Row],[Statut de la réalisation de l''action]]="Effectué","À jour",IF(ListeInventaire3811[[#This Row],[échéance de réalisation]]&lt;TODAY(),"En retard","À jour"))</f>
        <v>En retard</v>
      </c>
      <c r="J325" s="109"/>
      <c r="K325" s="10"/>
      <c r="L325" s="10"/>
      <c r="M325" s="31"/>
      <c r="N325" s="32"/>
      <c r="O325" s="31"/>
      <c r="P325" s="10"/>
      <c r="Q325" s="31"/>
      <c r="R325" s="31"/>
      <c r="S325" s="31"/>
      <c r="T325" s="31"/>
      <c r="U325" s="31"/>
      <c r="V325" s="31"/>
      <c r="W325" s="31"/>
      <c r="X325" s="31"/>
      <c r="Y325" s="31"/>
      <c r="Z325" s="31"/>
      <c r="AA325" s="31"/>
      <c r="AB325" s="31"/>
      <c r="AC325" s="31"/>
    </row>
    <row r="326" spans="1:29" ht="30" customHeight="1" x14ac:dyDescent="0.25">
      <c r="A326" s="36"/>
      <c r="B326" s="12"/>
      <c r="C326" s="12"/>
      <c r="D326" s="12"/>
      <c r="E326" s="12"/>
      <c r="F326" s="13"/>
      <c r="G326" s="12"/>
      <c r="H326" s="27"/>
      <c r="I326" s="277" t="str">
        <f ca="1">IF(ListeInventaire3811[[#This Row],[Statut de la réalisation de l''action]]="Effectué","À jour",IF(ListeInventaire3811[[#This Row],[échéance de réalisation]]&lt;TODAY(),"En retard","À jour"))</f>
        <v>En retard</v>
      </c>
      <c r="J326" s="109"/>
      <c r="K326" s="10"/>
      <c r="L326" s="10"/>
      <c r="M326" s="31"/>
      <c r="N326" s="32"/>
      <c r="O326" s="31"/>
      <c r="P326" s="10"/>
      <c r="Q326" s="31"/>
      <c r="R326" s="31"/>
      <c r="S326" s="31"/>
      <c r="T326" s="31"/>
      <c r="U326" s="31"/>
      <c r="V326" s="31"/>
      <c r="W326" s="31"/>
      <c r="X326" s="31"/>
      <c r="Y326" s="31"/>
      <c r="Z326" s="31"/>
      <c r="AA326" s="31"/>
      <c r="AB326" s="31"/>
      <c r="AC326" s="31"/>
    </row>
    <row r="327" spans="1:29" ht="30" customHeight="1" x14ac:dyDescent="0.25">
      <c r="A327" s="36"/>
      <c r="B327" s="12"/>
      <c r="C327" s="12"/>
      <c r="D327" s="12"/>
      <c r="E327" s="12"/>
      <c r="F327" s="13"/>
      <c r="G327" s="12"/>
      <c r="H327" s="27"/>
      <c r="I327" s="277" t="str">
        <f ca="1">IF(ListeInventaire3811[[#This Row],[Statut de la réalisation de l''action]]="Effectué","À jour",IF(ListeInventaire3811[[#This Row],[échéance de réalisation]]&lt;TODAY(),"En retard","À jour"))</f>
        <v>En retard</v>
      </c>
      <c r="J327" s="109"/>
      <c r="K327" s="10"/>
      <c r="L327" s="10"/>
      <c r="M327" s="31"/>
      <c r="N327" s="32"/>
      <c r="O327" s="31"/>
      <c r="P327" s="10"/>
      <c r="Q327" s="31"/>
      <c r="R327" s="31"/>
      <c r="S327" s="31"/>
      <c r="T327" s="31"/>
      <c r="U327" s="31"/>
      <c r="V327" s="31"/>
      <c r="W327" s="31"/>
      <c r="X327" s="31"/>
      <c r="Y327" s="31"/>
      <c r="Z327" s="31"/>
      <c r="AA327" s="31"/>
      <c r="AB327" s="31"/>
      <c r="AC327" s="31"/>
    </row>
    <row r="328" spans="1:29" ht="30" customHeight="1" x14ac:dyDescent="0.25">
      <c r="A328" s="36"/>
      <c r="B328" s="12"/>
      <c r="C328" s="12"/>
      <c r="D328" s="12"/>
      <c r="E328" s="12"/>
      <c r="F328" s="13"/>
      <c r="G328" s="12"/>
      <c r="H328" s="27"/>
      <c r="I328" s="277" t="str">
        <f ca="1">IF(ListeInventaire3811[[#This Row],[Statut de la réalisation de l''action]]="Effectué","À jour",IF(ListeInventaire3811[[#This Row],[échéance de réalisation]]&lt;TODAY(),"En retard","À jour"))</f>
        <v>En retard</v>
      </c>
      <c r="J328" s="109"/>
      <c r="K328" s="10"/>
      <c r="L328" s="10"/>
      <c r="M328" s="31"/>
      <c r="N328" s="32"/>
      <c r="O328" s="31"/>
      <c r="P328" s="10"/>
      <c r="Q328" s="31"/>
      <c r="R328" s="31"/>
      <c r="S328" s="31"/>
      <c r="T328" s="31"/>
      <c r="U328" s="31"/>
      <c r="V328" s="31"/>
      <c r="W328" s="31"/>
      <c r="X328" s="31"/>
      <c r="Y328" s="31"/>
      <c r="Z328" s="31"/>
      <c r="AA328" s="31"/>
      <c r="AB328" s="31"/>
      <c r="AC328" s="31"/>
    </row>
    <row r="329" spans="1:29" ht="30" customHeight="1" x14ac:dyDescent="0.25">
      <c r="A329" s="36"/>
      <c r="B329" s="12"/>
      <c r="C329" s="12"/>
      <c r="D329" s="12"/>
      <c r="E329" s="12"/>
      <c r="F329" s="13"/>
      <c r="G329" s="12"/>
      <c r="H329" s="27"/>
      <c r="I329" s="277" t="str">
        <f ca="1">IF(ListeInventaire3811[[#This Row],[Statut de la réalisation de l''action]]="Effectué","À jour",IF(ListeInventaire3811[[#This Row],[échéance de réalisation]]&lt;TODAY(),"En retard","À jour"))</f>
        <v>En retard</v>
      </c>
      <c r="J329" s="109"/>
      <c r="K329" s="10"/>
      <c r="L329" s="10"/>
      <c r="M329" s="31"/>
      <c r="N329" s="32"/>
      <c r="O329" s="31"/>
      <c r="P329" s="10"/>
      <c r="Q329" s="31"/>
      <c r="R329" s="31"/>
      <c r="S329" s="31"/>
      <c r="T329" s="31"/>
      <c r="U329" s="31"/>
      <c r="V329" s="31"/>
      <c r="W329" s="31"/>
      <c r="X329" s="31"/>
      <c r="Y329" s="31"/>
      <c r="Z329" s="31"/>
      <c r="AA329" s="31"/>
      <c r="AB329" s="31"/>
      <c r="AC329" s="31"/>
    </row>
    <row r="330" spans="1:29" ht="30" customHeight="1" x14ac:dyDescent="0.25">
      <c r="A330" s="36"/>
      <c r="B330" s="12"/>
      <c r="C330" s="12"/>
      <c r="D330" s="12"/>
      <c r="E330" s="12"/>
      <c r="F330" s="13"/>
      <c r="G330" s="12"/>
      <c r="H330" s="27"/>
      <c r="I330" s="277" t="str">
        <f ca="1">IF(ListeInventaire3811[[#This Row],[Statut de la réalisation de l''action]]="Effectué","À jour",IF(ListeInventaire3811[[#This Row],[échéance de réalisation]]&lt;TODAY(),"En retard","À jour"))</f>
        <v>En retard</v>
      </c>
      <c r="J330" s="109"/>
      <c r="K330" s="10"/>
      <c r="L330" s="10"/>
      <c r="M330" s="31"/>
      <c r="N330" s="32"/>
      <c r="O330" s="31"/>
      <c r="P330" s="10"/>
      <c r="Q330" s="31"/>
      <c r="R330" s="31"/>
      <c r="S330" s="31"/>
      <c r="T330" s="31"/>
      <c r="U330" s="31"/>
      <c r="V330" s="31"/>
      <c r="W330" s="31"/>
      <c r="X330" s="31"/>
      <c r="Y330" s="31"/>
      <c r="Z330" s="31"/>
      <c r="AA330" s="31"/>
      <c r="AB330" s="31"/>
      <c r="AC330" s="31"/>
    </row>
    <row r="331" spans="1:29" ht="30" customHeight="1" x14ac:dyDescent="0.25">
      <c r="A331" s="36"/>
      <c r="B331" s="12"/>
      <c r="C331" s="12"/>
      <c r="D331" s="12"/>
      <c r="E331" s="12"/>
      <c r="F331" s="13"/>
      <c r="G331" s="12"/>
      <c r="H331" s="27"/>
      <c r="I331" s="277" t="str">
        <f ca="1">IF(ListeInventaire3811[[#This Row],[Statut de la réalisation de l''action]]="Effectué","À jour",IF(ListeInventaire3811[[#This Row],[échéance de réalisation]]&lt;TODAY(),"En retard","À jour"))</f>
        <v>En retard</v>
      </c>
      <c r="J331" s="109"/>
      <c r="K331" s="10"/>
      <c r="L331" s="10"/>
      <c r="M331" s="31"/>
      <c r="N331" s="32"/>
      <c r="O331" s="31"/>
      <c r="P331" s="10"/>
      <c r="Q331" s="31"/>
      <c r="R331" s="31"/>
      <c r="S331" s="31"/>
      <c r="T331" s="31"/>
      <c r="U331" s="31"/>
      <c r="V331" s="31"/>
      <c r="W331" s="31"/>
      <c r="X331" s="31"/>
      <c r="Y331" s="31"/>
      <c r="Z331" s="31"/>
      <c r="AA331" s="31"/>
      <c r="AB331" s="31"/>
      <c r="AC331" s="31"/>
    </row>
    <row r="332" spans="1:29" ht="30" customHeight="1" x14ac:dyDescent="0.25">
      <c r="A332" s="36"/>
      <c r="B332" s="12"/>
      <c r="C332" s="12"/>
      <c r="D332" s="12"/>
      <c r="E332" s="12"/>
      <c r="F332" s="13"/>
      <c r="G332" s="12"/>
      <c r="H332" s="27"/>
      <c r="I332" s="277" t="str">
        <f ca="1">IF(ListeInventaire3811[[#This Row],[Statut de la réalisation de l''action]]="Effectué","À jour",IF(ListeInventaire3811[[#This Row],[échéance de réalisation]]&lt;TODAY(),"En retard","À jour"))</f>
        <v>En retard</v>
      </c>
      <c r="J332" s="109"/>
      <c r="K332" s="10"/>
      <c r="L332" s="10"/>
      <c r="M332" s="31"/>
      <c r="N332" s="32"/>
      <c r="O332" s="31"/>
      <c r="P332" s="10"/>
      <c r="Q332" s="31"/>
      <c r="R332" s="31"/>
      <c r="S332" s="31"/>
      <c r="T332" s="31"/>
      <c r="U332" s="31"/>
      <c r="V332" s="31"/>
      <c r="W332" s="31"/>
      <c r="X332" s="31"/>
      <c r="Y332" s="31"/>
      <c r="Z332" s="31"/>
      <c r="AA332" s="31"/>
      <c r="AB332" s="31"/>
      <c r="AC332" s="31"/>
    </row>
    <row r="333" spans="1:29" ht="30" customHeight="1" x14ac:dyDescent="0.25">
      <c r="A333" s="36"/>
      <c r="B333" s="12"/>
      <c r="C333" s="12"/>
      <c r="D333" s="12"/>
      <c r="E333" s="12"/>
      <c r="F333" s="13"/>
      <c r="G333" s="12"/>
      <c r="H333" s="27"/>
      <c r="I333" s="277" t="str">
        <f ca="1">IF(ListeInventaire3811[[#This Row],[Statut de la réalisation de l''action]]="Effectué","À jour",IF(ListeInventaire3811[[#This Row],[échéance de réalisation]]&lt;TODAY(),"En retard","À jour"))</f>
        <v>En retard</v>
      </c>
      <c r="J333" s="109"/>
      <c r="K333" s="10"/>
      <c r="L333" s="10"/>
      <c r="M333" s="31"/>
      <c r="N333" s="32"/>
      <c r="O333" s="31"/>
      <c r="P333" s="10"/>
      <c r="Q333" s="31"/>
      <c r="R333" s="31"/>
      <c r="S333" s="31"/>
      <c r="T333" s="31"/>
      <c r="U333" s="31"/>
      <c r="V333" s="31"/>
      <c r="W333" s="31"/>
      <c r="X333" s="31"/>
      <c r="Y333" s="31"/>
      <c r="Z333" s="31"/>
      <c r="AA333" s="31"/>
      <c r="AB333" s="31"/>
      <c r="AC333" s="31"/>
    </row>
    <row r="334" spans="1:29" ht="30" customHeight="1" x14ac:dyDescent="0.25">
      <c r="A334" s="36"/>
      <c r="B334" s="12"/>
      <c r="C334" s="12"/>
      <c r="D334" s="12"/>
      <c r="E334" s="12"/>
      <c r="F334" s="13"/>
      <c r="G334" s="12"/>
      <c r="H334" s="27"/>
      <c r="I334" s="277" t="str">
        <f ca="1">IF(ListeInventaire3811[[#This Row],[Statut de la réalisation de l''action]]="Effectué","À jour",IF(ListeInventaire3811[[#This Row],[échéance de réalisation]]&lt;TODAY(),"En retard","À jour"))</f>
        <v>En retard</v>
      </c>
      <c r="J334" s="109"/>
      <c r="K334" s="10"/>
      <c r="L334" s="10"/>
      <c r="M334" s="31"/>
      <c r="N334" s="32"/>
      <c r="O334" s="31"/>
      <c r="P334" s="10"/>
      <c r="Q334" s="31"/>
      <c r="R334" s="31"/>
      <c r="S334" s="31"/>
      <c r="T334" s="31"/>
      <c r="U334" s="31"/>
      <c r="V334" s="31"/>
      <c r="W334" s="31"/>
      <c r="X334" s="31"/>
      <c r="Y334" s="31"/>
      <c r="Z334" s="31"/>
      <c r="AA334" s="31"/>
      <c r="AB334" s="31"/>
      <c r="AC334" s="31"/>
    </row>
    <row r="335" spans="1:29" ht="30" customHeight="1" x14ac:dyDescent="0.25">
      <c r="A335" s="36"/>
      <c r="B335" s="12"/>
      <c r="C335" s="12"/>
      <c r="D335" s="12"/>
      <c r="E335" s="12"/>
      <c r="F335" s="13"/>
      <c r="G335" s="12"/>
      <c r="H335" s="27"/>
      <c r="I335" s="277" t="str">
        <f ca="1">IF(ListeInventaire3811[[#This Row],[Statut de la réalisation de l''action]]="Effectué","À jour",IF(ListeInventaire3811[[#This Row],[échéance de réalisation]]&lt;TODAY(),"En retard","À jour"))</f>
        <v>En retard</v>
      </c>
      <c r="J335" s="109"/>
      <c r="K335" s="10"/>
      <c r="L335" s="10"/>
      <c r="M335" s="31"/>
      <c r="N335" s="32"/>
      <c r="O335" s="31"/>
      <c r="P335" s="10"/>
      <c r="Q335" s="31"/>
      <c r="R335" s="31"/>
      <c r="S335" s="31"/>
      <c r="T335" s="31"/>
      <c r="U335" s="31"/>
      <c r="V335" s="31"/>
      <c r="W335" s="31"/>
      <c r="X335" s="31"/>
      <c r="Y335" s="31"/>
      <c r="Z335" s="31"/>
      <c r="AA335" s="31"/>
      <c r="AB335" s="31"/>
      <c r="AC335" s="31"/>
    </row>
    <row r="336" spans="1:29" ht="30" customHeight="1" x14ac:dyDescent="0.25">
      <c r="A336" s="36"/>
      <c r="B336" s="12"/>
      <c r="C336" s="12"/>
      <c r="D336" s="12"/>
      <c r="E336" s="12"/>
      <c r="F336" s="13"/>
      <c r="G336" s="12"/>
      <c r="H336" s="27"/>
      <c r="I336" s="277" t="str">
        <f ca="1">IF(ListeInventaire3811[[#This Row],[Statut de la réalisation de l''action]]="Effectué","À jour",IF(ListeInventaire3811[[#This Row],[échéance de réalisation]]&lt;TODAY(),"En retard","À jour"))</f>
        <v>En retard</v>
      </c>
      <c r="J336" s="109"/>
      <c r="K336" s="10"/>
      <c r="L336" s="10"/>
      <c r="M336" s="31"/>
      <c r="N336" s="32"/>
      <c r="O336" s="31"/>
      <c r="P336" s="10"/>
      <c r="Q336" s="31"/>
      <c r="R336" s="31"/>
      <c r="S336" s="31"/>
      <c r="T336" s="31"/>
      <c r="U336" s="31"/>
      <c r="V336" s="31"/>
      <c r="W336" s="31"/>
      <c r="X336" s="31"/>
      <c r="Y336" s="31"/>
      <c r="Z336" s="31"/>
      <c r="AA336" s="31"/>
      <c r="AB336" s="31"/>
      <c r="AC336" s="31"/>
    </row>
    <row r="337" spans="1:29" ht="30" customHeight="1" x14ac:dyDescent="0.25">
      <c r="A337" s="36"/>
      <c r="B337" s="12"/>
      <c r="C337" s="12"/>
      <c r="D337" s="12"/>
      <c r="E337" s="12"/>
      <c r="F337" s="13"/>
      <c r="G337" s="12"/>
      <c r="H337" s="27"/>
      <c r="I337" s="277" t="str">
        <f ca="1">IF(ListeInventaire3811[[#This Row],[Statut de la réalisation de l''action]]="Effectué","À jour",IF(ListeInventaire3811[[#This Row],[échéance de réalisation]]&lt;TODAY(),"En retard","À jour"))</f>
        <v>En retard</v>
      </c>
      <c r="J337" s="109"/>
      <c r="K337" s="10"/>
      <c r="L337" s="10"/>
      <c r="M337" s="31"/>
      <c r="N337" s="32"/>
      <c r="O337" s="31"/>
      <c r="P337" s="10"/>
      <c r="Q337" s="31"/>
      <c r="R337" s="31"/>
      <c r="S337" s="31"/>
      <c r="T337" s="31"/>
      <c r="U337" s="31"/>
      <c r="V337" s="31"/>
      <c r="W337" s="31"/>
      <c r="X337" s="31"/>
      <c r="Y337" s="31"/>
      <c r="Z337" s="31"/>
      <c r="AA337" s="31"/>
      <c r="AB337" s="31"/>
      <c r="AC337" s="31"/>
    </row>
    <row r="338" spans="1:29" ht="30" customHeight="1" x14ac:dyDescent="0.25">
      <c r="A338" s="36"/>
      <c r="B338" s="12"/>
      <c r="C338" s="12"/>
      <c r="D338" s="12"/>
      <c r="E338" s="12"/>
      <c r="F338" s="13"/>
      <c r="G338" s="12"/>
      <c r="H338" s="27"/>
      <c r="I338" s="277" t="str">
        <f ca="1">IF(ListeInventaire3811[[#This Row],[Statut de la réalisation de l''action]]="Effectué","À jour",IF(ListeInventaire3811[[#This Row],[échéance de réalisation]]&lt;TODAY(),"En retard","À jour"))</f>
        <v>En retard</v>
      </c>
      <c r="J338" s="109"/>
      <c r="K338" s="10"/>
      <c r="L338" s="10"/>
      <c r="M338" s="31"/>
      <c r="N338" s="32"/>
      <c r="O338" s="31"/>
      <c r="P338" s="10"/>
      <c r="Q338" s="31"/>
      <c r="R338" s="31"/>
      <c r="S338" s="31"/>
      <c r="T338" s="31"/>
      <c r="U338" s="31"/>
      <c r="V338" s="31"/>
      <c r="W338" s="31"/>
      <c r="X338" s="31"/>
      <c r="Y338" s="31"/>
      <c r="Z338" s="31"/>
      <c r="AA338" s="31"/>
      <c r="AB338" s="31"/>
      <c r="AC338" s="31"/>
    </row>
    <row r="339" spans="1:29" ht="30" customHeight="1" x14ac:dyDescent="0.25">
      <c r="A339" s="36"/>
      <c r="B339" s="12"/>
      <c r="C339" s="12"/>
      <c r="D339" s="12"/>
      <c r="E339" s="12"/>
      <c r="F339" s="13"/>
      <c r="G339" s="12"/>
      <c r="H339" s="27"/>
      <c r="I339" s="277" t="str">
        <f ca="1">IF(ListeInventaire3811[[#This Row],[Statut de la réalisation de l''action]]="Effectué","À jour",IF(ListeInventaire3811[[#This Row],[échéance de réalisation]]&lt;TODAY(),"En retard","À jour"))</f>
        <v>En retard</v>
      </c>
      <c r="J339" s="109"/>
      <c r="K339" s="10"/>
      <c r="L339" s="10"/>
      <c r="M339" s="31"/>
      <c r="N339" s="32"/>
      <c r="O339" s="31"/>
      <c r="P339" s="10"/>
      <c r="Q339" s="31"/>
      <c r="R339" s="31"/>
      <c r="S339" s="31"/>
      <c r="T339" s="31"/>
      <c r="U339" s="31"/>
      <c r="V339" s="31"/>
      <c r="W339" s="31"/>
      <c r="X339" s="31"/>
      <c r="Y339" s="31"/>
      <c r="Z339" s="31"/>
      <c r="AA339" s="31"/>
      <c r="AB339" s="31"/>
      <c r="AC339" s="31"/>
    </row>
    <row r="340" spans="1:29" ht="30" customHeight="1" x14ac:dyDescent="0.25">
      <c r="A340" s="36"/>
      <c r="B340" s="12"/>
      <c r="C340" s="12"/>
      <c r="D340" s="12"/>
      <c r="E340" s="12"/>
      <c r="F340" s="13"/>
      <c r="G340" s="12"/>
      <c r="H340" s="27"/>
      <c r="I340" s="277" t="str">
        <f ca="1">IF(ListeInventaire3811[[#This Row],[Statut de la réalisation de l''action]]="Effectué","À jour",IF(ListeInventaire3811[[#This Row],[échéance de réalisation]]&lt;TODAY(),"En retard","À jour"))</f>
        <v>En retard</v>
      </c>
      <c r="J340" s="109"/>
      <c r="K340" s="10"/>
      <c r="L340" s="10"/>
      <c r="M340" s="31"/>
      <c r="N340" s="32"/>
      <c r="O340" s="31"/>
      <c r="P340" s="10"/>
      <c r="Q340" s="31"/>
      <c r="R340" s="31"/>
      <c r="S340" s="31"/>
      <c r="T340" s="31"/>
      <c r="U340" s="31"/>
      <c r="V340" s="31"/>
      <c r="W340" s="31"/>
      <c r="X340" s="31"/>
      <c r="Y340" s="31"/>
      <c r="Z340" s="31"/>
      <c r="AA340" s="31"/>
      <c r="AB340" s="31"/>
      <c r="AC340" s="31"/>
    </row>
    <row r="341" spans="1:29" ht="30" customHeight="1" x14ac:dyDescent="0.25">
      <c r="A341" s="36"/>
      <c r="B341" s="12"/>
      <c r="C341" s="12"/>
      <c r="D341" s="12"/>
      <c r="E341" s="12"/>
      <c r="F341" s="13"/>
      <c r="G341" s="12"/>
      <c r="H341" s="27"/>
      <c r="I341" s="277" t="str">
        <f ca="1">IF(ListeInventaire3811[[#This Row],[Statut de la réalisation de l''action]]="Effectué","À jour",IF(ListeInventaire3811[[#This Row],[échéance de réalisation]]&lt;TODAY(),"En retard","À jour"))</f>
        <v>En retard</v>
      </c>
      <c r="J341" s="109"/>
      <c r="K341" s="10"/>
      <c r="L341" s="10"/>
      <c r="M341" s="31"/>
      <c r="N341" s="32"/>
      <c r="O341" s="31"/>
      <c r="P341" s="10"/>
      <c r="Q341" s="31"/>
      <c r="R341" s="31"/>
      <c r="S341" s="31"/>
      <c r="T341" s="31"/>
      <c r="U341" s="31"/>
      <c r="V341" s="31"/>
      <c r="W341" s="31"/>
      <c r="X341" s="31"/>
      <c r="Y341" s="31"/>
      <c r="Z341" s="31"/>
      <c r="AA341" s="31"/>
      <c r="AB341" s="31"/>
      <c r="AC341" s="31"/>
    </row>
    <row r="342" spans="1:29" ht="30" customHeight="1" x14ac:dyDescent="0.25">
      <c r="A342" s="36"/>
      <c r="B342" s="12"/>
      <c r="C342" s="12"/>
      <c r="D342" s="12"/>
      <c r="E342" s="12"/>
      <c r="F342" s="13"/>
      <c r="G342" s="12"/>
      <c r="H342" s="27"/>
      <c r="I342" s="277" t="str">
        <f ca="1">IF(ListeInventaire3811[[#This Row],[Statut de la réalisation de l''action]]="Effectué","À jour",IF(ListeInventaire3811[[#This Row],[échéance de réalisation]]&lt;TODAY(),"En retard","À jour"))</f>
        <v>En retard</v>
      </c>
      <c r="J342" s="109"/>
      <c r="K342" s="10"/>
      <c r="L342" s="10"/>
      <c r="M342" s="31"/>
      <c r="N342" s="32"/>
      <c r="O342" s="31"/>
      <c r="P342" s="10"/>
      <c r="Q342" s="31"/>
      <c r="R342" s="31"/>
      <c r="S342" s="31"/>
      <c r="T342" s="31"/>
      <c r="U342" s="31"/>
      <c r="V342" s="31"/>
      <c r="W342" s="31"/>
      <c r="X342" s="31"/>
      <c r="Y342" s="31"/>
      <c r="Z342" s="31"/>
      <c r="AA342" s="31"/>
      <c r="AB342" s="31"/>
      <c r="AC342" s="31"/>
    </row>
    <row r="343" spans="1:29" ht="30" customHeight="1" x14ac:dyDescent="0.25">
      <c r="A343" s="36"/>
      <c r="B343" s="12"/>
      <c r="C343" s="12"/>
      <c r="D343" s="12"/>
      <c r="E343" s="12"/>
      <c r="F343" s="13"/>
      <c r="G343" s="12"/>
      <c r="H343" s="27"/>
      <c r="I343" s="277" t="str">
        <f ca="1">IF(ListeInventaire3811[[#This Row],[Statut de la réalisation de l''action]]="Effectué","À jour",IF(ListeInventaire3811[[#This Row],[échéance de réalisation]]&lt;TODAY(),"En retard","À jour"))</f>
        <v>En retard</v>
      </c>
      <c r="J343" s="109"/>
      <c r="K343" s="10"/>
      <c r="L343" s="10"/>
      <c r="M343" s="31"/>
      <c r="N343" s="32"/>
      <c r="O343" s="31"/>
      <c r="P343" s="10"/>
      <c r="Q343" s="31"/>
      <c r="R343" s="31"/>
      <c r="S343" s="31"/>
      <c r="T343" s="31"/>
      <c r="U343" s="31"/>
      <c r="V343" s="31"/>
      <c r="W343" s="31"/>
      <c r="X343" s="31"/>
      <c r="Y343" s="31"/>
      <c r="Z343" s="31"/>
      <c r="AA343" s="31"/>
      <c r="AB343" s="31"/>
      <c r="AC343" s="31"/>
    </row>
    <row r="344" spans="1:29" ht="30" customHeight="1" x14ac:dyDescent="0.25">
      <c r="A344" s="36"/>
      <c r="B344" s="12"/>
      <c r="C344" s="12"/>
      <c r="D344" s="12"/>
      <c r="E344" s="12"/>
      <c r="F344" s="13"/>
      <c r="G344" s="12"/>
      <c r="H344" s="27"/>
      <c r="I344" s="277" t="str">
        <f ca="1">IF(ListeInventaire3811[[#This Row],[Statut de la réalisation de l''action]]="Effectué","À jour",IF(ListeInventaire3811[[#This Row],[échéance de réalisation]]&lt;TODAY(),"En retard","À jour"))</f>
        <v>En retard</v>
      </c>
      <c r="J344" s="109"/>
      <c r="K344" s="10"/>
      <c r="L344" s="10"/>
      <c r="M344" s="31"/>
      <c r="N344" s="32"/>
      <c r="O344" s="31"/>
      <c r="P344" s="10"/>
      <c r="Q344" s="31"/>
      <c r="R344" s="31"/>
      <c r="S344" s="31"/>
      <c r="T344" s="31"/>
      <c r="U344" s="31"/>
      <c r="V344" s="31"/>
      <c r="W344" s="31"/>
      <c r="X344" s="31"/>
      <c r="Y344" s="31"/>
      <c r="Z344" s="31"/>
      <c r="AA344" s="31"/>
      <c r="AB344" s="31"/>
      <c r="AC344" s="31"/>
    </row>
    <row r="345" spans="1:29" ht="30" customHeight="1" x14ac:dyDescent="0.25">
      <c r="A345" s="36"/>
      <c r="B345" s="12"/>
      <c r="C345" s="12"/>
      <c r="D345" s="12"/>
      <c r="E345" s="12"/>
      <c r="F345" s="13"/>
      <c r="G345" s="12"/>
      <c r="H345" s="27"/>
      <c r="I345" s="277" t="str">
        <f ca="1">IF(ListeInventaire3811[[#This Row],[Statut de la réalisation de l''action]]="Effectué","À jour",IF(ListeInventaire3811[[#This Row],[échéance de réalisation]]&lt;TODAY(),"En retard","À jour"))</f>
        <v>En retard</v>
      </c>
      <c r="J345" s="109"/>
      <c r="K345" s="10"/>
      <c r="L345" s="10"/>
      <c r="M345" s="31"/>
      <c r="N345" s="32"/>
      <c r="O345" s="31"/>
      <c r="P345" s="10"/>
      <c r="Q345" s="31"/>
      <c r="R345" s="31"/>
      <c r="S345" s="31"/>
      <c r="T345" s="31"/>
      <c r="U345" s="31"/>
      <c r="V345" s="31"/>
      <c r="W345" s="31"/>
      <c r="X345" s="31"/>
      <c r="Y345" s="31"/>
      <c r="Z345" s="31"/>
      <c r="AA345" s="31"/>
      <c r="AB345" s="31"/>
      <c r="AC345" s="31"/>
    </row>
    <row r="346" spans="1:29" ht="30" customHeight="1" x14ac:dyDescent="0.25">
      <c r="A346" s="36"/>
      <c r="B346" s="12"/>
      <c r="C346" s="12"/>
      <c r="D346" s="12"/>
      <c r="E346" s="12"/>
      <c r="F346" s="13"/>
      <c r="G346" s="12"/>
      <c r="H346" s="27"/>
      <c r="I346" s="277" t="str">
        <f ca="1">IF(ListeInventaire3811[[#This Row],[Statut de la réalisation de l''action]]="Effectué","À jour",IF(ListeInventaire3811[[#This Row],[échéance de réalisation]]&lt;TODAY(),"En retard","À jour"))</f>
        <v>En retard</v>
      </c>
      <c r="J346" s="109"/>
      <c r="K346" s="10"/>
      <c r="L346" s="10"/>
      <c r="M346" s="31"/>
      <c r="N346" s="32"/>
      <c r="O346" s="31"/>
      <c r="P346" s="10"/>
      <c r="Q346" s="31"/>
      <c r="R346" s="31"/>
      <c r="S346" s="31"/>
      <c r="T346" s="31"/>
      <c r="U346" s="31"/>
      <c r="V346" s="31"/>
      <c r="W346" s="31"/>
      <c r="X346" s="31"/>
      <c r="Y346" s="31"/>
      <c r="Z346" s="31"/>
      <c r="AA346" s="31"/>
      <c r="AB346" s="31"/>
      <c r="AC346" s="31"/>
    </row>
    <row r="347" spans="1:29" ht="30" customHeight="1" x14ac:dyDescent="0.25">
      <c r="A347" s="36"/>
      <c r="B347" s="12"/>
      <c r="C347" s="12"/>
      <c r="D347" s="12"/>
      <c r="E347" s="12"/>
      <c r="F347" s="13"/>
      <c r="G347" s="12"/>
      <c r="H347" s="27"/>
      <c r="I347" s="277" t="str">
        <f ca="1">IF(ListeInventaire3811[[#This Row],[Statut de la réalisation de l''action]]="Effectué","À jour",IF(ListeInventaire3811[[#This Row],[échéance de réalisation]]&lt;TODAY(),"En retard","À jour"))</f>
        <v>En retard</v>
      </c>
      <c r="J347" s="109"/>
      <c r="K347" s="10"/>
      <c r="L347" s="10"/>
      <c r="M347" s="31"/>
      <c r="N347" s="32"/>
      <c r="O347" s="31"/>
      <c r="P347" s="10"/>
      <c r="Q347" s="31"/>
      <c r="R347" s="31"/>
      <c r="S347" s="31"/>
      <c r="T347" s="31"/>
      <c r="U347" s="31"/>
      <c r="V347" s="31"/>
      <c r="W347" s="31"/>
      <c r="X347" s="31"/>
      <c r="Y347" s="31"/>
      <c r="Z347" s="31"/>
      <c r="AA347" s="31"/>
      <c r="AB347" s="31"/>
      <c r="AC347" s="31"/>
    </row>
    <row r="348" spans="1:29" ht="30" customHeight="1" x14ac:dyDescent="0.25">
      <c r="A348" s="36"/>
      <c r="B348" s="12"/>
      <c r="C348" s="12"/>
      <c r="D348" s="12"/>
      <c r="E348" s="12"/>
      <c r="F348" s="13"/>
      <c r="G348" s="12"/>
      <c r="H348" s="27"/>
      <c r="I348" s="277" t="str">
        <f ca="1">IF(ListeInventaire3811[[#This Row],[Statut de la réalisation de l''action]]="Effectué","À jour",IF(ListeInventaire3811[[#This Row],[échéance de réalisation]]&lt;TODAY(),"En retard","À jour"))</f>
        <v>En retard</v>
      </c>
      <c r="J348" s="109"/>
      <c r="K348" s="10"/>
      <c r="L348" s="10"/>
      <c r="M348" s="31"/>
      <c r="N348" s="32"/>
      <c r="O348" s="31"/>
      <c r="P348" s="10"/>
      <c r="Q348" s="31"/>
      <c r="R348" s="31"/>
      <c r="S348" s="31"/>
      <c r="T348" s="31"/>
      <c r="U348" s="31"/>
      <c r="V348" s="31"/>
      <c r="W348" s="31"/>
      <c r="X348" s="31"/>
      <c r="Y348" s="31"/>
      <c r="Z348" s="31"/>
      <c r="AA348" s="31"/>
      <c r="AB348" s="31"/>
      <c r="AC348" s="31"/>
    </row>
    <row r="349" spans="1:29" ht="30" customHeight="1" x14ac:dyDescent="0.25">
      <c r="A349" s="36"/>
      <c r="B349" s="12"/>
      <c r="C349" s="12"/>
      <c r="D349" s="12"/>
      <c r="E349" s="12"/>
      <c r="F349" s="13"/>
      <c r="G349" s="12"/>
      <c r="H349" s="27"/>
      <c r="I349" s="277" t="str">
        <f ca="1">IF(ListeInventaire3811[[#This Row],[Statut de la réalisation de l''action]]="Effectué","À jour",IF(ListeInventaire3811[[#This Row],[échéance de réalisation]]&lt;TODAY(),"En retard","À jour"))</f>
        <v>En retard</v>
      </c>
      <c r="J349" s="109"/>
      <c r="K349" s="10"/>
      <c r="L349" s="10"/>
      <c r="M349" s="31"/>
      <c r="N349" s="32"/>
      <c r="O349" s="31"/>
      <c r="P349" s="10"/>
      <c r="Q349" s="31"/>
      <c r="R349" s="31"/>
      <c r="S349" s="31"/>
      <c r="T349" s="31"/>
      <c r="U349" s="31"/>
      <c r="V349" s="31"/>
      <c r="W349" s="31"/>
      <c r="X349" s="31"/>
      <c r="Y349" s="31"/>
      <c r="Z349" s="31"/>
      <c r="AA349" s="31"/>
      <c r="AB349" s="31"/>
      <c r="AC349" s="31"/>
    </row>
    <row r="350" spans="1:29" ht="30" customHeight="1" x14ac:dyDescent="0.25">
      <c r="A350" s="36"/>
      <c r="B350" s="12"/>
      <c r="C350" s="12"/>
      <c r="D350" s="12"/>
      <c r="E350" s="12"/>
      <c r="F350" s="13"/>
      <c r="G350" s="12"/>
      <c r="H350" s="27"/>
      <c r="I350" s="277" t="str">
        <f ca="1">IF(ListeInventaire3811[[#This Row],[Statut de la réalisation de l''action]]="Effectué","À jour",IF(ListeInventaire3811[[#This Row],[échéance de réalisation]]&lt;TODAY(),"En retard","À jour"))</f>
        <v>En retard</v>
      </c>
      <c r="J350" s="109"/>
      <c r="K350" s="10"/>
      <c r="L350" s="10"/>
      <c r="M350" s="31"/>
      <c r="N350" s="32"/>
      <c r="O350" s="31"/>
      <c r="P350" s="10"/>
      <c r="Q350" s="31"/>
      <c r="R350" s="31"/>
      <c r="S350" s="31"/>
      <c r="T350" s="31"/>
      <c r="U350" s="31"/>
      <c r="V350" s="31"/>
      <c r="W350" s="31"/>
      <c r="X350" s="31"/>
      <c r="Y350" s="31"/>
      <c r="Z350" s="31"/>
      <c r="AA350" s="31"/>
      <c r="AB350" s="31"/>
      <c r="AC350" s="31"/>
    </row>
    <row r="351" spans="1:29" ht="30" customHeight="1" x14ac:dyDescent="0.25">
      <c r="A351" s="36"/>
      <c r="B351" s="12"/>
      <c r="C351" s="12"/>
      <c r="D351" s="12"/>
      <c r="E351" s="12"/>
      <c r="F351" s="13"/>
      <c r="G351" s="12"/>
      <c r="H351" s="27"/>
      <c r="I351" s="277" t="str">
        <f ca="1">IF(ListeInventaire3811[[#This Row],[Statut de la réalisation de l''action]]="Effectué","À jour",IF(ListeInventaire3811[[#This Row],[échéance de réalisation]]&lt;TODAY(),"En retard","À jour"))</f>
        <v>En retard</v>
      </c>
      <c r="J351" s="109"/>
      <c r="K351" s="10"/>
      <c r="L351" s="10"/>
      <c r="M351" s="31"/>
      <c r="N351" s="32"/>
      <c r="O351" s="31"/>
      <c r="P351" s="10"/>
      <c r="Q351" s="31"/>
      <c r="R351" s="31"/>
      <c r="S351" s="31"/>
      <c r="T351" s="31"/>
      <c r="U351" s="31"/>
      <c r="V351" s="31"/>
      <c r="W351" s="31"/>
      <c r="X351" s="31"/>
      <c r="Y351" s="31"/>
      <c r="Z351" s="31"/>
      <c r="AA351" s="31"/>
      <c r="AB351" s="31"/>
      <c r="AC351" s="31"/>
    </row>
    <row r="352" spans="1:29" ht="30" customHeight="1" x14ac:dyDescent="0.25">
      <c r="A352" s="36"/>
      <c r="B352" s="12"/>
      <c r="C352" s="12"/>
      <c r="D352" s="12"/>
      <c r="E352" s="12"/>
      <c r="F352" s="13"/>
      <c r="G352" s="12"/>
      <c r="H352" s="27"/>
      <c r="I352" s="277" t="str">
        <f ca="1">IF(ListeInventaire3811[[#This Row],[Statut de la réalisation de l''action]]="Effectué","À jour",IF(ListeInventaire3811[[#This Row],[échéance de réalisation]]&lt;TODAY(),"En retard","À jour"))</f>
        <v>En retard</v>
      </c>
      <c r="J352" s="109"/>
      <c r="K352" s="10"/>
      <c r="L352" s="10"/>
      <c r="M352" s="31"/>
      <c r="N352" s="32"/>
      <c r="O352" s="31"/>
      <c r="P352" s="10"/>
      <c r="Q352" s="31"/>
      <c r="R352" s="31"/>
      <c r="S352" s="31"/>
      <c r="T352" s="31"/>
      <c r="U352" s="31"/>
      <c r="V352" s="31"/>
      <c r="W352" s="31"/>
      <c r="X352" s="31"/>
      <c r="Y352" s="31"/>
      <c r="Z352" s="31"/>
      <c r="AA352" s="31"/>
      <c r="AB352" s="31"/>
      <c r="AC352" s="31"/>
    </row>
    <row r="353" spans="1:29" ht="30" customHeight="1" x14ac:dyDescent="0.25">
      <c r="A353" s="36"/>
      <c r="B353" s="12"/>
      <c r="C353" s="12"/>
      <c r="D353" s="12"/>
      <c r="E353" s="12"/>
      <c r="F353" s="13"/>
      <c r="G353" s="12"/>
      <c r="H353" s="27"/>
      <c r="I353" s="277" t="str">
        <f ca="1">IF(ListeInventaire3811[[#This Row],[Statut de la réalisation de l''action]]="Effectué","À jour",IF(ListeInventaire3811[[#This Row],[échéance de réalisation]]&lt;TODAY(),"En retard","À jour"))</f>
        <v>En retard</v>
      </c>
      <c r="J353" s="109"/>
      <c r="K353" s="10"/>
      <c r="L353" s="10"/>
      <c r="M353" s="31"/>
      <c r="N353" s="32"/>
      <c r="O353" s="31"/>
      <c r="P353" s="10"/>
      <c r="Q353" s="31"/>
      <c r="R353" s="31"/>
      <c r="S353" s="31"/>
      <c r="T353" s="31"/>
      <c r="U353" s="31"/>
      <c r="V353" s="31"/>
      <c r="W353" s="31"/>
      <c r="X353" s="31"/>
      <c r="Y353" s="31"/>
      <c r="Z353" s="31"/>
      <c r="AA353" s="31"/>
      <c r="AB353" s="31"/>
      <c r="AC353" s="31"/>
    </row>
    <row r="354" spans="1:29" ht="30" customHeight="1" x14ac:dyDescent="0.25">
      <c r="A354" s="36"/>
      <c r="B354" s="12"/>
      <c r="C354" s="12"/>
      <c r="D354" s="12"/>
      <c r="E354" s="12"/>
      <c r="F354" s="13"/>
      <c r="G354" s="12"/>
      <c r="H354" s="27"/>
      <c r="I354" s="277" t="str">
        <f ca="1">IF(ListeInventaire3811[[#This Row],[Statut de la réalisation de l''action]]="Effectué","À jour",IF(ListeInventaire3811[[#This Row],[échéance de réalisation]]&lt;TODAY(),"En retard","À jour"))</f>
        <v>En retard</v>
      </c>
      <c r="J354" s="109"/>
      <c r="K354" s="10"/>
      <c r="L354" s="10"/>
      <c r="M354" s="31"/>
      <c r="N354" s="32"/>
      <c r="O354" s="31"/>
      <c r="P354" s="10"/>
      <c r="Q354" s="31"/>
      <c r="R354" s="31"/>
      <c r="S354" s="31"/>
      <c r="T354" s="31"/>
      <c r="U354" s="31"/>
      <c r="V354" s="31"/>
      <c r="W354" s="31"/>
      <c r="X354" s="31"/>
      <c r="Y354" s="31"/>
      <c r="Z354" s="31"/>
      <c r="AA354" s="31"/>
      <c r="AB354" s="31"/>
      <c r="AC354" s="31"/>
    </row>
    <row r="355" spans="1:29" ht="30" customHeight="1" x14ac:dyDescent="0.25">
      <c r="A355" s="36"/>
      <c r="B355" s="12"/>
      <c r="C355" s="12"/>
      <c r="D355" s="12"/>
      <c r="E355" s="12"/>
      <c r="F355" s="13"/>
      <c r="G355" s="12"/>
      <c r="H355" s="27"/>
      <c r="I355" s="277" t="str">
        <f ca="1">IF(ListeInventaire3811[[#This Row],[Statut de la réalisation de l''action]]="Effectué","À jour",IF(ListeInventaire3811[[#This Row],[échéance de réalisation]]&lt;TODAY(),"En retard","À jour"))</f>
        <v>En retard</v>
      </c>
      <c r="J355" s="109"/>
      <c r="K355" s="10"/>
      <c r="L355" s="10"/>
      <c r="M355" s="31"/>
      <c r="N355" s="32"/>
      <c r="O355" s="31"/>
      <c r="P355" s="10"/>
      <c r="Q355" s="31"/>
      <c r="R355" s="31"/>
      <c r="S355" s="31"/>
      <c r="T355" s="31"/>
      <c r="U355" s="31"/>
      <c r="V355" s="31"/>
      <c r="W355" s="31"/>
      <c r="X355" s="31"/>
      <c r="Y355" s="31"/>
      <c r="Z355" s="31"/>
      <c r="AA355" s="31"/>
      <c r="AB355" s="31"/>
      <c r="AC355" s="31"/>
    </row>
    <row r="356" spans="1:29" ht="30" customHeight="1" x14ac:dyDescent="0.25">
      <c r="A356" s="36"/>
      <c r="B356" s="12"/>
      <c r="C356" s="12"/>
      <c r="D356" s="12"/>
      <c r="E356" s="12"/>
      <c r="F356" s="13"/>
      <c r="G356" s="12"/>
      <c r="H356" s="27"/>
      <c r="I356" s="277" t="str">
        <f ca="1">IF(ListeInventaire3811[[#This Row],[Statut de la réalisation de l''action]]="Effectué","À jour",IF(ListeInventaire3811[[#This Row],[échéance de réalisation]]&lt;TODAY(),"En retard","À jour"))</f>
        <v>En retard</v>
      </c>
      <c r="J356" s="109"/>
      <c r="K356" s="10"/>
      <c r="L356" s="10"/>
      <c r="M356" s="31"/>
      <c r="N356" s="32"/>
      <c r="O356" s="31"/>
      <c r="P356" s="10"/>
      <c r="Q356" s="31"/>
      <c r="R356" s="31"/>
      <c r="S356" s="31"/>
      <c r="T356" s="31"/>
      <c r="U356" s="31"/>
      <c r="V356" s="31"/>
      <c r="W356" s="31"/>
      <c r="X356" s="31"/>
      <c r="Y356" s="31"/>
      <c r="Z356" s="31"/>
      <c r="AA356" s="31"/>
      <c r="AB356" s="31"/>
      <c r="AC356" s="31"/>
    </row>
    <row r="357" spans="1:29" ht="30" customHeight="1" x14ac:dyDescent="0.25">
      <c r="A357" s="36"/>
      <c r="B357" s="12"/>
      <c r="C357" s="12"/>
      <c r="D357" s="12"/>
      <c r="E357" s="12"/>
      <c r="F357" s="13"/>
      <c r="G357" s="12"/>
      <c r="H357" s="27"/>
      <c r="I357" s="277" t="str">
        <f ca="1">IF(ListeInventaire3811[[#This Row],[Statut de la réalisation de l''action]]="Effectué","À jour",IF(ListeInventaire3811[[#This Row],[échéance de réalisation]]&lt;TODAY(),"En retard","À jour"))</f>
        <v>En retard</v>
      </c>
      <c r="J357" s="109"/>
      <c r="K357" s="10"/>
      <c r="L357" s="10"/>
      <c r="M357" s="31"/>
      <c r="N357" s="32"/>
      <c r="O357" s="31"/>
      <c r="P357" s="10"/>
      <c r="Q357" s="31"/>
      <c r="R357" s="31"/>
      <c r="S357" s="31"/>
      <c r="T357" s="31"/>
      <c r="U357" s="31"/>
      <c r="V357" s="31"/>
      <c r="W357" s="31"/>
      <c r="X357" s="31"/>
      <c r="Y357" s="31"/>
      <c r="Z357" s="31"/>
      <c r="AA357" s="31"/>
      <c r="AB357" s="31"/>
      <c r="AC357" s="31"/>
    </row>
    <row r="358" spans="1:29" ht="30" customHeight="1" x14ac:dyDescent="0.25">
      <c r="A358" s="36"/>
      <c r="B358" s="12"/>
      <c r="C358" s="12"/>
      <c r="D358" s="12"/>
      <c r="E358" s="12"/>
      <c r="F358" s="13"/>
      <c r="G358" s="12"/>
      <c r="H358" s="27"/>
      <c r="I358" s="277" t="str">
        <f ca="1">IF(ListeInventaire3811[[#This Row],[Statut de la réalisation de l''action]]="Effectué","À jour",IF(ListeInventaire3811[[#This Row],[échéance de réalisation]]&lt;TODAY(),"En retard","À jour"))</f>
        <v>En retard</v>
      </c>
      <c r="J358" s="109"/>
      <c r="K358" s="10"/>
      <c r="L358" s="10"/>
      <c r="M358" s="31"/>
      <c r="N358" s="32"/>
      <c r="O358" s="31"/>
      <c r="P358" s="10"/>
      <c r="Q358" s="31"/>
      <c r="R358" s="31"/>
      <c r="S358" s="31"/>
      <c r="T358" s="31"/>
      <c r="U358" s="31"/>
      <c r="V358" s="31"/>
      <c r="W358" s="31"/>
      <c r="X358" s="31"/>
      <c r="Y358" s="31"/>
      <c r="Z358" s="31"/>
      <c r="AA358" s="31"/>
      <c r="AB358" s="31"/>
      <c r="AC358" s="31"/>
    </row>
    <row r="359" spans="1:29" ht="30" customHeight="1" x14ac:dyDescent="0.25">
      <c r="A359" s="36"/>
      <c r="B359" s="12"/>
      <c r="C359" s="12"/>
      <c r="D359" s="12"/>
      <c r="E359" s="12"/>
      <c r="F359" s="13"/>
      <c r="G359" s="12"/>
      <c r="H359" s="27"/>
      <c r="I359" s="277" t="str">
        <f ca="1">IF(ListeInventaire3811[[#This Row],[Statut de la réalisation de l''action]]="Effectué","À jour",IF(ListeInventaire3811[[#This Row],[échéance de réalisation]]&lt;TODAY(),"En retard","À jour"))</f>
        <v>En retard</v>
      </c>
      <c r="J359" s="109"/>
      <c r="K359" s="10"/>
      <c r="L359" s="10"/>
      <c r="M359" s="31"/>
      <c r="N359" s="32"/>
      <c r="O359" s="31"/>
      <c r="P359" s="10"/>
      <c r="Q359" s="31"/>
      <c r="R359" s="31"/>
      <c r="S359" s="31"/>
      <c r="T359" s="31"/>
      <c r="U359" s="31"/>
      <c r="V359" s="31"/>
      <c r="W359" s="31"/>
      <c r="X359" s="31"/>
      <c r="Y359" s="31"/>
      <c r="Z359" s="31"/>
      <c r="AA359" s="31"/>
      <c r="AB359" s="31"/>
      <c r="AC359" s="31"/>
    </row>
    <row r="360" spans="1:29" ht="30" customHeight="1" x14ac:dyDescent="0.25">
      <c r="A360" s="36"/>
      <c r="B360" s="12"/>
      <c r="C360" s="12"/>
      <c r="D360" s="12"/>
      <c r="E360" s="12"/>
      <c r="F360" s="13"/>
      <c r="G360" s="12"/>
      <c r="H360" s="27"/>
      <c r="I360" s="277" t="str">
        <f ca="1">IF(ListeInventaire3811[[#This Row],[Statut de la réalisation de l''action]]="Effectué","À jour",IF(ListeInventaire3811[[#This Row],[échéance de réalisation]]&lt;TODAY(),"En retard","À jour"))</f>
        <v>En retard</v>
      </c>
      <c r="J360" s="109"/>
      <c r="K360" s="10"/>
      <c r="L360" s="10"/>
      <c r="M360" s="31"/>
      <c r="N360" s="32"/>
      <c r="O360" s="31"/>
      <c r="P360" s="10"/>
      <c r="Q360" s="31"/>
      <c r="R360" s="31"/>
      <c r="S360" s="31"/>
      <c r="T360" s="31"/>
      <c r="U360" s="31"/>
      <c r="V360" s="31"/>
      <c r="W360" s="31"/>
      <c r="X360" s="31"/>
      <c r="Y360" s="31"/>
      <c r="Z360" s="31"/>
      <c r="AA360" s="31"/>
      <c r="AB360" s="31"/>
      <c r="AC360" s="31"/>
    </row>
    <row r="361" spans="1:29" ht="30" customHeight="1" x14ac:dyDescent="0.25">
      <c r="A361" s="36"/>
      <c r="B361" s="12"/>
      <c r="C361" s="12"/>
      <c r="D361" s="12"/>
      <c r="E361" s="12"/>
      <c r="F361" s="13"/>
      <c r="G361" s="12"/>
      <c r="H361" s="27"/>
      <c r="I361" s="277" t="str">
        <f ca="1">IF(ListeInventaire3811[[#This Row],[Statut de la réalisation de l''action]]="Effectué","À jour",IF(ListeInventaire3811[[#This Row],[échéance de réalisation]]&lt;TODAY(),"En retard","À jour"))</f>
        <v>En retard</v>
      </c>
      <c r="J361" s="109"/>
      <c r="K361" s="10"/>
      <c r="L361" s="10"/>
      <c r="M361" s="31"/>
      <c r="N361" s="32"/>
      <c r="O361" s="31"/>
      <c r="P361" s="10"/>
      <c r="Q361" s="31"/>
      <c r="R361" s="31"/>
      <c r="S361" s="31"/>
      <c r="T361" s="31"/>
      <c r="U361" s="31"/>
      <c r="V361" s="31"/>
      <c r="W361" s="31"/>
      <c r="X361" s="31"/>
      <c r="Y361" s="31"/>
      <c r="Z361" s="31"/>
      <c r="AA361" s="31"/>
      <c r="AB361" s="31"/>
      <c r="AC361" s="31"/>
    </row>
    <row r="362" spans="1:29" ht="30" customHeight="1" x14ac:dyDescent="0.25">
      <c r="A362" s="36"/>
      <c r="B362" s="12"/>
      <c r="C362" s="12"/>
      <c r="D362" s="12"/>
      <c r="E362" s="12"/>
      <c r="F362" s="13"/>
      <c r="G362" s="12"/>
      <c r="H362" s="27"/>
      <c r="I362" s="277" t="str">
        <f ca="1">IF(ListeInventaire3811[[#This Row],[Statut de la réalisation de l''action]]="Effectué","À jour",IF(ListeInventaire3811[[#This Row],[échéance de réalisation]]&lt;TODAY(),"En retard","À jour"))</f>
        <v>En retard</v>
      </c>
      <c r="J362" s="109"/>
      <c r="K362" s="10"/>
      <c r="L362" s="10"/>
      <c r="M362" s="31"/>
      <c r="N362" s="32"/>
      <c r="O362" s="31"/>
      <c r="P362" s="10"/>
      <c r="Q362" s="31"/>
      <c r="R362" s="31"/>
      <c r="S362" s="31"/>
      <c r="T362" s="31"/>
      <c r="U362" s="31"/>
      <c r="V362" s="31"/>
      <c r="W362" s="31"/>
      <c r="X362" s="31"/>
      <c r="Y362" s="31"/>
      <c r="Z362" s="31"/>
      <c r="AA362" s="31"/>
      <c r="AB362" s="31"/>
      <c r="AC362" s="31"/>
    </row>
    <row r="363" spans="1:29" ht="30" customHeight="1" x14ac:dyDescent="0.25">
      <c r="A363" s="36"/>
      <c r="B363" s="12"/>
      <c r="C363" s="12"/>
      <c r="D363" s="12"/>
      <c r="E363" s="12"/>
      <c r="F363" s="13"/>
      <c r="G363" s="12"/>
      <c r="H363" s="27"/>
      <c r="I363" s="277" t="str">
        <f ca="1">IF(ListeInventaire3811[[#This Row],[Statut de la réalisation de l''action]]="Effectué","À jour",IF(ListeInventaire3811[[#This Row],[échéance de réalisation]]&lt;TODAY(),"En retard","À jour"))</f>
        <v>En retard</v>
      </c>
      <c r="J363" s="109"/>
      <c r="K363" s="10"/>
      <c r="L363" s="10"/>
      <c r="M363" s="31"/>
      <c r="N363" s="32"/>
      <c r="O363" s="31"/>
      <c r="P363" s="10"/>
      <c r="Q363" s="31"/>
      <c r="R363" s="31"/>
      <c r="S363" s="31"/>
      <c r="T363" s="31"/>
      <c r="U363" s="31"/>
      <c r="V363" s="31"/>
      <c r="W363" s="31"/>
      <c r="X363" s="31"/>
      <c r="Y363" s="31"/>
      <c r="Z363" s="31"/>
      <c r="AA363" s="31"/>
      <c r="AB363" s="31"/>
      <c r="AC363" s="31"/>
    </row>
    <row r="364" spans="1:29" ht="30" customHeight="1" x14ac:dyDescent="0.25">
      <c r="A364" s="36"/>
      <c r="B364" s="12"/>
      <c r="C364" s="12"/>
      <c r="D364" s="12"/>
      <c r="E364" s="12"/>
      <c r="F364" s="13"/>
      <c r="G364" s="12"/>
      <c r="H364" s="27"/>
      <c r="I364" s="277" t="str">
        <f ca="1">IF(ListeInventaire3811[[#This Row],[Statut de la réalisation de l''action]]="Effectué","À jour",IF(ListeInventaire3811[[#This Row],[échéance de réalisation]]&lt;TODAY(),"En retard","À jour"))</f>
        <v>En retard</v>
      </c>
      <c r="J364" s="109"/>
      <c r="K364" s="10"/>
      <c r="L364" s="10"/>
      <c r="M364" s="31"/>
      <c r="N364" s="32"/>
      <c r="O364" s="31"/>
      <c r="P364" s="10"/>
      <c r="Q364" s="31"/>
      <c r="R364" s="31"/>
      <c r="S364" s="31"/>
      <c r="T364" s="31"/>
      <c r="U364" s="31"/>
      <c r="V364" s="31"/>
      <c r="W364" s="31"/>
      <c r="X364" s="31"/>
      <c r="Y364" s="31"/>
      <c r="Z364" s="31"/>
      <c r="AA364" s="31"/>
      <c r="AB364" s="31"/>
      <c r="AC364" s="31"/>
    </row>
    <row r="365" spans="1:29" ht="30" customHeight="1" x14ac:dyDescent="0.25">
      <c r="A365" s="36"/>
      <c r="B365" s="12"/>
      <c r="C365" s="12"/>
      <c r="D365" s="12"/>
      <c r="E365" s="12"/>
      <c r="F365" s="13"/>
      <c r="G365" s="12"/>
      <c r="H365" s="27"/>
      <c r="I365" s="277" t="str">
        <f ca="1">IF(ListeInventaire3811[[#This Row],[Statut de la réalisation de l''action]]="Effectué","À jour",IF(ListeInventaire3811[[#This Row],[échéance de réalisation]]&lt;TODAY(),"En retard","À jour"))</f>
        <v>En retard</v>
      </c>
      <c r="J365" s="109"/>
      <c r="K365" s="10"/>
      <c r="L365" s="10"/>
      <c r="M365" s="31"/>
      <c r="N365" s="32"/>
      <c r="O365" s="31"/>
      <c r="P365" s="10"/>
      <c r="Q365" s="31"/>
      <c r="R365" s="31"/>
      <c r="S365" s="31"/>
      <c r="T365" s="31"/>
      <c r="U365" s="31"/>
      <c r="V365" s="31"/>
      <c r="W365" s="31"/>
      <c r="X365" s="31"/>
      <c r="Y365" s="31"/>
      <c r="Z365" s="31"/>
      <c r="AA365" s="31"/>
      <c r="AB365" s="31"/>
      <c r="AC365" s="31"/>
    </row>
    <row r="366" spans="1:29" ht="30" customHeight="1" x14ac:dyDescent="0.25">
      <c r="A366" s="36"/>
      <c r="B366" s="12"/>
      <c r="C366" s="12"/>
      <c r="D366" s="12"/>
      <c r="E366" s="12"/>
      <c r="F366" s="13"/>
      <c r="G366" s="12"/>
      <c r="H366" s="27"/>
      <c r="I366" s="277" t="str">
        <f ca="1">IF(ListeInventaire3811[[#This Row],[Statut de la réalisation de l''action]]="Effectué","À jour",IF(ListeInventaire3811[[#This Row],[échéance de réalisation]]&lt;TODAY(),"En retard","À jour"))</f>
        <v>En retard</v>
      </c>
      <c r="J366" s="109"/>
      <c r="K366" s="10"/>
      <c r="L366" s="10"/>
      <c r="M366" s="31"/>
      <c r="N366" s="32"/>
      <c r="O366" s="31"/>
      <c r="P366" s="10"/>
      <c r="Q366" s="31"/>
      <c r="R366" s="31"/>
      <c r="S366" s="31"/>
      <c r="T366" s="31"/>
      <c r="U366" s="31"/>
      <c r="V366" s="31"/>
      <c r="W366" s="31"/>
      <c r="X366" s="31"/>
      <c r="Y366" s="31"/>
      <c r="Z366" s="31"/>
      <c r="AA366" s="31"/>
      <c r="AB366" s="31"/>
      <c r="AC366" s="31"/>
    </row>
    <row r="367" spans="1:29" ht="30" customHeight="1" x14ac:dyDescent="0.25">
      <c r="A367" s="36"/>
      <c r="B367" s="12"/>
      <c r="C367" s="12"/>
      <c r="D367" s="12"/>
      <c r="E367" s="12"/>
      <c r="F367" s="13"/>
      <c r="G367" s="12"/>
      <c r="H367" s="27"/>
      <c r="I367" s="277" t="str">
        <f ca="1">IF(ListeInventaire3811[[#This Row],[Statut de la réalisation de l''action]]="Effectué","À jour",IF(ListeInventaire3811[[#This Row],[échéance de réalisation]]&lt;TODAY(),"En retard","À jour"))</f>
        <v>En retard</v>
      </c>
      <c r="J367" s="109"/>
      <c r="K367" s="10"/>
      <c r="L367" s="10"/>
      <c r="M367" s="31"/>
      <c r="N367" s="32"/>
      <c r="O367" s="31"/>
      <c r="P367" s="10"/>
      <c r="Q367" s="31"/>
      <c r="R367" s="31"/>
      <c r="S367" s="31"/>
      <c r="T367" s="31"/>
      <c r="U367" s="31"/>
      <c r="V367" s="31"/>
      <c r="W367" s="31"/>
      <c r="X367" s="31"/>
      <c r="Y367" s="31"/>
      <c r="Z367" s="31"/>
      <c r="AA367" s="31"/>
      <c r="AB367" s="31"/>
      <c r="AC367" s="31"/>
    </row>
    <row r="368" spans="1:29" ht="30" customHeight="1" x14ac:dyDescent="0.25">
      <c r="A368" s="36"/>
      <c r="B368" s="12"/>
      <c r="C368" s="12"/>
      <c r="D368" s="12"/>
      <c r="E368" s="12"/>
      <c r="F368" s="13"/>
      <c r="G368" s="12"/>
      <c r="H368" s="27"/>
      <c r="I368" s="277" t="str">
        <f ca="1">IF(ListeInventaire3811[[#This Row],[Statut de la réalisation de l''action]]="Effectué","À jour",IF(ListeInventaire3811[[#This Row],[échéance de réalisation]]&lt;TODAY(),"En retard","À jour"))</f>
        <v>En retard</v>
      </c>
      <c r="J368" s="109"/>
      <c r="K368" s="10"/>
      <c r="L368" s="10"/>
      <c r="M368" s="31"/>
      <c r="N368" s="32"/>
      <c r="O368" s="31"/>
      <c r="P368" s="10"/>
      <c r="Q368" s="31"/>
      <c r="R368" s="31"/>
      <c r="S368" s="31"/>
      <c r="T368" s="31"/>
      <c r="U368" s="31"/>
      <c r="V368" s="31"/>
      <c r="W368" s="31"/>
      <c r="X368" s="31"/>
      <c r="Y368" s="31"/>
      <c r="Z368" s="31"/>
      <c r="AA368" s="31"/>
      <c r="AB368" s="31"/>
      <c r="AC368" s="31"/>
    </row>
    <row r="369" spans="1:29" ht="30" customHeight="1" x14ac:dyDescent="0.25">
      <c r="A369" s="36"/>
      <c r="B369" s="12"/>
      <c r="C369" s="12"/>
      <c r="D369" s="12"/>
      <c r="E369" s="12"/>
      <c r="F369" s="13"/>
      <c r="G369" s="12"/>
      <c r="H369" s="27"/>
      <c r="I369" s="277" t="str">
        <f ca="1">IF(ListeInventaire3811[[#This Row],[Statut de la réalisation de l''action]]="Effectué","À jour",IF(ListeInventaire3811[[#This Row],[échéance de réalisation]]&lt;TODAY(),"En retard","À jour"))</f>
        <v>En retard</v>
      </c>
      <c r="J369" s="109"/>
      <c r="K369" s="10"/>
      <c r="L369" s="10"/>
      <c r="M369" s="31"/>
      <c r="N369" s="32"/>
      <c r="O369" s="31"/>
      <c r="P369" s="10"/>
      <c r="Q369" s="31"/>
      <c r="R369" s="31"/>
      <c r="S369" s="31"/>
      <c r="T369" s="31"/>
      <c r="U369" s="31"/>
      <c r="V369" s="31"/>
      <c r="W369" s="31"/>
      <c r="X369" s="31"/>
      <c r="Y369" s="31"/>
      <c r="Z369" s="31"/>
      <c r="AA369" s="31"/>
      <c r="AB369" s="31"/>
      <c r="AC369" s="31"/>
    </row>
    <row r="370" spans="1:29" ht="30" customHeight="1" x14ac:dyDescent="0.25">
      <c r="A370" s="36"/>
      <c r="B370" s="12"/>
      <c r="C370" s="12"/>
      <c r="D370" s="12"/>
      <c r="E370" s="12"/>
      <c r="F370" s="13"/>
      <c r="G370" s="12"/>
      <c r="H370" s="27"/>
      <c r="I370" s="277" t="str">
        <f ca="1">IF(ListeInventaire3811[[#This Row],[Statut de la réalisation de l''action]]="Effectué","À jour",IF(ListeInventaire3811[[#This Row],[échéance de réalisation]]&lt;TODAY(),"En retard","À jour"))</f>
        <v>En retard</v>
      </c>
      <c r="J370" s="109"/>
      <c r="K370" s="10"/>
      <c r="L370" s="10"/>
      <c r="M370" s="31"/>
      <c r="N370" s="32"/>
      <c r="O370" s="31"/>
      <c r="P370" s="10"/>
      <c r="Q370" s="31"/>
      <c r="R370" s="31"/>
      <c r="S370" s="31"/>
      <c r="T370" s="31"/>
      <c r="U370" s="31"/>
      <c r="V370" s="31"/>
      <c r="W370" s="31"/>
      <c r="X370" s="31"/>
      <c r="Y370" s="31"/>
      <c r="Z370" s="31"/>
      <c r="AA370" s="31"/>
      <c r="AB370" s="31"/>
      <c r="AC370" s="31"/>
    </row>
    <row r="371" spans="1:29" ht="30" customHeight="1" x14ac:dyDescent="0.25">
      <c r="A371" s="36"/>
      <c r="B371" s="12"/>
      <c r="C371" s="12"/>
      <c r="D371" s="12"/>
      <c r="E371" s="12"/>
      <c r="F371" s="13"/>
      <c r="G371" s="12"/>
      <c r="H371" s="27"/>
      <c r="I371" s="277" t="str">
        <f ca="1">IF(ListeInventaire3811[[#This Row],[Statut de la réalisation de l''action]]="Effectué","À jour",IF(ListeInventaire3811[[#This Row],[échéance de réalisation]]&lt;TODAY(),"En retard","À jour"))</f>
        <v>En retard</v>
      </c>
      <c r="J371" s="109"/>
      <c r="K371" s="10"/>
      <c r="L371" s="10"/>
      <c r="M371" s="31"/>
      <c r="N371" s="32"/>
      <c r="O371" s="31"/>
      <c r="P371" s="10"/>
      <c r="Q371" s="31"/>
      <c r="R371" s="31"/>
      <c r="S371" s="31"/>
      <c r="T371" s="31"/>
      <c r="U371" s="31"/>
      <c r="V371" s="31"/>
      <c r="W371" s="31"/>
      <c r="X371" s="31"/>
      <c r="Y371" s="31"/>
      <c r="Z371" s="31"/>
      <c r="AA371" s="31"/>
      <c r="AB371" s="31"/>
      <c r="AC371" s="31"/>
    </row>
    <row r="372" spans="1:29" ht="30" customHeight="1" x14ac:dyDescent="0.25">
      <c r="A372" s="36"/>
      <c r="B372" s="12"/>
      <c r="C372" s="12"/>
      <c r="D372" s="12"/>
      <c r="E372" s="12"/>
      <c r="F372" s="13"/>
      <c r="G372" s="12"/>
      <c r="H372" s="27"/>
      <c r="I372" s="277" t="str">
        <f ca="1">IF(ListeInventaire3811[[#This Row],[Statut de la réalisation de l''action]]="Effectué","À jour",IF(ListeInventaire3811[[#This Row],[échéance de réalisation]]&lt;TODAY(),"En retard","À jour"))</f>
        <v>En retard</v>
      </c>
      <c r="J372" s="109"/>
      <c r="K372" s="10"/>
      <c r="L372" s="10"/>
      <c r="M372" s="31"/>
      <c r="N372" s="32"/>
      <c r="O372" s="31"/>
      <c r="P372" s="10"/>
      <c r="Q372" s="31"/>
      <c r="R372" s="31"/>
      <c r="S372" s="31"/>
      <c r="T372" s="31"/>
      <c r="U372" s="31"/>
      <c r="V372" s="31"/>
      <c r="W372" s="31"/>
      <c r="X372" s="31"/>
      <c r="Y372" s="31"/>
      <c r="Z372" s="31"/>
      <c r="AA372" s="31"/>
      <c r="AB372" s="31"/>
      <c r="AC372" s="31"/>
    </row>
    <row r="373" spans="1:29" ht="30" customHeight="1" x14ac:dyDescent="0.25">
      <c r="A373" s="36"/>
      <c r="B373" s="12"/>
      <c r="C373" s="12"/>
      <c r="D373" s="12"/>
      <c r="E373" s="12"/>
      <c r="F373" s="13"/>
      <c r="G373" s="12"/>
      <c r="H373" s="27"/>
      <c r="I373" s="277" t="str">
        <f ca="1">IF(ListeInventaire3811[[#This Row],[Statut de la réalisation de l''action]]="Effectué","À jour",IF(ListeInventaire3811[[#This Row],[échéance de réalisation]]&lt;TODAY(),"En retard","À jour"))</f>
        <v>En retard</v>
      </c>
      <c r="J373" s="109"/>
      <c r="K373" s="10"/>
      <c r="L373" s="10"/>
      <c r="M373" s="31"/>
      <c r="N373" s="32"/>
      <c r="O373" s="31"/>
      <c r="P373" s="10"/>
      <c r="Q373" s="31"/>
      <c r="R373" s="31"/>
      <c r="S373" s="31"/>
      <c r="T373" s="31"/>
      <c r="U373" s="31"/>
      <c r="V373" s="31"/>
      <c r="W373" s="31"/>
      <c r="X373" s="31"/>
      <c r="Y373" s="31"/>
      <c r="Z373" s="31"/>
      <c r="AA373" s="31"/>
      <c r="AB373" s="31"/>
      <c r="AC373" s="31"/>
    </row>
    <row r="374" spans="1:29" ht="30" customHeight="1" x14ac:dyDescent="0.25">
      <c r="A374" s="36"/>
      <c r="B374" s="12"/>
      <c r="C374" s="12"/>
      <c r="D374" s="12"/>
      <c r="E374" s="12"/>
      <c r="F374" s="13"/>
      <c r="G374" s="12"/>
      <c r="H374" s="27"/>
      <c r="I374" s="277" t="str">
        <f ca="1">IF(ListeInventaire3811[[#This Row],[Statut de la réalisation de l''action]]="Effectué","À jour",IF(ListeInventaire3811[[#This Row],[échéance de réalisation]]&lt;TODAY(),"En retard","À jour"))</f>
        <v>En retard</v>
      </c>
      <c r="J374" s="109"/>
      <c r="K374" s="10"/>
      <c r="L374" s="10"/>
      <c r="M374" s="31"/>
      <c r="N374" s="32"/>
      <c r="O374" s="31"/>
      <c r="P374" s="10"/>
      <c r="Q374" s="31"/>
      <c r="R374" s="31"/>
      <c r="S374" s="31"/>
      <c r="T374" s="31"/>
      <c r="U374" s="31"/>
      <c r="V374" s="31"/>
      <c r="W374" s="31"/>
      <c r="X374" s="31"/>
      <c r="Y374" s="31"/>
      <c r="Z374" s="31"/>
      <c r="AA374" s="31"/>
      <c r="AB374" s="31"/>
      <c r="AC374" s="31"/>
    </row>
    <row r="375" spans="1:29" ht="30" customHeight="1" x14ac:dyDescent="0.25">
      <c r="A375" s="36"/>
      <c r="B375" s="12"/>
      <c r="C375" s="12"/>
      <c r="D375" s="12"/>
      <c r="E375" s="12"/>
      <c r="F375" s="13"/>
      <c r="G375" s="12"/>
      <c r="H375" s="27"/>
      <c r="I375" s="277" t="str">
        <f ca="1">IF(ListeInventaire3811[[#This Row],[Statut de la réalisation de l''action]]="Effectué","À jour",IF(ListeInventaire3811[[#This Row],[échéance de réalisation]]&lt;TODAY(),"En retard","À jour"))</f>
        <v>En retard</v>
      </c>
      <c r="J375" s="109"/>
      <c r="K375" s="10"/>
      <c r="L375" s="10"/>
      <c r="M375" s="31"/>
      <c r="N375" s="32"/>
      <c r="O375" s="31"/>
      <c r="P375" s="10"/>
      <c r="Q375" s="31"/>
      <c r="R375" s="31"/>
      <c r="S375" s="31"/>
      <c r="T375" s="31"/>
      <c r="U375" s="31"/>
      <c r="V375" s="31"/>
      <c r="W375" s="31"/>
      <c r="X375" s="31"/>
      <c r="Y375" s="31"/>
      <c r="Z375" s="31"/>
      <c r="AA375" s="31"/>
      <c r="AB375" s="31"/>
      <c r="AC375" s="31"/>
    </row>
    <row r="376" spans="1:29" ht="30" customHeight="1" x14ac:dyDescent="0.25">
      <c r="A376" s="36"/>
      <c r="B376" s="12"/>
      <c r="C376" s="12"/>
      <c r="D376" s="12"/>
      <c r="E376" s="12"/>
      <c r="F376" s="13"/>
      <c r="G376" s="12"/>
      <c r="H376" s="27"/>
      <c r="I376" s="277" t="str">
        <f ca="1">IF(ListeInventaire3811[[#This Row],[Statut de la réalisation de l''action]]="Effectué","À jour",IF(ListeInventaire3811[[#This Row],[échéance de réalisation]]&lt;TODAY(),"En retard","À jour"))</f>
        <v>En retard</v>
      </c>
      <c r="J376" s="109"/>
      <c r="K376" s="10"/>
      <c r="L376" s="10"/>
      <c r="M376" s="31"/>
      <c r="N376" s="32"/>
      <c r="O376" s="31"/>
      <c r="P376" s="10"/>
      <c r="Q376" s="31"/>
      <c r="R376" s="31"/>
      <c r="S376" s="31"/>
      <c r="T376" s="31"/>
      <c r="U376" s="31"/>
      <c r="V376" s="31"/>
      <c r="W376" s="31"/>
      <c r="X376" s="31"/>
      <c r="Y376" s="31"/>
      <c r="Z376" s="31"/>
      <c r="AA376" s="31"/>
      <c r="AB376" s="31"/>
      <c r="AC376" s="31"/>
    </row>
    <row r="377" spans="1:29" ht="30" customHeight="1" x14ac:dyDescent="0.25">
      <c r="A377" s="36"/>
      <c r="B377" s="12"/>
      <c r="C377" s="12"/>
      <c r="D377" s="12"/>
      <c r="E377" s="12"/>
      <c r="F377" s="13"/>
      <c r="G377" s="12"/>
      <c r="H377" s="27"/>
      <c r="I377" s="277" t="str">
        <f ca="1">IF(ListeInventaire3811[[#This Row],[Statut de la réalisation de l''action]]="Effectué","À jour",IF(ListeInventaire3811[[#This Row],[échéance de réalisation]]&lt;TODAY(),"En retard","À jour"))</f>
        <v>En retard</v>
      </c>
      <c r="J377" s="109"/>
      <c r="K377" s="10"/>
      <c r="L377" s="10"/>
      <c r="M377" s="31"/>
      <c r="N377" s="32"/>
      <c r="O377" s="31"/>
      <c r="P377" s="10"/>
      <c r="Q377" s="31"/>
      <c r="R377" s="31"/>
      <c r="S377" s="31"/>
      <c r="T377" s="31"/>
      <c r="U377" s="31"/>
      <c r="V377" s="31"/>
      <c r="W377" s="31"/>
      <c r="X377" s="31"/>
      <c r="Y377" s="31"/>
      <c r="Z377" s="31"/>
      <c r="AA377" s="31"/>
      <c r="AB377" s="31"/>
      <c r="AC377" s="31"/>
    </row>
    <row r="378" spans="1:29" ht="30" customHeight="1" x14ac:dyDescent="0.25">
      <c r="A378" s="36"/>
      <c r="B378" s="12"/>
      <c r="C378" s="12"/>
      <c r="D378" s="12"/>
      <c r="E378" s="12"/>
      <c r="F378" s="13"/>
      <c r="G378" s="12"/>
      <c r="H378" s="27"/>
      <c r="I378" s="277" t="str">
        <f ca="1">IF(ListeInventaire3811[[#This Row],[Statut de la réalisation de l''action]]="Effectué","À jour",IF(ListeInventaire3811[[#This Row],[échéance de réalisation]]&lt;TODAY(),"En retard","À jour"))</f>
        <v>En retard</v>
      </c>
      <c r="J378" s="109"/>
      <c r="K378" s="10"/>
      <c r="L378" s="10"/>
      <c r="M378" s="31"/>
      <c r="N378" s="32"/>
      <c r="O378" s="31"/>
      <c r="P378" s="10"/>
      <c r="Q378" s="31"/>
      <c r="R378" s="31"/>
      <c r="S378" s="31"/>
      <c r="T378" s="31"/>
      <c r="U378" s="31"/>
      <c r="V378" s="31"/>
      <c r="W378" s="31"/>
      <c r="X378" s="31"/>
      <c r="Y378" s="31"/>
      <c r="Z378" s="31"/>
      <c r="AA378" s="31"/>
      <c r="AB378" s="31"/>
      <c r="AC378" s="31"/>
    </row>
    <row r="379" spans="1:29" ht="30" customHeight="1" x14ac:dyDescent="0.25">
      <c r="A379" s="36"/>
      <c r="B379" s="12"/>
      <c r="C379" s="12"/>
      <c r="D379" s="12"/>
      <c r="E379" s="12"/>
      <c r="F379" s="13"/>
      <c r="G379" s="12"/>
      <c r="H379" s="27"/>
      <c r="I379" s="277" t="str">
        <f ca="1">IF(ListeInventaire3811[[#This Row],[Statut de la réalisation de l''action]]="Effectué","À jour",IF(ListeInventaire3811[[#This Row],[échéance de réalisation]]&lt;TODAY(),"En retard","À jour"))</f>
        <v>En retard</v>
      </c>
      <c r="J379" s="109"/>
      <c r="K379" s="10"/>
      <c r="L379" s="10"/>
      <c r="M379" s="31"/>
      <c r="N379" s="32"/>
      <c r="O379" s="31"/>
      <c r="P379" s="10"/>
      <c r="Q379" s="31"/>
      <c r="R379" s="31"/>
      <c r="S379" s="31"/>
      <c r="T379" s="31"/>
      <c r="U379" s="31"/>
      <c r="V379" s="31"/>
      <c r="W379" s="31"/>
      <c r="X379" s="31"/>
      <c r="Y379" s="31"/>
      <c r="Z379" s="31"/>
      <c r="AA379" s="31"/>
      <c r="AB379" s="31"/>
      <c r="AC379" s="31"/>
    </row>
    <row r="380" spans="1:29" ht="30" customHeight="1" x14ac:dyDescent="0.25">
      <c r="A380" s="36"/>
      <c r="B380" s="12"/>
      <c r="C380" s="12"/>
      <c r="D380" s="12"/>
      <c r="E380" s="12"/>
      <c r="F380" s="13"/>
      <c r="G380" s="12"/>
      <c r="H380" s="27"/>
      <c r="I380" s="277" t="str">
        <f ca="1">IF(ListeInventaire3811[[#This Row],[Statut de la réalisation de l''action]]="Effectué","À jour",IF(ListeInventaire3811[[#This Row],[échéance de réalisation]]&lt;TODAY(),"En retard","À jour"))</f>
        <v>En retard</v>
      </c>
      <c r="J380" s="109"/>
      <c r="K380" s="10"/>
      <c r="L380" s="10"/>
      <c r="M380" s="31"/>
      <c r="N380" s="32"/>
      <c r="O380" s="31"/>
      <c r="P380" s="10"/>
      <c r="Q380" s="31"/>
      <c r="R380" s="31"/>
      <c r="S380" s="31"/>
      <c r="T380" s="31"/>
      <c r="U380" s="31"/>
      <c r="V380" s="31"/>
      <c r="W380" s="31"/>
      <c r="X380" s="31"/>
      <c r="Y380" s="31"/>
      <c r="Z380" s="31"/>
      <c r="AA380" s="31"/>
      <c r="AB380" s="31"/>
      <c r="AC380" s="31"/>
    </row>
    <row r="381" spans="1:29" ht="30" customHeight="1" x14ac:dyDescent="0.25">
      <c r="A381" s="36"/>
      <c r="B381" s="12"/>
      <c r="C381" s="12"/>
      <c r="D381" s="12"/>
      <c r="E381" s="12"/>
      <c r="F381" s="13"/>
      <c r="G381" s="12"/>
      <c r="H381" s="27"/>
      <c r="I381" s="277" t="str">
        <f ca="1">IF(ListeInventaire3811[[#This Row],[Statut de la réalisation de l''action]]="Effectué","À jour",IF(ListeInventaire3811[[#This Row],[échéance de réalisation]]&lt;TODAY(),"En retard","À jour"))</f>
        <v>En retard</v>
      </c>
      <c r="J381" s="109"/>
      <c r="K381" s="10"/>
      <c r="L381" s="10"/>
      <c r="M381" s="31"/>
      <c r="N381" s="32"/>
      <c r="O381" s="31"/>
      <c r="P381" s="10"/>
      <c r="Q381" s="31"/>
      <c r="R381" s="31"/>
      <c r="S381" s="31"/>
      <c r="T381" s="31"/>
      <c r="U381" s="31"/>
      <c r="V381" s="31"/>
      <c r="W381" s="31"/>
      <c r="X381" s="31"/>
      <c r="Y381" s="31"/>
      <c r="Z381" s="31"/>
      <c r="AA381" s="31"/>
      <c r="AB381" s="31"/>
      <c r="AC381" s="31"/>
    </row>
    <row r="382" spans="1:29" ht="30" customHeight="1" x14ac:dyDescent="0.25">
      <c r="A382" s="36"/>
      <c r="B382" s="12"/>
      <c r="C382" s="12"/>
      <c r="D382" s="12"/>
      <c r="E382" s="12"/>
      <c r="F382" s="13"/>
      <c r="G382" s="12"/>
      <c r="H382" s="27"/>
      <c r="I382" s="277" t="str">
        <f ca="1">IF(ListeInventaire3811[[#This Row],[Statut de la réalisation de l''action]]="Effectué","À jour",IF(ListeInventaire3811[[#This Row],[échéance de réalisation]]&lt;TODAY(),"En retard","À jour"))</f>
        <v>En retard</v>
      </c>
      <c r="J382" s="109"/>
      <c r="K382" s="10"/>
      <c r="L382" s="10"/>
      <c r="M382" s="31"/>
      <c r="N382" s="32"/>
      <c r="O382" s="31"/>
      <c r="P382" s="10"/>
      <c r="Q382" s="31"/>
      <c r="R382" s="31"/>
      <c r="S382" s="31"/>
      <c r="T382" s="31"/>
      <c r="U382" s="31"/>
      <c r="V382" s="31"/>
      <c r="W382" s="31"/>
      <c r="X382" s="31"/>
      <c r="Y382" s="31"/>
      <c r="Z382" s="31"/>
      <c r="AA382" s="31"/>
      <c r="AB382" s="31"/>
      <c r="AC382" s="31"/>
    </row>
    <row r="383" spans="1:29" ht="30" customHeight="1" x14ac:dyDescent="0.25">
      <c r="A383" s="36"/>
      <c r="B383" s="12"/>
      <c r="C383" s="12"/>
      <c r="D383" s="12"/>
      <c r="E383" s="12"/>
      <c r="F383" s="13"/>
      <c r="G383" s="12"/>
      <c r="H383" s="27"/>
      <c r="I383" s="277" t="str">
        <f ca="1">IF(ListeInventaire3811[[#This Row],[Statut de la réalisation de l''action]]="Effectué","À jour",IF(ListeInventaire3811[[#This Row],[échéance de réalisation]]&lt;TODAY(),"En retard","À jour"))</f>
        <v>En retard</v>
      </c>
      <c r="J383" s="109"/>
      <c r="K383" s="10"/>
      <c r="L383" s="10"/>
      <c r="M383" s="31"/>
      <c r="N383" s="32"/>
      <c r="O383" s="31"/>
      <c r="P383" s="10"/>
      <c r="Q383" s="31"/>
      <c r="R383" s="31"/>
      <c r="S383" s="31"/>
      <c r="T383" s="31"/>
      <c r="U383" s="31"/>
      <c r="V383" s="31"/>
      <c r="W383" s="31"/>
      <c r="X383" s="31"/>
      <c r="Y383" s="31"/>
      <c r="Z383" s="31"/>
      <c r="AA383" s="31"/>
      <c r="AB383" s="31"/>
      <c r="AC383" s="31"/>
    </row>
    <row r="384" spans="1:29" ht="30" customHeight="1" x14ac:dyDescent="0.25">
      <c r="A384" s="36"/>
      <c r="B384" s="12"/>
      <c r="C384" s="12"/>
      <c r="D384" s="12"/>
      <c r="E384" s="12"/>
      <c r="F384" s="13"/>
      <c r="G384" s="12"/>
      <c r="H384" s="27"/>
      <c r="I384" s="277" t="str">
        <f ca="1">IF(ListeInventaire3811[[#This Row],[Statut de la réalisation de l''action]]="Effectué","À jour",IF(ListeInventaire3811[[#This Row],[échéance de réalisation]]&lt;TODAY(),"En retard","À jour"))</f>
        <v>En retard</v>
      </c>
      <c r="J384" s="109"/>
      <c r="K384" s="10"/>
      <c r="L384" s="10"/>
      <c r="M384" s="31"/>
      <c r="N384" s="32"/>
      <c r="O384" s="31"/>
      <c r="P384" s="10"/>
      <c r="Q384" s="31"/>
      <c r="R384" s="31"/>
      <c r="S384" s="31"/>
      <c r="T384" s="31"/>
      <c r="U384" s="31"/>
      <c r="V384" s="31"/>
      <c r="W384" s="31"/>
      <c r="X384" s="31"/>
      <c r="Y384" s="31"/>
      <c r="Z384" s="31"/>
      <c r="AA384" s="31"/>
      <c r="AB384" s="31"/>
      <c r="AC384" s="31"/>
    </row>
    <row r="385" spans="1:29" ht="30" customHeight="1" x14ac:dyDescent="0.25">
      <c r="A385" s="36"/>
      <c r="B385" s="12"/>
      <c r="C385" s="12"/>
      <c r="D385" s="12"/>
      <c r="E385" s="12"/>
      <c r="F385" s="13"/>
      <c r="G385" s="12"/>
      <c r="H385" s="27"/>
      <c r="I385" s="277" t="str">
        <f ca="1">IF(ListeInventaire3811[[#This Row],[Statut de la réalisation de l''action]]="Effectué","À jour",IF(ListeInventaire3811[[#This Row],[échéance de réalisation]]&lt;TODAY(),"En retard","À jour"))</f>
        <v>En retard</v>
      </c>
      <c r="J385" s="109"/>
      <c r="K385" s="10"/>
      <c r="L385" s="10"/>
      <c r="M385" s="31"/>
      <c r="N385" s="32"/>
      <c r="O385" s="31"/>
      <c r="P385" s="10"/>
      <c r="Q385" s="31"/>
      <c r="R385" s="31"/>
      <c r="S385" s="31"/>
      <c r="T385" s="31"/>
      <c r="U385" s="31"/>
      <c r="V385" s="31"/>
      <c r="W385" s="31"/>
      <c r="X385" s="31"/>
      <c r="Y385" s="31"/>
      <c r="Z385" s="31"/>
      <c r="AA385" s="31"/>
      <c r="AB385" s="31"/>
      <c r="AC385" s="31"/>
    </row>
    <row r="386" spans="1:29" ht="30" customHeight="1" x14ac:dyDescent="0.25">
      <c r="A386" s="36"/>
      <c r="B386" s="12"/>
      <c r="C386" s="12"/>
      <c r="D386" s="12"/>
      <c r="E386" s="12"/>
      <c r="F386" s="13"/>
      <c r="G386" s="12"/>
      <c r="H386" s="27"/>
      <c r="I386" s="277" t="str">
        <f ca="1">IF(ListeInventaire3811[[#This Row],[Statut de la réalisation de l''action]]="Effectué","À jour",IF(ListeInventaire3811[[#This Row],[échéance de réalisation]]&lt;TODAY(),"En retard","À jour"))</f>
        <v>En retard</v>
      </c>
      <c r="J386" s="109"/>
      <c r="K386" s="10"/>
      <c r="L386" s="10"/>
      <c r="M386" s="31"/>
      <c r="N386" s="32"/>
      <c r="O386" s="31"/>
      <c r="P386" s="10"/>
      <c r="Q386" s="31"/>
      <c r="R386" s="31"/>
      <c r="S386" s="31"/>
      <c r="T386" s="31"/>
      <c r="U386" s="31"/>
      <c r="V386" s="31"/>
      <c r="W386" s="31"/>
      <c r="X386" s="31"/>
      <c r="Y386" s="31"/>
      <c r="Z386" s="31"/>
      <c r="AA386" s="31"/>
      <c r="AB386" s="31"/>
      <c r="AC386" s="31"/>
    </row>
    <row r="387" spans="1:29" ht="30" customHeight="1" x14ac:dyDescent="0.25">
      <c r="A387" s="36"/>
      <c r="B387" s="12"/>
      <c r="C387" s="12"/>
      <c r="D387" s="12"/>
      <c r="E387" s="12"/>
      <c r="F387" s="13"/>
      <c r="G387" s="12"/>
      <c r="H387" s="27"/>
      <c r="I387" s="277" t="str">
        <f ca="1">IF(ListeInventaire3811[[#This Row],[Statut de la réalisation de l''action]]="Effectué","À jour",IF(ListeInventaire3811[[#This Row],[échéance de réalisation]]&lt;TODAY(),"En retard","À jour"))</f>
        <v>En retard</v>
      </c>
      <c r="J387" s="109"/>
      <c r="K387" s="10"/>
      <c r="L387" s="10"/>
      <c r="M387" s="31"/>
      <c r="N387" s="32"/>
      <c r="O387" s="31"/>
      <c r="P387" s="10"/>
      <c r="Q387" s="31"/>
      <c r="R387" s="31"/>
      <c r="S387" s="31"/>
      <c r="T387" s="31"/>
      <c r="U387" s="31"/>
      <c r="V387" s="31"/>
      <c r="W387" s="31"/>
      <c r="X387" s="31"/>
      <c r="Y387" s="31"/>
      <c r="Z387" s="31"/>
      <c r="AA387" s="31"/>
      <c r="AB387" s="31"/>
      <c r="AC387" s="31"/>
    </row>
    <row r="388" spans="1:29" ht="30" customHeight="1" x14ac:dyDescent="0.25">
      <c r="A388" s="36"/>
      <c r="B388" s="12"/>
      <c r="C388" s="12"/>
      <c r="D388" s="12"/>
      <c r="E388" s="12"/>
      <c r="F388" s="13"/>
      <c r="G388" s="12"/>
      <c r="H388" s="27"/>
      <c r="I388" s="277" t="str">
        <f ca="1">IF(ListeInventaire3811[[#This Row],[Statut de la réalisation de l''action]]="Effectué","À jour",IF(ListeInventaire3811[[#This Row],[échéance de réalisation]]&lt;TODAY(),"En retard","À jour"))</f>
        <v>En retard</v>
      </c>
      <c r="J388" s="109"/>
      <c r="K388" s="10"/>
      <c r="L388" s="10"/>
      <c r="M388" s="31"/>
      <c r="N388" s="32"/>
      <c r="O388" s="31"/>
      <c r="P388" s="10"/>
      <c r="Q388" s="31"/>
      <c r="R388" s="31"/>
      <c r="S388" s="31"/>
      <c r="T388" s="31"/>
      <c r="U388" s="31"/>
      <c r="V388" s="31"/>
      <c r="W388" s="31"/>
      <c r="X388" s="31"/>
      <c r="Y388" s="31"/>
      <c r="Z388" s="31"/>
      <c r="AA388" s="31"/>
      <c r="AB388" s="31"/>
      <c r="AC388" s="31"/>
    </row>
    <row r="389" spans="1:29" ht="30" customHeight="1" x14ac:dyDescent="0.25">
      <c r="A389" s="36"/>
      <c r="B389" s="12"/>
      <c r="C389" s="12"/>
      <c r="D389" s="12"/>
      <c r="E389" s="12"/>
      <c r="F389" s="13"/>
      <c r="G389" s="12"/>
      <c r="H389" s="27"/>
      <c r="I389" s="277" t="str">
        <f ca="1">IF(ListeInventaire3811[[#This Row],[Statut de la réalisation de l''action]]="Effectué","À jour",IF(ListeInventaire3811[[#This Row],[échéance de réalisation]]&lt;TODAY(),"En retard","À jour"))</f>
        <v>En retard</v>
      </c>
      <c r="J389" s="109"/>
      <c r="K389" s="10"/>
      <c r="L389" s="10"/>
      <c r="M389" s="31"/>
      <c r="N389" s="32"/>
      <c r="O389" s="31"/>
      <c r="P389" s="10"/>
      <c r="Q389" s="31"/>
      <c r="R389" s="31"/>
      <c r="S389" s="31"/>
      <c r="T389" s="31"/>
      <c r="U389" s="31"/>
      <c r="V389" s="31"/>
      <c r="W389" s="31"/>
      <c r="X389" s="31"/>
      <c r="Y389" s="31"/>
      <c r="Z389" s="31"/>
      <c r="AA389" s="31"/>
      <c r="AB389" s="31"/>
      <c r="AC389" s="31"/>
    </row>
    <row r="390" spans="1:29" ht="30" customHeight="1" x14ac:dyDescent="0.25">
      <c r="A390" s="36"/>
      <c r="B390" s="12"/>
      <c r="C390" s="12"/>
      <c r="D390" s="12"/>
      <c r="E390" s="12"/>
      <c r="F390" s="13"/>
      <c r="G390" s="12"/>
      <c r="H390" s="27"/>
      <c r="I390" s="277" t="str">
        <f ca="1">IF(ListeInventaire3811[[#This Row],[Statut de la réalisation de l''action]]="Effectué","À jour",IF(ListeInventaire3811[[#This Row],[échéance de réalisation]]&lt;TODAY(),"En retard","À jour"))</f>
        <v>En retard</v>
      </c>
      <c r="J390" s="109"/>
      <c r="K390" s="10"/>
      <c r="L390" s="10"/>
      <c r="M390" s="31"/>
      <c r="N390" s="32"/>
      <c r="O390" s="31"/>
      <c r="P390" s="10"/>
      <c r="Q390" s="31"/>
      <c r="R390" s="31"/>
      <c r="S390" s="31"/>
      <c r="T390" s="31"/>
      <c r="U390" s="31"/>
      <c r="V390" s="31"/>
      <c r="W390" s="31"/>
      <c r="X390" s="31"/>
      <c r="Y390" s="31"/>
      <c r="Z390" s="31"/>
      <c r="AA390" s="31"/>
      <c r="AB390" s="31"/>
      <c r="AC390" s="31"/>
    </row>
    <row r="391" spans="1:29" ht="30" customHeight="1" x14ac:dyDescent="0.25">
      <c r="A391" s="36"/>
      <c r="B391" s="12"/>
      <c r="C391" s="12"/>
      <c r="D391" s="12"/>
      <c r="E391" s="12"/>
      <c r="F391" s="13"/>
      <c r="G391" s="12"/>
      <c r="H391" s="27"/>
      <c r="I391" s="277" t="str">
        <f ca="1">IF(ListeInventaire3811[[#This Row],[Statut de la réalisation de l''action]]="Effectué","À jour",IF(ListeInventaire3811[[#This Row],[échéance de réalisation]]&lt;TODAY(),"En retard","À jour"))</f>
        <v>En retard</v>
      </c>
      <c r="J391" s="109"/>
      <c r="K391" s="10"/>
      <c r="L391" s="10"/>
      <c r="M391" s="31"/>
      <c r="N391" s="32"/>
      <c r="O391" s="31"/>
      <c r="P391" s="10"/>
      <c r="Q391" s="31"/>
      <c r="R391" s="31"/>
      <c r="S391" s="31"/>
      <c r="T391" s="31"/>
      <c r="U391" s="31"/>
      <c r="V391" s="31"/>
      <c r="W391" s="31"/>
      <c r="X391" s="31"/>
      <c r="Y391" s="31"/>
      <c r="Z391" s="31"/>
      <c r="AA391" s="31"/>
      <c r="AB391" s="31"/>
      <c r="AC391" s="31"/>
    </row>
    <row r="392" spans="1:29" ht="30" customHeight="1" x14ac:dyDescent="0.25">
      <c r="A392" s="36"/>
      <c r="B392" s="12"/>
      <c r="C392" s="12"/>
      <c r="D392" s="12"/>
      <c r="E392" s="12"/>
      <c r="F392" s="13"/>
      <c r="G392" s="12"/>
      <c r="H392" s="27"/>
      <c r="I392" s="277" t="str">
        <f ca="1">IF(ListeInventaire3811[[#This Row],[Statut de la réalisation de l''action]]="Effectué","À jour",IF(ListeInventaire3811[[#This Row],[échéance de réalisation]]&lt;TODAY(),"En retard","À jour"))</f>
        <v>En retard</v>
      </c>
      <c r="J392" s="109"/>
      <c r="K392" s="10"/>
      <c r="L392" s="10"/>
      <c r="M392" s="31"/>
      <c r="N392" s="32"/>
      <c r="O392" s="31"/>
      <c r="P392" s="10"/>
      <c r="Q392" s="31"/>
      <c r="R392" s="31"/>
      <c r="S392" s="31"/>
      <c r="T392" s="31"/>
      <c r="U392" s="31"/>
      <c r="V392" s="31"/>
      <c r="W392" s="31"/>
      <c r="X392" s="31"/>
      <c r="Y392" s="31"/>
      <c r="Z392" s="31"/>
      <c r="AA392" s="31"/>
      <c r="AB392" s="31"/>
      <c r="AC392" s="31"/>
    </row>
    <row r="393" spans="1:29" ht="30" customHeight="1" x14ac:dyDescent="0.25">
      <c r="A393" s="36"/>
      <c r="B393" s="12"/>
      <c r="C393" s="12"/>
      <c r="D393" s="12"/>
      <c r="E393" s="12"/>
      <c r="F393" s="13"/>
      <c r="G393" s="12"/>
      <c r="H393" s="27"/>
      <c r="I393" s="277" t="str">
        <f ca="1">IF(ListeInventaire3811[[#This Row],[Statut de la réalisation de l''action]]="Effectué","À jour",IF(ListeInventaire3811[[#This Row],[échéance de réalisation]]&lt;TODAY(),"En retard","À jour"))</f>
        <v>En retard</v>
      </c>
      <c r="J393" s="109"/>
      <c r="K393" s="10"/>
      <c r="L393" s="10"/>
      <c r="M393" s="31"/>
      <c r="N393" s="32"/>
      <c r="O393" s="31"/>
      <c r="P393" s="10"/>
      <c r="Q393" s="31"/>
      <c r="R393" s="31"/>
      <c r="S393" s="31"/>
      <c r="T393" s="31"/>
      <c r="U393" s="31"/>
      <c r="V393" s="31"/>
      <c r="W393" s="31"/>
      <c r="X393" s="31"/>
      <c r="Y393" s="31"/>
      <c r="Z393" s="31"/>
      <c r="AA393" s="31"/>
      <c r="AB393" s="31"/>
      <c r="AC393" s="31"/>
    </row>
    <row r="394" spans="1:29" ht="30" customHeight="1" x14ac:dyDescent="0.25">
      <c r="A394" s="36"/>
      <c r="B394" s="12"/>
      <c r="C394" s="12"/>
      <c r="D394" s="12"/>
      <c r="E394" s="12"/>
      <c r="F394" s="13"/>
      <c r="G394" s="12"/>
      <c r="H394" s="27"/>
      <c r="I394" s="277" t="str">
        <f ca="1">IF(ListeInventaire3811[[#This Row],[Statut de la réalisation de l''action]]="Effectué","À jour",IF(ListeInventaire3811[[#This Row],[échéance de réalisation]]&lt;TODAY(),"En retard","À jour"))</f>
        <v>En retard</v>
      </c>
      <c r="J394" s="109"/>
      <c r="K394" s="10"/>
      <c r="L394" s="10"/>
      <c r="M394" s="31"/>
      <c r="N394" s="32"/>
      <c r="O394" s="31"/>
      <c r="P394" s="10"/>
      <c r="Q394" s="31"/>
      <c r="R394" s="31"/>
      <c r="S394" s="31"/>
      <c r="T394" s="31"/>
      <c r="U394" s="31"/>
      <c r="V394" s="31"/>
      <c r="W394" s="31"/>
      <c r="X394" s="31"/>
      <c r="Y394" s="31"/>
      <c r="Z394" s="31"/>
      <c r="AA394" s="31"/>
      <c r="AB394" s="31"/>
      <c r="AC394" s="31"/>
    </row>
    <row r="395" spans="1:29" ht="30" customHeight="1" x14ac:dyDescent="0.25">
      <c r="A395" s="36"/>
      <c r="B395" s="12"/>
      <c r="C395" s="12"/>
      <c r="D395" s="12"/>
      <c r="E395" s="12"/>
      <c r="F395" s="13"/>
      <c r="G395" s="12"/>
      <c r="H395" s="27"/>
      <c r="I395" s="277" t="str">
        <f ca="1">IF(ListeInventaire3811[[#This Row],[Statut de la réalisation de l''action]]="Effectué","À jour",IF(ListeInventaire3811[[#This Row],[échéance de réalisation]]&lt;TODAY(),"En retard","À jour"))</f>
        <v>En retard</v>
      </c>
      <c r="J395" s="109"/>
      <c r="K395" s="10"/>
      <c r="L395" s="10"/>
      <c r="M395" s="31"/>
      <c r="N395" s="32"/>
      <c r="O395" s="31"/>
      <c r="P395" s="10"/>
      <c r="Q395" s="31"/>
      <c r="R395" s="31"/>
      <c r="S395" s="31"/>
      <c r="T395" s="31"/>
      <c r="U395" s="31"/>
      <c r="V395" s="31"/>
      <c r="W395" s="31"/>
      <c r="X395" s="31"/>
      <c r="Y395" s="31"/>
      <c r="Z395" s="31"/>
      <c r="AA395" s="31"/>
      <c r="AB395" s="31"/>
      <c r="AC395" s="31"/>
    </row>
    <row r="396" spans="1:29" ht="30" customHeight="1" x14ac:dyDescent="0.25">
      <c r="A396" s="36"/>
      <c r="B396" s="12"/>
      <c r="C396" s="12"/>
      <c r="D396" s="12"/>
      <c r="E396" s="12"/>
      <c r="F396" s="13"/>
      <c r="G396" s="12"/>
      <c r="H396" s="27"/>
      <c r="I396" s="277" t="str">
        <f ca="1">IF(ListeInventaire3811[[#This Row],[Statut de la réalisation de l''action]]="Effectué","À jour",IF(ListeInventaire3811[[#This Row],[échéance de réalisation]]&lt;TODAY(),"En retard","À jour"))</f>
        <v>En retard</v>
      </c>
      <c r="J396" s="109"/>
      <c r="K396" s="10"/>
      <c r="L396" s="10"/>
      <c r="M396" s="31"/>
      <c r="N396" s="32"/>
      <c r="O396" s="31"/>
      <c r="P396" s="10"/>
      <c r="Q396" s="31"/>
      <c r="R396" s="31"/>
      <c r="S396" s="31"/>
      <c r="T396" s="31"/>
      <c r="U396" s="31"/>
      <c r="V396" s="31"/>
      <c r="W396" s="31"/>
      <c r="X396" s="31"/>
      <c r="Y396" s="31"/>
      <c r="Z396" s="31"/>
      <c r="AA396" s="31"/>
      <c r="AB396" s="31"/>
      <c r="AC396" s="31"/>
    </row>
    <row r="397" spans="1:29" ht="30" customHeight="1" x14ac:dyDescent="0.25">
      <c r="A397" s="36"/>
      <c r="B397" s="12"/>
      <c r="C397" s="12"/>
      <c r="D397" s="12"/>
      <c r="E397" s="12"/>
      <c r="F397" s="13"/>
      <c r="G397" s="12"/>
      <c r="H397" s="27"/>
      <c r="I397" s="277" t="str">
        <f ca="1">IF(ListeInventaire3811[[#This Row],[Statut de la réalisation de l''action]]="Effectué","À jour",IF(ListeInventaire3811[[#This Row],[échéance de réalisation]]&lt;TODAY(),"En retard","À jour"))</f>
        <v>En retard</v>
      </c>
      <c r="J397" s="109"/>
      <c r="K397" s="10"/>
      <c r="L397" s="10"/>
      <c r="M397" s="31"/>
      <c r="N397" s="32"/>
      <c r="O397" s="31"/>
      <c r="P397" s="10"/>
      <c r="Q397" s="31"/>
      <c r="R397" s="31"/>
      <c r="S397" s="31"/>
      <c r="T397" s="31"/>
      <c r="U397" s="31"/>
      <c r="V397" s="31"/>
      <c r="W397" s="31"/>
      <c r="X397" s="31"/>
      <c r="Y397" s="31"/>
      <c r="Z397" s="31"/>
      <c r="AA397" s="31"/>
      <c r="AB397" s="31"/>
      <c r="AC397" s="31"/>
    </row>
    <row r="398" spans="1:29" ht="30" customHeight="1" x14ac:dyDescent="0.25">
      <c r="A398" s="36"/>
      <c r="B398" s="12"/>
      <c r="C398" s="12"/>
      <c r="D398" s="12"/>
      <c r="E398" s="12"/>
      <c r="F398" s="13"/>
      <c r="G398" s="12"/>
      <c r="H398" s="27"/>
      <c r="I398" s="277" t="str">
        <f ca="1">IF(ListeInventaire3811[[#This Row],[Statut de la réalisation de l''action]]="Effectué","À jour",IF(ListeInventaire3811[[#This Row],[échéance de réalisation]]&lt;TODAY(),"En retard","À jour"))</f>
        <v>En retard</v>
      </c>
      <c r="J398" s="109"/>
      <c r="K398" s="10"/>
      <c r="L398" s="10"/>
      <c r="M398" s="31"/>
      <c r="N398" s="32"/>
      <c r="O398" s="31"/>
      <c r="P398" s="10"/>
      <c r="Q398" s="31"/>
      <c r="R398" s="31"/>
      <c r="S398" s="31"/>
      <c r="T398" s="31"/>
      <c r="U398" s="31"/>
      <c r="V398" s="31"/>
      <c r="W398" s="31"/>
      <c r="X398" s="31"/>
      <c r="Y398" s="31"/>
      <c r="Z398" s="31"/>
      <c r="AA398" s="31"/>
      <c r="AB398" s="31"/>
      <c r="AC398" s="31"/>
    </row>
    <row r="399" spans="1:29" ht="30" customHeight="1" x14ac:dyDescent="0.25">
      <c r="A399" s="36"/>
      <c r="B399" s="12"/>
      <c r="C399" s="12"/>
      <c r="D399" s="12"/>
      <c r="E399" s="12"/>
      <c r="F399" s="13"/>
      <c r="G399" s="12"/>
      <c r="H399" s="27"/>
      <c r="I399" s="277" t="str">
        <f ca="1">IF(ListeInventaire3811[[#This Row],[Statut de la réalisation de l''action]]="Effectué","À jour",IF(ListeInventaire3811[[#This Row],[échéance de réalisation]]&lt;TODAY(),"En retard","À jour"))</f>
        <v>En retard</v>
      </c>
      <c r="J399" s="109"/>
      <c r="K399" s="10"/>
      <c r="L399" s="10"/>
      <c r="M399" s="31"/>
      <c r="N399" s="32"/>
      <c r="O399" s="31"/>
      <c r="P399" s="10"/>
      <c r="Q399" s="31"/>
      <c r="R399" s="31"/>
      <c r="S399" s="31"/>
      <c r="T399" s="31"/>
      <c r="U399" s="31"/>
      <c r="V399" s="31"/>
      <c r="W399" s="31"/>
      <c r="X399" s="31"/>
      <c r="Y399" s="31"/>
      <c r="Z399" s="31"/>
      <c r="AA399" s="31"/>
      <c r="AB399" s="31"/>
      <c r="AC399" s="31"/>
    </row>
    <row r="400" spans="1:29" ht="30" customHeight="1" x14ac:dyDescent="0.25">
      <c r="A400" s="36"/>
      <c r="B400" s="12"/>
      <c r="C400" s="12"/>
      <c r="D400" s="12"/>
      <c r="E400" s="12"/>
      <c r="F400" s="13"/>
      <c r="G400" s="12"/>
      <c r="H400" s="27"/>
      <c r="I400" s="277" t="str">
        <f ca="1">IF(ListeInventaire3811[[#This Row],[Statut de la réalisation de l''action]]="Effectué","À jour",IF(ListeInventaire3811[[#This Row],[échéance de réalisation]]&lt;TODAY(),"En retard","À jour"))</f>
        <v>En retard</v>
      </c>
      <c r="J400" s="109"/>
      <c r="K400" s="10"/>
      <c r="L400" s="10"/>
      <c r="M400" s="31"/>
      <c r="N400" s="32"/>
      <c r="O400" s="31"/>
      <c r="P400" s="10"/>
      <c r="Q400" s="31"/>
      <c r="R400" s="31"/>
      <c r="S400" s="31"/>
      <c r="T400" s="31"/>
      <c r="U400" s="31"/>
      <c r="V400" s="31"/>
      <c r="W400" s="31"/>
      <c r="X400" s="31"/>
      <c r="Y400" s="31"/>
      <c r="Z400" s="31"/>
      <c r="AA400" s="31"/>
      <c r="AB400" s="31"/>
      <c r="AC400" s="31"/>
    </row>
    <row r="401" spans="1:29" ht="30" customHeight="1" x14ac:dyDescent="0.25">
      <c r="A401" s="36"/>
      <c r="B401" s="12"/>
      <c r="C401" s="12"/>
      <c r="D401" s="12"/>
      <c r="E401" s="12"/>
      <c r="F401" s="13"/>
      <c r="G401" s="12"/>
      <c r="H401" s="27"/>
      <c r="I401" s="277" t="str">
        <f ca="1">IF(ListeInventaire3811[[#This Row],[Statut de la réalisation de l''action]]="Effectué","À jour",IF(ListeInventaire3811[[#This Row],[échéance de réalisation]]&lt;TODAY(),"En retard","À jour"))</f>
        <v>En retard</v>
      </c>
      <c r="J401" s="109"/>
      <c r="K401" s="10"/>
      <c r="L401" s="10"/>
      <c r="M401" s="31"/>
      <c r="N401" s="32"/>
      <c r="O401" s="31"/>
      <c r="P401" s="10"/>
      <c r="Q401" s="31"/>
      <c r="R401" s="31"/>
      <c r="S401" s="31"/>
      <c r="T401" s="31"/>
      <c r="U401" s="31"/>
      <c r="V401" s="31"/>
      <c r="W401" s="31"/>
      <c r="X401" s="31"/>
      <c r="Y401" s="31"/>
      <c r="Z401" s="31"/>
      <c r="AA401" s="31"/>
      <c r="AB401" s="31"/>
      <c r="AC401" s="31"/>
    </row>
    <row r="402" spans="1:29" ht="30" customHeight="1" x14ac:dyDescent="0.25">
      <c r="A402" s="36"/>
      <c r="B402" s="12"/>
      <c r="C402" s="12"/>
      <c r="D402" s="12"/>
      <c r="E402" s="12"/>
      <c r="F402" s="13"/>
      <c r="G402" s="12"/>
      <c r="H402" s="27"/>
      <c r="I402" s="277" t="str">
        <f ca="1">IF(ListeInventaire3811[[#This Row],[Statut de la réalisation de l''action]]="Effectué","À jour",IF(ListeInventaire3811[[#This Row],[échéance de réalisation]]&lt;TODAY(),"En retard","À jour"))</f>
        <v>En retard</v>
      </c>
      <c r="J402" s="109"/>
      <c r="K402" s="10"/>
      <c r="L402" s="10"/>
      <c r="M402" s="31"/>
      <c r="N402" s="32"/>
      <c r="O402" s="31"/>
      <c r="P402" s="10"/>
      <c r="Q402" s="31"/>
      <c r="R402" s="31"/>
      <c r="S402" s="31"/>
      <c r="T402" s="31"/>
      <c r="U402" s="31"/>
      <c r="V402" s="31"/>
      <c r="W402" s="31"/>
      <c r="X402" s="31"/>
      <c r="Y402" s="31"/>
      <c r="Z402" s="31"/>
      <c r="AA402" s="31"/>
      <c r="AB402" s="31"/>
      <c r="AC402" s="31"/>
    </row>
    <row r="403" spans="1:29" ht="30" customHeight="1" x14ac:dyDescent="0.25">
      <c r="A403" s="36"/>
      <c r="B403" s="12"/>
      <c r="C403" s="12"/>
      <c r="D403" s="12"/>
      <c r="E403" s="12"/>
      <c r="F403" s="13"/>
      <c r="G403" s="12"/>
      <c r="H403" s="27"/>
      <c r="I403" s="277" t="str">
        <f ca="1">IF(ListeInventaire3811[[#This Row],[Statut de la réalisation de l''action]]="Effectué","À jour",IF(ListeInventaire3811[[#This Row],[échéance de réalisation]]&lt;TODAY(),"En retard","À jour"))</f>
        <v>En retard</v>
      </c>
      <c r="J403" s="109"/>
      <c r="K403" s="10"/>
      <c r="L403" s="10"/>
      <c r="M403" s="31"/>
      <c r="N403" s="32"/>
      <c r="O403" s="31"/>
      <c r="P403" s="10"/>
      <c r="Q403" s="31"/>
      <c r="R403" s="31"/>
      <c r="S403" s="31"/>
      <c r="T403" s="31"/>
      <c r="U403" s="31"/>
      <c r="V403" s="31"/>
      <c r="W403" s="31"/>
      <c r="X403" s="31"/>
      <c r="Y403" s="31"/>
      <c r="Z403" s="31"/>
      <c r="AA403" s="31"/>
      <c r="AB403" s="31"/>
      <c r="AC403" s="31"/>
    </row>
    <row r="404" spans="1:29" ht="30" customHeight="1" x14ac:dyDescent="0.25">
      <c r="A404" s="36"/>
      <c r="B404" s="12"/>
      <c r="C404" s="12"/>
      <c r="D404" s="12"/>
      <c r="E404" s="12"/>
      <c r="F404" s="13"/>
      <c r="G404" s="12"/>
      <c r="H404" s="27"/>
      <c r="I404" s="277" t="str">
        <f ca="1">IF(ListeInventaire3811[[#This Row],[Statut de la réalisation de l''action]]="Effectué","À jour",IF(ListeInventaire3811[[#This Row],[échéance de réalisation]]&lt;TODAY(),"En retard","À jour"))</f>
        <v>En retard</v>
      </c>
      <c r="J404" s="109"/>
      <c r="K404" s="10"/>
      <c r="L404" s="10"/>
      <c r="M404" s="31"/>
      <c r="N404" s="32"/>
      <c r="O404" s="31"/>
      <c r="P404" s="10"/>
      <c r="Q404" s="31"/>
      <c r="R404" s="31"/>
      <c r="S404" s="31"/>
      <c r="T404" s="31"/>
      <c r="U404" s="31"/>
      <c r="V404" s="31"/>
      <c r="W404" s="31"/>
      <c r="X404" s="31"/>
      <c r="Y404" s="31"/>
      <c r="Z404" s="31"/>
      <c r="AA404" s="31"/>
      <c r="AB404" s="31"/>
      <c r="AC404" s="31"/>
    </row>
    <row r="405" spans="1:29" ht="30" customHeight="1" x14ac:dyDescent="0.25">
      <c r="A405" s="36"/>
      <c r="B405" s="12"/>
      <c r="C405" s="12"/>
      <c r="D405" s="12"/>
      <c r="E405" s="12"/>
      <c r="F405" s="13"/>
      <c r="G405" s="12"/>
      <c r="H405" s="27"/>
      <c r="I405" s="277" t="str">
        <f ca="1">IF(ListeInventaire3811[[#This Row],[Statut de la réalisation de l''action]]="Effectué","À jour",IF(ListeInventaire3811[[#This Row],[échéance de réalisation]]&lt;TODAY(),"En retard","À jour"))</f>
        <v>En retard</v>
      </c>
      <c r="J405" s="109"/>
      <c r="K405" s="10"/>
      <c r="L405" s="10"/>
      <c r="M405" s="31"/>
      <c r="N405" s="32"/>
      <c r="O405" s="31"/>
      <c r="P405" s="10"/>
      <c r="Q405" s="31"/>
      <c r="R405" s="31"/>
      <c r="S405" s="31"/>
      <c r="T405" s="31"/>
      <c r="U405" s="31"/>
      <c r="V405" s="31"/>
      <c r="W405" s="31"/>
      <c r="X405" s="31"/>
      <c r="Y405" s="31"/>
      <c r="Z405" s="31"/>
      <c r="AA405" s="31"/>
      <c r="AB405" s="31"/>
      <c r="AC405" s="31"/>
    </row>
    <row r="406" spans="1:29" ht="30" customHeight="1" x14ac:dyDescent="0.25">
      <c r="A406" s="36"/>
      <c r="B406" s="12"/>
      <c r="C406" s="12"/>
      <c r="D406" s="12"/>
      <c r="E406" s="12"/>
      <c r="F406" s="13"/>
      <c r="G406" s="12"/>
      <c r="H406" s="27"/>
      <c r="I406" s="277" t="str">
        <f ca="1">IF(ListeInventaire3811[[#This Row],[Statut de la réalisation de l''action]]="Effectué","À jour",IF(ListeInventaire3811[[#This Row],[échéance de réalisation]]&lt;TODAY(),"En retard","À jour"))</f>
        <v>En retard</v>
      </c>
      <c r="J406" s="109"/>
      <c r="K406" s="10"/>
      <c r="L406" s="10"/>
      <c r="M406" s="31"/>
      <c r="N406" s="32"/>
      <c r="O406" s="31"/>
      <c r="P406" s="10"/>
      <c r="Q406" s="31"/>
      <c r="R406" s="31"/>
      <c r="S406" s="31"/>
      <c r="T406" s="31"/>
      <c r="U406" s="31"/>
      <c r="V406" s="31"/>
      <c r="W406" s="31"/>
      <c r="X406" s="31"/>
      <c r="Y406" s="31"/>
      <c r="Z406" s="31"/>
      <c r="AA406" s="31"/>
      <c r="AB406" s="31"/>
      <c r="AC406" s="31"/>
    </row>
    <row r="407" spans="1:29" ht="30" customHeight="1" x14ac:dyDescent="0.25">
      <c r="A407" s="36"/>
      <c r="B407" s="12"/>
      <c r="C407" s="12"/>
      <c r="D407" s="12"/>
      <c r="E407" s="12"/>
      <c r="F407" s="13"/>
      <c r="G407" s="12"/>
      <c r="H407" s="27"/>
      <c r="I407" s="277" t="str">
        <f ca="1">IF(ListeInventaire3811[[#This Row],[Statut de la réalisation de l''action]]="Effectué","À jour",IF(ListeInventaire3811[[#This Row],[échéance de réalisation]]&lt;TODAY(),"En retard","À jour"))</f>
        <v>En retard</v>
      </c>
      <c r="J407" s="109"/>
      <c r="K407" s="10"/>
      <c r="L407" s="10"/>
      <c r="M407" s="31"/>
      <c r="N407" s="32"/>
      <c r="O407" s="31"/>
      <c r="P407" s="10"/>
      <c r="Q407" s="31"/>
      <c r="R407" s="31"/>
      <c r="S407" s="31"/>
      <c r="T407" s="31"/>
      <c r="U407" s="31"/>
      <c r="V407" s="31"/>
      <c r="W407" s="31"/>
      <c r="X407" s="31"/>
      <c r="Y407" s="31"/>
      <c r="Z407" s="31"/>
      <c r="AA407" s="31"/>
      <c r="AB407" s="31"/>
      <c r="AC407" s="31"/>
    </row>
    <row r="408" spans="1:29" ht="30" customHeight="1" x14ac:dyDescent="0.25">
      <c r="A408" s="36"/>
      <c r="B408" s="12"/>
      <c r="C408" s="12"/>
      <c r="D408" s="12"/>
      <c r="E408" s="12"/>
      <c r="F408" s="13"/>
      <c r="G408" s="12"/>
      <c r="H408" s="27"/>
      <c r="I408" s="277" t="str">
        <f ca="1">IF(ListeInventaire3811[[#This Row],[Statut de la réalisation de l''action]]="Effectué","À jour",IF(ListeInventaire3811[[#This Row],[échéance de réalisation]]&lt;TODAY(),"En retard","À jour"))</f>
        <v>En retard</v>
      </c>
      <c r="J408" s="109"/>
      <c r="K408" s="10"/>
      <c r="L408" s="10"/>
      <c r="M408" s="31"/>
      <c r="N408" s="32"/>
      <c r="O408" s="31"/>
      <c r="P408" s="10"/>
      <c r="Q408" s="31"/>
      <c r="R408" s="31"/>
      <c r="S408" s="31"/>
      <c r="T408" s="31"/>
      <c r="U408" s="31"/>
      <c r="V408" s="31"/>
      <c r="W408" s="31"/>
      <c r="X408" s="31"/>
      <c r="Y408" s="31"/>
      <c r="Z408" s="31"/>
      <c r="AA408" s="31"/>
      <c r="AB408" s="31"/>
      <c r="AC408" s="31"/>
    </row>
    <row r="409" spans="1:29" ht="30" customHeight="1" x14ac:dyDescent="0.25">
      <c r="A409" s="36"/>
      <c r="B409" s="12"/>
      <c r="C409" s="12"/>
      <c r="D409" s="12"/>
      <c r="E409" s="12"/>
      <c r="F409" s="13"/>
      <c r="G409" s="12"/>
      <c r="H409" s="27"/>
      <c r="I409" s="277" t="str">
        <f ca="1">IF(ListeInventaire3811[[#This Row],[Statut de la réalisation de l''action]]="Effectué","À jour",IF(ListeInventaire3811[[#This Row],[échéance de réalisation]]&lt;TODAY(),"En retard","À jour"))</f>
        <v>En retard</v>
      </c>
      <c r="J409" s="109"/>
      <c r="K409" s="10"/>
      <c r="L409" s="10"/>
      <c r="M409" s="31"/>
      <c r="N409" s="32"/>
      <c r="O409" s="31"/>
      <c r="P409" s="10"/>
      <c r="Q409" s="31"/>
      <c r="R409" s="31"/>
      <c r="S409" s="31"/>
      <c r="T409" s="31"/>
      <c r="U409" s="31"/>
      <c r="V409" s="31"/>
      <c r="W409" s="31"/>
      <c r="X409" s="31"/>
      <c r="Y409" s="31"/>
      <c r="Z409" s="31"/>
      <c r="AA409" s="31"/>
      <c r="AB409" s="31"/>
      <c r="AC409" s="31"/>
    </row>
    <row r="410" spans="1:29" ht="30" customHeight="1" x14ac:dyDescent="0.25">
      <c r="A410" s="36"/>
      <c r="B410" s="12"/>
      <c r="C410" s="12"/>
      <c r="D410" s="12"/>
      <c r="E410" s="12"/>
      <c r="F410" s="13"/>
      <c r="G410" s="12"/>
      <c r="H410" s="27"/>
      <c r="I410" s="277" t="str">
        <f ca="1">IF(ListeInventaire3811[[#This Row],[Statut de la réalisation de l''action]]="Effectué","À jour",IF(ListeInventaire3811[[#This Row],[échéance de réalisation]]&lt;TODAY(),"En retard","À jour"))</f>
        <v>En retard</v>
      </c>
      <c r="J410" s="109"/>
      <c r="K410" s="10"/>
      <c r="L410" s="10"/>
      <c r="M410" s="31"/>
      <c r="N410" s="32"/>
      <c r="O410" s="31"/>
      <c r="P410" s="10"/>
      <c r="Q410" s="31"/>
      <c r="R410" s="31"/>
      <c r="S410" s="31"/>
      <c r="T410" s="31"/>
      <c r="U410" s="31"/>
      <c r="V410" s="31"/>
      <c r="W410" s="31"/>
      <c r="X410" s="31"/>
      <c r="Y410" s="31"/>
      <c r="Z410" s="31"/>
      <c r="AA410" s="31"/>
      <c r="AB410" s="31"/>
      <c r="AC410" s="31"/>
    </row>
    <row r="411" spans="1:29" ht="30" customHeight="1" x14ac:dyDescent="0.25">
      <c r="A411" s="36"/>
      <c r="B411" s="12"/>
      <c r="C411" s="12"/>
      <c r="D411" s="12"/>
      <c r="E411" s="12"/>
      <c r="F411" s="13"/>
      <c r="G411" s="12"/>
      <c r="H411" s="27"/>
      <c r="I411" s="277" t="str">
        <f ca="1">IF(ListeInventaire3811[[#This Row],[Statut de la réalisation de l''action]]="Effectué","À jour",IF(ListeInventaire3811[[#This Row],[échéance de réalisation]]&lt;TODAY(),"En retard","À jour"))</f>
        <v>En retard</v>
      </c>
      <c r="J411" s="109"/>
      <c r="K411" s="10"/>
      <c r="L411" s="10"/>
      <c r="M411" s="31"/>
      <c r="N411" s="32"/>
      <c r="O411" s="31"/>
      <c r="P411" s="10"/>
      <c r="Q411" s="31"/>
      <c r="R411" s="31"/>
      <c r="S411" s="31"/>
      <c r="T411" s="31"/>
      <c r="U411" s="31"/>
      <c r="V411" s="31"/>
      <c r="W411" s="31"/>
      <c r="X411" s="31"/>
      <c r="Y411" s="31"/>
      <c r="Z411" s="31"/>
      <c r="AA411" s="31"/>
      <c r="AB411" s="31"/>
      <c r="AC411" s="31"/>
    </row>
    <row r="412" spans="1:29" ht="30" customHeight="1" x14ac:dyDescent="0.25">
      <c r="A412" s="36"/>
      <c r="B412" s="12"/>
      <c r="C412" s="12"/>
      <c r="D412" s="12"/>
      <c r="E412" s="12"/>
      <c r="F412" s="13"/>
      <c r="G412" s="12"/>
      <c r="H412" s="27"/>
      <c r="I412" s="277" t="str">
        <f ca="1">IF(ListeInventaire3811[[#This Row],[Statut de la réalisation de l''action]]="Effectué","À jour",IF(ListeInventaire3811[[#This Row],[échéance de réalisation]]&lt;TODAY(),"En retard","À jour"))</f>
        <v>En retard</v>
      </c>
      <c r="J412" s="109"/>
      <c r="K412" s="10"/>
      <c r="L412" s="10"/>
      <c r="M412" s="31"/>
      <c r="N412" s="32"/>
      <c r="O412" s="31"/>
      <c r="P412" s="10"/>
      <c r="Q412" s="31"/>
      <c r="R412" s="31"/>
      <c r="S412" s="31"/>
      <c r="T412" s="31"/>
      <c r="U412" s="31"/>
      <c r="V412" s="31"/>
      <c r="W412" s="31"/>
      <c r="X412" s="31"/>
      <c r="Y412" s="31"/>
      <c r="Z412" s="31"/>
      <c r="AA412" s="31"/>
      <c r="AB412" s="31"/>
      <c r="AC412" s="31"/>
    </row>
    <row r="413" spans="1:29" ht="30" customHeight="1" x14ac:dyDescent="0.25">
      <c r="A413" s="36"/>
      <c r="B413" s="12"/>
      <c r="C413" s="12"/>
      <c r="D413" s="12"/>
      <c r="E413" s="12"/>
      <c r="F413" s="13"/>
      <c r="G413" s="12"/>
      <c r="H413" s="27"/>
      <c r="I413" s="277" t="str">
        <f ca="1">IF(ListeInventaire3811[[#This Row],[Statut de la réalisation de l''action]]="Effectué","À jour",IF(ListeInventaire3811[[#This Row],[échéance de réalisation]]&lt;TODAY(),"En retard","À jour"))</f>
        <v>En retard</v>
      </c>
      <c r="J413" s="109"/>
      <c r="K413" s="10"/>
      <c r="L413" s="10"/>
      <c r="M413" s="31"/>
      <c r="N413" s="32"/>
      <c r="O413" s="31"/>
      <c r="P413" s="10"/>
      <c r="Q413" s="31"/>
      <c r="R413" s="31"/>
      <c r="S413" s="31"/>
      <c r="T413" s="31"/>
      <c r="U413" s="31"/>
      <c r="V413" s="31"/>
      <c r="W413" s="31"/>
      <c r="X413" s="31"/>
      <c r="Y413" s="31"/>
      <c r="Z413" s="31"/>
      <c r="AA413" s="31"/>
      <c r="AB413" s="31"/>
      <c r="AC413" s="31"/>
    </row>
    <row r="414" spans="1:29" ht="30" customHeight="1" x14ac:dyDescent="0.25">
      <c r="A414" s="36"/>
      <c r="B414" s="12"/>
      <c r="C414" s="12"/>
      <c r="D414" s="12"/>
      <c r="E414" s="12"/>
      <c r="F414" s="13"/>
      <c r="G414" s="12"/>
      <c r="H414" s="27"/>
      <c r="I414" s="277" t="str">
        <f ca="1">IF(ListeInventaire3811[[#This Row],[Statut de la réalisation de l''action]]="Effectué","À jour",IF(ListeInventaire3811[[#This Row],[échéance de réalisation]]&lt;TODAY(),"En retard","À jour"))</f>
        <v>En retard</v>
      </c>
      <c r="J414" s="109"/>
      <c r="K414" s="10"/>
      <c r="L414" s="10"/>
      <c r="M414" s="31"/>
      <c r="N414" s="32"/>
      <c r="O414" s="31"/>
      <c r="P414" s="10"/>
      <c r="Q414" s="31"/>
      <c r="R414" s="31"/>
      <c r="S414" s="31"/>
      <c r="T414" s="31"/>
      <c r="U414" s="31"/>
      <c r="V414" s="31"/>
      <c r="W414" s="31"/>
      <c r="X414" s="31"/>
      <c r="Y414" s="31"/>
      <c r="Z414" s="31"/>
      <c r="AA414" s="31"/>
      <c r="AB414" s="31"/>
      <c r="AC414" s="31"/>
    </row>
    <row r="415" spans="1:29" ht="30" customHeight="1" x14ac:dyDescent="0.25">
      <c r="A415" s="36"/>
      <c r="B415" s="12"/>
      <c r="C415" s="12"/>
      <c r="D415" s="12"/>
      <c r="E415" s="12"/>
      <c r="F415" s="13"/>
      <c r="G415" s="12"/>
      <c r="H415" s="27"/>
      <c r="I415" s="277" t="str">
        <f ca="1">IF(ListeInventaire3811[[#This Row],[Statut de la réalisation de l''action]]="Effectué","À jour",IF(ListeInventaire3811[[#This Row],[échéance de réalisation]]&lt;TODAY(),"En retard","À jour"))</f>
        <v>En retard</v>
      </c>
      <c r="J415" s="109"/>
      <c r="K415" s="10"/>
      <c r="L415" s="10"/>
      <c r="M415" s="31"/>
      <c r="N415" s="32"/>
      <c r="O415" s="31"/>
      <c r="P415" s="10"/>
      <c r="Q415" s="31"/>
      <c r="R415" s="31"/>
      <c r="S415" s="31"/>
      <c r="T415" s="31"/>
      <c r="U415" s="31"/>
      <c r="V415" s="31"/>
      <c r="W415" s="31"/>
      <c r="X415" s="31"/>
      <c r="Y415" s="31"/>
      <c r="Z415" s="31"/>
      <c r="AA415" s="31"/>
      <c r="AB415" s="31"/>
      <c r="AC415" s="31"/>
    </row>
    <row r="416" spans="1:29" ht="30" customHeight="1" x14ac:dyDescent="0.25">
      <c r="A416" s="36"/>
      <c r="B416" s="12"/>
      <c r="C416" s="12"/>
      <c r="D416" s="12"/>
      <c r="E416" s="12"/>
      <c r="F416" s="13"/>
      <c r="G416" s="12"/>
      <c r="H416" s="27"/>
      <c r="I416" s="277" t="str">
        <f ca="1">IF(ListeInventaire3811[[#This Row],[Statut de la réalisation de l''action]]="Effectué","À jour",IF(ListeInventaire3811[[#This Row],[échéance de réalisation]]&lt;TODAY(),"En retard","À jour"))</f>
        <v>En retard</v>
      </c>
      <c r="J416" s="109"/>
      <c r="K416" s="10"/>
      <c r="L416" s="10"/>
      <c r="M416" s="31"/>
      <c r="N416" s="32"/>
      <c r="O416" s="31"/>
      <c r="P416" s="10"/>
      <c r="Q416" s="31"/>
      <c r="R416" s="31"/>
      <c r="S416" s="31"/>
      <c r="T416" s="31"/>
      <c r="U416" s="31"/>
      <c r="V416" s="31"/>
      <c r="W416" s="31"/>
      <c r="X416" s="31"/>
      <c r="Y416" s="31"/>
      <c r="Z416" s="31"/>
      <c r="AA416" s="31"/>
      <c r="AB416" s="31"/>
      <c r="AC416" s="31"/>
    </row>
    <row r="417" spans="1:29" ht="30" customHeight="1" x14ac:dyDescent="0.25">
      <c r="A417" s="36"/>
      <c r="B417" s="12"/>
      <c r="C417" s="12"/>
      <c r="D417" s="12"/>
      <c r="E417" s="12"/>
      <c r="F417" s="13"/>
      <c r="G417" s="12"/>
      <c r="H417" s="27"/>
      <c r="I417" s="277" t="str">
        <f ca="1">IF(ListeInventaire3811[[#This Row],[Statut de la réalisation de l''action]]="Effectué","À jour",IF(ListeInventaire3811[[#This Row],[échéance de réalisation]]&lt;TODAY(),"En retard","À jour"))</f>
        <v>En retard</v>
      </c>
      <c r="J417" s="109"/>
      <c r="K417" s="10"/>
      <c r="L417" s="10"/>
      <c r="M417" s="31"/>
      <c r="N417" s="32"/>
      <c r="O417" s="31"/>
      <c r="P417" s="10"/>
      <c r="Q417" s="31"/>
      <c r="R417" s="31"/>
      <c r="S417" s="31"/>
      <c r="T417" s="31"/>
      <c r="U417" s="31"/>
      <c r="V417" s="31"/>
      <c r="W417" s="31"/>
      <c r="X417" s="31"/>
      <c r="Y417" s="31"/>
      <c r="Z417" s="31"/>
      <c r="AA417" s="31"/>
      <c r="AB417" s="31"/>
      <c r="AC417" s="31"/>
    </row>
    <row r="418" spans="1:29" ht="30" customHeight="1" x14ac:dyDescent="0.25">
      <c r="A418" s="36"/>
      <c r="B418" s="12"/>
      <c r="C418" s="12"/>
      <c r="D418" s="12"/>
      <c r="E418" s="12"/>
      <c r="F418" s="13"/>
      <c r="G418" s="12"/>
      <c r="H418" s="27"/>
      <c r="I418" s="277" t="str">
        <f ca="1">IF(ListeInventaire3811[[#This Row],[Statut de la réalisation de l''action]]="Effectué","À jour",IF(ListeInventaire3811[[#This Row],[échéance de réalisation]]&lt;TODAY(),"En retard","À jour"))</f>
        <v>En retard</v>
      </c>
      <c r="J418" s="109"/>
      <c r="K418" s="10"/>
      <c r="L418" s="10"/>
      <c r="M418" s="31"/>
      <c r="N418" s="32"/>
      <c r="O418" s="31"/>
      <c r="P418" s="10"/>
      <c r="Q418" s="31"/>
      <c r="R418" s="31"/>
      <c r="S418" s="31"/>
      <c r="T418" s="31"/>
      <c r="U418" s="31"/>
      <c r="V418" s="31"/>
      <c r="W418" s="31"/>
      <c r="X418" s="31"/>
      <c r="Y418" s="31"/>
      <c r="Z418" s="31"/>
      <c r="AA418" s="31"/>
      <c r="AB418" s="31"/>
      <c r="AC418" s="31"/>
    </row>
    <row r="419" spans="1:29" ht="30" customHeight="1" x14ac:dyDescent="0.25">
      <c r="A419" s="36"/>
      <c r="B419" s="12"/>
      <c r="C419" s="12"/>
      <c r="D419" s="12"/>
      <c r="E419" s="12"/>
      <c r="F419" s="13"/>
      <c r="G419" s="12"/>
      <c r="H419" s="27"/>
      <c r="I419" s="277" t="str">
        <f ca="1">IF(ListeInventaire3811[[#This Row],[Statut de la réalisation de l''action]]="Effectué","À jour",IF(ListeInventaire3811[[#This Row],[échéance de réalisation]]&lt;TODAY(),"En retard","À jour"))</f>
        <v>En retard</v>
      </c>
      <c r="J419" s="109"/>
      <c r="K419" s="10"/>
      <c r="L419" s="10"/>
      <c r="M419" s="31"/>
      <c r="N419" s="32"/>
      <c r="O419" s="31"/>
      <c r="P419" s="10"/>
      <c r="Q419" s="31"/>
      <c r="R419" s="31"/>
      <c r="S419" s="31"/>
      <c r="T419" s="31"/>
      <c r="U419" s="31"/>
      <c r="V419" s="31"/>
      <c r="W419" s="31"/>
      <c r="X419" s="31"/>
      <c r="Y419" s="31"/>
      <c r="Z419" s="31"/>
      <c r="AA419" s="31"/>
      <c r="AB419" s="31"/>
      <c r="AC419" s="31"/>
    </row>
    <row r="420" spans="1:29" ht="30" customHeight="1" x14ac:dyDescent="0.25">
      <c r="A420" s="36"/>
      <c r="B420" s="12"/>
      <c r="C420" s="12"/>
      <c r="D420" s="12"/>
      <c r="E420" s="12"/>
      <c r="F420" s="13"/>
      <c r="G420" s="12"/>
      <c r="H420" s="27"/>
      <c r="I420" s="277" t="str">
        <f ca="1">IF(ListeInventaire3811[[#This Row],[Statut de la réalisation de l''action]]="Effectué","À jour",IF(ListeInventaire3811[[#This Row],[échéance de réalisation]]&lt;TODAY(),"En retard","À jour"))</f>
        <v>En retard</v>
      </c>
      <c r="J420" s="109"/>
      <c r="K420" s="10"/>
      <c r="L420" s="10"/>
      <c r="M420" s="31"/>
      <c r="N420" s="32"/>
      <c r="O420" s="31"/>
      <c r="P420" s="10"/>
      <c r="Q420" s="31"/>
      <c r="R420" s="31"/>
      <c r="S420" s="31"/>
      <c r="T420" s="31"/>
      <c r="U420" s="31"/>
      <c r="V420" s="31"/>
      <c r="W420" s="31"/>
      <c r="X420" s="31"/>
      <c r="Y420" s="31"/>
      <c r="Z420" s="31"/>
      <c r="AA420" s="31"/>
      <c r="AB420" s="31"/>
      <c r="AC420" s="31"/>
    </row>
    <row r="421" spans="1:29" ht="30" customHeight="1" x14ac:dyDescent="0.25">
      <c r="A421" s="36"/>
      <c r="B421" s="12"/>
      <c r="C421" s="12"/>
      <c r="D421" s="12"/>
      <c r="E421" s="12"/>
      <c r="F421" s="13"/>
      <c r="G421" s="12"/>
      <c r="H421" s="27"/>
      <c r="I421" s="277" t="str">
        <f ca="1">IF(ListeInventaire3811[[#This Row],[Statut de la réalisation de l''action]]="Effectué","À jour",IF(ListeInventaire3811[[#This Row],[échéance de réalisation]]&lt;TODAY(),"En retard","À jour"))</f>
        <v>En retard</v>
      </c>
      <c r="J421" s="109"/>
      <c r="K421" s="10"/>
      <c r="L421" s="10"/>
      <c r="M421" s="31"/>
      <c r="N421" s="32"/>
      <c r="O421" s="31"/>
      <c r="P421" s="10"/>
      <c r="Q421" s="31"/>
      <c r="R421" s="31"/>
      <c r="S421" s="31"/>
      <c r="T421" s="31"/>
      <c r="U421" s="31"/>
      <c r="V421" s="31"/>
      <c r="W421" s="31"/>
      <c r="X421" s="31"/>
      <c r="Y421" s="31"/>
      <c r="Z421" s="31"/>
      <c r="AA421" s="31"/>
      <c r="AB421" s="31"/>
      <c r="AC421" s="31"/>
    </row>
    <row r="422" spans="1:29" ht="30" customHeight="1" x14ac:dyDescent="0.25">
      <c r="A422" s="36"/>
      <c r="B422" s="12"/>
      <c r="C422" s="12"/>
      <c r="D422" s="12"/>
      <c r="E422" s="12"/>
      <c r="F422" s="13"/>
      <c r="G422" s="12"/>
      <c r="H422" s="27"/>
      <c r="I422" s="277" t="str">
        <f ca="1">IF(ListeInventaire3811[[#This Row],[Statut de la réalisation de l''action]]="Effectué","À jour",IF(ListeInventaire3811[[#This Row],[échéance de réalisation]]&lt;TODAY(),"En retard","À jour"))</f>
        <v>En retard</v>
      </c>
      <c r="J422" s="109"/>
      <c r="K422" s="10"/>
      <c r="L422" s="10"/>
      <c r="M422" s="31"/>
      <c r="N422" s="32"/>
      <c r="O422" s="31"/>
      <c r="P422" s="10"/>
      <c r="Q422" s="31"/>
      <c r="R422" s="31"/>
      <c r="S422" s="31"/>
      <c r="T422" s="31"/>
      <c r="U422" s="31"/>
      <c r="V422" s="31"/>
      <c r="W422" s="31"/>
      <c r="X422" s="31"/>
      <c r="Y422" s="31"/>
      <c r="Z422" s="31"/>
      <c r="AA422" s="31"/>
      <c r="AB422" s="31"/>
      <c r="AC422" s="31"/>
    </row>
    <row r="423" spans="1:29" ht="30" customHeight="1" x14ac:dyDescent="0.25">
      <c r="A423" s="36"/>
      <c r="B423" s="12"/>
      <c r="C423" s="12"/>
      <c r="D423" s="12"/>
      <c r="E423" s="12"/>
      <c r="F423" s="13"/>
      <c r="G423" s="12"/>
      <c r="H423" s="27"/>
      <c r="I423" s="277" t="str">
        <f ca="1">IF(ListeInventaire3811[[#This Row],[Statut de la réalisation de l''action]]="Effectué","À jour",IF(ListeInventaire3811[[#This Row],[échéance de réalisation]]&lt;TODAY(),"En retard","À jour"))</f>
        <v>En retard</v>
      </c>
      <c r="J423" s="109"/>
      <c r="K423" s="10"/>
      <c r="L423" s="10"/>
      <c r="M423" s="31"/>
      <c r="N423" s="32"/>
      <c r="O423" s="31"/>
      <c r="P423" s="10"/>
      <c r="Q423" s="31"/>
      <c r="R423" s="31"/>
      <c r="S423" s="31"/>
      <c r="T423" s="31"/>
      <c r="U423" s="31"/>
      <c r="V423" s="31"/>
      <c r="W423" s="31"/>
      <c r="X423" s="31"/>
      <c r="Y423" s="31"/>
      <c r="Z423" s="31"/>
      <c r="AA423" s="31"/>
      <c r="AB423" s="31"/>
      <c r="AC423" s="31"/>
    </row>
    <row r="424" spans="1:29" ht="30" customHeight="1" x14ac:dyDescent="0.25">
      <c r="A424" s="36"/>
      <c r="B424" s="12"/>
      <c r="C424" s="12"/>
      <c r="D424" s="12"/>
      <c r="E424" s="12"/>
      <c r="F424" s="13"/>
      <c r="G424" s="12"/>
      <c r="H424" s="27"/>
      <c r="I424" s="277" t="str">
        <f ca="1">IF(ListeInventaire3811[[#This Row],[Statut de la réalisation de l''action]]="Effectué","À jour",IF(ListeInventaire3811[[#This Row],[échéance de réalisation]]&lt;TODAY(),"En retard","À jour"))</f>
        <v>En retard</v>
      </c>
      <c r="J424" s="109"/>
      <c r="K424" s="10"/>
      <c r="L424" s="10"/>
      <c r="M424" s="31"/>
      <c r="N424" s="32"/>
      <c r="O424" s="31"/>
      <c r="P424" s="10"/>
      <c r="Q424" s="31"/>
      <c r="R424" s="31"/>
      <c r="S424" s="31"/>
      <c r="T424" s="31"/>
      <c r="U424" s="31"/>
      <c r="V424" s="31"/>
      <c r="W424" s="31"/>
      <c r="X424" s="31"/>
      <c r="Y424" s="31"/>
      <c r="Z424" s="31"/>
      <c r="AA424" s="31"/>
      <c r="AB424" s="31"/>
      <c r="AC424" s="31"/>
    </row>
    <row r="425" spans="1:29" ht="30" customHeight="1" x14ac:dyDescent="0.25">
      <c r="A425" s="36"/>
      <c r="B425" s="12"/>
      <c r="C425" s="12"/>
      <c r="D425" s="12"/>
      <c r="E425" s="12"/>
      <c r="F425" s="13"/>
      <c r="G425" s="12"/>
      <c r="H425" s="27"/>
      <c r="I425" s="277" t="str">
        <f ca="1">IF(ListeInventaire3811[[#This Row],[Statut de la réalisation de l''action]]="Effectué","À jour",IF(ListeInventaire3811[[#This Row],[échéance de réalisation]]&lt;TODAY(),"En retard","À jour"))</f>
        <v>En retard</v>
      </c>
      <c r="J425" s="109"/>
      <c r="K425" s="10"/>
      <c r="L425" s="10"/>
      <c r="M425" s="31"/>
      <c r="N425" s="32"/>
      <c r="O425" s="31"/>
      <c r="P425" s="10"/>
      <c r="Q425" s="31"/>
      <c r="R425" s="31"/>
      <c r="S425" s="31"/>
      <c r="T425" s="31"/>
      <c r="U425" s="31"/>
      <c r="V425" s="31"/>
      <c r="W425" s="31"/>
      <c r="X425" s="31"/>
      <c r="Y425" s="31"/>
      <c r="Z425" s="31"/>
      <c r="AA425" s="31"/>
      <c r="AB425" s="31"/>
      <c r="AC425" s="31"/>
    </row>
    <row r="426" spans="1:29" ht="30" customHeight="1" x14ac:dyDescent="0.25">
      <c r="A426" s="36"/>
      <c r="B426" s="12"/>
      <c r="C426" s="12"/>
      <c r="D426" s="12"/>
      <c r="E426" s="12"/>
      <c r="F426" s="13"/>
      <c r="G426" s="12"/>
      <c r="H426" s="27"/>
      <c r="I426" s="277" t="str">
        <f ca="1">IF(ListeInventaire3811[[#This Row],[Statut de la réalisation de l''action]]="Effectué","À jour",IF(ListeInventaire3811[[#This Row],[échéance de réalisation]]&lt;TODAY(),"En retard","À jour"))</f>
        <v>En retard</v>
      </c>
      <c r="J426" s="109"/>
      <c r="K426" s="10"/>
      <c r="L426" s="10"/>
      <c r="M426" s="31"/>
      <c r="N426" s="32"/>
      <c r="O426" s="31"/>
      <c r="P426" s="10"/>
      <c r="Q426" s="31"/>
      <c r="R426" s="31"/>
      <c r="S426" s="31"/>
      <c r="T426" s="31"/>
      <c r="U426" s="31"/>
      <c r="V426" s="31"/>
      <c r="W426" s="31"/>
      <c r="X426" s="31"/>
      <c r="Y426" s="31"/>
      <c r="Z426" s="31"/>
      <c r="AA426" s="31"/>
      <c r="AB426" s="31"/>
      <c r="AC426" s="31"/>
    </row>
    <row r="427" spans="1:29" ht="30" customHeight="1" x14ac:dyDescent="0.25">
      <c r="A427" s="36"/>
      <c r="B427" s="12"/>
      <c r="C427" s="12"/>
      <c r="D427" s="12"/>
      <c r="E427" s="12"/>
      <c r="F427" s="13"/>
      <c r="G427" s="12"/>
      <c r="H427" s="27"/>
      <c r="I427" s="277" t="str">
        <f ca="1">IF(ListeInventaire3811[[#This Row],[Statut de la réalisation de l''action]]="Effectué","À jour",IF(ListeInventaire3811[[#This Row],[échéance de réalisation]]&lt;TODAY(),"En retard","À jour"))</f>
        <v>En retard</v>
      </c>
      <c r="J427" s="109"/>
      <c r="K427" s="10"/>
      <c r="L427" s="10"/>
      <c r="M427" s="31"/>
      <c r="N427" s="32"/>
      <c r="O427" s="31"/>
      <c r="P427" s="10"/>
      <c r="Q427" s="31"/>
      <c r="R427" s="31"/>
      <c r="S427" s="31"/>
      <c r="T427" s="31"/>
      <c r="U427" s="31"/>
      <c r="V427" s="31"/>
      <c r="W427" s="31"/>
      <c r="X427" s="31"/>
      <c r="Y427" s="31"/>
      <c r="Z427" s="31"/>
      <c r="AA427" s="31"/>
      <c r="AB427" s="31"/>
      <c r="AC427" s="31"/>
    </row>
    <row r="428" spans="1:29" ht="30" customHeight="1" x14ac:dyDescent="0.25">
      <c r="A428" s="36"/>
      <c r="B428" s="12"/>
      <c r="C428" s="12"/>
      <c r="D428" s="12"/>
      <c r="E428" s="12"/>
      <c r="F428" s="13"/>
      <c r="G428" s="12"/>
      <c r="H428" s="27"/>
      <c r="I428" s="277" t="str">
        <f ca="1">IF(ListeInventaire3811[[#This Row],[Statut de la réalisation de l''action]]="Effectué","À jour",IF(ListeInventaire3811[[#This Row],[échéance de réalisation]]&lt;TODAY(),"En retard","À jour"))</f>
        <v>En retard</v>
      </c>
      <c r="J428" s="109"/>
      <c r="K428" s="10"/>
      <c r="L428" s="10"/>
      <c r="M428" s="31"/>
      <c r="N428" s="32"/>
      <c r="O428" s="31"/>
      <c r="P428" s="10"/>
      <c r="Q428" s="31"/>
      <c r="R428" s="31"/>
      <c r="S428" s="31"/>
      <c r="T428" s="31"/>
      <c r="U428" s="31"/>
      <c r="V428" s="31"/>
      <c r="W428" s="31"/>
      <c r="X428" s="31"/>
      <c r="Y428" s="31"/>
      <c r="Z428" s="31"/>
      <c r="AA428" s="31"/>
      <c r="AB428" s="31"/>
      <c r="AC428" s="31"/>
    </row>
    <row r="429" spans="1:29" ht="30" customHeight="1" x14ac:dyDescent="0.25">
      <c r="A429" s="36"/>
      <c r="B429" s="12"/>
      <c r="C429" s="12"/>
      <c r="D429" s="12"/>
      <c r="E429" s="12"/>
      <c r="F429" s="13"/>
      <c r="G429" s="12"/>
      <c r="H429" s="27"/>
      <c r="I429" s="277" t="str">
        <f ca="1">IF(ListeInventaire3811[[#This Row],[Statut de la réalisation de l''action]]="Effectué","À jour",IF(ListeInventaire3811[[#This Row],[échéance de réalisation]]&lt;TODAY(),"En retard","À jour"))</f>
        <v>En retard</v>
      </c>
      <c r="J429" s="109"/>
      <c r="K429" s="10"/>
      <c r="L429" s="10"/>
      <c r="M429" s="31"/>
      <c r="N429" s="32"/>
      <c r="O429" s="31"/>
      <c r="P429" s="10"/>
      <c r="Q429" s="31"/>
      <c r="R429" s="31"/>
      <c r="S429" s="31"/>
      <c r="T429" s="31"/>
      <c r="U429" s="31"/>
      <c r="V429" s="31"/>
      <c r="W429" s="31"/>
      <c r="X429" s="31"/>
      <c r="Y429" s="31"/>
      <c r="Z429" s="31"/>
      <c r="AA429" s="31"/>
      <c r="AB429" s="31"/>
      <c r="AC429" s="31"/>
    </row>
    <row r="430" spans="1:29" ht="30" customHeight="1" x14ac:dyDescent="0.25">
      <c r="A430" s="36"/>
      <c r="B430" s="12"/>
      <c r="C430" s="12"/>
      <c r="D430" s="12"/>
      <c r="E430" s="12"/>
      <c r="F430" s="13"/>
      <c r="G430" s="12"/>
      <c r="H430" s="27"/>
      <c r="I430" s="277" t="str">
        <f ca="1">IF(ListeInventaire3811[[#This Row],[Statut de la réalisation de l''action]]="Effectué","À jour",IF(ListeInventaire3811[[#This Row],[échéance de réalisation]]&lt;TODAY(),"En retard","À jour"))</f>
        <v>En retard</v>
      </c>
      <c r="J430" s="109"/>
      <c r="K430" s="10"/>
      <c r="L430" s="10"/>
      <c r="M430" s="31"/>
      <c r="N430" s="32"/>
      <c r="O430" s="31"/>
      <c r="P430" s="10"/>
      <c r="Q430" s="31"/>
      <c r="R430" s="31"/>
      <c r="S430" s="31"/>
      <c r="T430" s="31"/>
      <c r="U430" s="31"/>
      <c r="V430" s="31"/>
      <c r="W430" s="31"/>
      <c r="X430" s="31"/>
      <c r="Y430" s="31"/>
      <c r="Z430" s="31"/>
      <c r="AA430" s="31"/>
      <c r="AB430" s="31"/>
      <c r="AC430" s="31"/>
    </row>
    <row r="431" spans="1:29" ht="30" customHeight="1" x14ac:dyDescent="0.25">
      <c r="A431" s="36"/>
      <c r="B431" s="12"/>
      <c r="C431" s="12"/>
      <c r="D431" s="12"/>
      <c r="E431" s="12"/>
      <c r="F431" s="13"/>
      <c r="G431" s="12"/>
      <c r="H431" s="27"/>
      <c r="I431" s="277" t="str">
        <f ca="1">IF(ListeInventaire3811[[#This Row],[Statut de la réalisation de l''action]]="Effectué","À jour",IF(ListeInventaire3811[[#This Row],[échéance de réalisation]]&lt;TODAY(),"En retard","À jour"))</f>
        <v>En retard</v>
      </c>
      <c r="J431" s="109"/>
      <c r="K431" s="10"/>
      <c r="L431" s="10"/>
      <c r="M431" s="31"/>
      <c r="N431" s="32"/>
      <c r="O431" s="31"/>
      <c r="P431" s="10"/>
      <c r="Q431" s="31"/>
      <c r="R431" s="31"/>
      <c r="S431" s="31"/>
      <c r="T431" s="31"/>
      <c r="U431" s="31"/>
      <c r="V431" s="31"/>
      <c r="W431" s="31"/>
      <c r="X431" s="31"/>
      <c r="Y431" s="31"/>
      <c r="Z431" s="31"/>
      <c r="AA431" s="31"/>
      <c r="AB431" s="31"/>
      <c r="AC431" s="31"/>
    </row>
    <row r="432" spans="1:29" ht="30" customHeight="1" x14ac:dyDescent="0.25">
      <c r="A432" s="36"/>
      <c r="B432" s="12"/>
      <c r="C432" s="12"/>
      <c r="D432" s="12"/>
      <c r="E432" s="12"/>
      <c r="F432" s="13"/>
      <c r="G432" s="12"/>
      <c r="H432" s="27"/>
      <c r="I432" s="277" t="str">
        <f ca="1">IF(ListeInventaire3811[[#This Row],[Statut de la réalisation de l''action]]="Effectué","À jour",IF(ListeInventaire3811[[#This Row],[échéance de réalisation]]&lt;TODAY(),"En retard","À jour"))</f>
        <v>En retard</v>
      </c>
      <c r="J432" s="109"/>
      <c r="K432" s="10"/>
      <c r="L432" s="10"/>
      <c r="M432" s="31"/>
      <c r="N432" s="32"/>
      <c r="O432" s="31"/>
      <c r="P432" s="10"/>
      <c r="Q432" s="31"/>
      <c r="R432" s="31"/>
      <c r="S432" s="31"/>
      <c r="T432" s="31"/>
      <c r="U432" s="31"/>
      <c r="V432" s="31"/>
      <c r="W432" s="31"/>
      <c r="X432" s="31"/>
      <c r="Y432" s="31"/>
      <c r="Z432" s="31"/>
      <c r="AA432" s="31"/>
      <c r="AB432" s="31"/>
      <c r="AC432" s="31"/>
    </row>
    <row r="433" spans="1:29" ht="30" customHeight="1" x14ac:dyDescent="0.25">
      <c r="A433" s="36"/>
      <c r="B433" s="12"/>
      <c r="C433" s="12"/>
      <c r="D433" s="12"/>
      <c r="E433" s="12"/>
      <c r="F433" s="13"/>
      <c r="G433" s="12"/>
      <c r="H433" s="27"/>
      <c r="I433" s="277" t="str">
        <f ca="1">IF(ListeInventaire3811[[#This Row],[Statut de la réalisation de l''action]]="Effectué","À jour",IF(ListeInventaire3811[[#This Row],[échéance de réalisation]]&lt;TODAY(),"En retard","À jour"))</f>
        <v>En retard</v>
      </c>
      <c r="J433" s="109"/>
      <c r="K433" s="10"/>
      <c r="L433" s="10"/>
      <c r="M433" s="31"/>
      <c r="N433" s="32"/>
      <c r="O433" s="31"/>
      <c r="P433" s="10"/>
      <c r="Q433" s="31"/>
      <c r="R433" s="31"/>
      <c r="S433" s="31"/>
      <c r="T433" s="31"/>
      <c r="U433" s="31"/>
      <c r="V433" s="31"/>
      <c r="W433" s="31"/>
      <c r="X433" s="31"/>
      <c r="Y433" s="31"/>
      <c r="Z433" s="31"/>
      <c r="AA433" s="31"/>
      <c r="AB433" s="31"/>
      <c r="AC433" s="31"/>
    </row>
    <row r="434" spans="1:29" ht="30" customHeight="1" x14ac:dyDescent="0.25">
      <c r="A434" s="36"/>
      <c r="B434" s="12"/>
      <c r="C434" s="12"/>
      <c r="D434" s="12"/>
      <c r="E434" s="12"/>
      <c r="F434" s="13"/>
      <c r="G434" s="12"/>
      <c r="H434" s="27"/>
      <c r="I434" s="277" t="str">
        <f ca="1">IF(ListeInventaire3811[[#This Row],[Statut de la réalisation de l''action]]="Effectué","À jour",IF(ListeInventaire3811[[#This Row],[échéance de réalisation]]&lt;TODAY(),"En retard","À jour"))</f>
        <v>En retard</v>
      </c>
      <c r="J434" s="109"/>
      <c r="K434" s="10"/>
      <c r="L434" s="10"/>
      <c r="M434" s="31"/>
      <c r="N434" s="32"/>
      <c r="O434" s="31"/>
      <c r="P434" s="10"/>
      <c r="Q434" s="31"/>
      <c r="R434" s="31"/>
      <c r="S434" s="31"/>
      <c r="T434" s="31"/>
      <c r="U434" s="31"/>
      <c r="V434" s="31"/>
      <c r="W434" s="31"/>
      <c r="X434" s="31"/>
      <c r="Y434" s="31"/>
      <c r="Z434" s="31"/>
      <c r="AA434" s="31"/>
      <c r="AB434" s="31"/>
      <c r="AC434" s="31"/>
    </row>
    <row r="435" spans="1:29" ht="30" customHeight="1" x14ac:dyDescent="0.25">
      <c r="A435" s="36"/>
      <c r="B435" s="12"/>
      <c r="C435" s="12"/>
      <c r="D435" s="12"/>
      <c r="E435" s="12"/>
      <c r="F435" s="13"/>
      <c r="G435" s="12"/>
      <c r="H435" s="27"/>
      <c r="I435" s="277" t="str">
        <f ca="1">IF(ListeInventaire3811[[#This Row],[Statut de la réalisation de l''action]]="Effectué","À jour",IF(ListeInventaire3811[[#This Row],[échéance de réalisation]]&lt;TODAY(),"En retard","À jour"))</f>
        <v>En retard</v>
      </c>
      <c r="J435" s="109"/>
      <c r="K435" s="10"/>
      <c r="L435" s="10"/>
      <c r="M435" s="31"/>
      <c r="N435" s="32"/>
      <c r="O435" s="31"/>
      <c r="P435" s="10"/>
      <c r="Q435" s="31"/>
      <c r="R435" s="31"/>
      <c r="S435" s="31"/>
      <c r="T435" s="31"/>
      <c r="U435" s="31"/>
      <c r="V435" s="31"/>
      <c r="W435" s="31"/>
      <c r="X435" s="31"/>
      <c r="Y435" s="31"/>
      <c r="Z435" s="31"/>
      <c r="AA435" s="31"/>
      <c r="AB435" s="31"/>
      <c r="AC435" s="31"/>
    </row>
    <row r="436" spans="1:29" ht="30" customHeight="1" x14ac:dyDescent="0.25">
      <c r="A436" s="36"/>
      <c r="B436" s="12"/>
      <c r="C436" s="12"/>
      <c r="D436" s="12"/>
      <c r="E436" s="12"/>
      <c r="F436" s="13"/>
      <c r="G436" s="12"/>
      <c r="H436" s="27"/>
      <c r="I436" s="277" t="str">
        <f ca="1">IF(ListeInventaire3811[[#This Row],[Statut de la réalisation de l''action]]="Effectué","À jour",IF(ListeInventaire3811[[#This Row],[échéance de réalisation]]&lt;TODAY(),"En retard","À jour"))</f>
        <v>En retard</v>
      </c>
      <c r="J436" s="109"/>
      <c r="K436" s="10"/>
      <c r="L436" s="10"/>
      <c r="M436" s="31"/>
      <c r="N436" s="32"/>
      <c r="O436" s="31"/>
      <c r="P436" s="10"/>
      <c r="Q436" s="31"/>
      <c r="R436" s="31"/>
      <c r="S436" s="31"/>
      <c r="T436" s="31"/>
      <c r="U436" s="31"/>
      <c r="V436" s="31"/>
      <c r="W436" s="31"/>
      <c r="X436" s="31"/>
      <c r="Y436" s="31"/>
      <c r="Z436" s="31"/>
      <c r="AA436" s="31"/>
      <c r="AB436" s="31"/>
      <c r="AC436" s="31"/>
    </row>
    <row r="437" spans="1:29" ht="30" customHeight="1" x14ac:dyDescent="0.25">
      <c r="A437" s="36"/>
      <c r="B437" s="12"/>
      <c r="C437" s="12"/>
      <c r="D437" s="12"/>
      <c r="E437" s="12"/>
      <c r="F437" s="13"/>
      <c r="G437" s="12"/>
      <c r="H437" s="27"/>
      <c r="I437" s="277" t="str">
        <f ca="1">IF(ListeInventaire3811[[#This Row],[Statut de la réalisation de l''action]]="Effectué","À jour",IF(ListeInventaire3811[[#This Row],[échéance de réalisation]]&lt;TODAY(),"En retard","À jour"))</f>
        <v>En retard</v>
      </c>
      <c r="J437" s="109"/>
      <c r="K437" s="10"/>
      <c r="L437" s="10"/>
      <c r="M437" s="31"/>
      <c r="N437" s="32"/>
      <c r="O437" s="31"/>
      <c r="P437" s="10"/>
      <c r="Q437" s="31"/>
      <c r="R437" s="31"/>
      <c r="S437" s="31"/>
      <c r="T437" s="31"/>
      <c r="U437" s="31"/>
      <c r="V437" s="31"/>
      <c r="W437" s="31"/>
      <c r="X437" s="31"/>
      <c r="Y437" s="31"/>
      <c r="Z437" s="31"/>
      <c r="AA437" s="31"/>
      <c r="AB437" s="31"/>
      <c r="AC437" s="31"/>
    </row>
    <row r="438" spans="1:29" ht="30" customHeight="1" x14ac:dyDescent="0.25">
      <c r="A438" s="36"/>
      <c r="B438" s="12"/>
      <c r="C438" s="12"/>
      <c r="D438" s="12"/>
      <c r="E438" s="12"/>
      <c r="F438" s="13"/>
      <c r="G438" s="12"/>
      <c r="H438" s="27"/>
      <c r="I438" s="277" t="str">
        <f ca="1">IF(ListeInventaire3811[[#This Row],[Statut de la réalisation de l''action]]="Effectué","À jour",IF(ListeInventaire3811[[#This Row],[échéance de réalisation]]&lt;TODAY(),"En retard","À jour"))</f>
        <v>En retard</v>
      </c>
      <c r="J438" s="109"/>
      <c r="K438" s="10"/>
      <c r="L438" s="10"/>
      <c r="M438" s="31"/>
      <c r="N438" s="32"/>
      <c r="O438" s="31"/>
      <c r="P438" s="10"/>
      <c r="Q438" s="31"/>
      <c r="R438" s="31"/>
      <c r="S438" s="31"/>
      <c r="T438" s="31"/>
      <c r="U438" s="31"/>
      <c r="V438" s="31"/>
      <c r="W438" s="31"/>
      <c r="X438" s="31"/>
      <c r="Y438" s="31"/>
      <c r="Z438" s="31"/>
      <c r="AA438" s="31"/>
      <c r="AB438" s="31"/>
      <c r="AC438" s="31"/>
    </row>
    <row r="439" spans="1:29" ht="30" customHeight="1" x14ac:dyDescent="0.25">
      <c r="A439" s="36"/>
      <c r="B439" s="12"/>
      <c r="C439" s="12"/>
      <c r="D439" s="12"/>
      <c r="E439" s="12"/>
      <c r="F439" s="13"/>
      <c r="G439" s="12"/>
      <c r="H439" s="27"/>
      <c r="I439" s="277" t="str">
        <f ca="1">IF(ListeInventaire3811[[#This Row],[Statut de la réalisation de l''action]]="Effectué","À jour",IF(ListeInventaire3811[[#This Row],[échéance de réalisation]]&lt;TODAY(),"En retard","À jour"))</f>
        <v>En retard</v>
      </c>
      <c r="J439" s="109"/>
      <c r="K439" s="10"/>
      <c r="L439" s="10"/>
      <c r="M439" s="31"/>
      <c r="N439" s="32"/>
      <c r="O439" s="31"/>
      <c r="P439" s="10"/>
      <c r="Q439" s="31"/>
      <c r="R439" s="31"/>
      <c r="S439" s="31"/>
      <c r="T439" s="31"/>
      <c r="U439" s="31"/>
      <c r="V439" s="31"/>
      <c r="W439" s="31"/>
      <c r="X439" s="31"/>
      <c r="Y439" s="31"/>
      <c r="Z439" s="31"/>
      <c r="AA439" s="31"/>
      <c r="AB439" s="31"/>
      <c r="AC439" s="31"/>
    </row>
    <row r="440" spans="1:29" ht="30" customHeight="1" x14ac:dyDescent="0.25">
      <c r="A440" s="36"/>
      <c r="B440" s="12"/>
      <c r="C440" s="12"/>
      <c r="D440" s="12"/>
      <c r="E440" s="12"/>
      <c r="F440" s="13"/>
      <c r="G440" s="12"/>
      <c r="H440" s="27"/>
      <c r="I440" s="277" t="str">
        <f ca="1">IF(ListeInventaire3811[[#This Row],[Statut de la réalisation de l''action]]="Effectué","À jour",IF(ListeInventaire3811[[#This Row],[échéance de réalisation]]&lt;TODAY(),"En retard","À jour"))</f>
        <v>En retard</v>
      </c>
      <c r="J440" s="109"/>
      <c r="K440" s="10"/>
      <c r="L440" s="10"/>
      <c r="M440" s="31"/>
      <c r="N440" s="32"/>
      <c r="O440" s="31"/>
      <c r="P440" s="10"/>
      <c r="Q440" s="31"/>
      <c r="R440" s="31"/>
      <c r="S440" s="31"/>
      <c r="T440" s="31"/>
      <c r="U440" s="31"/>
      <c r="V440" s="31"/>
      <c r="W440" s="31"/>
      <c r="X440" s="31"/>
      <c r="Y440" s="31"/>
      <c r="Z440" s="31"/>
      <c r="AA440" s="31"/>
      <c r="AB440" s="31"/>
      <c r="AC440" s="31"/>
    </row>
    <row r="441" spans="1:29" ht="30" customHeight="1" x14ac:dyDescent="0.25">
      <c r="A441" s="36"/>
      <c r="B441" s="12"/>
      <c r="C441" s="12"/>
      <c r="D441" s="12"/>
      <c r="E441" s="12"/>
      <c r="F441" s="13"/>
      <c r="G441" s="12"/>
      <c r="H441" s="27"/>
      <c r="I441" s="277" t="str">
        <f ca="1">IF(ListeInventaire3811[[#This Row],[Statut de la réalisation de l''action]]="Effectué","À jour",IF(ListeInventaire3811[[#This Row],[échéance de réalisation]]&lt;TODAY(),"En retard","À jour"))</f>
        <v>En retard</v>
      </c>
      <c r="J441" s="109"/>
      <c r="K441" s="10"/>
      <c r="L441" s="10"/>
      <c r="M441" s="31"/>
      <c r="N441" s="32"/>
      <c r="O441" s="31"/>
      <c r="P441" s="10"/>
      <c r="Q441" s="31"/>
      <c r="R441" s="31"/>
      <c r="S441" s="31"/>
      <c r="T441" s="31"/>
      <c r="U441" s="31"/>
      <c r="V441" s="31"/>
      <c r="W441" s="31"/>
      <c r="X441" s="31"/>
      <c r="Y441" s="31"/>
      <c r="Z441" s="31"/>
      <c r="AA441" s="31"/>
      <c r="AB441" s="31"/>
      <c r="AC441" s="31"/>
    </row>
    <row r="442" spans="1:29" ht="30" customHeight="1" x14ac:dyDescent="0.25">
      <c r="A442" s="36"/>
      <c r="B442" s="12"/>
      <c r="C442" s="12"/>
      <c r="D442" s="12"/>
      <c r="E442" s="12"/>
      <c r="F442" s="13"/>
      <c r="G442" s="12"/>
      <c r="H442" s="27"/>
      <c r="I442" s="277" t="str">
        <f ca="1">IF(ListeInventaire3811[[#This Row],[Statut de la réalisation de l''action]]="Effectué","À jour",IF(ListeInventaire3811[[#This Row],[échéance de réalisation]]&lt;TODAY(),"En retard","À jour"))</f>
        <v>En retard</v>
      </c>
      <c r="J442" s="109"/>
      <c r="K442" s="10"/>
      <c r="L442" s="10"/>
      <c r="M442" s="31"/>
      <c r="N442" s="32"/>
      <c r="O442" s="31"/>
      <c r="P442" s="10"/>
      <c r="Q442" s="31"/>
      <c r="R442" s="31"/>
      <c r="S442" s="31"/>
      <c r="T442" s="31"/>
      <c r="U442" s="31"/>
      <c r="V442" s="31"/>
      <c r="W442" s="31"/>
      <c r="X442" s="31"/>
      <c r="Y442" s="31"/>
      <c r="Z442" s="31"/>
      <c r="AA442" s="31"/>
      <c r="AB442" s="31"/>
      <c r="AC442" s="31"/>
    </row>
    <row r="443" spans="1:29" ht="30" customHeight="1" x14ac:dyDescent="0.25">
      <c r="A443" s="36"/>
      <c r="B443" s="12"/>
      <c r="C443" s="12"/>
      <c r="D443" s="12"/>
      <c r="E443" s="12"/>
      <c r="F443" s="13"/>
      <c r="G443" s="12"/>
      <c r="H443" s="27"/>
      <c r="I443" s="277" t="str">
        <f ca="1">IF(ListeInventaire3811[[#This Row],[Statut de la réalisation de l''action]]="Effectué","À jour",IF(ListeInventaire3811[[#This Row],[échéance de réalisation]]&lt;TODAY(),"En retard","À jour"))</f>
        <v>En retard</v>
      </c>
      <c r="J443" s="109"/>
      <c r="K443" s="10"/>
      <c r="L443" s="10"/>
      <c r="M443" s="31"/>
      <c r="N443" s="32"/>
      <c r="O443" s="31"/>
      <c r="P443" s="10"/>
      <c r="Q443" s="31"/>
      <c r="R443" s="31"/>
      <c r="S443" s="31"/>
      <c r="T443" s="31"/>
      <c r="U443" s="31"/>
      <c r="V443" s="31"/>
      <c r="W443" s="31"/>
      <c r="X443" s="31"/>
      <c r="Y443" s="31"/>
      <c r="Z443" s="31"/>
      <c r="AA443" s="31"/>
      <c r="AB443" s="31"/>
      <c r="AC443" s="31"/>
    </row>
    <row r="444" spans="1:29" ht="30" customHeight="1" x14ac:dyDescent="0.25">
      <c r="A444" s="36"/>
      <c r="B444" s="12"/>
      <c r="C444" s="12"/>
      <c r="D444" s="12"/>
      <c r="E444" s="12"/>
      <c r="F444" s="13"/>
      <c r="G444" s="12"/>
      <c r="H444" s="27"/>
      <c r="I444" s="277" t="str">
        <f ca="1">IF(ListeInventaire3811[[#This Row],[Statut de la réalisation de l''action]]="Effectué","À jour",IF(ListeInventaire3811[[#This Row],[échéance de réalisation]]&lt;TODAY(),"En retard","À jour"))</f>
        <v>En retard</v>
      </c>
      <c r="J444" s="109"/>
      <c r="K444" s="10"/>
      <c r="L444" s="10"/>
      <c r="M444" s="31"/>
      <c r="N444" s="32"/>
      <c r="O444" s="31"/>
      <c r="P444" s="10"/>
      <c r="Q444" s="31"/>
      <c r="R444" s="31"/>
      <c r="S444" s="31"/>
      <c r="T444" s="31"/>
      <c r="U444" s="31"/>
      <c r="V444" s="31"/>
      <c r="W444" s="31"/>
      <c r="X444" s="31"/>
      <c r="Y444" s="31"/>
      <c r="Z444" s="31"/>
      <c r="AA444" s="31"/>
      <c r="AB444" s="31"/>
      <c r="AC444" s="31"/>
    </row>
    <row r="445" spans="1:29" ht="30" customHeight="1" x14ac:dyDescent="0.25">
      <c r="A445" s="36"/>
      <c r="B445" s="12"/>
      <c r="C445" s="12"/>
      <c r="D445" s="12"/>
      <c r="E445" s="12"/>
      <c r="F445" s="13"/>
      <c r="G445" s="12"/>
      <c r="H445" s="27"/>
      <c r="I445" s="277" t="str">
        <f ca="1">IF(ListeInventaire3811[[#This Row],[Statut de la réalisation de l''action]]="Effectué","À jour",IF(ListeInventaire3811[[#This Row],[échéance de réalisation]]&lt;TODAY(),"En retard","À jour"))</f>
        <v>En retard</v>
      </c>
      <c r="J445" s="109"/>
      <c r="K445" s="10"/>
      <c r="L445" s="10"/>
      <c r="M445" s="31"/>
      <c r="N445" s="32"/>
      <c r="O445" s="31"/>
      <c r="P445" s="10"/>
      <c r="Q445" s="31"/>
      <c r="R445" s="31"/>
      <c r="S445" s="31"/>
      <c r="T445" s="31"/>
      <c r="U445" s="31"/>
      <c r="V445" s="31"/>
      <c r="W445" s="31"/>
      <c r="X445" s="31"/>
      <c r="Y445" s="31"/>
      <c r="Z445" s="31"/>
      <c r="AA445" s="31"/>
      <c r="AB445" s="31"/>
      <c r="AC445" s="31"/>
    </row>
    <row r="446" spans="1:29" ht="30" customHeight="1" x14ac:dyDescent="0.25">
      <c r="A446" s="36"/>
      <c r="B446" s="12"/>
      <c r="C446" s="12"/>
      <c r="D446" s="12"/>
      <c r="E446" s="12"/>
      <c r="F446" s="13"/>
      <c r="G446" s="12"/>
      <c r="H446" s="27"/>
      <c r="I446" s="277" t="str">
        <f ca="1">IF(ListeInventaire3811[[#This Row],[Statut de la réalisation de l''action]]="Effectué","À jour",IF(ListeInventaire3811[[#This Row],[échéance de réalisation]]&lt;TODAY(),"En retard","À jour"))</f>
        <v>En retard</v>
      </c>
      <c r="J446" s="109"/>
      <c r="K446" s="10"/>
      <c r="L446" s="10"/>
      <c r="M446" s="31"/>
      <c r="N446" s="32"/>
      <c r="O446" s="31"/>
      <c r="P446" s="10"/>
      <c r="Q446" s="31"/>
      <c r="R446" s="31"/>
      <c r="S446" s="31"/>
      <c r="T446" s="31"/>
      <c r="U446" s="31"/>
      <c r="V446" s="31"/>
      <c r="W446" s="31"/>
      <c r="X446" s="31"/>
      <c r="Y446" s="31"/>
      <c r="Z446" s="31"/>
      <c r="AA446" s="31"/>
      <c r="AB446" s="31"/>
      <c r="AC446" s="31"/>
    </row>
    <row r="447" spans="1:29" ht="30" customHeight="1" x14ac:dyDescent="0.25">
      <c r="A447" s="36"/>
      <c r="B447" s="12"/>
      <c r="C447" s="12"/>
      <c r="D447" s="12"/>
      <c r="E447" s="12"/>
      <c r="F447" s="13"/>
      <c r="G447" s="12"/>
      <c r="H447" s="27"/>
      <c r="I447" s="277" t="str">
        <f ca="1">IF(ListeInventaire3811[[#This Row],[Statut de la réalisation de l''action]]="Effectué","À jour",IF(ListeInventaire3811[[#This Row],[échéance de réalisation]]&lt;TODAY(),"En retard","À jour"))</f>
        <v>En retard</v>
      </c>
      <c r="J447" s="109"/>
      <c r="K447" s="10"/>
      <c r="L447" s="10"/>
      <c r="M447" s="31"/>
      <c r="N447" s="32"/>
      <c r="O447" s="31"/>
      <c r="P447" s="10"/>
      <c r="Q447" s="31"/>
      <c r="R447" s="31"/>
      <c r="S447" s="31"/>
      <c r="T447" s="31"/>
      <c r="U447" s="31"/>
      <c r="V447" s="31"/>
      <c r="W447" s="31"/>
      <c r="X447" s="31"/>
      <c r="Y447" s="31"/>
      <c r="Z447" s="31"/>
      <c r="AA447" s="31"/>
      <c r="AB447" s="31"/>
      <c r="AC447" s="31"/>
    </row>
    <row r="448" spans="1:29" ht="30" customHeight="1" x14ac:dyDescent="0.25">
      <c r="A448" s="36"/>
      <c r="B448" s="12"/>
      <c r="C448" s="12"/>
      <c r="D448" s="12"/>
      <c r="E448" s="12"/>
      <c r="F448" s="354"/>
      <c r="G448" s="12"/>
      <c r="H448" s="27"/>
      <c r="I448" s="277" t="str">
        <f ca="1">IF(ListeInventaire3811[[#This Row],[Statut de la réalisation de l''action]]="Effectué","À jour",IF(ListeInventaire3811[[#This Row],[échéance de réalisation]]&lt;TODAY(),"En retard","À jour"))</f>
        <v>En retard</v>
      </c>
      <c r="J448" s="109"/>
      <c r="K448" s="10"/>
      <c r="L448" s="10"/>
      <c r="M448" s="31"/>
      <c r="N448" s="32"/>
      <c r="O448" s="31"/>
      <c r="P448" s="10"/>
      <c r="Q448" s="31"/>
      <c r="R448" s="31"/>
      <c r="S448" s="31"/>
      <c r="T448" s="31"/>
      <c r="U448" s="31"/>
      <c r="V448" s="31"/>
      <c r="W448" s="31"/>
      <c r="X448" s="31"/>
      <c r="Y448" s="31"/>
      <c r="Z448" s="31"/>
      <c r="AA448" s="31"/>
      <c r="AB448" s="31"/>
      <c r="AC448" s="31"/>
    </row>
    <row r="449" spans="1:29" ht="30" customHeight="1" x14ac:dyDescent="0.25">
      <c r="A449" s="36"/>
      <c r="B449" s="352"/>
      <c r="C449" s="12"/>
      <c r="D449" s="12"/>
      <c r="E449" s="352"/>
      <c r="F449" s="354"/>
      <c r="G449" s="352"/>
      <c r="H449" s="359"/>
      <c r="I449" s="277" t="str">
        <f ca="1">IF(ListeInventaire3811[[#This Row],[Statut de la réalisation de l''action]]="Effectué","À jour",IF(ListeInventaire3811[[#This Row],[échéance de réalisation]]&lt;TODAY(),"En retard","À jour"))</f>
        <v>En retard</v>
      </c>
      <c r="J449" s="109"/>
      <c r="K449" s="10"/>
      <c r="L449" s="10"/>
      <c r="M449" s="31"/>
      <c r="N449" s="32"/>
      <c r="O449" s="31"/>
      <c r="P449" s="10"/>
      <c r="Q449" s="31"/>
      <c r="R449" s="31"/>
      <c r="S449" s="31"/>
      <c r="T449" s="31"/>
      <c r="U449" s="31"/>
      <c r="V449" s="31"/>
      <c r="W449" s="31"/>
      <c r="X449" s="31"/>
      <c r="Y449" s="31"/>
      <c r="Z449" s="31"/>
      <c r="AA449" s="31"/>
      <c r="AB449" s="31"/>
      <c r="AC449" s="31"/>
    </row>
    <row r="450" spans="1:29" ht="45.6" customHeight="1" x14ac:dyDescent="0.25">
      <c r="A450" s="36"/>
      <c r="B450" s="12"/>
      <c r="C450" s="12"/>
      <c r="D450" s="12"/>
      <c r="E450" s="352"/>
      <c r="F450" s="354"/>
      <c r="G450" s="352"/>
      <c r="H450" s="359"/>
      <c r="I450" s="277" t="str">
        <f ca="1">IF(ListeInventaire3811[[#This Row],[Statut de la réalisation de l''action]]="Effectué","À jour",IF(ListeInventaire3811[[#This Row],[échéance de réalisation]]&lt;TODAY(),"En retard","À jour"))</f>
        <v>En retard</v>
      </c>
      <c r="J450" s="109"/>
      <c r="K450" s="10"/>
      <c r="L450" s="10"/>
      <c r="M450" s="31"/>
      <c r="N450" s="32"/>
      <c r="O450" s="31"/>
      <c r="P450" s="10"/>
      <c r="Q450" s="31"/>
      <c r="R450" s="31"/>
      <c r="S450" s="31"/>
      <c r="T450" s="31"/>
      <c r="U450" s="31"/>
      <c r="V450" s="31"/>
      <c r="W450" s="31"/>
      <c r="X450" s="31"/>
      <c r="Y450" s="31"/>
      <c r="Z450" s="31"/>
      <c r="AA450" s="31"/>
      <c r="AB450" s="31"/>
      <c r="AC450" s="31"/>
    </row>
    <row r="451" spans="1:29" ht="43.35" customHeight="1" x14ac:dyDescent="0.25">
      <c r="A451" s="36"/>
      <c r="B451" s="12"/>
      <c r="C451" s="12"/>
      <c r="D451" s="12"/>
      <c r="E451" s="352"/>
      <c r="F451" s="354"/>
      <c r="G451" s="352"/>
      <c r="H451" s="359"/>
      <c r="I451" s="277" t="str">
        <f ca="1">IF(ListeInventaire3811[[#This Row],[Statut de la réalisation de l''action]]="Effectué","À jour",IF(ListeInventaire3811[[#This Row],[échéance de réalisation]]&lt;TODAY(),"En retard","À jour"))</f>
        <v>En retard</v>
      </c>
      <c r="J451" s="109"/>
      <c r="K451" s="10"/>
      <c r="L451" s="10"/>
      <c r="M451" s="31"/>
      <c r="N451" s="32"/>
      <c r="O451" s="31"/>
      <c r="P451" s="10"/>
      <c r="Q451" s="31"/>
      <c r="R451" s="31"/>
      <c r="S451" s="31"/>
      <c r="T451" s="31"/>
      <c r="U451" s="31"/>
      <c r="V451" s="31"/>
      <c r="W451" s="31"/>
      <c r="X451" s="31"/>
      <c r="Y451" s="31"/>
      <c r="Z451" s="31"/>
      <c r="AA451" s="31"/>
      <c r="AB451" s="31"/>
      <c r="AC451" s="31"/>
    </row>
    <row r="452" spans="1:29" ht="30" customHeight="1" x14ac:dyDescent="0.25">
      <c r="A452" s="36"/>
      <c r="B452" s="12"/>
      <c r="C452" s="12"/>
      <c r="D452" s="12"/>
      <c r="E452" s="352"/>
      <c r="F452" s="354"/>
      <c r="G452" s="352"/>
      <c r="H452" s="359"/>
      <c r="I452" s="277" t="str">
        <f ca="1">IF(ListeInventaire3811[[#This Row],[Statut de la réalisation de l''action]]="Effectué","À jour",IF(ListeInventaire3811[[#This Row],[échéance de réalisation]]&lt;TODAY(),"En retard","À jour"))</f>
        <v>En retard</v>
      </c>
      <c r="J452" s="109"/>
      <c r="K452" s="10"/>
      <c r="L452" s="10"/>
      <c r="M452" s="31"/>
      <c r="N452" s="32"/>
      <c r="O452" s="31"/>
      <c r="P452" s="10"/>
      <c r="Q452" s="31"/>
      <c r="R452" s="31"/>
      <c r="S452" s="31"/>
      <c r="T452" s="31"/>
      <c r="U452" s="31"/>
      <c r="V452" s="31"/>
      <c r="W452" s="31"/>
      <c r="X452" s="31"/>
      <c r="Y452" s="31"/>
      <c r="Z452" s="31"/>
      <c r="AA452" s="31"/>
      <c r="AB452" s="31"/>
      <c r="AC452" s="31"/>
    </row>
    <row r="453" spans="1:29" ht="30" customHeight="1" x14ac:dyDescent="0.25">
      <c r="A453" s="36"/>
      <c r="B453" s="12"/>
      <c r="C453" s="12"/>
      <c r="D453" s="12"/>
      <c r="E453" s="12"/>
      <c r="F453" s="354"/>
      <c r="G453" s="352"/>
      <c r="H453" s="359"/>
      <c r="I453" s="277" t="str">
        <f ca="1">IF(ListeInventaire3811[[#This Row],[Statut de la réalisation de l''action]]="Effectué","À jour",IF(ListeInventaire3811[[#This Row],[échéance de réalisation]]&lt;TODAY(),"En retard","À jour"))</f>
        <v>En retard</v>
      </c>
      <c r="J453" s="109"/>
      <c r="K453" s="10"/>
      <c r="L453" s="10"/>
      <c r="M453" s="31"/>
      <c r="N453" s="32"/>
      <c r="O453" s="31"/>
      <c r="P453" s="10"/>
      <c r="Q453" s="31"/>
      <c r="R453" s="31"/>
      <c r="S453" s="31"/>
      <c r="T453" s="31"/>
      <c r="U453" s="31"/>
      <c r="V453" s="31"/>
      <c r="W453" s="31"/>
      <c r="X453" s="31"/>
      <c r="Y453" s="31"/>
      <c r="Z453" s="31"/>
      <c r="AA453" s="31"/>
      <c r="AB453" s="31"/>
      <c r="AC453" s="31"/>
    </row>
    <row r="454" spans="1:29" ht="30" customHeight="1" x14ac:dyDescent="0.25">
      <c r="A454" s="36"/>
      <c r="B454" s="12"/>
      <c r="C454" s="12"/>
      <c r="D454" s="12"/>
      <c r="E454" s="12"/>
      <c r="F454" s="354"/>
      <c r="G454" s="352"/>
      <c r="H454" s="359"/>
      <c r="I454" s="277" t="str">
        <f ca="1">IF(ListeInventaire3811[[#This Row],[Statut de la réalisation de l''action]]="Effectué","À jour",IF(ListeInventaire3811[[#This Row],[échéance de réalisation]]&lt;TODAY(),"En retard","À jour"))</f>
        <v>En retard</v>
      </c>
      <c r="J454" s="109"/>
      <c r="K454" s="10"/>
      <c r="L454" s="10"/>
      <c r="M454" s="31"/>
      <c r="N454" s="32"/>
      <c r="O454" s="31"/>
      <c r="P454" s="10"/>
      <c r="Q454" s="31"/>
      <c r="R454" s="31"/>
      <c r="S454" s="31"/>
      <c r="T454" s="31"/>
      <c r="U454" s="31"/>
      <c r="V454" s="31"/>
      <c r="W454" s="31"/>
      <c r="X454" s="31"/>
      <c r="Y454" s="31"/>
      <c r="Z454" s="31"/>
      <c r="AA454" s="31"/>
      <c r="AB454" s="31"/>
      <c r="AC454" s="31"/>
    </row>
    <row r="455" spans="1:29" ht="30" customHeight="1" x14ac:dyDescent="0.25">
      <c r="A455" s="36"/>
      <c r="B455" s="12"/>
      <c r="C455" s="12"/>
      <c r="D455" s="12"/>
      <c r="E455" s="12"/>
      <c r="F455" s="354"/>
      <c r="G455" s="352"/>
      <c r="H455" s="359"/>
      <c r="I455" s="277" t="str">
        <f ca="1">IF(ListeInventaire3811[[#This Row],[Statut de la réalisation de l''action]]="Effectué","À jour",IF(ListeInventaire3811[[#This Row],[échéance de réalisation]]&lt;TODAY(),"En retard","À jour"))</f>
        <v>En retard</v>
      </c>
      <c r="J455" s="109"/>
      <c r="K455" s="10"/>
      <c r="L455" s="10"/>
      <c r="M455" s="31"/>
      <c r="N455" s="32"/>
      <c r="O455" s="31"/>
      <c r="P455" s="10"/>
      <c r="Q455" s="31"/>
      <c r="R455" s="31"/>
      <c r="S455" s="31"/>
      <c r="T455" s="31"/>
      <c r="U455" s="31"/>
      <c r="V455" s="31"/>
      <c r="W455" s="31"/>
      <c r="X455" s="31"/>
      <c r="Y455" s="31"/>
      <c r="Z455" s="31"/>
      <c r="AA455" s="31"/>
      <c r="AB455" s="31"/>
      <c r="AC455" s="31"/>
    </row>
    <row r="456" spans="1:29" ht="30" customHeight="1" x14ac:dyDescent="0.25">
      <c r="A456" s="36"/>
      <c r="B456" s="12"/>
      <c r="C456" s="12"/>
      <c r="D456" s="12"/>
      <c r="E456" s="12"/>
      <c r="F456" s="354"/>
      <c r="G456" s="352"/>
      <c r="H456" s="359"/>
      <c r="I456" s="277" t="str">
        <f ca="1">IF(ListeInventaire3811[[#This Row],[Statut de la réalisation de l''action]]="Effectué","À jour",IF(ListeInventaire3811[[#This Row],[échéance de réalisation]]&lt;TODAY(),"En retard","À jour"))</f>
        <v>En retard</v>
      </c>
      <c r="J456" s="109"/>
      <c r="K456" s="10"/>
      <c r="L456" s="10"/>
      <c r="M456" s="31"/>
      <c r="N456" s="32"/>
      <c r="O456" s="31"/>
      <c r="P456" s="10"/>
      <c r="Q456" s="31"/>
      <c r="R456" s="31"/>
      <c r="S456" s="31"/>
      <c r="T456" s="31"/>
      <c r="U456" s="31"/>
      <c r="V456" s="31"/>
      <c r="W456" s="31"/>
      <c r="X456" s="31"/>
      <c r="Y456" s="31"/>
      <c r="Z456" s="31"/>
      <c r="AA456" s="31"/>
      <c r="AB456" s="31"/>
      <c r="AC456" s="31"/>
    </row>
    <row r="457" spans="1:29" ht="30" customHeight="1" x14ac:dyDescent="0.25">
      <c r="A457" s="36"/>
      <c r="B457" s="12"/>
      <c r="C457" s="12"/>
      <c r="D457" s="12"/>
      <c r="E457" s="12"/>
      <c r="F457" s="13"/>
      <c r="G457" s="352"/>
      <c r="H457" s="359"/>
      <c r="I457" s="277" t="str">
        <f ca="1">IF(ListeInventaire3811[[#This Row],[Statut de la réalisation de l''action]]="Effectué","À jour",IF(ListeInventaire3811[[#This Row],[échéance de réalisation]]&lt;TODAY(),"En retard","À jour"))</f>
        <v>En retard</v>
      </c>
      <c r="J457" s="109"/>
      <c r="K457" s="10"/>
      <c r="L457" s="10"/>
      <c r="M457" s="31"/>
      <c r="N457" s="32"/>
      <c r="O457" s="31"/>
      <c r="P457" s="10"/>
      <c r="Q457" s="31"/>
      <c r="R457" s="31"/>
      <c r="S457" s="31"/>
      <c r="T457" s="31"/>
      <c r="U457" s="31"/>
      <c r="V457" s="31"/>
      <c r="W457" s="31"/>
      <c r="X457" s="31"/>
      <c r="Y457" s="31"/>
      <c r="Z457" s="31"/>
      <c r="AA457" s="31"/>
      <c r="AB457" s="31"/>
      <c r="AC457" s="31"/>
    </row>
    <row r="458" spans="1:29" ht="30" customHeight="1" x14ac:dyDescent="0.25">
      <c r="A458" s="36"/>
      <c r="B458" s="352"/>
      <c r="C458" s="352"/>
      <c r="D458" s="352"/>
      <c r="E458" s="352"/>
      <c r="F458" s="354"/>
      <c r="G458" s="352"/>
      <c r="H458" s="359"/>
      <c r="I458" s="277" t="str">
        <f ca="1">IF(ListeInventaire3811[[#This Row],[Statut de la réalisation de l''action]]="Effectué","À jour",IF(ListeInventaire3811[[#This Row],[échéance de réalisation]]&lt;TODAY(),"En retard","À jour"))</f>
        <v>En retard</v>
      </c>
      <c r="J458" s="109"/>
      <c r="K458" s="10"/>
      <c r="L458" s="10"/>
      <c r="M458" s="31"/>
      <c r="N458" s="32"/>
      <c r="O458" s="31"/>
      <c r="P458" s="10"/>
      <c r="Q458" s="31"/>
      <c r="R458" s="31"/>
      <c r="S458" s="31"/>
      <c r="T458" s="31"/>
      <c r="U458" s="31"/>
      <c r="V458" s="31"/>
      <c r="W458" s="31"/>
      <c r="X458" s="31"/>
      <c r="Y458" s="31"/>
      <c r="Z458" s="31"/>
      <c r="AA458" s="31"/>
      <c r="AB458" s="31"/>
      <c r="AC458" s="31"/>
    </row>
    <row r="459" spans="1:29" ht="30" customHeight="1" x14ac:dyDescent="0.25">
      <c r="A459" s="36"/>
      <c r="B459" s="352"/>
      <c r="C459" s="12"/>
      <c r="D459" s="12"/>
      <c r="E459" s="12"/>
      <c r="F459" s="354"/>
      <c r="G459" s="352"/>
      <c r="H459" s="359"/>
      <c r="I459" s="277" t="str">
        <f ca="1">IF(ListeInventaire3811[[#This Row],[Statut de la réalisation de l''action]]="Effectué","À jour",IF(ListeInventaire3811[[#This Row],[échéance de réalisation]]&lt;TODAY(),"En retard","À jour"))</f>
        <v>En retard</v>
      </c>
      <c r="J459" s="109"/>
      <c r="K459" s="10"/>
      <c r="L459" s="10"/>
      <c r="M459" s="31"/>
      <c r="N459" s="32"/>
      <c r="O459" s="31"/>
      <c r="P459" s="10"/>
      <c r="Q459" s="31"/>
      <c r="R459" s="31"/>
      <c r="S459" s="31"/>
      <c r="T459" s="31"/>
      <c r="U459" s="31"/>
      <c r="V459" s="31"/>
      <c r="W459" s="31"/>
      <c r="X459" s="31"/>
      <c r="Y459" s="31"/>
      <c r="Z459" s="31"/>
      <c r="AA459" s="31"/>
      <c r="AB459" s="31"/>
      <c r="AC459" s="31"/>
    </row>
    <row r="460" spans="1:29" ht="30" customHeight="1" x14ac:dyDescent="0.25">
      <c r="A460" s="36"/>
      <c r="B460" s="12"/>
      <c r="C460" s="12"/>
      <c r="D460" s="12"/>
      <c r="E460" s="12"/>
      <c r="F460" s="13"/>
      <c r="G460" s="12"/>
      <c r="H460" s="27"/>
      <c r="I460" s="277" t="str">
        <f ca="1">IF(ListeInventaire3811[[#This Row],[Statut de la réalisation de l''action]]="Effectué","À jour",IF(ListeInventaire3811[[#This Row],[échéance de réalisation]]&lt;TODAY(),"En retard","À jour"))</f>
        <v>En retard</v>
      </c>
      <c r="J460" s="109"/>
      <c r="K460" s="10"/>
      <c r="L460" s="10"/>
      <c r="M460" s="31"/>
      <c r="N460" s="32"/>
      <c r="O460" s="31"/>
      <c r="P460" s="10"/>
      <c r="Q460" s="31"/>
      <c r="R460" s="31"/>
      <c r="S460" s="31"/>
      <c r="T460" s="31"/>
      <c r="U460" s="31"/>
      <c r="V460" s="31"/>
      <c r="W460" s="31"/>
      <c r="X460" s="31"/>
      <c r="Y460" s="31"/>
      <c r="Z460" s="31"/>
      <c r="AA460" s="31"/>
      <c r="AB460" s="31"/>
      <c r="AC460" s="31"/>
    </row>
    <row r="461" spans="1:29" ht="30" customHeight="1" x14ac:dyDescent="0.25">
      <c r="A461" s="36"/>
      <c r="B461" s="12"/>
      <c r="C461" s="12"/>
      <c r="D461" s="12"/>
      <c r="E461" s="12"/>
      <c r="F461" s="13"/>
      <c r="G461" s="12"/>
      <c r="H461" s="27"/>
      <c r="I461" s="277" t="str">
        <f ca="1">IF(ListeInventaire3811[[#This Row],[Statut de la réalisation de l''action]]="Effectué","À jour",IF(ListeInventaire3811[[#This Row],[échéance de réalisation]]&lt;TODAY(),"En retard","À jour"))</f>
        <v>En retard</v>
      </c>
      <c r="J461" s="109"/>
      <c r="K461" s="10"/>
      <c r="L461" s="10"/>
      <c r="M461" s="31"/>
      <c r="N461" s="32"/>
      <c r="O461" s="31"/>
      <c r="P461" s="10"/>
      <c r="Q461" s="31"/>
      <c r="R461" s="31"/>
      <c r="S461" s="31"/>
      <c r="T461" s="31"/>
      <c r="U461" s="31"/>
      <c r="V461" s="31"/>
      <c r="W461" s="31"/>
      <c r="X461" s="31"/>
      <c r="Y461" s="31"/>
      <c r="Z461" s="31"/>
      <c r="AA461" s="31"/>
      <c r="AB461" s="31"/>
      <c r="AC461" s="31"/>
    </row>
    <row r="462" spans="1:29" ht="30" customHeight="1" x14ac:dyDescent="0.25">
      <c r="A462" s="36"/>
      <c r="B462" s="12"/>
      <c r="C462" s="12"/>
      <c r="D462" s="12"/>
      <c r="E462" s="12"/>
      <c r="F462" s="13"/>
      <c r="G462" s="12"/>
      <c r="H462" s="27"/>
      <c r="I462" s="277" t="str">
        <f ca="1">IF(ListeInventaire3811[[#This Row],[Statut de la réalisation de l''action]]="Effectué","À jour",IF(ListeInventaire3811[[#This Row],[échéance de réalisation]]&lt;TODAY(),"En retard","À jour"))</f>
        <v>En retard</v>
      </c>
      <c r="J462" s="109"/>
      <c r="K462" s="10"/>
      <c r="L462" s="10"/>
      <c r="M462" s="31"/>
      <c r="N462" s="32"/>
      <c r="O462" s="31"/>
      <c r="P462" s="10"/>
      <c r="Q462" s="31"/>
      <c r="R462" s="31"/>
      <c r="S462" s="31"/>
      <c r="T462" s="31"/>
      <c r="U462" s="31"/>
      <c r="V462" s="31"/>
      <c r="W462" s="31"/>
      <c r="X462" s="31"/>
      <c r="Y462" s="31"/>
      <c r="Z462" s="31"/>
      <c r="AA462" s="31"/>
      <c r="AB462" s="31"/>
      <c r="AC462" s="31"/>
    </row>
    <row r="463" spans="1:29" ht="38.65" customHeight="1" x14ac:dyDescent="0.25">
      <c r="A463" s="36"/>
      <c r="B463" s="12"/>
      <c r="C463" s="12"/>
      <c r="D463" s="12"/>
      <c r="E463" s="12"/>
      <c r="F463" s="13"/>
      <c r="G463" s="12"/>
      <c r="H463" s="27"/>
      <c r="I463" s="277" t="str">
        <f ca="1">IF(ListeInventaire3811[[#This Row],[Statut de la réalisation de l''action]]="Effectué","À jour",IF(ListeInventaire3811[[#This Row],[échéance de réalisation]]&lt;TODAY(),"En retard","À jour"))</f>
        <v>En retard</v>
      </c>
      <c r="J463" s="109"/>
      <c r="K463" s="10"/>
      <c r="L463" s="10"/>
      <c r="M463" s="31"/>
      <c r="N463" s="32"/>
      <c r="O463" s="31"/>
      <c r="P463" s="10"/>
      <c r="Q463" s="31"/>
      <c r="R463" s="31"/>
      <c r="S463" s="31"/>
      <c r="T463" s="31"/>
      <c r="U463" s="31"/>
      <c r="V463" s="31"/>
      <c r="W463" s="31"/>
      <c r="X463" s="31"/>
      <c r="Y463" s="31"/>
      <c r="Z463" s="31"/>
      <c r="AA463" s="31"/>
      <c r="AB463" s="31"/>
      <c r="AC463" s="31"/>
    </row>
    <row r="464" spans="1:29" ht="30" customHeight="1" x14ac:dyDescent="0.25">
      <c r="A464" s="36"/>
      <c r="B464" s="12"/>
      <c r="C464" s="12"/>
      <c r="D464" s="12"/>
      <c r="E464" s="12"/>
      <c r="F464" s="13"/>
      <c r="G464" s="12"/>
      <c r="H464" s="27"/>
      <c r="I464" s="277" t="str">
        <f ca="1">IF(ListeInventaire3811[[#This Row],[Statut de la réalisation de l''action]]="Effectué","À jour",IF(ListeInventaire3811[[#This Row],[échéance de réalisation]]&lt;TODAY(),"En retard","À jour"))</f>
        <v>En retard</v>
      </c>
      <c r="J464" s="109"/>
      <c r="K464" s="10"/>
      <c r="L464" s="10"/>
      <c r="M464" s="31"/>
      <c r="N464" s="32"/>
      <c r="O464" s="31"/>
      <c r="P464" s="10"/>
      <c r="Q464" s="31"/>
      <c r="R464" s="31"/>
      <c r="S464" s="31"/>
      <c r="T464" s="31"/>
      <c r="U464" s="31"/>
      <c r="V464" s="31"/>
      <c r="W464" s="31"/>
      <c r="X464" s="31"/>
      <c r="Y464" s="31"/>
      <c r="Z464" s="31"/>
      <c r="AA464" s="31"/>
      <c r="AB464" s="31"/>
      <c r="AC464" s="31"/>
    </row>
    <row r="465" spans="1:29" ht="30" customHeight="1" x14ac:dyDescent="0.25">
      <c r="A465" s="36"/>
      <c r="B465" s="12"/>
      <c r="C465" s="12"/>
      <c r="D465" s="12"/>
      <c r="E465" s="12"/>
      <c r="F465" s="13"/>
      <c r="G465" s="12"/>
      <c r="H465" s="27"/>
      <c r="I465" s="277" t="str">
        <f ca="1">IF(ListeInventaire3811[[#This Row],[Statut de la réalisation de l''action]]="Effectué","À jour",IF(ListeInventaire3811[[#This Row],[échéance de réalisation]]&lt;TODAY(),"En retard","À jour"))</f>
        <v>En retard</v>
      </c>
      <c r="J465" s="109"/>
      <c r="K465" s="10"/>
      <c r="L465" s="10"/>
      <c r="M465" s="31"/>
      <c r="N465" s="32"/>
      <c r="O465" s="31"/>
      <c r="P465" s="10"/>
      <c r="Q465" s="31"/>
      <c r="R465" s="31"/>
      <c r="S465" s="31"/>
      <c r="T465" s="31"/>
      <c r="U465" s="31"/>
      <c r="V465" s="31"/>
      <c r="W465" s="31"/>
      <c r="X465" s="31"/>
      <c r="Y465" s="31"/>
      <c r="Z465" s="31"/>
      <c r="AA465" s="31"/>
      <c r="AB465" s="31"/>
      <c r="AC465" s="31"/>
    </row>
    <row r="466" spans="1:29" ht="30" customHeight="1" x14ac:dyDescent="0.25">
      <c r="A466" s="36"/>
      <c r="B466" s="12"/>
      <c r="C466" s="12"/>
      <c r="D466" s="12"/>
      <c r="E466" s="12"/>
      <c r="F466" s="13"/>
      <c r="G466" s="12"/>
      <c r="H466" s="27"/>
      <c r="I466" s="277" t="str">
        <f ca="1">IF(ListeInventaire3811[[#This Row],[Statut de la réalisation de l''action]]="Effectué","À jour",IF(ListeInventaire3811[[#This Row],[échéance de réalisation]]&lt;TODAY(),"En retard","À jour"))</f>
        <v>En retard</v>
      </c>
      <c r="J466" s="109"/>
      <c r="K466" s="10"/>
      <c r="L466" s="10"/>
      <c r="M466" s="31"/>
      <c r="N466" s="32"/>
      <c r="O466" s="31"/>
      <c r="P466" s="10"/>
      <c r="Q466" s="31"/>
      <c r="R466" s="31"/>
      <c r="S466" s="31"/>
      <c r="T466" s="31"/>
      <c r="U466" s="31"/>
      <c r="V466" s="31"/>
      <c r="W466" s="31"/>
      <c r="X466" s="31"/>
      <c r="Y466" s="31"/>
      <c r="Z466" s="31"/>
      <c r="AA466" s="31"/>
      <c r="AB466" s="31"/>
      <c r="AC466" s="31"/>
    </row>
    <row r="467" spans="1:29" ht="60.6" customHeight="1" x14ac:dyDescent="0.25">
      <c r="A467" s="36"/>
      <c r="B467" s="12"/>
      <c r="C467" s="12"/>
      <c r="D467" s="12"/>
      <c r="E467" s="12"/>
      <c r="F467" s="13"/>
      <c r="G467" s="12"/>
      <c r="H467" s="27"/>
      <c r="I467" s="277" t="str">
        <f ca="1">IF(ListeInventaire3811[[#This Row],[Statut de la réalisation de l''action]]="Effectué","À jour",IF(ListeInventaire3811[[#This Row],[échéance de réalisation]]&lt;TODAY(),"En retard","À jour"))</f>
        <v>En retard</v>
      </c>
      <c r="J467" s="109"/>
      <c r="K467" s="10"/>
      <c r="L467" s="10"/>
      <c r="M467" s="31"/>
      <c r="N467" s="32"/>
      <c r="O467" s="31"/>
      <c r="P467" s="10"/>
      <c r="Q467" s="31"/>
      <c r="R467" s="31"/>
      <c r="S467" s="31"/>
      <c r="T467" s="31"/>
      <c r="U467" s="31"/>
      <c r="V467" s="31"/>
      <c r="W467" s="31"/>
      <c r="X467" s="31"/>
      <c r="Y467" s="31"/>
      <c r="Z467" s="31"/>
      <c r="AA467" s="31"/>
      <c r="AB467" s="31"/>
      <c r="AC467" s="31"/>
    </row>
    <row r="468" spans="1:29" ht="30" customHeight="1" x14ac:dyDescent="0.25">
      <c r="A468" s="36"/>
      <c r="B468" s="12"/>
      <c r="C468" s="12"/>
      <c r="D468" s="12"/>
      <c r="E468" s="12"/>
      <c r="F468" s="13"/>
      <c r="G468" s="12"/>
      <c r="H468" s="27"/>
      <c r="I468" s="277" t="str">
        <f ca="1">IF(ListeInventaire3811[[#This Row],[Statut de la réalisation de l''action]]="Effectué","À jour",IF(ListeInventaire3811[[#This Row],[échéance de réalisation]]&lt;TODAY(),"En retard","À jour"))</f>
        <v>En retard</v>
      </c>
      <c r="J468" s="109"/>
      <c r="K468" s="10"/>
      <c r="L468" s="10"/>
      <c r="M468" s="31"/>
      <c r="N468" s="32"/>
      <c r="O468" s="31"/>
      <c r="P468" s="10"/>
      <c r="Q468" s="31"/>
      <c r="R468" s="31"/>
      <c r="S468" s="31"/>
      <c r="T468" s="31"/>
      <c r="U468" s="31"/>
      <c r="V468" s="31"/>
      <c r="W468" s="31"/>
      <c r="X468" s="31"/>
      <c r="Y468" s="31"/>
      <c r="Z468" s="31"/>
      <c r="AA468" s="31"/>
      <c r="AB468" s="31"/>
      <c r="AC468" s="31"/>
    </row>
    <row r="469" spans="1:29" ht="30" customHeight="1" x14ac:dyDescent="0.25">
      <c r="A469" s="36"/>
      <c r="B469" s="12"/>
      <c r="C469" s="12"/>
      <c r="D469" s="12"/>
      <c r="E469" s="12"/>
      <c r="F469" s="13"/>
      <c r="G469" s="12"/>
      <c r="H469" s="27"/>
      <c r="I469" s="277" t="str">
        <f ca="1">IF(ListeInventaire3811[[#This Row],[Statut de la réalisation de l''action]]="Effectué","À jour",IF(ListeInventaire3811[[#This Row],[échéance de réalisation]]&lt;TODAY(),"En retard","À jour"))</f>
        <v>En retard</v>
      </c>
      <c r="J469" s="109"/>
      <c r="K469" s="10"/>
      <c r="L469" s="10"/>
      <c r="M469" s="31"/>
      <c r="N469" s="32"/>
      <c r="O469" s="31"/>
      <c r="P469" s="10"/>
      <c r="Q469" s="31"/>
      <c r="R469" s="31"/>
      <c r="S469" s="31"/>
      <c r="T469" s="31"/>
      <c r="U469" s="31"/>
      <c r="V469" s="31"/>
      <c r="W469" s="31"/>
      <c r="X469" s="31"/>
      <c r="Y469" s="31"/>
      <c r="Z469" s="31"/>
      <c r="AA469" s="31"/>
      <c r="AB469" s="31"/>
      <c r="AC469" s="31"/>
    </row>
    <row r="470" spans="1:29" ht="30" customHeight="1" x14ac:dyDescent="0.25">
      <c r="A470" s="36"/>
      <c r="B470" s="12"/>
      <c r="C470" s="12"/>
      <c r="D470" s="12"/>
      <c r="E470" s="12"/>
      <c r="F470" s="13"/>
      <c r="G470" s="12"/>
      <c r="H470" s="27"/>
      <c r="I470" s="277" t="str">
        <f ca="1">IF(ListeInventaire3811[[#This Row],[Statut de la réalisation de l''action]]="Effectué","À jour",IF(ListeInventaire3811[[#This Row],[échéance de réalisation]]&lt;TODAY(),"En retard","À jour"))</f>
        <v>En retard</v>
      </c>
      <c r="J470" s="109"/>
      <c r="K470" s="10"/>
      <c r="L470" s="10"/>
      <c r="M470" s="31"/>
      <c r="N470" s="32"/>
      <c r="O470" s="31"/>
      <c r="P470" s="10"/>
      <c r="Q470" s="31"/>
      <c r="R470" s="31"/>
      <c r="S470" s="31"/>
      <c r="T470" s="31"/>
      <c r="U470" s="31"/>
      <c r="V470" s="31"/>
      <c r="W470" s="31"/>
      <c r="X470" s="31"/>
      <c r="Y470" s="31"/>
      <c r="Z470" s="31"/>
      <c r="AA470" s="31"/>
      <c r="AB470" s="31"/>
      <c r="AC470" s="31"/>
    </row>
    <row r="471" spans="1:29" ht="30" customHeight="1" x14ac:dyDescent="0.25">
      <c r="A471" s="36"/>
      <c r="B471" s="12"/>
      <c r="C471" s="12"/>
      <c r="D471" s="12"/>
      <c r="E471" s="12"/>
      <c r="F471" s="13"/>
      <c r="G471" s="12"/>
      <c r="H471" s="27"/>
      <c r="I471" s="277" t="str">
        <f ca="1">IF(ListeInventaire3811[[#This Row],[Statut de la réalisation de l''action]]="Effectué","À jour",IF(ListeInventaire3811[[#This Row],[échéance de réalisation]]&lt;TODAY(),"En retard","À jour"))</f>
        <v>En retard</v>
      </c>
      <c r="J471" s="109"/>
      <c r="K471" s="10"/>
      <c r="L471" s="10"/>
      <c r="M471" s="31"/>
      <c r="N471" s="32"/>
      <c r="O471" s="31"/>
      <c r="P471" s="10"/>
      <c r="Q471" s="31"/>
      <c r="R471" s="31"/>
      <c r="S471" s="31"/>
      <c r="T471" s="31"/>
      <c r="U471" s="31"/>
      <c r="V471" s="31"/>
      <c r="W471" s="31"/>
      <c r="X471" s="31"/>
      <c r="Y471" s="31"/>
      <c r="Z471" s="31"/>
      <c r="AA471" s="31"/>
      <c r="AB471" s="31"/>
      <c r="AC471" s="31"/>
    </row>
    <row r="472" spans="1:29" ht="30" customHeight="1" x14ac:dyDescent="0.25">
      <c r="A472" s="36"/>
      <c r="B472" s="12"/>
      <c r="C472" s="12"/>
      <c r="D472" s="12"/>
      <c r="E472" s="12"/>
      <c r="F472" s="13"/>
      <c r="G472" s="12"/>
      <c r="H472" s="27"/>
      <c r="I472" s="277" t="str">
        <f ca="1">IF(ListeInventaire3811[[#This Row],[Statut de la réalisation de l''action]]="Effectué","À jour",IF(ListeInventaire3811[[#This Row],[échéance de réalisation]]&lt;TODAY(),"En retard","À jour"))</f>
        <v>En retard</v>
      </c>
      <c r="J472" s="109"/>
      <c r="K472" s="10"/>
      <c r="L472" s="10"/>
      <c r="M472" s="31"/>
      <c r="N472" s="32"/>
      <c r="O472" s="31"/>
      <c r="P472" s="10"/>
      <c r="Q472" s="31"/>
      <c r="R472" s="31"/>
      <c r="S472" s="31"/>
      <c r="T472" s="31"/>
      <c r="U472" s="31"/>
      <c r="V472" s="31"/>
      <c r="W472" s="31"/>
      <c r="X472" s="31"/>
      <c r="Y472" s="31"/>
      <c r="Z472" s="31"/>
      <c r="AA472" s="31"/>
      <c r="AB472" s="31"/>
      <c r="AC472" s="31"/>
    </row>
    <row r="473" spans="1:29" ht="30" customHeight="1" x14ac:dyDescent="0.25">
      <c r="A473" s="36"/>
      <c r="B473" s="12"/>
      <c r="C473" s="12"/>
      <c r="D473" s="12"/>
      <c r="E473" s="12"/>
      <c r="F473" s="13"/>
      <c r="G473" s="12"/>
      <c r="H473" s="27"/>
      <c r="I473" s="277" t="str">
        <f ca="1">IF(ListeInventaire3811[[#This Row],[Statut de la réalisation de l''action]]="Effectué","À jour",IF(ListeInventaire3811[[#This Row],[échéance de réalisation]]&lt;TODAY(),"En retard","À jour"))</f>
        <v>En retard</v>
      </c>
      <c r="J473" s="109"/>
      <c r="K473" s="10"/>
      <c r="L473" s="10"/>
      <c r="M473" s="31"/>
      <c r="N473" s="32"/>
      <c r="O473" s="31"/>
      <c r="P473" s="10"/>
      <c r="Q473" s="31"/>
      <c r="R473" s="31"/>
      <c r="S473" s="31"/>
      <c r="T473" s="31"/>
      <c r="U473" s="31"/>
      <c r="V473" s="31"/>
      <c r="W473" s="31"/>
      <c r="X473" s="31"/>
      <c r="Y473" s="31"/>
      <c r="Z473" s="31"/>
      <c r="AA473" s="31"/>
      <c r="AB473" s="31"/>
      <c r="AC473" s="31"/>
    </row>
    <row r="474" spans="1:29" ht="45.6" customHeight="1" x14ac:dyDescent="0.25">
      <c r="A474" s="36"/>
      <c r="B474" s="12"/>
      <c r="C474" s="12"/>
      <c r="D474" s="12"/>
      <c r="E474" s="12"/>
      <c r="F474" s="13"/>
      <c r="G474" s="12"/>
      <c r="H474" s="27"/>
      <c r="I474" s="277" t="str">
        <f ca="1">IF(ListeInventaire3811[[#This Row],[Statut de la réalisation de l''action]]="Effectué","À jour",IF(ListeInventaire3811[[#This Row],[échéance de réalisation]]&lt;TODAY(),"En retard","À jour"))</f>
        <v>En retard</v>
      </c>
      <c r="J474" s="109"/>
      <c r="K474" s="10"/>
      <c r="L474" s="10"/>
      <c r="M474" s="31"/>
      <c r="N474" s="32"/>
      <c r="O474" s="31"/>
      <c r="P474" s="10"/>
      <c r="Q474" s="31"/>
      <c r="R474" s="31"/>
      <c r="S474" s="31"/>
      <c r="T474" s="31"/>
      <c r="U474" s="31"/>
      <c r="V474" s="31"/>
      <c r="W474" s="31"/>
      <c r="X474" s="31"/>
      <c r="Y474" s="31"/>
      <c r="Z474" s="31"/>
      <c r="AA474" s="31"/>
      <c r="AB474" s="31"/>
      <c r="AC474" s="31"/>
    </row>
    <row r="475" spans="1:29" ht="30" customHeight="1" x14ac:dyDescent="0.25">
      <c r="A475" s="36"/>
      <c r="B475" s="12"/>
      <c r="C475" s="12"/>
      <c r="D475" s="12"/>
      <c r="E475" s="12"/>
      <c r="F475" s="13"/>
      <c r="G475" s="12"/>
      <c r="H475" s="27"/>
      <c r="I475" s="277" t="str">
        <f ca="1">IF(ListeInventaire3811[[#This Row],[Statut de la réalisation de l''action]]="Effectué","À jour",IF(ListeInventaire3811[[#This Row],[échéance de réalisation]]&lt;TODAY(),"En retard","À jour"))</f>
        <v>En retard</v>
      </c>
      <c r="J475" s="109"/>
      <c r="K475" s="10"/>
      <c r="L475" s="10"/>
      <c r="M475" s="31"/>
      <c r="N475" s="32"/>
      <c r="O475" s="31"/>
      <c r="P475" s="10"/>
      <c r="Q475" s="31"/>
      <c r="R475" s="31"/>
      <c r="S475" s="31"/>
      <c r="T475" s="31"/>
      <c r="U475" s="31"/>
      <c r="V475" s="31"/>
      <c r="W475" s="31"/>
      <c r="X475" s="31"/>
      <c r="Y475" s="31"/>
      <c r="Z475" s="31"/>
      <c r="AA475" s="31"/>
      <c r="AB475" s="31"/>
      <c r="AC475" s="31"/>
    </row>
    <row r="476" spans="1:29" ht="30" customHeight="1" x14ac:dyDescent="0.25">
      <c r="A476" s="36"/>
      <c r="B476" s="12"/>
      <c r="C476" s="12"/>
      <c r="D476" s="12"/>
      <c r="E476" s="12"/>
      <c r="F476" s="13"/>
      <c r="G476" s="12"/>
      <c r="H476" s="27"/>
      <c r="I476" s="277" t="str">
        <f ca="1">IF(ListeInventaire3811[[#This Row],[Statut de la réalisation de l''action]]="Effectué","À jour",IF(ListeInventaire3811[[#This Row],[échéance de réalisation]]&lt;TODAY(),"En retard","À jour"))</f>
        <v>En retard</v>
      </c>
      <c r="J476" s="109"/>
      <c r="K476" s="10"/>
      <c r="L476" s="10"/>
      <c r="M476" s="31"/>
      <c r="N476" s="32"/>
      <c r="O476" s="31"/>
      <c r="P476" s="10"/>
      <c r="Q476" s="31"/>
      <c r="R476" s="31"/>
      <c r="S476" s="31"/>
      <c r="T476" s="31"/>
      <c r="U476" s="31"/>
      <c r="V476" s="31"/>
      <c r="W476" s="31"/>
      <c r="X476" s="31"/>
      <c r="Y476" s="31"/>
      <c r="Z476" s="31"/>
      <c r="AA476" s="31"/>
      <c r="AB476" s="31"/>
      <c r="AC476" s="31"/>
    </row>
    <row r="477" spans="1:29" ht="30" customHeight="1" x14ac:dyDescent="0.25">
      <c r="A477" s="36"/>
      <c r="B477" s="12"/>
      <c r="C477" s="12"/>
      <c r="D477" s="12"/>
      <c r="E477" s="12"/>
      <c r="F477" s="13"/>
      <c r="G477" s="12"/>
      <c r="H477" s="27"/>
      <c r="I477" s="277" t="str">
        <f ca="1">IF(ListeInventaire3811[[#This Row],[Statut de la réalisation de l''action]]="Effectué","À jour",IF(ListeInventaire3811[[#This Row],[échéance de réalisation]]&lt;TODAY(),"En retard","À jour"))</f>
        <v>En retard</v>
      </c>
      <c r="J477" s="109"/>
      <c r="K477" s="10"/>
      <c r="L477" s="10"/>
      <c r="M477" s="31"/>
      <c r="N477" s="32"/>
      <c r="O477" s="31"/>
      <c r="P477" s="10"/>
      <c r="Q477" s="31"/>
      <c r="R477" s="31"/>
      <c r="S477" s="31"/>
      <c r="T477" s="31"/>
      <c r="U477" s="31"/>
      <c r="V477" s="31"/>
      <c r="W477" s="31"/>
      <c r="X477" s="31"/>
      <c r="Y477" s="31"/>
      <c r="Z477" s="31"/>
      <c r="AA477" s="31"/>
      <c r="AB477" s="31"/>
      <c r="AC477" s="31"/>
    </row>
    <row r="478" spans="1:29" ht="30" customHeight="1" x14ac:dyDescent="0.25">
      <c r="A478" s="36"/>
      <c r="B478" s="12"/>
      <c r="C478" s="12"/>
      <c r="D478" s="12"/>
      <c r="E478" s="12"/>
      <c r="F478" s="13"/>
      <c r="G478" s="12"/>
      <c r="H478" s="27"/>
      <c r="I478" s="277" t="str">
        <f ca="1">IF(ListeInventaire3811[[#This Row],[Statut de la réalisation de l''action]]="Effectué","À jour",IF(ListeInventaire3811[[#This Row],[échéance de réalisation]]&lt;TODAY(),"En retard","À jour"))</f>
        <v>En retard</v>
      </c>
      <c r="J478" s="109"/>
      <c r="K478" s="10"/>
      <c r="L478" s="10"/>
      <c r="M478" s="31"/>
      <c r="N478" s="32"/>
      <c r="O478" s="31"/>
      <c r="P478" s="10"/>
      <c r="Q478" s="31"/>
      <c r="R478" s="31"/>
      <c r="S478" s="31"/>
      <c r="T478" s="31"/>
      <c r="U478" s="31"/>
      <c r="V478" s="31"/>
      <c r="W478" s="31"/>
      <c r="X478" s="31"/>
      <c r="Y478" s="31"/>
      <c r="Z478" s="31"/>
      <c r="AA478" s="31"/>
      <c r="AB478" s="31"/>
      <c r="AC478" s="31"/>
    </row>
    <row r="479" spans="1:29" ht="30" customHeight="1" x14ac:dyDescent="0.25">
      <c r="A479" s="36"/>
      <c r="B479" s="12"/>
      <c r="C479" s="12"/>
      <c r="D479" s="12"/>
      <c r="E479" s="12"/>
      <c r="F479" s="13"/>
      <c r="G479" s="12"/>
      <c r="H479" s="27"/>
      <c r="I479" s="277" t="str">
        <f ca="1">IF(ListeInventaire3811[[#This Row],[Statut de la réalisation de l''action]]="Effectué","À jour",IF(ListeInventaire3811[[#This Row],[échéance de réalisation]]&lt;TODAY(),"En retard","À jour"))</f>
        <v>En retard</v>
      </c>
      <c r="J479" s="109"/>
      <c r="K479" s="10"/>
      <c r="L479" s="10"/>
      <c r="M479" s="31"/>
      <c r="N479" s="32"/>
      <c r="O479" s="31"/>
      <c r="P479" s="10"/>
      <c r="Q479" s="31"/>
      <c r="R479" s="31"/>
      <c r="S479" s="31"/>
      <c r="T479" s="31"/>
      <c r="U479" s="31"/>
      <c r="V479" s="31"/>
      <c r="W479" s="31"/>
      <c r="X479" s="31"/>
      <c r="Y479" s="31"/>
      <c r="Z479" s="31"/>
      <c r="AA479" s="31"/>
      <c r="AB479" s="31"/>
      <c r="AC479" s="31"/>
    </row>
    <row r="480" spans="1:29" ht="30" customHeight="1" x14ac:dyDescent="0.25">
      <c r="A480" s="36"/>
      <c r="B480" s="12"/>
      <c r="C480" s="12"/>
      <c r="D480" s="12"/>
      <c r="E480" s="12"/>
      <c r="F480" s="13"/>
      <c r="G480" s="12"/>
      <c r="H480" s="27"/>
      <c r="I480" s="277" t="str">
        <f ca="1">IF(ListeInventaire3811[[#This Row],[Statut de la réalisation de l''action]]="Effectué","À jour",IF(ListeInventaire3811[[#This Row],[échéance de réalisation]]&lt;TODAY(),"En retard","À jour"))</f>
        <v>En retard</v>
      </c>
      <c r="J480" s="109"/>
      <c r="K480" s="10"/>
      <c r="L480" s="10"/>
      <c r="M480" s="31"/>
      <c r="N480" s="32"/>
      <c r="O480" s="31"/>
      <c r="P480" s="10"/>
      <c r="Q480" s="31"/>
      <c r="R480" s="31"/>
      <c r="S480" s="31"/>
      <c r="T480" s="31"/>
      <c r="U480" s="31"/>
      <c r="V480" s="31"/>
      <c r="W480" s="31"/>
      <c r="X480" s="31"/>
      <c r="Y480" s="31"/>
      <c r="Z480" s="31"/>
      <c r="AA480" s="31"/>
      <c r="AB480" s="31"/>
      <c r="AC480" s="31"/>
    </row>
    <row r="481" spans="1:29" ht="53.1" customHeight="1" x14ac:dyDescent="0.25">
      <c r="A481" s="36"/>
      <c r="B481" s="12"/>
      <c r="C481" s="12"/>
      <c r="D481" s="12"/>
      <c r="E481" s="12"/>
      <c r="F481" s="13"/>
      <c r="G481" s="12"/>
      <c r="H481" s="27"/>
      <c r="I481" s="277" t="str">
        <f ca="1">IF(ListeInventaire3811[[#This Row],[Statut de la réalisation de l''action]]="Effectué","À jour",IF(ListeInventaire3811[[#This Row],[échéance de réalisation]]&lt;TODAY(),"En retard","À jour"))</f>
        <v>En retard</v>
      </c>
      <c r="J481" s="109"/>
      <c r="K481" s="10"/>
      <c r="L481" s="10"/>
      <c r="M481" s="31"/>
      <c r="N481" s="32"/>
      <c r="O481" s="31"/>
      <c r="P481" s="10"/>
      <c r="Q481" s="31"/>
      <c r="R481" s="31"/>
      <c r="S481" s="31"/>
      <c r="T481" s="31"/>
      <c r="U481" s="31"/>
      <c r="V481" s="31"/>
      <c r="W481" s="31"/>
      <c r="X481" s="31"/>
      <c r="Y481" s="31"/>
      <c r="Z481" s="31"/>
      <c r="AA481" s="31"/>
      <c r="AB481" s="31"/>
      <c r="AC481" s="31"/>
    </row>
    <row r="482" spans="1:29" ht="54.6" customHeight="1" x14ac:dyDescent="0.25">
      <c r="A482" s="36"/>
      <c r="B482" s="12"/>
      <c r="C482" s="12"/>
      <c r="D482" s="12"/>
      <c r="E482" s="12"/>
      <c r="F482" s="13"/>
      <c r="G482" s="12"/>
      <c r="H482" s="27"/>
      <c r="I482" s="277" t="str">
        <f ca="1">IF(ListeInventaire3811[[#This Row],[Statut de la réalisation de l''action]]="Effectué","À jour",IF(ListeInventaire3811[[#This Row],[échéance de réalisation]]&lt;TODAY(),"En retard","À jour"))</f>
        <v>En retard</v>
      </c>
      <c r="J482" s="109"/>
      <c r="K482" s="10"/>
      <c r="L482" s="10"/>
      <c r="M482" s="31"/>
      <c r="N482" s="32"/>
      <c r="O482" s="31"/>
      <c r="P482" s="10"/>
      <c r="Q482" s="31"/>
      <c r="R482" s="31"/>
      <c r="S482" s="31"/>
      <c r="T482" s="31"/>
      <c r="U482" s="31"/>
      <c r="V482" s="31"/>
      <c r="W482" s="31"/>
      <c r="X482" s="31"/>
      <c r="Y482" s="31"/>
      <c r="Z482" s="31"/>
      <c r="AA482" s="31"/>
      <c r="AB482" s="31"/>
      <c r="AC482" s="31"/>
    </row>
    <row r="483" spans="1:29" ht="30" customHeight="1" x14ac:dyDescent="0.25">
      <c r="A483" s="36"/>
      <c r="B483" s="12"/>
      <c r="C483" s="12"/>
      <c r="D483" s="12"/>
      <c r="E483" s="12"/>
      <c r="F483" s="13"/>
      <c r="G483" s="12"/>
      <c r="H483" s="27"/>
      <c r="I483" s="277" t="str">
        <f ca="1">IF(ListeInventaire3811[[#This Row],[Statut de la réalisation de l''action]]="Effectué","À jour",IF(ListeInventaire3811[[#This Row],[échéance de réalisation]]&lt;TODAY(),"En retard","À jour"))</f>
        <v>En retard</v>
      </c>
      <c r="J483" s="109"/>
      <c r="K483" s="10"/>
      <c r="L483" s="10"/>
      <c r="M483" s="31"/>
      <c r="N483" s="32"/>
      <c r="O483" s="31"/>
      <c r="P483" s="10"/>
      <c r="Q483" s="31"/>
      <c r="R483" s="31"/>
      <c r="S483" s="31"/>
      <c r="T483" s="31"/>
      <c r="U483" s="31"/>
      <c r="V483" s="31"/>
      <c r="W483" s="31"/>
      <c r="X483" s="31"/>
      <c r="Y483" s="31"/>
      <c r="Z483" s="31"/>
      <c r="AA483" s="31"/>
      <c r="AB483" s="31"/>
      <c r="AC483" s="31"/>
    </row>
    <row r="484" spans="1:29" ht="30" customHeight="1" x14ac:dyDescent="0.25">
      <c r="A484" s="36"/>
      <c r="B484" s="12"/>
      <c r="C484" s="12"/>
      <c r="D484" s="12"/>
      <c r="E484" s="12"/>
      <c r="F484" s="13"/>
      <c r="G484" s="12"/>
      <c r="H484" s="27"/>
      <c r="I484" s="277" t="str">
        <f ca="1">IF(ListeInventaire3811[[#This Row],[Statut de la réalisation de l''action]]="Effectué","À jour",IF(ListeInventaire3811[[#This Row],[échéance de réalisation]]&lt;TODAY(),"En retard","À jour"))</f>
        <v>En retard</v>
      </c>
      <c r="J484" s="109"/>
      <c r="K484" s="10"/>
      <c r="L484" s="10"/>
      <c r="M484" s="31"/>
      <c r="N484" s="32"/>
      <c r="O484" s="31"/>
      <c r="P484" s="10"/>
      <c r="Q484" s="31"/>
      <c r="R484" s="31"/>
      <c r="S484" s="31"/>
      <c r="T484" s="31"/>
      <c r="U484" s="31"/>
      <c r="V484" s="31"/>
      <c r="W484" s="31"/>
      <c r="X484" s="31"/>
      <c r="Y484" s="31"/>
      <c r="Z484" s="31"/>
      <c r="AA484" s="31"/>
      <c r="AB484" s="31"/>
      <c r="AC484" s="31"/>
    </row>
    <row r="485" spans="1:29" ht="30" customHeight="1" x14ac:dyDescent="0.25">
      <c r="A485" s="36"/>
      <c r="B485" s="12"/>
      <c r="C485" s="12"/>
      <c r="D485" s="12"/>
      <c r="E485" s="12"/>
      <c r="F485" s="13"/>
      <c r="G485" s="12"/>
      <c r="H485" s="27"/>
      <c r="I485" s="277" t="str">
        <f ca="1">IF(ListeInventaire3811[[#This Row],[Statut de la réalisation de l''action]]="Effectué","À jour",IF(ListeInventaire3811[[#This Row],[échéance de réalisation]]&lt;TODAY(),"En retard","À jour"))</f>
        <v>En retard</v>
      </c>
      <c r="J485" s="109"/>
      <c r="K485" s="10"/>
      <c r="L485" s="10"/>
      <c r="M485" s="31"/>
      <c r="N485" s="32"/>
      <c r="O485" s="31"/>
      <c r="P485" s="10"/>
      <c r="Q485" s="31"/>
      <c r="R485" s="31"/>
      <c r="S485" s="31"/>
      <c r="T485" s="31"/>
      <c r="U485" s="31"/>
      <c r="V485" s="31"/>
      <c r="W485" s="31"/>
      <c r="X485" s="31"/>
      <c r="Y485" s="31"/>
      <c r="Z485" s="31"/>
      <c r="AA485" s="31"/>
      <c r="AB485" s="31"/>
      <c r="AC485" s="31"/>
    </row>
    <row r="486" spans="1:29" ht="30" customHeight="1" x14ac:dyDescent="0.25">
      <c r="A486" s="36"/>
      <c r="B486" s="12"/>
      <c r="C486" s="12"/>
      <c r="D486" s="12"/>
      <c r="E486" s="12"/>
      <c r="F486" s="13"/>
      <c r="G486" s="12"/>
      <c r="H486" s="27"/>
      <c r="I486" s="277" t="str">
        <f ca="1">IF(ListeInventaire3811[[#This Row],[Statut de la réalisation de l''action]]="Effectué","À jour",IF(ListeInventaire3811[[#This Row],[échéance de réalisation]]&lt;TODAY(),"En retard","À jour"))</f>
        <v>En retard</v>
      </c>
      <c r="J486" s="109"/>
      <c r="K486" s="10"/>
      <c r="L486" s="10"/>
      <c r="M486" s="31"/>
      <c r="N486" s="32"/>
      <c r="O486" s="31"/>
      <c r="P486" s="10"/>
      <c r="Q486" s="31"/>
      <c r="R486" s="31"/>
      <c r="S486" s="31"/>
      <c r="T486" s="31"/>
      <c r="U486" s="31"/>
      <c r="V486" s="31"/>
      <c r="W486" s="31"/>
      <c r="X486" s="31"/>
      <c r="Y486" s="31"/>
      <c r="Z486" s="31"/>
      <c r="AA486" s="31"/>
      <c r="AB486" s="31"/>
      <c r="AC486" s="31"/>
    </row>
    <row r="487" spans="1:29" ht="30" customHeight="1" x14ac:dyDescent="0.25">
      <c r="A487" s="36"/>
      <c r="B487" s="12"/>
      <c r="C487" s="12"/>
      <c r="D487" s="12"/>
      <c r="E487" s="12"/>
      <c r="F487" s="13"/>
      <c r="G487" s="12"/>
      <c r="H487" s="27"/>
      <c r="I487" s="277" t="str">
        <f ca="1">IF(ListeInventaire3811[[#This Row],[Statut de la réalisation de l''action]]="Effectué","À jour",IF(ListeInventaire3811[[#This Row],[échéance de réalisation]]&lt;TODAY(),"En retard","À jour"))</f>
        <v>En retard</v>
      </c>
      <c r="J487" s="109"/>
      <c r="K487" s="10"/>
      <c r="L487" s="10"/>
      <c r="M487" s="31"/>
      <c r="N487" s="32"/>
      <c r="O487" s="31"/>
      <c r="P487" s="10"/>
      <c r="Q487" s="31"/>
      <c r="R487" s="31"/>
      <c r="S487" s="31"/>
      <c r="T487" s="31"/>
      <c r="U487" s="31"/>
      <c r="V487" s="31"/>
      <c r="W487" s="31"/>
      <c r="X487" s="31"/>
      <c r="Y487" s="31"/>
      <c r="Z487" s="31"/>
      <c r="AA487" s="31"/>
      <c r="AB487" s="31"/>
      <c r="AC487" s="31"/>
    </row>
    <row r="488" spans="1:29" ht="30" customHeight="1" x14ac:dyDescent="0.25">
      <c r="A488" s="26"/>
      <c r="B488" s="31"/>
      <c r="C488" s="9"/>
      <c r="D488" s="9"/>
      <c r="E488" s="31"/>
      <c r="F488" s="10"/>
      <c r="G488" s="9"/>
      <c r="H488" s="264"/>
      <c r="I488" s="277" t="str">
        <f ca="1">IF(ListeInventaire3811[[#This Row],[Statut de la réalisation de l''action]]="Effectué","À jour",IF(ListeInventaire3811[[#This Row],[échéance de réalisation]]&lt;TODAY(),"En retard","À jour"))</f>
        <v>En retard</v>
      </c>
      <c r="J488" s="109"/>
      <c r="K488" s="10"/>
      <c r="L488" s="10"/>
      <c r="M488" s="31"/>
      <c r="N488" s="32"/>
      <c r="O488" s="31"/>
      <c r="P488" s="10"/>
      <c r="Q488" s="31"/>
      <c r="R488" s="31"/>
      <c r="S488" s="31"/>
      <c r="T488" s="31"/>
      <c r="U488" s="31"/>
      <c r="V488" s="31"/>
      <c r="W488" s="31"/>
      <c r="X488" s="31"/>
      <c r="Y488" s="31"/>
      <c r="Z488" s="31"/>
      <c r="AA488" s="31"/>
      <c r="AB488" s="31"/>
      <c r="AC488" s="31"/>
    </row>
    <row r="489" spans="1:29" ht="30" customHeight="1" x14ac:dyDescent="0.25">
      <c r="A489" s="26"/>
      <c r="B489" s="31"/>
      <c r="C489" s="9"/>
      <c r="D489" s="9"/>
      <c r="E489" s="31"/>
      <c r="F489" s="356"/>
      <c r="G489" s="353"/>
      <c r="H489" s="264"/>
      <c r="I489" s="277" t="str">
        <f ca="1">IF(ListeInventaire3811[[#This Row],[Statut de la réalisation de l''action]]="Effectué","À jour",IF(ListeInventaire3811[[#This Row],[échéance de réalisation]]&lt;TODAY(),"En retard","À jour"))</f>
        <v>En retard</v>
      </c>
      <c r="J489" s="109"/>
      <c r="K489" s="10"/>
      <c r="L489" s="10"/>
      <c r="M489" s="31"/>
      <c r="N489" s="32"/>
      <c r="O489" s="31"/>
      <c r="P489" s="10"/>
      <c r="Q489" s="31"/>
      <c r="R489" s="31"/>
      <c r="S489" s="31"/>
      <c r="T489" s="31"/>
      <c r="U489" s="31"/>
      <c r="V489" s="31"/>
      <c r="W489" s="31"/>
      <c r="X489" s="31"/>
      <c r="Y489" s="31"/>
      <c r="Z489" s="31"/>
      <c r="AA489" s="31"/>
      <c r="AB489" s="31"/>
      <c r="AC489" s="31"/>
    </row>
    <row r="490" spans="1:29" ht="30" customHeight="1" x14ac:dyDescent="0.25">
      <c r="A490" s="26"/>
      <c r="B490" s="296"/>
      <c r="C490" s="9"/>
      <c r="D490" s="9"/>
      <c r="E490" s="295"/>
      <c r="F490" s="355"/>
      <c r="G490" s="295"/>
      <c r="H490" s="358"/>
      <c r="I490" s="277" t="str">
        <f ca="1">IF(ListeInventaire3811[[#This Row],[Statut de la réalisation de l''action]]="Effectué","À jour",IF(ListeInventaire3811[[#This Row],[échéance de réalisation]]&lt;TODAY(),"En retard","À jour"))</f>
        <v>En retard</v>
      </c>
      <c r="J490" s="109"/>
      <c r="K490" s="10"/>
      <c r="L490" s="10"/>
      <c r="M490" s="31"/>
      <c r="N490" s="32"/>
      <c r="O490" s="31"/>
      <c r="P490" s="10"/>
      <c r="Q490" s="31"/>
      <c r="R490" s="31"/>
      <c r="S490" s="31"/>
      <c r="T490" s="31"/>
      <c r="U490" s="31"/>
      <c r="V490" s="31"/>
      <c r="W490" s="31"/>
      <c r="X490" s="31"/>
      <c r="Y490" s="31"/>
      <c r="Z490" s="31"/>
      <c r="AA490" s="31"/>
      <c r="AB490" s="31"/>
      <c r="AC490" s="31"/>
    </row>
    <row r="491" spans="1:29" ht="30" customHeight="1" x14ac:dyDescent="0.25">
      <c r="A491" s="26"/>
      <c r="B491" s="9"/>
      <c r="C491" s="9"/>
      <c r="D491" s="9"/>
      <c r="E491" s="295"/>
      <c r="F491" s="297"/>
      <c r="G491" s="295"/>
      <c r="H491" s="360"/>
      <c r="I491" s="277" t="str">
        <f ca="1">IF(ListeInventaire3811[[#This Row],[Statut de la réalisation de l''action]]="Effectué","À jour",IF(ListeInventaire3811[[#This Row],[échéance de réalisation]]&lt;TODAY(),"En retard","À jour"))</f>
        <v>En retard</v>
      </c>
      <c r="J491" s="109"/>
      <c r="K491" s="10"/>
      <c r="L491" s="10"/>
      <c r="M491" s="31"/>
      <c r="N491" s="32"/>
      <c r="O491" s="31"/>
      <c r="P491" s="10"/>
      <c r="Q491" s="31"/>
      <c r="R491" s="31"/>
      <c r="S491" s="31"/>
      <c r="T491" s="31"/>
      <c r="U491" s="31"/>
      <c r="V491" s="31"/>
      <c r="W491" s="31"/>
      <c r="X491" s="31"/>
      <c r="Y491" s="31"/>
      <c r="Z491" s="31"/>
      <c r="AA491" s="31"/>
      <c r="AB491" s="31"/>
      <c r="AC491" s="31"/>
    </row>
    <row r="492" spans="1:29" ht="30" customHeight="1" x14ac:dyDescent="0.25">
      <c r="A492" s="26"/>
      <c r="B492" s="265"/>
      <c r="C492" s="9"/>
      <c r="D492" s="9"/>
      <c r="E492" s="295"/>
      <c r="F492" s="297"/>
      <c r="G492" s="295"/>
      <c r="H492" s="358"/>
      <c r="I492" s="277" t="str">
        <f ca="1">IF(ListeInventaire3811[[#This Row],[Statut de la réalisation de l''action]]="Effectué","À jour",IF(ListeInventaire3811[[#This Row],[échéance de réalisation]]&lt;TODAY(),"En retard","À jour"))</f>
        <v>En retard</v>
      </c>
      <c r="J492" s="109"/>
      <c r="K492" s="10"/>
      <c r="L492" s="10"/>
      <c r="M492" s="31"/>
      <c r="N492" s="32"/>
      <c r="O492" s="31"/>
      <c r="P492" s="10"/>
      <c r="Q492" s="31"/>
      <c r="R492" s="31"/>
      <c r="S492" s="31"/>
      <c r="T492" s="31"/>
      <c r="U492" s="31"/>
      <c r="V492" s="31"/>
      <c r="W492" s="31"/>
      <c r="X492" s="31"/>
      <c r="Y492" s="31"/>
      <c r="Z492" s="31"/>
      <c r="AA492" s="31"/>
      <c r="AB492" s="31"/>
      <c r="AC492" s="31"/>
    </row>
    <row r="493" spans="1:29" ht="30" customHeight="1" x14ac:dyDescent="0.25">
      <c r="A493" s="26"/>
      <c r="B493" s="12"/>
      <c r="C493" s="9"/>
      <c r="D493" s="9"/>
      <c r="E493" s="295"/>
      <c r="F493" s="297"/>
      <c r="G493" s="357"/>
      <c r="H493" s="360"/>
      <c r="I493" s="277" t="str">
        <f ca="1">IF(ListeInventaire3811[[#This Row],[Statut de la réalisation de l''action]]="Effectué","À jour",IF(ListeInventaire3811[[#This Row],[échéance de réalisation]]&lt;TODAY(),"En retard","À jour"))</f>
        <v>En retard</v>
      </c>
      <c r="J493" s="109"/>
      <c r="K493" s="10"/>
      <c r="L493" s="10"/>
      <c r="M493" s="31"/>
      <c r="N493" s="32"/>
      <c r="O493" s="31"/>
      <c r="P493" s="10"/>
      <c r="Q493" s="31"/>
      <c r="R493" s="31"/>
      <c r="S493" s="31"/>
      <c r="T493" s="31"/>
      <c r="U493" s="31"/>
      <c r="V493" s="31"/>
      <c r="W493" s="31"/>
      <c r="X493" s="31"/>
      <c r="Y493" s="31"/>
      <c r="Z493" s="31"/>
      <c r="AA493" s="31"/>
      <c r="AB493" s="31"/>
      <c r="AC493" s="31"/>
    </row>
    <row r="494" spans="1:29" ht="30" customHeight="1" x14ac:dyDescent="0.25">
      <c r="A494" s="26"/>
      <c r="B494" s="265"/>
      <c r="C494" s="265"/>
      <c r="D494" s="265"/>
      <c r="E494" s="265"/>
      <c r="F494" s="355"/>
      <c r="G494" s="295"/>
      <c r="H494" s="358"/>
      <c r="I494" s="277" t="str">
        <f ca="1">IF(ListeInventaire3811[[#This Row],[Statut de la réalisation de l''action]]="Effectué","À jour",IF(ListeInventaire3811[[#This Row],[échéance de réalisation]]&lt;TODAY(),"En retard","À jour"))</f>
        <v>En retard</v>
      </c>
      <c r="J494" s="109"/>
      <c r="K494" s="10"/>
      <c r="L494" s="10"/>
      <c r="M494" s="31"/>
      <c r="N494" s="32"/>
      <c r="O494" s="31"/>
      <c r="P494" s="10"/>
      <c r="Q494" s="31"/>
      <c r="R494" s="31"/>
      <c r="S494" s="31"/>
      <c r="T494" s="31"/>
      <c r="U494" s="31"/>
      <c r="V494" s="31"/>
      <c r="W494" s="31"/>
      <c r="X494" s="31"/>
      <c r="Y494" s="31"/>
      <c r="Z494" s="31"/>
      <c r="AA494" s="31"/>
      <c r="AB494" s="31"/>
      <c r="AC494" s="31"/>
    </row>
    <row r="495" spans="1:29" ht="30" customHeight="1" x14ac:dyDescent="0.25">
      <c r="A495" s="26"/>
      <c r="B495" s="265"/>
      <c r="C495" s="265"/>
      <c r="D495" s="265"/>
      <c r="E495" s="265"/>
      <c r="F495" s="297"/>
      <c r="G495" s="357"/>
      <c r="H495" s="360"/>
      <c r="I495" s="277" t="str">
        <f ca="1">IF(ListeInventaire3811[[#This Row],[Statut de la réalisation de l''action]]="Effectué","À jour",IF(ListeInventaire3811[[#This Row],[échéance de réalisation]]&lt;TODAY(),"En retard","À jour"))</f>
        <v>En retard</v>
      </c>
      <c r="J495" s="109"/>
      <c r="K495" s="10"/>
      <c r="L495" s="10"/>
      <c r="M495" s="31"/>
      <c r="N495" s="32"/>
      <c r="O495" s="31"/>
      <c r="P495" s="10"/>
      <c r="Q495" s="31"/>
      <c r="R495" s="31"/>
      <c r="S495" s="31"/>
      <c r="T495" s="31"/>
      <c r="U495" s="31"/>
      <c r="V495" s="31"/>
      <c r="W495" s="31"/>
      <c r="X495" s="31"/>
      <c r="Y495" s="31"/>
      <c r="Z495" s="31"/>
      <c r="AA495" s="31"/>
      <c r="AB495" s="31"/>
      <c r="AC495" s="31"/>
    </row>
    <row r="496" spans="1:29" ht="30" customHeight="1" x14ac:dyDescent="0.25">
      <c r="A496" s="26"/>
      <c r="B496" s="265"/>
      <c r="C496" s="265"/>
      <c r="D496" s="265"/>
      <c r="E496" s="265"/>
      <c r="F496" s="355"/>
      <c r="G496" s="295"/>
      <c r="H496" s="358"/>
      <c r="I496" s="277" t="str">
        <f ca="1">IF(ListeInventaire3811[[#This Row],[Statut de la réalisation de l''action]]="Effectué","À jour",IF(ListeInventaire3811[[#This Row],[échéance de réalisation]]&lt;TODAY(),"En retard","À jour"))</f>
        <v>En retard</v>
      </c>
      <c r="J496" s="109"/>
      <c r="K496" s="10"/>
      <c r="L496" s="10"/>
      <c r="M496" s="31"/>
      <c r="N496" s="32"/>
      <c r="O496" s="31"/>
      <c r="P496" s="10"/>
      <c r="Q496" s="31"/>
      <c r="R496" s="31"/>
      <c r="S496" s="31"/>
      <c r="T496" s="31"/>
      <c r="U496" s="31"/>
      <c r="V496" s="31"/>
      <c r="W496" s="31"/>
      <c r="X496" s="31"/>
      <c r="Y496" s="31"/>
      <c r="Z496" s="31"/>
      <c r="AA496" s="31"/>
      <c r="AB496" s="31"/>
      <c r="AC496" s="31"/>
    </row>
    <row r="497" spans="1:29" ht="30" customHeight="1" x14ac:dyDescent="0.25">
      <c r="A497" s="26"/>
      <c r="B497" s="265"/>
      <c r="C497" s="265"/>
      <c r="D497" s="265"/>
      <c r="E497" s="265"/>
      <c r="F497" s="297"/>
      <c r="G497" s="295"/>
      <c r="H497" s="360"/>
      <c r="I497" s="277" t="str">
        <f ca="1">IF(ListeInventaire3811[[#This Row],[Statut de la réalisation de l''action]]="Effectué","À jour",IF(ListeInventaire3811[[#This Row],[échéance de réalisation]]&lt;TODAY(),"En retard","À jour"))</f>
        <v>En retard</v>
      </c>
      <c r="J497" s="109"/>
      <c r="K497" s="10"/>
      <c r="L497" s="10"/>
      <c r="M497" s="31"/>
      <c r="N497" s="32"/>
      <c r="O497" s="31"/>
      <c r="P497" s="10"/>
      <c r="Q497" s="31"/>
      <c r="R497" s="31"/>
      <c r="S497" s="31"/>
      <c r="T497" s="31"/>
      <c r="U497" s="31"/>
      <c r="V497" s="31"/>
      <c r="W497" s="31"/>
      <c r="X497" s="31"/>
      <c r="Y497" s="31"/>
      <c r="Z497" s="31"/>
      <c r="AA497" s="31"/>
      <c r="AB497" s="31"/>
      <c r="AC497" s="31"/>
    </row>
    <row r="498" spans="1:29" ht="30" customHeight="1" x14ac:dyDescent="0.25">
      <c r="A498" s="110"/>
      <c r="B498" s="353"/>
      <c r="C498" s="353"/>
      <c r="D498" s="353"/>
      <c r="E498" s="353"/>
      <c r="F498"/>
      <c r="G498" s="295"/>
      <c r="H498" s="361"/>
      <c r="I498" s="277" t="str">
        <f ca="1">IF(ListeInventaire3811[[#This Row],[Statut de la réalisation de l''action]]="Effectué","À jour",IF(ListeInventaire3811[[#This Row],[échéance de réalisation]]&lt;TODAY(),"En retard","À jour"))</f>
        <v>En retard</v>
      </c>
      <c r="J498" s="109"/>
      <c r="K498" s="10"/>
      <c r="L498" s="10"/>
      <c r="M498" s="31"/>
      <c r="N498" s="32"/>
      <c r="O498" s="31"/>
      <c r="P498" s="10"/>
      <c r="Q498" s="31"/>
      <c r="R498" s="31"/>
      <c r="S498" s="31"/>
      <c r="T498" s="31"/>
      <c r="U498" s="31"/>
      <c r="V498" s="31"/>
      <c r="W498" s="31"/>
      <c r="X498" s="31"/>
      <c r="Y498" s="31"/>
      <c r="Z498" s="31"/>
      <c r="AA498" s="31"/>
      <c r="AB498" s="31"/>
      <c r="AC498" s="31"/>
    </row>
    <row r="499" spans="1:29" ht="30" customHeight="1" x14ac:dyDescent="0.25">
      <c r="A499" s="26"/>
      <c r="B499" s="295"/>
      <c r="C499" s="295"/>
      <c r="D499" s="295"/>
      <c r="E499" s="295"/>
      <c r="F499" s="386"/>
      <c r="G499" s="295"/>
      <c r="H499" s="358"/>
      <c r="I499" s="277" t="str">
        <f ca="1">IF(ListeInventaire3811[[#This Row],[Statut de la réalisation de l''action]]="Effectué","À jour",IF(ListeInventaire3811[[#This Row],[échéance de réalisation]]&lt;TODAY(),"En retard","À jour"))</f>
        <v>En retard</v>
      </c>
      <c r="J499" s="109"/>
      <c r="K499" s="10"/>
      <c r="L499" s="10"/>
      <c r="M499" s="31"/>
      <c r="N499" s="32"/>
      <c r="O499" s="31"/>
      <c r="P499" s="10"/>
      <c r="Q499" s="31"/>
      <c r="R499" s="31"/>
      <c r="S499" s="31"/>
      <c r="T499" s="31"/>
      <c r="U499" s="31"/>
      <c r="V499" s="31"/>
      <c r="W499" s="31"/>
      <c r="X499" s="31"/>
      <c r="Y499" s="31"/>
      <c r="Z499" s="31"/>
      <c r="AA499" s="31"/>
      <c r="AB499" s="31"/>
      <c r="AC499" s="31"/>
    </row>
    <row r="500" spans="1:29" ht="30" customHeight="1" x14ac:dyDescent="0.25">
      <c r="A500" s="270"/>
      <c r="B500" s="270"/>
      <c r="C500" s="270"/>
      <c r="D500" s="270"/>
      <c r="E500" s="270"/>
      <c r="F500" s="270"/>
      <c r="G500" s="270"/>
      <c r="H500" s="270"/>
      <c r="I500" s="277" t="str">
        <f ca="1">IF(ListeInventaire3811[[#This Row],[Statut de la réalisation de l''action]]="Effectué","À jour",IF(ListeInventaire3811[[#This Row],[échéance de réalisation]]&lt;TODAY(),"En retard","À jour"))</f>
        <v>En retard</v>
      </c>
      <c r="J500" s="270"/>
      <c r="K500" s="270"/>
      <c r="L500" s="270"/>
      <c r="M500" s="270"/>
      <c r="N500" s="270"/>
      <c r="O500" s="270"/>
      <c r="P500" s="270"/>
      <c r="Q500" s="270"/>
      <c r="R500" s="270"/>
      <c r="S500" s="270"/>
      <c r="T500" s="270"/>
      <c r="U500" s="270"/>
      <c r="V500" s="270"/>
      <c r="W500" s="270"/>
      <c r="X500" s="270"/>
      <c r="Y500" s="270"/>
      <c r="Z500" s="270"/>
      <c r="AA500" s="270"/>
      <c r="AB500" s="270"/>
      <c r="AC500" s="31"/>
    </row>
    <row r="501" spans="1:29" ht="30" customHeight="1" x14ac:dyDescent="0.25">
      <c r="A501" s="270"/>
      <c r="B501" s="270"/>
      <c r="C501" s="270"/>
      <c r="D501" s="270"/>
      <c r="E501" s="270"/>
      <c r="F501" s="270"/>
      <c r="G501" s="270"/>
      <c r="H501" s="270"/>
      <c r="I501" s="277" t="str">
        <f ca="1">IF(ListeInventaire3811[[#This Row],[Statut de la réalisation de l''action]]="Effectué","À jour",IF(ListeInventaire3811[[#This Row],[échéance de réalisation]]&lt;TODAY(),"En retard","À jour"))</f>
        <v>En retard</v>
      </c>
      <c r="J501" s="270"/>
      <c r="K501" s="270"/>
      <c r="L501" s="270"/>
      <c r="M501" s="270"/>
      <c r="N501" s="270"/>
      <c r="O501" s="270"/>
      <c r="P501" s="270"/>
      <c r="Q501" s="270"/>
      <c r="R501" s="270"/>
      <c r="S501" s="270"/>
      <c r="T501" s="270"/>
      <c r="U501" s="270"/>
      <c r="V501" s="270"/>
      <c r="W501" s="270"/>
      <c r="X501" s="270"/>
      <c r="Y501" s="270"/>
      <c r="Z501" s="270"/>
      <c r="AA501" s="270"/>
      <c r="AB501" s="270"/>
      <c r="AC501" s="31"/>
    </row>
    <row r="502" spans="1:29" ht="30" customHeight="1" x14ac:dyDescent="0.25">
      <c r="A502" s="270"/>
      <c r="B502" s="270"/>
      <c r="C502" s="270"/>
      <c r="D502" s="270"/>
      <c r="E502" s="270"/>
      <c r="F502" s="270"/>
      <c r="G502" s="270"/>
      <c r="H502" s="270"/>
      <c r="I502" s="277" t="str">
        <f ca="1">IF(ListeInventaire3811[[#This Row],[Statut de la réalisation de l''action]]="Effectué","À jour",IF(ListeInventaire3811[[#This Row],[échéance de réalisation]]&lt;TODAY(),"En retard","À jour"))</f>
        <v>En retard</v>
      </c>
      <c r="J502" s="270"/>
      <c r="K502" s="270"/>
      <c r="L502" s="270"/>
      <c r="M502" s="270"/>
      <c r="N502" s="270"/>
      <c r="O502" s="270"/>
      <c r="P502" s="270"/>
      <c r="Q502" s="270"/>
      <c r="R502" s="270"/>
      <c r="S502" s="270"/>
      <c r="T502" s="270"/>
      <c r="U502" s="270"/>
      <c r="V502" s="270"/>
      <c r="W502" s="270"/>
      <c r="X502" s="270"/>
      <c r="Y502" s="270"/>
      <c r="Z502" s="270"/>
      <c r="AA502" s="270"/>
      <c r="AB502" s="270"/>
      <c r="AC502" s="31"/>
    </row>
    <row r="503" spans="1:29" ht="30" customHeight="1" x14ac:dyDescent="0.25">
      <c r="A503" s="270"/>
      <c r="B503" s="270"/>
      <c r="C503" s="270"/>
      <c r="D503" s="270"/>
      <c r="E503" s="270"/>
      <c r="F503" s="270"/>
      <c r="G503" s="270"/>
      <c r="H503" s="270"/>
      <c r="I503" s="277" t="str">
        <f ca="1">IF(ListeInventaire3811[[#This Row],[Statut de la réalisation de l''action]]="Effectué","À jour",IF(ListeInventaire3811[[#This Row],[échéance de réalisation]]&lt;TODAY(),"En retard","À jour"))</f>
        <v>En retard</v>
      </c>
      <c r="J503" s="270"/>
      <c r="K503" s="270"/>
      <c r="L503" s="270"/>
      <c r="M503" s="270"/>
      <c r="N503" s="270"/>
      <c r="O503" s="270"/>
      <c r="P503" s="270"/>
      <c r="Q503" s="270"/>
      <c r="R503" s="270"/>
      <c r="S503" s="270"/>
      <c r="T503" s="270"/>
      <c r="U503" s="270"/>
      <c r="V503" s="270"/>
      <c r="W503" s="270"/>
      <c r="X503" s="270"/>
      <c r="Y503" s="270"/>
      <c r="Z503" s="270"/>
      <c r="AA503" s="270"/>
      <c r="AB503" s="270"/>
      <c r="AC503" s="31"/>
    </row>
    <row r="504" spans="1:29" ht="30" customHeight="1" x14ac:dyDescent="0.25">
      <c r="A504" s="270"/>
      <c r="B504" s="270"/>
      <c r="C504" s="270"/>
      <c r="D504" s="270"/>
      <c r="E504" s="270"/>
      <c r="F504" s="270"/>
      <c r="G504" s="270"/>
      <c r="H504" s="270"/>
      <c r="I504" s="277" t="str">
        <f ca="1">IF(ListeInventaire3811[[#This Row],[Statut de la réalisation de l''action]]="Effectué","À jour",IF(ListeInventaire3811[[#This Row],[échéance de réalisation]]&lt;TODAY(),"En retard","À jour"))</f>
        <v>En retard</v>
      </c>
      <c r="J504" s="270"/>
      <c r="K504" s="270"/>
      <c r="L504" s="270"/>
      <c r="M504" s="270"/>
      <c r="N504" s="270"/>
      <c r="O504" s="270"/>
      <c r="P504" s="270"/>
      <c r="Q504" s="270"/>
      <c r="R504" s="270"/>
      <c r="S504" s="270"/>
      <c r="T504" s="270"/>
      <c r="U504" s="270"/>
      <c r="V504" s="270"/>
      <c r="W504" s="270"/>
      <c r="X504" s="270"/>
      <c r="Y504" s="270"/>
      <c r="Z504" s="270"/>
      <c r="AA504" s="270"/>
      <c r="AB504" s="270"/>
      <c r="AC504" s="31"/>
    </row>
    <row r="505" spans="1:29" ht="30" customHeight="1" x14ac:dyDescent="0.25">
      <c r="A505" s="270"/>
      <c r="B505" s="270"/>
      <c r="C505" s="270"/>
      <c r="D505" s="270"/>
      <c r="E505" s="270"/>
      <c r="F505" s="270"/>
      <c r="G505" s="270"/>
      <c r="H505" s="270"/>
      <c r="I505" s="277" t="str">
        <f ca="1">IF(ListeInventaire3811[[#This Row],[Statut de la réalisation de l''action]]="Effectué","À jour",IF(ListeInventaire3811[[#This Row],[échéance de réalisation]]&lt;TODAY(),"En retard","À jour"))</f>
        <v>En retard</v>
      </c>
      <c r="J505" s="270"/>
      <c r="K505" s="270"/>
      <c r="L505" s="270"/>
      <c r="M505" s="270"/>
      <c r="N505" s="270"/>
      <c r="O505" s="270"/>
      <c r="P505" s="270"/>
      <c r="Q505" s="270"/>
      <c r="R505" s="270"/>
      <c r="S505" s="270"/>
      <c r="T505" s="270"/>
      <c r="U505" s="270"/>
      <c r="V505" s="270"/>
      <c r="W505" s="270"/>
      <c r="X505" s="270"/>
      <c r="Y505" s="270"/>
      <c r="Z505" s="270"/>
      <c r="AA505" s="270"/>
      <c r="AB505" s="270"/>
      <c r="AC505" s="31"/>
    </row>
    <row r="506" spans="1:29" ht="30" customHeight="1" x14ac:dyDescent="0.25">
      <c r="A506" s="270"/>
      <c r="B506" s="270"/>
      <c r="C506" s="270"/>
      <c r="D506" s="270"/>
      <c r="E506" s="270"/>
      <c r="F506" s="270"/>
      <c r="G506" s="270"/>
      <c r="H506" s="270"/>
      <c r="I506" s="277" t="str">
        <f ca="1">IF(ListeInventaire3811[[#This Row],[Statut de la réalisation de l''action]]="Effectué","À jour",IF(ListeInventaire3811[[#This Row],[échéance de réalisation]]&lt;TODAY(),"En retard","À jour"))</f>
        <v>En retard</v>
      </c>
      <c r="J506" s="270"/>
      <c r="K506" s="270"/>
      <c r="L506" s="270"/>
      <c r="M506" s="270"/>
      <c r="N506" s="270"/>
      <c r="O506" s="270"/>
      <c r="P506" s="270"/>
      <c r="Q506" s="270"/>
      <c r="R506" s="270"/>
      <c r="S506" s="270"/>
      <c r="T506" s="270"/>
      <c r="U506" s="270"/>
      <c r="V506" s="270"/>
      <c r="W506" s="270"/>
      <c r="X506" s="270"/>
      <c r="Y506" s="270"/>
      <c r="Z506" s="270"/>
      <c r="AA506" s="270"/>
      <c r="AB506" s="270"/>
      <c r="AC506" s="31"/>
    </row>
    <row r="507" spans="1:29" ht="30" customHeight="1" x14ac:dyDescent="0.25">
      <c r="A507" s="270"/>
      <c r="B507" s="270"/>
      <c r="C507" s="270"/>
      <c r="D507" s="270"/>
      <c r="E507" s="270"/>
      <c r="F507" s="270"/>
      <c r="G507" s="270"/>
      <c r="H507" s="270"/>
      <c r="I507" s="277" t="str">
        <f ca="1">IF(ListeInventaire3811[[#This Row],[Statut de la réalisation de l''action]]="Effectué","À jour",IF(ListeInventaire3811[[#This Row],[échéance de réalisation]]&lt;TODAY(),"En retard","À jour"))</f>
        <v>En retard</v>
      </c>
      <c r="J507" s="270"/>
      <c r="K507" s="270"/>
      <c r="L507" s="270"/>
      <c r="M507" s="270"/>
      <c r="N507" s="270"/>
      <c r="O507" s="270"/>
      <c r="P507" s="270"/>
      <c r="Q507" s="270"/>
      <c r="R507" s="270"/>
      <c r="S507" s="270"/>
      <c r="T507" s="270"/>
      <c r="U507" s="270"/>
      <c r="V507" s="270"/>
      <c r="W507" s="270"/>
      <c r="X507" s="270"/>
      <c r="Y507" s="270"/>
      <c r="Z507" s="270"/>
      <c r="AA507" s="270"/>
      <c r="AB507" s="270"/>
      <c r="AC507" s="31"/>
    </row>
    <row r="508" spans="1:29" ht="30" customHeight="1" x14ac:dyDescent="0.25">
      <c r="A508" s="270"/>
      <c r="B508" s="270"/>
      <c r="C508" s="270"/>
      <c r="D508" s="270"/>
      <c r="E508" s="270"/>
      <c r="F508" s="270"/>
      <c r="G508" s="270"/>
      <c r="H508" s="270"/>
      <c r="I508" s="277" t="str">
        <f ca="1">IF(ListeInventaire3811[[#This Row],[Statut de la réalisation de l''action]]="Effectué","À jour",IF(ListeInventaire3811[[#This Row],[échéance de réalisation]]&lt;TODAY(),"En retard","À jour"))</f>
        <v>En retard</v>
      </c>
      <c r="J508" s="270"/>
      <c r="K508" s="270"/>
      <c r="L508" s="270"/>
      <c r="M508" s="270"/>
      <c r="N508" s="270"/>
      <c r="O508" s="270"/>
      <c r="P508" s="270"/>
      <c r="Q508" s="270"/>
      <c r="R508" s="270"/>
      <c r="S508" s="270"/>
      <c r="T508" s="270"/>
      <c r="U508" s="270"/>
      <c r="V508" s="270"/>
      <c r="W508" s="270"/>
      <c r="X508" s="270"/>
      <c r="Y508" s="270"/>
      <c r="Z508" s="270"/>
      <c r="AA508" s="270"/>
      <c r="AB508" s="270"/>
      <c r="AC508" s="31"/>
    </row>
    <row r="509" spans="1:29" ht="30" customHeight="1" x14ac:dyDescent="0.25">
      <c r="A509" s="270"/>
      <c r="B509" s="270"/>
      <c r="C509" s="270"/>
      <c r="D509" s="270"/>
      <c r="E509" s="270"/>
      <c r="F509" s="270"/>
      <c r="G509" s="270"/>
      <c r="H509" s="270"/>
      <c r="I509" s="277" t="str">
        <f ca="1">IF(ListeInventaire3811[[#This Row],[Statut de la réalisation de l''action]]="Effectué","À jour",IF(ListeInventaire3811[[#This Row],[échéance de réalisation]]&lt;TODAY(),"En retard","À jour"))</f>
        <v>En retard</v>
      </c>
      <c r="J509" s="270"/>
      <c r="K509" s="270"/>
      <c r="L509" s="270"/>
      <c r="M509" s="270"/>
      <c r="N509" s="270"/>
      <c r="O509" s="270"/>
      <c r="P509" s="270"/>
      <c r="Q509" s="270"/>
      <c r="R509" s="270"/>
      <c r="S509" s="270"/>
      <c r="T509" s="270"/>
      <c r="U509" s="270"/>
      <c r="V509" s="270"/>
      <c r="W509" s="270"/>
      <c r="X509" s="270"/>
      <c r="Y509" s="270"/>
      <c r="Z509" s="270"/>
      <c r="AA509" s="270"/>
      <c r="AB509" s="270"/>
      <c r="AC509" s="31"/>
    </row>
    <row r="510" spans="1:29" ht="30" customHeight="1" x14ac:dyDescent="0.25">
      <c r="A510" s="270"/>
      <c r="B510" s="270"/>
      <c r="C510" s="270"/>
      <c r="D510" s="270"/>
      <c r="E510" s="270"/>
      <c r="F510" s="270"/>
      <c r="G510" s="270"/>
      <c r="H510" s="270"/>
      <c r="I510" s="277" t="str">
        <f ca="1">IF(ListeInventaire3811[[#This Row],[Statut de la réalisation de l''action]]="Effectué","À jour",IF(ListeInventaire3811[[#This Row],[échéance de réalisation]]&lt;TODAY(),"En retard","À jour"))</f>
        <v>En retard</v>
      </c>
      <c r="J510" s="270"/>
      <c r="K510" s="270"/>
      <c r="L510" s="270"/>
      <c r="M510" s="270"/>
      <c r="N510" s="270"/>
      <c r="O510" s="270"/>
      <c r="P510" s="270"/>
      <c r="Q510" s="270"/>
      <c r="R510" s="270"/>
      <c r="S510" s="270"/>
      <c r="T510" s="270"/>
      <c r="U510" s="270"/>
      <c r="V510" s="270"/>
      <c r="W510" s="270"/>
      <c r="X510" s="270"/>
      <c r="Y510" s="270"/>
      <c r="Z510" s="270"/>
      <c r="AA510" s="270"/>
      <c r="AB510" s="270"/>
      <c r="AC510" s="31"/>
    </row>
    <row r="511" spans="1:29" ht="30" customHeight="1" x14ac:dyDescent="0.25">
      <c r="A511" s="270"/>
      <c r="B511" s="270"/>
      <c r="C511" s="270"/>
      <c r="D511" s="270"/>
      <c r="E511" s="270"/>
      <c r="F511" s="270"/>
      <c r="G511" s="270"/>
      <c r="H511" s="270"/>
      <c r="I511" s="277" t="str">
        <f ca="1">IF(ListeInventaire3811[[#This Row],[Statut de la réalisation de l''action]]="Effectué","À jour",IF(ListeInventaire3811[[#This Row],[échéance de réalisation]]&lt;TODAY(),"En retard","À jour"))</f>
        <v>En retard</v>
      </c>
      <c r="J511" s="270"/>
      <c r="K511" s="270"/>
      <c r="L511" s="270"/>
      <c r="M511" s="270"/>
      <c r="N511" s="270"/>
      <c r="O511" s="270"/>
      <c r="P511" s="270"/>
      <c r="Q511" s="270"/>
      <c r="R511" s="270"/>
      <c r="S511" s="270"/>
      <c r="T511" s="270"/>
      <c r="U511" s="270"/>
      <c r="V511" s="270"/>
      <c r="W511" s="270"/>
      <c r="X511" s="270"/>
      <c r="Y511" s="270"/>
      <c r="Z511" s="270"/>
      <c r="AA511" s="270"/>
      <c r="AB511" s="270"/>
      <c r="AC511" s="31"/>
    </row>
  </sheetData>
  <mergeCells count="2">
    <mergeCell ref="A1:AB1"/>
    <mergeCell ref="K2:AB2"/>
  </mergeCells>
  <phoneticPr fontId="14" type="noConversion"/>
  <conditionalFormatting sqref="I4:I511">
    <cfRule type="expression" dxfId="39" priority="126">
      <formula>$I4="À jour"</formula>
    </cfRule>
    <cfRule type="expression" dxfId="38" priority="125">
      <formula>$I4="En retard"</formula>
    </cfRule>
  </conditionalFormatting>
  <conditionalFormatting sqref="J4:J39 J41:J60 J62 J64:J453">
    <cfRule type="expression" dxfId="37" priority="136">
      <formula>$J4="Annulé"</formula>
    </cfRule>
    <cfRule type="expression" dxfId="36" priority="134">
      <formula>$J4="Reportée"</formula>
    </cfRule>
    <cfRule type="expression" dxfId="35" priority="130">
      <formula>$J4="À faire"</formula>
    </cfRule>
    <cfRule type="expression" dxfId="34" priority="129">
      <formula>$J4="En cours"</formula>
    </cfRule>
    <cfRule type="expression" dxfId="33" priority="127">
      <formula>$J4="Effectué"</formula>
    </cfRule>
  </conditionalFormatting>
  <conditionalFormatting sqref="K6">
    <cfRule type="expression" dxfId="32" priority="122">
      <formula>$J6="Annulé"</formula>
    </cfRule>
    <cfRule type="expression" dxfId="31" priority="121">
      <formula>$J6="Reportée"</formula>
    </cfRule>
    <cfRule type="expression" dxfId="30" priority="120">
      <formula>$J6="À faire"</formula>
    </cfRule>
    <cfRule type="expression" dxfId="29" priority="119">
      <formula>$J6="En cours"</formula>
    </cfRule>
    <cfRule type="expression" dxfId="28" priority="118">
      <formula>$J6="Effectué"</formula>
    </cfRule>
  </conditionalFormatting>
  <conditionalFormatting sqref="XDK168">
    <cfRule type="expression" dxfId="27" priority="71">
      <formula>$I168="En retard"</formula>
    </cfRule>
    <cfRule type="expression" dxfId="26" priority="72">
      <formula>$I168="À jour"</formula>
    </cfRule>
  </conditionalFormatting>
  <conditionalFormatting sqref="XDL168">
    <cfRule type="expression" dxfId="25" priority="76">
      <formula>$J168="Reportée"</formula>
    </cfRule>
    <cfRule type="expression" dxfId="24" priority="77">
      <formula>$J168="Annulé"</formula>
    </cfRule>
    <cfRule type="expression" dxfId="23" priority="73">
      <formula>$J168="Effectué"</formula>
    </cfRule>
    <cfRule type="expression" dxfId="22" priority="74">
      <formula>$J168="En cours"</formula>
    </cfRule>
    <cfRule type="expression" dxfId="21" priority="75">
      <formula>$J168="À faire"</formula>
    </cfRule>
  </conditionalFormatting>
  <conditionalFormatting sqref="XEC166:XEC260">
    <cfRule type="expression" dxfId="20" priority="51">
      <formula>$I166="À jour"</formula>
    </cfRule>
    <cfRule type="expression" dxfId="19" priority="50">
      <formula>$I166="En retard"</formula>
    </cfRule>
  </conditionalFormatting>
  <conditionalFormatting sqref="XED166:XED260">
    <cfRule type="expression" dxfId="18" priority="56">
      <formula>$J166="Annulé"</formula>
    </cfRule>
    <cfRule type="expression" dxfId="17" priority="55">
      <formula>$J166="Reportée"</formula>
    </cfRule>
    <cfRule type="expression" dxfId="16" priority="54">
      <formula>$J166="À faire"</formula>
    </cfRule>
    <cfRule type="expression" dxfId="15" priority="53">
      <formula>$J166="En cours"</formula>
    </cfRule>
    <cfRule type="expression" dxfId="14" priority="52">
      <formula>$J166="Effectué"</formula>
    </cfRule>
  </conditionalFormatting>
  <conditionalFormatting sqref="XEU153">
    <cfRule type="expression" dxfId="13" priority="106">
      <formula>$I153="En retard"</formula>
    </cfRule>
    <cfRule type="expression" dxfId="12" priority="107">
      <formula>$I153="À jour"</formula>
    </cfRule>
  </conditionalFormatting>
  <conditionalFormatting sqref="XEU165:XEU260">
    <cfRule type="expression" dxfId="11" priority="2">
      <formula>$I165="À jour"</formula>
    </cfRule>
    <cfRule type="expression" dxfId="10" priority="1">
      <formula>$I165="En retard"</formula>
    </cfRule>
  </conditionalFormatting>
  <conditionalFormatting sqref="XEV153">
    <cfRule type="expression" dxfId="9" priority="108">
      <formula>$J153="Effectué"</formula>
    </cfRule>
    <cfRule type="expression" dxfId="8" priority="109">
      <formula>$J153="En cours"</formula>
    </cfRule>
    <cfRule type="expression" dxfId="7" priority="110">
      <formula>$J153="À faire"</formula>
    </cfRule>
    <cfRule type="expression" dxfId="6" priority="111">
      <formula>$J153="Reportée"</formula>
    </cfRule>
    <cfRule type="expression" dxfId="5" priority="112">
      <formula>$J153="Annulé"</formula>
    </cfRule>
  </conditionalFormatting>
  <conditionalFormatting sqref="XEV165:XEV260">
    <cfRule type="expression" dxfId="4" priority="3">
      <formula>$J165="Effectué"</formula>
    </cfRule>
    <cfRule type="expression" dxfId="3" priority="7">
      <formula>$J165="Annulé"</formula>
    </cfRule>
    <cfRule type="expression" dxfId="2" priority="6">
      <formula>$J165="Reportée"</formula>
    </cfRule>
    <cfRule type="expression" dxfId="1" priority="5">
      <formula>$J165="À faire"</formula>
    </cfRule>
    <cfRule type="expression" dxfId="0" priority="4">
      <formula>$J165="En cours"</formula>
    </cfRule>
  </conditionalFormatting>
  <dataValidations xWindow="125" yWindow="318" count="7">
    <dataValidation allowBlank="1" showInputMessage="1" showErrorMessage="1" prompt="Créez une liste d'inventaire dans cette feuille de calcul. Le titre de cette feuille de calcul figure dans cette cellule. Entrez les détails dans le tableau ci-dessous." sqref="A1:A2" xr:uid="{00000000-0002-0000-0500-000000000000}"/>
    <dataValidation allowBlank="1" showInputMessage="1" showErrorMessage="1" prompt="Entrez l’ID d’inventaire dans cette colonne sous ce titre. Utilisez les filtres de titre pour trouver des entrées spécifiques" sqref="B3:D3" xr:uid="{00000000-0002-0000-0500-000001000000}"/>
    <dataValidation allowBlank="1" showInputMessage="1" showErrorMessage="1" prompt="Entrez le prix unitaire dans cette colonne sous ce titre." sqref="H3" xr:uid="{00000000-0002-0000-0500-000003000000}"/>
    <dataValidation allowBlank="1" showInputMessage="1" showErrorMessage="1" prompt="Entrez la description dans cette colonne sous ce titre." sqref="G3" xr:uid="{00000000-0002-0000-0500-000004000000}"/>
    <dataValidation allowBlank="1" sqref="P639:P1048576" xr:uid="{00000000-0002-0000-0500-000006000000}"/>
    <dataValidation type="list" allowBlank="1" sqref="P485:P638 P472:P482 BL447:BL618 CB447:CB618 CR447:CR618 DH447:DH618 DX447:DX618 EN447:EN618 FD447:FD618 FT447:FT618 GJ447:GJ618 GZ447:GZ618 HP447:HP618 IF447:IF618 IV447:IV618 JL447:JL618 KB447:KB618 KR447:KR618 LH447:LH618 LX447:LX618 MN447:MN618 ND447:ND618 NT447:NT618 OJ447:OJ618 OZ447:OZ618 PP447:PP618 QF447:QF618 QV447:QV618 RL447:RL618 SB447:SB618 SR447:SR618 TH447:TH618 TX447:TX618 UN447:UN618 VD447:VD618 VT447:VT618 WJ447:WJ618 WZ447:WZ618 XP447:XP618 YF447:YF618 YV447:YV618 ZL447:ZL618 AAB447:AAB618 AAR447:AAR618 ABH447:ABH618 ABX447:ABX618 ACN447:ACN618 ADD447:ADD618 ADT447:ADT618 AEJ447:AEJ618 AEZ447:AEZ618 AFP447:AFP618 AGF447:AGF618 AGV447:AGV618 AHL447:AHL618 AIB447:AIB618 AIR447:AIR618 AJH447:AJH618 AJX447:AJX618 AKN447:AKN618 ALD447:ALD618 ALT447:ALT618 AMJ447:AMJ618 AMZ447:AMZ618 ANP447:ANP618 AOF447:AOF618 AOV447:AOV618 APL447:APL618 AQB447:AQB618 AQR447:AQR618 ARH447:ARH618 ARX447:ARX618 ASN447:ASN618 ATD447:ATD618 ATT447:ATT618 AUJ447:AUJ618 AUZ447:AUZ618 AVP447:AVP618 AWF447:AWF618 AWV447:AWV618 AXL447:AXL618 AYB447:AYB618 AYR447:AYR618 AZH447:AZH618 AZX447:AZX618 BAN447:BAN618 BBD447:BBD618 BBT447:BBT618 BCJ447:BCJ618 BCZ447:BCZ618 BDP447:BDP618 BEF447:BEF618 BEV447:BEV618 BFL447:BFL618 BGB447:BGB618 BGR447:BGR618 BHH447:BHH618 BHX447:BHX618 BIN447:BIN618 BJD447:BJD618 BJT447:BJT618 BKJ447:BKJ618 BKZ447:BKZ618 BLP447:BLP618 BMF447:BMF618 BMV447:BMV618 BNL447:BNL618 BOB447:BOB618 BOR447:BOR618 BPH447:BPH618 BPX447:BPX618 BQN447:BQN618 BRD447:BRD618 BRT447:BRT618 BSJ447:BSJ618 BSZ447:BSZ618 BTP447:BTP618 BUF447:BUF618 BUV447:BUV618 BVL447:BVL618 BWB447:BWB618 BWR447:BWR618 BXH447:BXH618 BXX447:BXX618 BYN447:BYN618 BZD447:BZD618 BZT447:BZT618 CAJ447:CAJ618 CAZ447:CAZ618 CBP447:CBP618 CCF447:CCF618 CCV447:CCV618 CDL447:CDL618 CEB447:CEB618 CER447:CER618 CFH447:CFH618 CFX447:CFX618 CGN447:CGN618 CHD447:CHD618 CHT447:CHT618 CIJ447:CIJ618 CIZ447:CIZ618 CJP447:CJP618 CKF447:CKF618 CKV447:CKV618 CLL447:CLL618 CMB447:CMB618 CMR447:CMR618 CNH447:CNH618 CNX447:CNX618 CON447:CON618 CPD447:CPD618 CPT447:CPT618 CQJ447:CQJ618 CQZ447:CQZ618 CRP447:CRP618 CSF447:CSF618 CSV447:CSV618 CTL447:CTL618 CUB447:CUB618 CUR447:CUR618 CVH447:CVH618 CVX447:CVX618 CWN447:CWN618 CXD447:CXD618 CXT447:CXT618 CYJ447:CYJ618 CYZ447:CYZ618 CZP447:CZP618 DAF447:DAF618 DAV447:DAV618 DBL447:DBL618 DCB447:DCB618 DCR447:DCR618 DDH447:DDH618 DDX447:DDX618 DEN447:DEN618 DFD447:DFD618 DFT447:DFT618 DGJ447:DGJ618 DGZ447:DGZ618 DHP447:DHP618 DIF447:DIF618 DIV447:DIV618 DJL447:DJL618 DKB447:DKB618 DKR447:DKR618 DLH447:DLH618 DLX447:DLX618 DMN447:DMN618 DND447:DND618 DNT447:DNT618 DOJ447:DOJ618 DOZ447:DOZ618 DPP447:DPP618 DQF447:DQF618 DQV447:DQV618 DRL447:DRL618 DSB447:DSB618 DSR447:DSR618 DTH447:DTH618 DTX447:DTX618 DUN447:DUN618 DVD447:DVD618 DVT447:DVT618 DWJ447:DWJ618 DWZ447:DWZ618 DXP447:DXP618 DYF447:DYF618 DYV447:DYV618 DZL447:DZL618 EAB447:EAB618 EAR447:EAR618 EBH447:EBH618 EBX447:EBX618 ECN447:ECN618 EDD447:EDD618 EDT447:EDT618 EEJ447:EEJ618 EEZ447:EEZ618 EFP447:EFP618 EGF447:EGF618 EGV447:EGV618 EHL447:EHL618 EIB447:EIB618 EIR447:EIR618 EJH447:EJH618 EJX447:EJX618 EKN447:EKN618 ELD447:ELD618 ELT447:ELT618 EMJ447:EMJ618 EMZ447:EMZ618 ENP447:ENP618 EOF447:EOF618 EOV447:EOV618 EPL447:EPL618 EQB447:EQB618 EQR447:EQR618 ERH447:ERH618 ERX447:ERX618 ESN447:ESN618 ETD447:ETD618 ETT447:ETT618 EUJ447:EUJ618 EUZ447:EUZ618 EVP447:EVP618 EWF447:EWF618 EWV447:EWV618 EXL447:EXL618 EYB447:EYB618 EYR447:EYR618 EZH447:EZH618 EZX447:EZX618 FAN447:FAN618 FBD447:FBD618 FBT447:FBT618 FCJ447:FCJ618 FCZ447:FCZ618 FDP447:FDP618 FEF447:FEF618 FEV447:FEV618 FFL447:FFL618 FGB447:FGB618 FGR447:FGR618 FHH447:FHH618 FHX447:FHX618 FIN447:FIN618 FJD447:FJD618 FJT447:FJT618 FKJ447:FKJ618 FKZ447:FKZ618 FLP447:FLP618 FMF447:FMF618 FMV447:FMV618 FNL447:FNL618 FOB447:FOB618 FOR447:FOR618 FPH447:FPH618 FPX447:FPX618 FQN447:FQN618 FRD447:FRD618 FRT447:FRT618 FSJ447:FSJ618 FSZ447:FSZ618 FTP447:FTP618 FUF447:FUF618 FUV447:FUV618 FVL447:FVL618 FWB447:FWB618 FWR447:FWR618 FXH447:FXH618 FXX447:FXX618 FYN447:FYN618 FZD447:FZD618 FZT447:FZT618 GAJ447:GAJ618 GAZ447:GAZ618 GBP447:GBP618 GCF447:GCF618 GCV447:GCV618 GDL447:GDL618 GEB447:GEB618 GER447:GER618 GFH447:GFH618 GFX447:GFX618 GGN447:GGN618 GHD447:GHD618 GHT447:GHT618 GIJ447:GIJ618 GIZ447:GIZ618 GJP447:GJP618 GKF447:GKF618 GKV447:GKV618 GLL447:GLL618 GMB447:GMB618 GMR447:GMR618 GNH447:GNH618 GNX447:GNX618 GON447:GON618 GPD447:GPD618 GPT447:GPT618 GQJ447:GQJ618 GQZ447:GQZ618 GRP447:GRP618 GSF447:GSF618 GSV447:GSV618 GTL447:GTL618 GUB447:GUB618 GUR447:GUR618 GVH447:GVH618 GVX447:GVX618 GWN447:GWN618 GXD447:GXD618 GXT447:GXT618 GYJ447:GYJ618 GYZ447:GYZ618 GZP447:GZP618 HAF447:HAF618 HAV447:HAV618 HBL447:HBL618 HCB447:HCB618 HCR447:HCR618 HDH447:HDH618 HDX447:HDX618 HEN447:HEN618 HFD447:HFD618 HFT447:HFT618 HGJ447:HGJ618 HGZ447:HGZ618 HHP447:HHP618 HIF447:HIF618 HIV447:HIV618 HJL447:HJL618 HKB447:HKB618 HKR447:HKR618 HLH447:HLH618 HLX447:HLX618 HMN447:HMN618 HND447:HND618 HNT447:HNT618 HOJ447:HOJ618 HOZ447:HOZ618 HPP447:HPP618 HQF447:HQF618 HQV447:HQV618 HRL447:HRL618 HSB447:HSB618 HSR447:HSR618 HTH447:HTH618 HTX447:HTX618 HUN447:HUN618 HVD447:HVD618 HVT447:HVT618 HWJ447:HWJ618 HWZ447:HWZ618 HXP447:HXP618 HYF447:HYF618 HYV447:HYV618 HZL447:HZL618 IAB447:IAB618 IAR447:IAR618 IBH447:IBH618 IBX447:IBX618 ICN447:ICN618 IDD447:IDD618 IDT447:IDT618 IEJ447:IEJ618 IEZ447:IEZ618 IFP447:IFP618 IGF447:IGF618 IGV447:IGV618 IHL447:IHL618 IIB447:IIB618 IIR447:IIR618 IJH447:IJH618 IJX447:IJX618 IKN447:IKN618 ILD447:ILD618 ILT447:ILT618 IMJ447:IMJ618 IMZ447:IMZ618 INP447:INP618 IOF447:IOF618 IOV447:IOV618 IPL447:IPL618 IQB447:IQB618 IQR447:IQR618 IRH447:IRH618 IRX447:IRX618 ISN447:ISN618 ITD447:ITD618 ITT447:ITT618 IUJ447:IUJ618 IUZ447:IUZ618 IVP447:IVP618 IWF447:IWF618 IWV447:IWV618 IXL447:IXL618 IYB447:IYB618 IYR447:IYR618 IZH447:IZH618 IZX447:IZX618 JAN447:JAN618 JBD447:JBD618 JBT447:JBT618 JCJ447:JCJ618 JCZ447:JCZ618 JDP447:JDP618 JEF447:JEF618 JEV447:JEV618 JFL447:JFL618 JGB447:JGB618 JGR447:JGR618 JHH447:JHH618 JHX447:JHX618 JIN447:JIN618 JJD447:JJD618 JJT447:JJT618 JKJ447:JKJ618 JKZ447:JKZ618 JLP447:JLP618 JMF447:JMF618 JMV447:JMV618 JNL447:JNL618 JOB447:JOB618 JOR447:JOR618 JPH447:JPH618 JPX447:JPX618 JQN447:JQN618 JRD447:JRD618 JRT447:JRT618 JSJ447:JSJ618 JSZ447:JSZ618 JTP447:JTP618 JUF447:JUF618 JUV447:JUV618 JVL447:JVL618 JWB447:JWB618 JWR447:JWR618 JXH447:JXH618 JXX447:JXX618 JYN447:JYN618 JZD447:JZD618 JZT447:JZT618 KAJ447:KAJ618 KAZ447:KAZ618 KBP447:KBP618 KCF447:KCF618 KCV447:KCV618 KDL447:KDL618 KEB447:KEB618 KER447:KER618 KFH447:KFH618 KFX447:KFX618 KGN447:KGN618 KHD447:KHD618 KHT447:KHT618 KIJ447:KIJ618 KIZ447:KIZ618 KJP447:KJP618 KKF447:KKF618 KKV447:KKV618 KLL447:KLL618 KMB447:KMB618 KMR447:KMR618 KNH447:KNH618 KNX447:KNX618 KON447:KON618 KPD447:KPD618 KPT447:KPT618 KQJ447:KQJ618 KQZ447:KQZ618 KRP447:KRP618 KSF447:KSF618 KSV447:KSV618 KTL447:KTL618 KUB447:KUB618 KUR447:KUR618 KVH447:KVH618 KVX447:KVX618 KWN447:KWN618 KXD447:KXD618 KXT447:KXT618 KYJ447:KYJ618 KYZ447:KYZ618 KZP447:KZP618 LAF447:LAF618 LAV447:LAV618 LBL447:LBL618 LCB447:LCB618 LCR447:LCR618 LDH447:LDH618 LDX447:LDX618 LEN447:LEN618 LFD447:LFD618 LFT447:LFT618 LGJ447:LGJ618 LGZ447:LGZ618 LHP447:LHP618 LIF447:LIF618 LIV447:LIV618 LJL447:LJL618 LKB447:LKB618 LKR447:LKR618 LLH447:LLH618 LLX447:LLX618 LMN447:LMN618 LND447:LND618 LNT447:LNT618 LOJ447:LOJ618 LOZ447:LOZ618 LPP447:LPP618 LQF447:LQF618 LQV447:LQV618 LRL447:LRL618 LSB447:LSB618 LSR447:LSR618 LTH447:LTH618 LTX447:LTX618 LUN447:LUN618 LVD447:LVD618 LVT447:LVT618 LWJ447:LWJ618 LWZ447:LWZ618 LXP447:LXP618 LYF447:LYF618 LYV447:LYV618 LZL447:LZL618 MAB447:MAB618 MAR447:MAR618 MBH447:MBH618 MBX447:MBX618 MCN447:MCN618 MDD447:MDD618 MDT447:MDT618 MEJ447:MEJ618 MEZ447:MEZ618 MFP447:MFP618 MGF447:MGF618 MGV447:MGV618 MHL447:MHL618 MIB447:MIB618 MIR447:MIR618 MJH447:MJH618 MJX447:MJX618 MKN447:MKN618 MLD447:MLD618 MLT447:MLT618 MMJ447:MMJ618 MMZ447:MMZ618 MNP447:MNP618 MOF447:MOF618 MOV447:MOV618 MPL447:MPL618 MQB447:MQB618 MQR447:MQR618 MRH447:MRH618 MRX447:MRX618 MSN447:MSN618 MTD447:MTD618 MTT447:MTT618 MUJ447:MUJ618 MUZ447:MUZ618 MVP447:MVP618 MWF447:MWF618 MWV447:MWV618 MXL447:MXL618 MYB447:MYB618 MYR447:MYR618 MZH447:MZH618 MZX447:MZX618 NAN447:NAN618 NBD447:NBD618 NBT447:NBT618 NCJ447:NCJ618 NCZ447:NCZ618 NDP447:NDP618 NEF447:NEF618 NEV447:NEV618 NFL447:NFL618 NGB447:NGB618 NGR447:NGR618 NHH447:NHH618 NHX447:NHX618 NIN447:NIN618 NJD447:NJD618 NJT447:NJT618 NKJ447:NKJ618 NKZ447:NKZ618 NLP447:NLP618 NMF447:NMF618 NMV447:NMV618 NNL447:NNL618 NOB447:NOB618 NOR447:NOR618 NPH447:NPH618 NPX447:NPX618 NQN447:NQN618 NRD447:NRD618 NRT447:NRT618 NSJ447:NSJ618 NSZ447:NSZ618 NTP447:NTP618 NUF447:NUF618 NUV447:NUV618 NVL447:NVL618 NWB447:NWB618 NWR447:NWR618 NXH447:NXH618 NXX447:NXX618 NYN447:NYN618 NZD447:NZD618 NZT447:NZT618 OAJ447:OAJ618 OAZ447:OAZ618 OBP447:OBP618 OCF447:OCF618 OCV447:OCV618 ODL447:ODL618 OEB447:OEB618 OER447:OER618 OFH447:OFH618 OFX447:OFX618 OGN447:OGN618 OHD447:OHD618 OHT447:OHT618 OIJ447:OIJ618 OIZ447:OIZ618 OJP447:OJP618 OKF447:OKF618 OKV447:OKV618 OLL447:OLL618 OMB447:OMB618 OMR447:OMR618 ONH447:ONH618 ONX447:ONX618 OON447:OON618 OPD447:OPD618 OPT447:OPT618 OQJ447:OQJ618 OQZ447:OQZ618 ORP447:ORP618 OSF447:OSF618 OSV447:OSV618 OTL447:OTL618 OUB447:OUB618 OUR447:OUR618 OVH447:OVH618 OVX447:OVX618 OWN447:OWN618 OXD447:OXD618 OXT447:OXT618 OYJ447:OYJ618 OYZ447:OYZ618 OZP447:OZP618 PAF447:PAF618 PAV447:PAV618 PBL447:PBL618 PCB447:PCB618 PCR447:PCR618 PDH447:PDH618 PDX447:PDX618 PEN447:PEN618 PFD447:PFD618 PFT447:PFT618 PGJ447:PGJ618 PGZ447:PGZ618 PHP447:PHP618 PIF447:PIF618 PIV447:PIV618 PJL447:PJL618 PKB447:PKB618 PKR447:PKR618 PLH447:PLH618 PLX447:PLX618 PMN447:PMN618 PND447:PND618 PNT447:PNT618 POJ447:POJ618 POZ447:POZ618 PPP447:PPP618 PQF447:PQF618 PQV447:PQV618 PRL447:PRL618 PSB447:PSB618 PSR447:PSR618 PTH447:PTH618 PTX447:PTX618 PUN447:PUN618 PVD447:PVD618 PVT447:PVT618 PWJ447:PWJ618 PWZ447:PWZ618 PXP447:PXP618 PYF447:PYF618 PYV447:PYV618 PZL447:PZL618 QAB447:QAB618 QAR447:QAR618 QBH447:QBH618 QBX447:QBX618 QCN447:QCN618 QDD447:QDD618 QDT447:QDT618 QEJ447:QEJ618 QEZ447:QEZ618 QFP447:QFP618 QGF447:QGF618 QGV447:QGV618 QHL447:QHL618 QIB447:QIB618 QIR447:QIR618 QJH447:QJH618 QJX447:QJX618 QKN447:QKN618 QLD447:QLD618 QLT447:QLT618 QMJ447:QMJ618 QMZ447:QMZ618 QNP447:QNP618 QOF447:QOF618 QOV447:QOV618 QPL447:QPL618 QQB447:QQB618 QQR447:QQR618 QRH447:QRH618 QRX447:QRX618 QSN447:QSN618 QTD447:QTD618 QTT447:QTT618 QUJ447:QUJ618 QUZ447:QUZ618 QVP447:QVP618 QWF447:QWF618 QWV447:QWV618 QXL447:QXL618 QYB447:QYB618 QYR447:QYR618 QZH447:QZH618 QZX447:QZX618 RAN447:RAN618 RBD447:RBD618 RBT447:RBT618 RCJ447:RCJ618 RCZ447:RCZ618 RDP447:RDP618 REF447:REF618 REV447:REV618 RFL447:RFL618 RGB447:RGB618 RGR447:RGR618 RHH447:RHH618 RHX447:RHX618 RIN447:RIN618 RJD447:RJD618 RJT447:RJT618 RKJ447:RKJ618 RKZ447:RKZ618 RLP447:RLP618 RMF447:RMF618 RMV447:RMV618 RNL447:RNL618 ROB447:ROB618 ROR447:ROR618 RPH447:RPH618 RPX447:RPX618 RQN447:RQN618 RRD447:RRD618 RRT447:RRT618 RSJ447:RSJ618 RSZ447:RSZ618 RTP447:RTP618 RUF447:RUF618 RUV447:RUV618 RVL447:RVL618 RWB447:RWB618 RWR447:RWR618 RXH447:RXH618 RXX447:RXX618 RYN447:RYN618 RZD447:RZD618 RZT447:RZT618 SAJ447:SAJ618 SAZ447:SAZ618 SBP447:SBP618 SCF447:SCF618 SCV447:SCV618 SDL447:SDL618 SEB447:SEB618 SER447:SER618 SFH447:SFH618 SFX447:SFX618 SGN447:SGN618 SHD447:SHD618 SHT447:SHT618 SIJ447:SIJ618 SIZ447:SIZ618 SJP447:SJP618 SKF447:SKF618 SKV447:SKV618 SLL447:SLL618 SMB447:SMB618 SMR447:SMR618 SNH447:SNH618 SNX447:SNX618 SON447:SON618 SPD447:SPD618 SPT447:SPT618 SQJ447:SQJ618 SQZ447:SQZ618 SRP447:SRP618 SSF447:SSF618 SSV447:SSV618 STL447:STL618 SUB447:SUB618 SUR447:SUR618 SVH447:SVH618 SVX447:SVX618 SWN447:SWN618 SXD447:SXD618 SXT447:SXT618 SYJ447:SYJ618 SYZ447:SYZ618 SZP447:SZP618 TAF447:TAF618 TAV447:TAV618 TBL447:TBL618 TCB447:TCB618 TCR447:TCR618 TDH447:TDH618 TDX447:TDX618 TEN447:TEN618 TFD447:TFD618 TFT447:TFT618 TGJ447:TGJ618 TGZ447:TGZ618 THP447:THP618 TIF447:TIF618 TIV447:TIV618 TJL447:TJL618 TKB447:TKB618 TKR447:TKR618 TLH447:TLH618 TLX447:TLX618 TMN447:TMN618 TND447:TND618 TNT447:TNT618 TOJ447:TOJ618 TOZ447:TOZ618 TPP447:TPP618 TQF447:TQF618 TQV447:TQV618 TRL447:TRL618 TSB447:TSB618 TSR447:TSR618 TTH447:TTH618 TTX447:TTX618 TUN447:TUN618 TVD447:TVD618 TVT447:TVT618 TWJ447:TWJ618 TWZ447:TWZ618 TXP447:TXP618 TYF447:TYF618 TYV447:TYV618 TZL447:TZL618 UAB447:UAB618 UAR447:UAR618 UBH447:UBH618 UBX447:UBX618 UCN447:UCN618 UDD447:UDD618 UDT447:UDT618 UEJ447:UEJ618 UEZ447:UEZ618 UFP447:UFP618 UGF447:UGF618 UGV447:UGV618 UHL447:UHL618 UIB447:UIB618 UIR447:UIR618 UJH447:UJH618 UJX447:UJX618 UKN447:UKN618 ULD447:ULD618 ULT447:ULT618 UMJ447:UMJ618 UMZ447:UMZ618 UNP447:UNP618 UOF447:UOF618 UOV447:UOV618 UPL447:UPL618 UQB447:UQB618 UQR447:UQR618 URH447:URH618 URX447:URX618 USN447:USN618 UTD447:UTD618 UTT447:UTT618 UUJ447:UUJ618 UUZ447:UUZ618 UVP447:UVP618 UWF447:UWF618 UWV447:UWV618 UXL447:UXL618 UYB447:UYB618 UYR447:UYR618 UZH447:UZH618 UZX447:UZX618 VAN447:VAN618 VBD447:VBD618 VBT447:VBT618 VCJ447:VCJ618 VCZ447:VCZ618 VDP447:VDP618 VEF447:VEF618 VEV447:VEV618 VFL447:VFL618 VGB447:VGB618 VGR447:VGR618 VHH447:VHH618 VHX447:VHX618 VIN447:VIN618 VJD447:VJD618 VJT447:VJT618 VKJ447:VKJ618 VKZ447:VKZ618 VLP447:VLP618 VMF447:VMF618 VMV447:VMV618 VNL447:VNL618 VOB447:VOB618 VOR447:VOR618 VPH447:VPH618 VPX447:VPX618 VQN447:VQN618 VRD447:VRD618 VRT447:VRT618 VSJ447:VSJ618 VSZ447:VSZ618 VTP447:VTP618 VUF447:VUF618 VUV447:VUV618 VVL447:VVL618 VWB447:VWB618 VWR447:VWR618 VXH447:VXH618 VXX447:VXX618 VYN447:VYN618 VZD447:VZD618 VZT447:VZT618 WAJ447:WAJ618 WAZ447:WAZ618 WBP447:WBP618 WCF447:WCF618 WCV447:WCV618 WDL447:WDL618 WEB447:WEB618 WER447:WER618 WFH447:WFH618 WFX447:WFX618 WGN447:WGN618 WHD447:WHD618 WHT447:WHT618 WIJ447:WIJ618 WIZ447:WIZ618 WJP447:WJP618 WKF447:WKF618 WKV447:WKV618 WLL447:WLL618 WMB447:WMB618 WMR447:WMR618 WNH447:WNH618 WNX447:WNX618 WON447:WON618 WPD447:WPD618 WPT447:WPT618 WQJ447:WQJ618 WQZ447:WQZ618 WRP447:WRP618 WSF447:WSF618 WSV447:WSV618 WTL447:WTL618 WUB447:WUB618 WUR447:WUR618 WVH447:WVH618 WVX447:WVX618 WWN447:WWN618 WXD447:WXD618 WXT447:WXT618 WYJ447:WYJ618 WYZ447:WYZ618 WZP447:WZP618 XAF447:XAF618 XAV447:XAV618 XBL447:XBL618 XCB447:XCB618 XCR447:XCR618 XDH447:XDH618 XDX447:XDX618 XEN447:XEN618 AF447:AF618 AV447:AV618" xr:uid="{00000000-0002-0000-0500-000008000000}">
      <formula1>#REF!</formula1>
    </dataValidation>
    <dataValidation allowBlank="1" showInputMessage="1" showErrorMessage="1" prompt="Entrez le nom dans cette colonne sous ce titre." sqref="E3:F3" xr:uid="{00000000-0002-0000-0500-000005000000}"/>
  </dataValidations>
  <printOptions horizontalCentered="1"/>
  <pageMargins left="0.23622047244094491" right="0.23622047244094491" top="0.74803149606299213" bottom="0.15748031496062992" header="0.31496062992125984" footer="0.31496062992125984"/>
  <pageSetup paperSize="8" scale="91" orientation="landscape" r:id="rId1"/>
  <headerFooter differentFirst="1" alignWithMargins="0">
    <oddFooter>Page &amp;P of &amp;N</oddFooter>
  </headerFooter>
  <tableParts count="1">
    <tablePart r:id="rId2"/>
  </tableParts>
  <extLst>
    <ext xmlns:x14="http://schemas.microsoft.com/office/spreadsheetml/2009/9/main" uri="{CCE6A557-97BC-4b89-ADB6-D9C93CAAB3DF}">
      <x14:dataValidations xmlns:xm="http://schemas.microsoft.com/office/excel/2006/main" xWindow="125" yWindow="318" count="4">
        <x14:dataValidation type="list" allowBlank="1" showInputMessage="1" showErrorMessage="1" xr:uid="{7EDD0154-1561-45DE-B27E-3B1D8541DDDE}">
          <x14:formula1>
            <xm:f>'Liste déroulante '!$C$3:$C$4</xm:f>
          </x14:formula1>
          <xm:sqref>L40:AA40 AB450:AB459 K483:AA484 K4:AA39 K41:AA471</xm:sqref>
        </x14:dataValidation>
        <x14:dataValidation type="list" allowBlank="1" showInputMessage="1" showErrorMessage="1" xr:uid="{7F4446AB-0025-41E8-9154-B5C05FE4FC98}">
          <x14:formula1>
            <xm:f>'Liste déroulante '!$B$3:$B$7</xm:f>
          </x14:formula1>
          <xm:sqref>J460:J471 J483:J484 J4:J457</xm:sqref>
        </x14:dataValidation>
        <x14:dataValidation type="list" allowBlank="1" showInputMessage="1" showErrorMessage="1" xr:uid="{76E94E97-6C61-478F-BF75-A3C97BAD6DDD}">
          <x14:formula1>
            <xm:f>'Liste déroulante '!$E$3:$E$4</xm:f>
          </x14:formula1>
          <xm:sqref>AB460:AB471 AB483:AB484 AB4:AB449</xm:sqref>
        </x14:dataValidation>
        <x14:dataValidation type="list" allowBlank="1" showInputMessage="1" showErrorMessage="1" xr:uid="{8C280180-BFCC-412D-96BE-6CFC1F7B97C3}">
          <x14:formula1>
            <xm:f>'Liste déroulante '!$F$3:$F$14</xm:f>
          </x14:formula1>
          <xm:sqref>E4:E42 E65:E449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theme="2" tint="-0.499984740745262"/>
  </sheetPr>
  <dimension ref="B1:K110"/>
  <sheetViews>
    <sheetView workbookViewId="0">
      <selection activeCell="G6" sqref="G6:G14"/>
    </sheetView>
  </sheetViews>
  <sheetFormatPr baseColWidth="10" defaultColWidth="11.42578125" defaultRowHeight="15" x14ac:dyDescent="0.25"/>
  <cols>
    <col min="1" max="1" width="1.42578125" customWidth="1"/>
    <col min="3" max="3" width="24.5703125" customWidth="1"/>
    <col min="5" max="5" width="22.42578125" customWidth="1"/>
    <col min="6" max="6" width="22" customWidth="1"/>
    <col min="7" max="7" width="19.5703125" customWidth="1"/>
    <col min="8" max="9" width="9.42578125" customWidth="1"/>
    <col min="10" max="10" width="20.5703125" customWidth="1"/>
    <col min="11" max="11" width="50.7109375" customWidth="1"/>
  </cols>
  <sheetData>
    <row r="1" spans="2:11" ht="37.5" customHeight="1" x14ac:dyDescent="0.25">
      <c r="B1" s="558" t="s">
        <v>1456</v>
      </c>
      <c r="C1" s="558"/>
      <c r="D1" s="558"/>
      <c r="E1" s="558"/>
      <c r="F1" s="558"/>
      <c r="G1" s="558"/>
      <c r="H1" s="558"/>
      <c r="I1" s="558"/>
      <c r="J1" s="558"/>
      <c r="K1" s="558"/>
    </row>
    <row r="2" spans="2:11" ht="30.75" thickBot="1" x14ac:dyDescent="0.3">
      <c r="B2" s="8" t="s">
        <v>2</v>
      </c>
      <c r="C2" s="8" t="s">
        <v>1457</v>
      </c>
      <c r="D2" s="8" t="s">
        <v>7</v>
      </c>
      <c r="E2" s="8" t="s">
        <v>1458</v>
      </c>
      <c r="F2" s="8" t="s">
        <v>1459</v>
      </c>
      <c r="G2" s="8" t="s">
        <v>1460</v>
      </c>
      <c r="H2" s="8" t="s">
        <v>1461</v>
      </c>
      <c r="I2" s="8" t="s">
        <v>1462</v>
      </c>
      <c r="J2" s="8" t="s">
        <v>1463</v>
      </c>
      <c r="K2" s="8" t="s">
        <v>1464</v>
      </c>
    </row>
    <row r="3" spans="2:11" ht="15.75" hidden="1" thickTop="1" x14ac:dyDescent="0.25">
      <c r="B3" s="35">
        <v>45715</v>
      </c>
      <c r="C3" s="6" t="s">
        <v>43</v>
      </c>
      <c r="D3" s="6" t="s">
        <v>35</v>
      </c>
      <c r="E3" s="7" t="s">
        <v>1465</v>
      </c>
      <c r="F3" s="6" t="s">
        <v>1466</v>
      </c>
      <c r="G3" s="6">
        <v>17</v>
      </c>
      <c r="H3" s="6">
        <v>17</v>
      </c>
      <c r="I3" s="6">
        <v>0</v>
      </c>
      <c r="J3" s="6"/>
      <c r="K3" s="7" t="s">
        <v>1467</v>
      </c>
    </row>
    <row r="4" spans="2:11" ht="15.75" hidden="1" thickTop="1" x14ac:dyDescent="0.25">
      <c r="B4" s="35">
        <v>45756</v>
      </c>
      <c r="C4" s="6" t="s">
        <v>43</v>
      </c>
      <c r="D4" s="6" t="s">
        <v>35</v>
      </c>
      <c r="E4" s="7" t="s">
        <v>1465</v>
      </c>
      <c r="F4" s="6" t="s">
        <v>1466</v>
      </c>
      <c r="G4" s="6">
        <v>5</v>
      </c>
      <c r="H4" s="6">
        <v>4</v>
      </c>
      <c r="I4" s="6">
        <v>1</v>
      </c>
      <c r="J4" s="6" t="s">
        <v>1468</v>
      </c>
      <c r="K4" s="7" t="s">
        <v>1469</v>
      </c>
    </row>
    <row r="5" spans="2:11" ht="30.75" hidden="1" thickTop="1" x14ac:dyDescent="0.25">
      <c r="B5" s="35">
        <v>45800</v>
      </c>
      <c r="C5" s="6" t="s">
        <v>103</v>
      </c>
      <c r="D5" s="6" t="s">
        <v>35</v>
      </c>
      <c r="E5" s="7" t="s">
        <v>1470</v>
      </c>
      <c r="F5" s="6" t="s">
        <v>1471</v>
      </c>
      <c r="G5" s="6">
        <v>6</v>
      </c>
      <c r="H5" s="6">
        <v>4</v>
      </c>
      <c r="I5" s="6">
        <v>2</v>
      </c>
      <c r="J5" s="6" t="s">
        <v>1472</v>
      </c>
      <c r="K5" s="7" t="s">
        <v>1473</v>
      </c>
    </row>
    <row r="6" spans="2:11" ht="15.75" hidden="1" thickTop="1" x14ac:dyDescent="0.25">
      <c r="B6" s="35">
        <v>45818</v>
      </c>
      <c r="C6" s="6" t="s">
        <v>762</v>
      </c>
      <c r="D6" s="6" t="s">
        <v>124</v>
      </c>
      <c r="E6" s="6" t="s">
        <v>1474</v>
      </c>
      <c r="F6" s="6" t="s">
        <v>1471</v>
      </c>
      <c r="G6" s="6">
        <v>6</v>
      </c>
      <c r="H6" s="6">
        <v>6</v>
      </c>
      <c r="I6" s="6">
        <v>0</v>
      </c>
      <c r="J6" s="6"/>
      <c r="K6" s="6" t="s">
        <v>1475</v>
      </c>
    </row>
    <row r="7" spans="2:11" ht="30.75" hidden="1" thickTop="1" x14ac:dyDescent="0.25">
      <c r="B7" s="35">
        <v>45821</v>
      </c>
      <c r="C7" s="6" t="s">
        <v>1476</v>
      </c>
      <c r="D7" s="6" t="s">
        <v>124</v>
      </c>
      <c r="E7" s="7" t="s">
        <v>1470</v>
      </c>
      <c r="F7" s="6" t="s">
        <v>1471</v>
      </c>
      <c r="G7" s="6">
        <v>6</v>
      </c>
      <c r="H7" s="6">
        <v>6</v>
      </c>
      <c r="I7" s="6">
        <v>0</v>
      </c>
      <c r="J7" s="6"/>
      <c r="K7" s="6"/>
    </row>
    <row r="8" spans="2:11" ht="30.75" hidden="1" thickTop="1" x14ac:dyDescent="0.25">
      <c r="B8" s="35">
        <v>45831</v>
      </c>
      <c r="C8" s="6" t="s">
        <v>171</v>
      </c>
      <c r="D8" s="6" t="s">
        <v>124</v>
      </c>
      <c r="E8" s="7" t="s">
        <v>1465</v>
      </c>
      <c r="F8" s="6" t="s">
        <v>1471</v>
      </c>
      <c r="G8" s="6">
        <v>4</v>
      </c>
      <c r="H8" s="6">
        <v>3</v>
      </c>
      <c r="I8" s="6">
        <v>0</v>
      </c>
      <c r="J8" s="7" t="s">
        <v>1477</v>
      </c>
      <c r="K8" s="7" t="s">
        <v>1478</v>
      </c>
    </row>
    <row r="9" spans="2:11" ht="15.75" hidden="1" thickTop="1" x14ac:dyDescent="0.25">
      <c r="B9" s="35">
        <v>45835</v>
      </c>
      <c r="C9" s="6" t="s">
        <v>1479</v>
      </c>
      <c r="D9" s="6" t="s">
        <v>1117</v>
      </c>
      <c r="E9" s="7" t="s">
        <v>1474</v>
      </c>
      <c r="F9" s="6" t="s">
        <v>1466</v>
      </c>
      <c r="G9" s="6">
        <v>1</v>
      </c>
      <c r="H9" s="6">
        <v>0</v>
      </c>
      <c r="I9" s="6">
        <v>1</v>
      </c>
      <c r="J9" s="7" t="s">
        <v>1468</v>
      </c>
      <c r="K9" s="7" t="s">
        <v>1480</v>
      </c>
    </row>
    <row r="10" spans="2:11" ht="15.75" hidden="1" thickTop="1" x14ac:dyDescent="0.25">
      <c r="B10" s="35">
        <v>45839</v>
      </c>
      <c r="C10" s="6" t="s">
        <v>59</v>
      </c>
      <c r="D10" s="6" t="s">
        <v>668</v>
      </c>
      <c r="E10" s="7" t="s">
        <v>1481</v>
      </c>
      <c r="F10" s="6" t="s">
        <v>1471</v>
      </c>
      <c r="G10" s="6">
        <v>12</v>
      </c>
      <c r="H10" s="6">
        <v>12</v>
      </c>
      <c r="I10" s="6">
        <v>0</v>
      </c>
      <c r="J10" s="6"/>
      <c r="K10" s="6"/>
    </row>
    <row r="11" spans="2:11" ht="45.75" hidden="1" thickTop="1" x14ac:dyDescent="0.25">
      <c r="B11" s="35">
        <v>45839</v>
      </c>
      <c r="C11" s="6" t="s">
        <v>113</v>
      </c>
      <c r="D11" s="6" t="s">
        <v>668</v>
      </c>
      <c r="E11" s="7" t="s">
        <v>1482</v>
      </c>
      <c r="F11" s="6" t="s">
        <v>1471</v>
      </c>
      <c r="G11" s="6">
        <v>14</v>
      </c>
      <c r="H11" s="6">
        <v>14</v>
      </c>
      <c r="I11" s="6">
        <v>0</v>
      </c>
      <c r="J11" s="6"/>
      <c r="K11" s="7" t="s">
        <v>1483</v>
      </c>
    </row>
    <row r="12" spans="2:11" s="40" customFormat="1" ht="15.75" hidden="1" thickTop="1" x14ac:dyDescent="0.25">
      <c r="B12" s="207">
        <v>45845</v>
      </c>
      <c r="C12" s="40" t="s">
        <v>59</v>
      </c>
      <c r="D12" s="40" t="s">
        <v>668</v>
      </c>
      <c r="E12" s="40" t="s">
        <v>1481</v>
      </c>
      <c r="F12" s="6" t="s">
        <v>1471</v>
      </c>
      <c r="G12" s="40">
        <v>16</v>
      </c>
      <c r="H12" s="40">
        <v>16</v>
      </c>
      <c r="I12" s="40">
        <v>0</v>
      </c>
    </row>
    <row r="13" spans="2:11" s="40" customFormat="1" ht="33" hidden="1" customHeight="1" x14ac:dyDescent="0.25">
      <c r="B13" s="35">
        <v>45845</v>
      </c>
      <c r="C13" s="6" t="s">
        <v>113</v>
      </c>
      <c r="D13" s="6" t="s">
        <v>668</v>
      </c>
      <c r="E13" s="7" t="s">
        <v>1482</v>
      </c>
      <c r="F13" s="6" t="s">
        <v>1471</v>
      </c>
      <c r="G13" s="40">
        <v>1</v>
      </c>
      <c r="H13" s="40">
        <v>1</v>
      </c>
      <c r="I13" s="40">
        <v>0</v>
      </c>
      <c r="K13" s="7" t="s">
        <v>1484</v>
      </c>
    </row>
    <row r="14" spans="2:11" s="6" customFormat="1" ht="24.75" hidden="1" customHeight="1" x14ac:dyDescent="0.25">
      <c r="B14" s="35">
        <v>45845</v>
      </c>
      <c r="C14" s="6" t="s">
        <v>171</v>
      </c>
      <c r="D14" s="6" t="s">
        <v>124</v>
      </c>
      <c r="E14" s="7" t="s">
        <v>1465</v>
      </c>
      <c r="F14" s="6" t="s">
        <v>1485</v>
      </c>
      <c r="G14" s="6">
        <v>2</v>
      </c>
      <c r="H14" s="6">
        <v>1</v>
      </c>
      <c r="I14" s="6">
        <v>1</v>
      </c>
      <c r="J14" s="6" t="s">
        <v>1486</v>
      </c>
      <c r="K14" s="7" t="s">
        <v>1487</v>
      </c>
    </row>
    <row r="15" spans="2:11" ht="15.75" hidden="1" thickTop="1" x14ac:dyDescent="0.25">
      <c r="B15" s="35">
        <v>45845</v>
      </c>
      <c r="C15" s="6" t="s">
        <v>1351</v>
      </c>
      <c r="D15" s="6" t="s">
        <v>1488</v>
      </c>
      <c r="E15" s="7" t="s">
        <v>1474</v>
      </c>
      <c r="F15" s="6" t="s">
        <v>1485</v>
      </c>
      <c r="G15" s="6">
        <v>1</v>
      </c>
      <c r="H15" s="6">
        <v>1</v>
      </c>
      <c r="I15" s="6">
        <v>0</v>
      </c>
      <c r="J15" s="6"/>
      <c r="K15" s="7" t="s">
        <v>1489</v>
      </c>
    </row>
    <row r="16" spans="2:11" s="446" customFormat="1" ht="35.25" hidden="1" customHeight="1" x14ac:dyDescent="0.25">
      <c r="B16" s="35">
        <v>45867</v>
      </c>
      <c r="C16" s="6" t="s">
        <v>59</v>
      </c>
      <c r="D16" s="6" t="s">
        <v>668</v>
      </c>
      <c r="E16" s="7" t="s">
        <v>1490</v>
      </c>
      <c r="F16" s="6" t="s">
        <v>1466</v>
      </c>
      <c r="G16" s="6">
        <v>15</v>
      </c>
      <c r="H16" s="6">
        <v>15</v>
      </c>
      <c r="I16" s="6">
        <v>0</v>
      </c>
      <c r="J16" s="6"/>
      <c r="K16" s="446" t="s">
        <v>1491</v>
      </c>
    </row>
    <row r="17" spans="2:11" s="446" customFormat="1" ht="30.75" hidden="1" thickTop="1" x14ac:dyDescent="0.25">
      <c r="B17" s="35">
        <v>45867</v>
      </c>
      <c r="C17" s="6" t="s">
        <v>59</v>
      </c>
      <c r="D17" s="6" t="s">
        <v>668</v>
      </c>
      <c r="E17" s="7" t="s">
        <v>1490</v>
      </c>
      <c r="F17" s="6" t="s">
        <v>1471</v>
      </c>
      <c r="G17" s="6">
        <v>9</v>
      </c>
      <c r="H17" s="6">
        <v>9</v>
      </c>
      <c r="I17" s="6">
        <v>0</v>
      </c>
      <c r="J17" s="6"/>
      <c r="K17" s="446" t="s">
        <v>1492</v>
      </c>
    </row>
    <row r="18" spans="2:11" s="446" customFormat="1" ht="15.75" hidden="1" thickTop="1" x14ac:dyDescent="0.25">
      <c r="B18" s="35">
        <v>45918</v>
      </c>
      <c r="C18" s="6" t="s">
        <v>1493</v>
      </c>
      <c r="D18" s="6" t="s">
        <v>148</v>
      </c>
      <c r="E18" s="7" t="s">
        <v>1465</v>
      </c>
      <c r="F18" s="6" t="s">
        <v>1471</v>
      </c>
      <c r="G18" s="6">
        <v>11</v>
      </c>
      <c r="H18" s="6">
        <v>11</v>
      </c>
      <c r="I18" s="6">
        <v>0</v>
      </c>
      <c r="J18" s="6"/>
      <c r="K18" s="7"/>
    </row>
    <row r="19" spans="2:11" s="446" customFormat="1" ht="30.75" hidden="1" thickTop="1" x14ac:dyDescent="0.25">
      <c r="B19" s="35">
        <v>45930</v>
      </c>
      <c r="C19" s="6" t="s">
        <v>180</v>
      </c>
      <c r="D19" s="6" t="s">
        <v>1494</v>
      </c>
      <c r="E19" s="7" t="s">
        <v>1495</v>
      </c>
      <c r="F19" s="6" t="s">
        <v>1471</v>
      </c>
      <c r="G19" s="6">
        <v>9</v>
      </c>
      <c r="H19" s="6">
        <v>9</v>
      </c>
      <c r="I19" s="6">
        <v>0</v>
      </c>
      <c r="J19" s="6"/>
      <c r="K19" s="446" t="s">
        <v>1496</v>
      </c>
    </row>
    <row r="20" spans="2:11" s="446" customFormat="1" ht="30.75" hidden="1" thickTop="1" x14ac:dyDescent="0.25">
      <c r="B20" s="35">
        <v>45937</v>
      </c>
      <c r="C20" s="6" t="s">
        <v>43</v>
      </c>
      <c r="D20" s="6" t="s">
        <v>35</v>
      </c>
      <c r="E20" s="7" t="s">
        <v>1497</v>
      </c>
      <c r="F20" s="6" t="s">
        <v>1471</v>
      </c>
      <c r="G20" s="6">
        <v>10</v>
      </c>
      <c r="H20" s="6">
        <v>10</v>
      </c>
      <c r="I20" s="6">
        <v>0</v>
      </c>
      <c r="J20" s="6"/>
    </row>
    <row r="21" spans="2:11" s="446" customFormat="1" ht="30.75" hidden="1" thickTop="1" x14ac:dyDescent="0.25">
      <c r="B21" s="35">
        <v>45937</v>
      </c>
      <c r="C21" s="6" t="s">
        <v>43</v>
      </c>
      <c r="D21" s="6" t="s">
        <v>35</v>
      </c>
      <c r="E21" s="7" t="s">
        <v>1497</v>
      </c>
      <c r="F21" s="6" t="s">
        <v>1471</v>
      </c>
      <c r="G21" s="6">
        <v>5</v>
      </c>
      <c r="H21" s="6">
        <v>5</v>
      </c>
      <c r="I21" s="6">
        <v>0</v>
      </c>
      <c r="J21" s="6"/>
    </row>
    <row r="22" spans="2:11" ht="30.75" hidden="1" thickTop="1" x14ac:dyDescent="0.25">
      <c r="B22" s="35">
        <v>45960</v>
      </c>
      <c r="C22" s="6" t="s">
        <v>1025</v>
      </c>
      <c r="D22" s="6" t="s">
        <v>1488</v>
      </c>
      <c r="E22" s="7" t="s">
        <v>1495</v>
      </c>
      <c r="F22" s="6" t="s">
        <v>1471</v>
      </c>
      <c r="G22" s="6">
        <v>6</v>
      </c>
      <c r="H22" s="6">
        <v>6</v>
      </c>
      <c r="I22" s="6">
        <v>0</v>
      </c>
      <c r="J22" s="40"/>
      <c r="K22" s="40"/>
    </row>
    <row r="23" spans="2:11" s="446" customFormat="1" ht="24" hidden="1" customHeight="1" x14ac:dyDescent="0.25">
      <c r="B23" s="483">
        <v>45987</v>
      </c>
      <c r="C23" s="6" t="s">
        <v>1498</v>
      </c>
      <c r="D23" s="6" t="s">
        <v>1210</v>
      </c>
      <c r="E23" s="6" t="s">
        <v>1482</v>
      </c>
      <c r="F23" s="6" t="s">
        <v>1471</v>
      </c>
      <c r="G23" s="6">
        <v>6</v>
      </c>
      <c r="H23" s="6">
        <v>6</v>
      </c>
      <c r="I23" s="6">
        <v>0</v>
      </c>
    </row>
    <row r="24" spans="2:11" s="446" customFormat="1" ht="30.75" thickTop="1" x14ac:dyDescent="0.25">
      <c r="B24" s="483">
        <v>45989</v>
      </c>
      <c r="C24" s="6" t="s">
        <v>186</v>
      </c>
      <c r="D24" s="6" t="s">
        <v>51</v>
      </c>
      <c r="E24" s="6" t="s">
        <v>1499</v>
      </c>
      <c r="F24" s="6" t="s">
        <v>1471</v>
      </c>
      <c r="G24" s="6">
        <v>15</v>
      </c>
      <c r="H24" s="6">
        <v>14</v>
      </c>
      <c r="I24" s="6">
        <v>1</v>
      </c>
      <c r="J24" s="6" t="s">
        <v>1486</v>
      </c>
      <c r="K24" s="306" t="s">
        <v>1689</v>
      </c>
    </row>
    <row r="25" spans="2:11" ht="26.25" hidden="1" customHeight="1" x14ac:dyDescent="0.25">
      <c r="B25" s="508">
        <v>46001</v>
      </c>
      <c r="C25" s="6" t="s">
        <v>1043</v>
      </c>
      <c r="D25" s="6" t="s">
        <v>1210</v>
      </c>
      <c r="E25" s="6" t="s">
        <v>1482</v>
      </c>
      <c r="F25" s="6" t="s">
        <v>1471</v>
      </c>
      <c r="G25" s="6">
        <v>9</v>
      </c>
      <c r="H25" s="6">
        <v>9</v>
      </c>
      <c r="I25" s="6">
        <v>0</v>
      </c>
    </row>
    <row r="26" spans="2:11" ht="21" hidden="1" customHeight="1" x14ac:dyDescent="0.25">
      <c r="B26" s="483">
        <v>46007</v>
      </c>
      <c r="C26" s="6" t="s">
        <v>160</v>
      </c>
      <c r="D26" s="6" t="s">
        <v>668</v>
      </c>
      <c r="E26" s="6" t="s">
        <v>1482</v>
      </c>
      <c r="F26" s="6" t="s">
        <v>1471</v>
      </c>
      <c r="G26" s="6">
        <v>9</v>
      </c>
      <c r="H26" s="6">
        <v>9</v>
      </c>
      <c r="I26" s="6">
        <v>0</v>
      </c>
    </row>
    <row r="27" spans="2:11" hidden="1" x14ac:dyDescent="0.25"/>
    <row r="28" spans="2:11" hidden="1" x14ac:dyDescent="0.25"/>
    <row r="29" spans="2:11" hidden="1" x14ac:dyDescent="0.25"/>
    <row r="30" spans="2:11" hidden="1" x14ac:dyDescent="0.25"/>
    <row r="31" spans="2:11" hidden="1" x14ac:dyDescent="0.25"/>
    <row r="32" spans="2:1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sheetData>
  <mergeCells count="1">
    <mergeCell ref="B1:K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20A6E28-A9CF-4ACB-B8A5-66F704EFE8DF}">
          <x14:formula1>
            <xm:f>'Liste déroulante '!$X$3:$X$5</xm:f>
          </x14:formula1>
          <xm:sqref>F3:F110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rgb="FFFF3399"/>
  </sheetPr>
  <dimension ref="B1:K21"/>
  <sheetViews>
    <sheetView zoomScale="71" zoomScaleNormal="85" workbookViewId="0">
      <selection activeCell="G3" sqref="G3:G14"/>
    </sheetView>
  </sheetViews>
  <sheetFormatPr baseColWidth="10" defaultColWidth="11.42578125" defaultRowHeight="15" x14ac:dyDescent="0.25"/>
  <cols>
    <col min="1" max="1" width="5" style="6" customWidth="1"/>
    <col min="2" max="2" width="14.7109375" style="6" bestFit="1" customWidth="1"/>
    <col min="3" max="3" width="25.42578125" style="6" customWidth="1"/>
    <col min="4" max="4" width="15.5703125" style="6" customWidth="1"/>
    <col min="5" max="5" width="18.5703125" style="6" customWidth="1"/>
    <col min="6" max="6" width="14" style="6" customWidth="1"/>
    <col min="7" max="7" width="61.5703125" style="6" customWidth="1"/>
    <col min="8" max="8" width="41" style="6" customWidth="1"/>
    <col min="9" max="11" width="22" style="6" customWidth="1"/>
    <col min="12" max="16384" width="11.42578125" style="6"/>
  </cols>
  <sheetData>
    <row r="1" spans="2:11" s="79" customFormat="1" ht="28.5" customHeight="1" x14ac:dyDescent="0.25">
      <c r="B1" s="570" t="s">
        <v>1500</v>
      </c>
      <c r="C1" s="571"/>
      <c r="D1" s="571"/>
      <c r="E1" s="571"/>
      <c r="F1" s="571"/>
      <c r="G1" s="571"/>
      <c r="H1" s="571"/>
      <c r="I1" s="571"/>
      <c r="J1" s="571"/>
      <c r="K1" s="572"/>
    </row>
    <row r="2" spans="2:11" ht="15.75" x14ac:dyDescent="0.25">
      <c r="B2" s="82" t="s">
        <v>7</v>
      </c>
      <c r="C2" s="81" t="s">
        <v>1501</v>
      </c>
      <c r="D2" s="81" t="s">
        <v>2</v>
      </c>
      <c r="E2" s="81" t="s">
        <v>1502</v>
      </c>
      <c r="F2" s="81" t="s">
        <v>6</v>
      </c>
      <c r="G2" s="81" t="s">
        <v>1503</v>
      </c>
      <c r="H2" s="81" t="s">
        <v>1504</v>
      </c>
      <c r="I2" s="84" t="s">
        <v>1505</v>
      </c>
      <c r="J2" s="84" t="s">
        <v>1506</v>
      </c>
      <c r="K2" s="84" t="s">
        <v>1507</v>
      </c>
    </row>
    <row r="3" spans="2:11" ht="105" x14ac:dyDescent="0.25">
      <c r="B3" s="119" t="s">
        <v>60</v>
      </c>
      <c r="C3" s="108" t="s">
        <v>1508</v>
      </c>
      <c r="D3" s="120">
        <v>45666</v>
      </c>
      <c r="E3" s="120" t="s">
        <v>1509</v>
      </c>
      <c r="F3" s="108" t="s">
        <v>1510</v>
      </c>
      <c r="G3" s="108" t="s">
        <v>1511</v>
      </c>
      <c r="H3" s="306" t="s">
        <v>1512</v>
      </c>
      <c r="I3" s="121" t="s">
        <v>1513</v>
      </c>
      <c r="J3" s="121" t="s">
        <v>39</v>
      </c>
      <c r="K3" s="122">
        <v>45667</v>
      </c>
    </row>
    <row r="4" spans="2:11" s="7" customFormat="1" ht="52.35" customHeight="1" x14ac:dyDescent="0.25">
      <c r="B4" s="83" t="s">
        <v>35</v>
      </c>
      <c r="C4" s="108" t="s">
        <v>1514</v>
      </c>
      <c r="D4" s="88">
        <v>45685</v>
      </c>
      <c r="E4" s="120" t="s">
        <v>1515</v>
      </c>
      <c r="F4" s="80" t="s">
        <v>43</v>
      </c>
      <c r="G4" s="108" t="s">
        <v>1516</v>
      </c>
      <c r="H4" s="108" t="s">
        <v>1517</v>
      </c>
      <c r="I4" s="121" t="s">
        <v>1518</v>
      </c>
      <c r="J4" s="75" t="s">
        <v>39</v>
      </c>
      <c r="K4" s="111">
        <v>45685</v>
      </c>
    </row>
    <row r="5" spans="2:11" s="7" customFormat="1" ht="71.099999999999994" customHeight="1" x14ac:dyDescent="0.25">
      <c r="B5" s="83" t="s">
        <v>35</v>
      </c>
      <c r="C5" s="108" t="s">
        <v>1519</v>
      </c>
      <c r="D5" s="120">
        <v>45685</v>
      </c>
      <c r="E5" s="7" t="s">
        <v>1515</v>
      </c>
      <c r="F5" s="108" t="s">
        <v>43</v>
      </c>
      <c r="G5" s="120" t="s">
        <v>1520</v>
      </c>
      <c r="H5" s="216" t="s">
        <v>1521</v>
      </c>
      <c r="I5" s="121" t="s">
        <v>1518</v>
      </c>
      <c r="J5" s="122" t="s">
        <v>39</v>
      </c>
      <c r="K5" s="122">
        <v>45685</v>
      </c>
    </row>
    <row r="6" spans="2:11" ht="52.35" customHeight="1" x14ac:dyDescent="0.25">
      <c r="B6" s="83" t="s">
        <v>35</v>
      </c>
      <c r="C6" s="108" t="s">
        <v>1514</v>
      </c>
      <c r="D6" s="88">
        <v>45742</v>
      </c>
      <c r="E6" s="88" t="s">
        <v>1522</v>
      </c>
      <c r="F6" s="80" t="s">
        <v>1523</v>
      </c>
      <c r="G6" s="108" t="s">
        <v>1524</v>
      </c>
      <c r="H6" s="108" t="s">
        <v>1525</v>
      </c>
      <c r="I6" s="75" t="s">
        <v>1526</v>
      </c>
      <c r="J6" s="75" t="s">
        <v>39</v>
      </c>
      <c r="K6" s="111">
        <v>45742</v>
      </c>
    </row>
    <row r="7" spans="2:11" s="7" customFormat="1" ht="52.35" customHeight="1" x14ac:dyDescent="0.25">
      <c r="B7" s="119" t="s">
        <v>35</v>
      </c>
      <c r="C7" s="108" t="s">
        <v>1514</v>
      </c>
      <c r="D7" s="120">
        <v>45743</v>
      </c>
      <c r="E7" s="120" t="s">
        <v>1527</v>
      </c>
      <c r="F7" s="108" t="s">
        <v>43</v>
      </c>
      <c r="G7" s="108" t="s">
        <v>1528</v>
      </c>
      <c r="H7" s="108" t="s">
        <v>1529</v>
      </c>
      <c r="I7" s="121" t="s">
        <v>1530</v>
      </c>
      <c r="J7" s="75" t="s">
        <v>39</v>
      </c>
      <c r="K7" s="122">
        <v>45756</v>
      </c>
    </row>
    <row r="8" spans="2:11" s="7" customFormat="1" ht="52.35" customHeight="1" x14ac:dyDescent="0.25">
      <c r="B8" s="119" t="s">
        <v>60</v>
      </c>
      <c r="C8" s="108" t="s">
        <v>1514</v>
      </c>
      <c r="D8" s="120">
        <v>45747</v>
      </c>
      <c r="E8" s="120" t="s">
        <v>1531</v>
      </c>
      <c r="F8" s="108" t="s">
        <v>59</v>
      </c>
      <c r="G8" s="108" t="s">
        <v>1532</v>
      </c>
      <c r="H8" s="108" t="s">
        <v>1533</v>
      </c>
      <c r="I8" s="121" t="s">
        <v>1232</v>
      </c>
      <c r="J8" s="121" t="s">
        <v>39</v>
      </c>
      <c r="K8" s="122">
        <v>45757</v>
      </c>
    </row>
    <row r="9" spans="2:11" ht="90" x14ac:dyDescent="0.25">
      <c r="B9" s="119" t="s">
        <v>60</v>
      </c>
      <c r="C9" s="108" t="s">
        <v>1519</v>
      </c>
      <c r="D9" s="120">
        <v>45799</v>
      </c>
      <c r="E9" s="120" t="s">
        <v>1531</v>
      </c>
      <c r="F9" s="108" t="s">
        <v>962</v>
      </c>
      <c r="G9" s="108" t="s">
        <v>1534</v>
      </c>
      <c r="H9" s="108" t="s">
        <v>1718</v>
      </c>
      <c r="I9" s="121" t="s">
        <v>1535</v>
      </c>
      <c r="J9" s="121" t="s">
        <v>39</v>
      </c>
      <c r="K9" s="122">
        <v>45853</v>
      </c>
    </row>
    <row r="10" spans="2:11" ht="75" x14ac:dyDescent="0.25">
      <c r="B10" s="119" t="s">
        <v>60</v>
      </c>
      <c r="C10" s="108" t="s">
        <v>1536</v>
      </c>
      <c r="D10" s="120">
        <v>45799</v>
      </c>
      <c r="E10" s="120" t="s">
        <v>1537</v>
      </c>
      <c r="F10" s="108" t="s">
        <v>59</v>
      </c>
      <c r="G10" s="108" t="s">
        <v>1538</v>
      </c>
      <c r="H10" s="108" t="s">
        <v>1539</v>
      </c>
      <c r="I10" s="121" t="s">
        <v>1535</v>
      </c>
      <c r="J10" s="121" t="s">
        <v>39</v>
      </c>
      <c r="K10" s="122">
        <v>45799</v>
      </c>
    </row>
    <row r="11" spans="2:11" ht="52.35" customHeight="1" x14ac:dyDescent="0.25">
      <c r="B11" s="119" t="s">
        <v>86</v>
      </c>
      <c r="C11" s="108" t="s">
        <v>1519</v>
      </c>
      <c r="D11" s="120">
        <v>45846</v>
      </c>
      <c r="E11" s="120" t="s">
        <v>1527</v>
      </c>
      <c r="F11" s="108" t="s">
        <v>156</v>
      </c>
      <c r="G11" s="108" t="s">
        <v>1540</v>
      </c>
      <c r="H11" s="108" t="s">
        <v>1541</v>
      </c>
      <c r="I11" s="121" t="s">
        <v>1542</v>
      </c>
      <c r="J11" s="121" t="s">
        <v>39</v>
      </c>
      <c r="K11" s="122">
        <v>45856</v>
      </c>
    </row>
    <row r="12" spans="2:11" s="7" customFormat="1" ht="60" x14ac:dyDescent="0.25">
      <c r="B12" s="83" t="s">
        <v>35</v>
      </c>
      <c r="C12" s="108" t="s">
        <v>1514</v>
      </c>
      <c r="D12" s="88">
        <v>45897</v>
      </c>
      <c r="E12" s="108" t="s">
        <v>1543</v>
      </c>
      <c r="F12" s="80" t="s">
        <v>1544</v>
      </c>
      <c r="G12" s="108" t="s">
        <v>1545</v>
      </c>
      <c r="H12" s="108" t="s">
        <v>1546</v>
      </c>
      <c r="I12" s="75" t="s">
        <v>1547</v>
      </c>
      <c r="J12" s="75" t="s">
        <v>39</v>
      </c>
      <c r="K12" s="111">
        <v>45897</v>
      </c>
    </row>
    <row r="13" spans="2:11" s="7" customFormat="1" ht="60" x14ac:dyDescent="0.25">
      <c r="B13" s="83" t="s">
        <v>35</v>
      </c>
      <c r="C13" s="108" t="s">
        <v>1508</v>
      </c>
      <c r="D13" s="88">
        <v>45910</v>
      </c>
      <c r="E13" s="108" t="s">
        <v>1522</v>
      </c>
      <c r="F13" s="80" t="s">
        <v>660</v>
      </c>
      <c r="G13" s="108" t="s">
        <v>1715</v>
      </c>
      <c r="H13" s="108" t="s">
        <v>1717</v>
      </c>
      <c r="I13" s="75" t="s">
        <v>1716</v>
      </c>
      <c r="J13" s="75" t="s">
        <v>48</v>
      </c>
      <c r="K13" s="111"/>
    </row>
    <row r="14" spans="2:11" s="7" customFormat="1" ht="52.35" customHeight="1" x14ac:dyDescent="0.25">
      <c r="B14" s="119" t="s">
        <v>112</v>
      </c>
      <c r="C14" s="108" t="s">
        <v>1548</v>
      </c>
      <c r="D14" s="120">
        <v>45918</v>
      </c>
      <c r="E14" s="108" t="s">
        <v>1543</v>
      </c>
      <c r="F14" s="108" t="s">
        <v>1549</v>
      </c>
      <c r="G14" s="108" t="s">
        <v>1550</v>
      </c>
      <c r="H14" s="108" t="s">
        <v>1551</v>
      </c>
      <c r="I14" s="121" t="s">
        <v>1552</v>
      </c>
      <c r="J14" s="121" t="s">
        <v>48</v>
      </c>
      <c r="K14" s="122"/>
    </row>
    <row r="15" spans="2:11" s="7" customFormat="1" ht="52.35" customHeight="1" x14ac:dyDescent="0.25">
      <c r="B15" s="83" t="s">
        <v>112</v>
      </c>
      <c r="C15" s="108" t="s">
        <v>1548</v>
      </c>
      <c r="D15" s="88">
        <v>45939</v>
      </c>
      <c r="E15" s="80" t="s">
        <v>1531</v>
      </c>
      <c r="F15" s="80" t="s">
        <v>113</v>
      </c>
      <c r="G15" s="108" t="s">
        <v>1553</v>
      </c>
      <c r="H15" s="108" t="s">
        <v>1554</v>
      </c>
      <c r="I15" s="75" t="s">
        <v>1555</v>
      </c>
      <c r="J15" s="75" t="s">
        <v>39</v>
      </c>
      <c r="K15" s="111">
        <v>45946</v>
      </c>
    </row>
    <row r="16" spans="2:11" s="7" customFormat="1" ht="52.35" customHeight="1" x14ac:dyDescent="0.25">
      <c r="B16" s="119"/>
      <c r="C16" s="108"/>
      <c r="D16" s="120"/>
      <c r="E16" s="108"/>
      <c r="F16" s="108"/>
      <c r="G16" s="108"/>
      <c r="H16" s="108"/>
      <c r="I16" s="121"/>
      <c r="J16" s="121"/>
      <c r="K16" s="122"/>
    </row>
    <row r="17" spans="2:11" s="7" customFormat="1" ht="52.35" customHeight="1" x14ac:dyDescent="0.25">
      <c r="B17" s="83"/>
      <c r="C17" s="80"/>
      <c r="D17" s="88"/>
      <c r="E17" s="80"/>
      <c r="F17" s="80"/>
      <c r="G17" s="80"/>
      <c r="H17" s="108"/>
      <c r="I17" s="75"/>
      <c r="J17" s="75"/>
      <c r="K17" s="111"/>
    </row>
    <row r="18" spans="2:11" s="7" customFormat="1" ht="52.35" customHeight="1" x14ac:dyDescent="0.25">
      <c r="B18" s="83"/>
      <c r="C18" s="108"/>
      <c r="D18" s="88"/>
      <c r="E18" s="80"/>
      <c r="F18" s="80"/>
      <c r="G18" s="108"/>
      <c r="H18" s="108"/>
      <c r="I18" s="121"/>
      <c r="J18" s="75"/>
      <c r="K18" s="122"/>
    </row>
    <row r="19" spans="2:11" s="7" customFormat="1" ht="52.35" customHeight="1" x14ac:dyDescent="0.25">
      <c r="B19" s="83"/>
      <c r="C19" s="108"/>
      <c r="D19" s="88"/>
      <c r="E19" s="80"/>
      <c r="F19" s="80"/>
      <c r="G19" s="108"/>
      <c r="H19" s="108"/>
      <c r="I19" s="121"/>
      <c r="J19" s="75"/>
      <c r="K19" s="122"/>
    </row>
    <row r="20" spans="2:11" s="7" customFormat="1" ht="52.35" customHeight="1" x14ac:dyDescent="0.25">
      <c r="B20" s="83"/>
      <c r="C20" s="108"/>
      <c r="D20" s="88"/>
      <c r="E20" s="80"/>
      <c r="F20" s="80"/>
      <c r="G20" s="108"/>
      <c r="H20" s="108"/>
      <c r="I20" s="121"/>
      <c r="J20" s="75"/>
      <c r="K20" s="122"/>
    </row>
    <row r="21" spans="2:11" s="7" customFormat="1" ht="52.35" customHeight="1" x14ac:dyDescent="0.25">
      <c r="B21" s="83"/>
      <c r="C21" s="80"/>
      <c r="D21" s="88"/>
      <c r="E21" s="80"/>
      <c r="F21" s="80"/>
      <c r="G21" s="80"/>
      <c r="H21" s="108"/>
      <c r="I21" s="75"/>
      <c r="J21" s="75"/>
      <c r="K21" s="111"/>
    </row>
  </sheetData>
  <mergeCells count="1">
    <mergeCell ref="B1:K1"/>
  </mergeCell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63E03E8D-5DC5-4814-91AD-505CBF670372}">
          <x14:formula1>
            <xm:f>'Liste déroulante '!$H$3:$H$9</xm:f>
          </x14:formula1>
          <xm:sqref>C3:C21</xm:sqref>
        </x14:dataValidation>
        <x14:dataValidation type="list" allowBlank="1" showInputMessage="1" showErrorMessage="1" xr:uid="{2F1F4A16-4927-402A-8A42-A1200DB35E10}">
          <x14:formula1>
            <xm:f>'Liste déroulante '!$I$3:$I$4</xm:f>
          </x14:formula1>
          <xm:sqref>J3:J21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73EA8-D912-4B1D-ACAA-F6DE60F7F9E9}">
  <sheetPr>
    <tabColor rgb="FFFF3399"/>
  </sheetPr>
  <dimension ref="B1:L53"/>
  <sheetViews>
    <sheetView zoomScale="85" zoomScaleNormal="85" workbookViewId="0">
      <selection activeCell="E8" sqref="E8"/>
    </sheetView>
  </sheetViews>
  <sheetFormatPr baseColWidth="10" defaultColWidth="11.42578125" defaultRowHeight="15" x14ac:dyDescent="0.25"/>
  <cols>
    <col min="1" max="1" width="1.5703125" style="6" customWidth="1"/>
    <col min="2" max="2" width="12.5703125" style="6" customWidth="1"/>
    <col min="3" max="3" width="16.28515625" style="6" customWidth="1"/>
    <col min="4" max="4" width="23.42578125" style="6" customWidth="1"/>
    <col min="5" max="5" width="50.42578125" style="6" bestFit="1" customWidth="1"/>
    <col min="6" max="6" width="26.7109375" style="6" customWidth="1"/>
    <col min="7" max="7" width="51.28515625" style="6" bestFit="1" customWidth="1"/>
    <col min="8" max="9" width="22" style="6" customWidth="1"/>
    <col min="10" max="10" width="17.5703125" style="6" customWidth="1"/>
    <col min="11" max="11" width="36.42578125" style="6" customWidth="1"/>
    <col min="12" max="12" width="33.5703125" style="6" customWidth="1"/>
    <col min="13" max="16384" width="11.42578125" style="6"/>
  </cols>
  <sheetData>
    <row r="1" spans="2:12" s="79" customFormat="1" ht="28.5" customHeight="1" x14ac:dyDescent="0.25">
      <c r="B1" s="573" t="s">
        <v>1556</v>
      </c>
      <c r="C1" s="574"/>
      <c r="D1" s="574"/>
      <c r="E1" s="574"/>
      <c r="F1" s="574"/>
      <c r="G1" s="574"/>
      <c r="H1" s="574"/>
      <c r="I1" s="574"/>
      <c r="J1" s="574"/>
      <c r="K1" s="574"/>
      <c r="L1" s="574"/>
    </row>
    <row r="2" spans="2:12" ht="15.75" x14ac:dyDescent="0.25">
      <c r="B2" s="82" t="s">
        <v>7</v>
      </c>
      <c r="C2" s="81" t="s">
        <v>2</v>
      </c>
      <c r="D2" s="81" t="s">
        <v>1557</v>
      </c>
      <c r="E2" s="81" t="s">
        <v>645</v>
      </c>
      <c r="F2" s="81" t="s">
        <v>6</v>
      </c>
      <c r="G2" s="81" t="s">
        <v>1504</v>
      </c>
      <c r="H2" s="84" t="s">
        <v>1505</v>
      </c>
      <c r="I2" s="84" t="s">
        <v>1506</v>
      </c>
      <c r="J2" s="84" t="s">
        <v>1507</v>
      </c>
      <c r="K2" s="84" t="s">
        <v>1558</v>
      </c>
      <c r="L2" s="81" t="s">
        <v>1503</v>
      </c>
    </row>
    <row r="3" spans="2:12" ht="41.65" customHeight="1" x14ac:dyDescent="0.25">
      <c r="B3" s="83" t="s">
        <v>345</v>
      </c>
      <c r="C3" s="88">
        <v>45791</v>
      </c>
      <c r="D3" s="108" t="s">
        <v>1559</v>
      </c>
      <c r="E3" s="88" t="s">
        <v>1560</v>
      </c>
      <c r="F3" s="80" t="s">
        <v>1561</v>
      </c>
      <c r="G3" s="80" t="s">
        <v>1562</v>
      </c>
      <c r="H3" s="75" t="s">
        <v>1232</v>
      </c>
      <c r="I3" s="75" t="s">
        <v>39</v>
      </c>
      <c r="J3" s="111">
        <v>45797</v>
      </c>
      <c r="K3" s="122" t="s">
        <v>1563</v>
      </c>
      <c r="L3" s="201"/>
    </row>
    <row r="4" spans="2:12" ht="41.65" customHeight="1" x14ac:dyDescent="0.25">
      <c r="B4" s="83" t="s">
        <v>124</v>
      </c>
      <c r="C4" s="88">
        <v>45810</v>
      </c>
      <c r="D4" s="108" t="s">
        <v>1564</v>
      </c>
      <c r="E4" s="88" t="s">
        <v>1565</v>
      </c>
      <c r="F4" s="80" t="s">
        <v>762</v>
      </c>
      <c r="G4" s="80" t="s">
        <v>1566</v>
      </c>
      <c r="H4" s="75" t="s">
        <v>1526</v>
      </c>
      <c r="I4" s="75" t="s">
        <v>39</v>
      </c>
      <c r="J4" s="111"/>
      <c r="K4" s="122"/>
      <c r="L4" s="111"/>
    </row>
    <row r="5" spans="2:12" ht="41.65" customHeight="1" x14ac:dyDescent="0.25">
      <c r="B5" s="83" t="s">
        <v>345</v>
      </c>
      <c r="C5" s="88">
        <v>45820</v>
      </c>
      <c r="D5" s="108" t="s">
        <v>1567</v>
      </c>
      <c r="E5" s="120" t="s">
        <v>1568</v>
      </c>
      <c r="F5" s="80" t="s">
        <v>59</v>
      </c>
      <c r="G5" s="80" t="s">
        <v>1569</v>
      </c>
      <c r="H5" s="75" t="s">
        <v>1232</v>
      </c>
      <c r="I5" s="75" t="s">
        <v>48</v>
      </c>
      <c r="J5" s="111"/>
      <c r="K5" s="122"/>
      <c r="L5" s="111"/>
    </row>
    <row r="6" spans="2:12" ht="41.65" customHeight="1" x14ac:dyDescent="0.25">
      <c r="B6" s="83"/>
      <c r="C6" s="88"/>
      <c r="D6" s="108"/>
      <c r="E6" s="88"/>
      <c r="F6" s="80"/>
      <c r="G6" s="80"/>
      <c r="H6" s="75"/>
      <c r="I6" s="75"/>
      <c r="J6" s="111"/>
      <c r="K6" s="122"/>
      <c r="L6" s="111"/>
    </row>
    <row r="7" spans="2:12" ht="41.65" customHeight="1" x14ac:dyDescent="0.25">
      <c r="B7" s="83"/>
      <c r="C7" s="88"/>
      <c r="D7" s="108"/>
      <c r="E7" s="88"/>
      <c r="F7" s="80"/>
      <c r="G7" s="80"/>
      <c r="H7" s="75"/>
      <c r="I7" s="75"/>
      <c r="J7" s="111"/>
      <c r="K7" s="122"/>
      <c r="L7" s="111"/>
    </row>
    <row r="8" spans="2:12" ht="41.65" customHeight="1" x14ac:dyDescent="0.25">
      <c r="B8" s="83"/>
      <c r="C8" s="88"/>
      <c r="D8" s="108"/>
      <c r="E8" s="88"/>
      <c r="F8" s="80"/>
      <c r="G8" s="80"/>
      <c r="H8" s="75"/>
      <c r="I8" s="75"/>
      <c r="J8" s="111"/>
      <c r="K8" s="122"/>
      <c r="L8" s="111"/>
    </row>
    <row r="9" spans="2:12" ht="41.65" customHeight="1" x14ac:dyDescent="0.25">
      <c r="B9" s="83"/>
      <c r="C9" s="88"/>
      <c r="D9" s="108"/>
      <c r="E9" s="88"/>
      <c r="F9" s="80"/>
      <c r="G9" s="80"/>
      <c r="H9" s="75"/>
      <c r="I9" s="75"/>
      <c r="J9" s="111"/>
      <c r="K9" s="122"/>
      <c r="L9" s="111"/>
    </row>
    <row r="10" spans="2:12" ht="41.65" customHeight="1" x14ac:dyDescent="0.25">
      <c r="B10" s="83"/>
      <c r="C10" s="88"/>
      <c r="D10" s="80"/>
      <c r="E10" s="88"/>
      <c r="F10" s="80"/>
      <c r="G10" s="108"/>
      <c r="H10" s="75"/>
      <c r="I10" s="75"/>
      <c r="J10" s="111"/>
      <c r="K10" s="122"/>
      <c r="L10" s="111"/>
    </row>
    <row r="11" spans="2:12" ht="41.65" customHeight="1" x14ac:dyDescent="0.25">
      <c r="B11" s="83"/>
      <c r="C11" s="88"/>
      <c r="D11" s="108"/>
      <c r="E11" s="88"/>
      <c r="F11" s="80"/>
      <c r="G11" s="80"/>
      <c r="H11" s="75"/>
      <c r="I11" s="75"/>
      <c r="J11" s="111"/>
      <c r="K11" s="122"/>
      <c r="L11" s="111"/>
    </row>
    <row r="12" spans="2:12" ht="41.65" customHeight="1" x14ac:dyDescent="0.25">
      <c r="B12" s="83"/>
      <c r="C12" s="88"/>
      <c r="D12" s="108"/>
      <c r="E12" s="88"/>
      <c r="F12" s="80"/>
      <c r="G12" s="80"/>
      <c r="H12" s="75"/>
      <c r="I12" s="75"/>
      <c r="J12" s="111"/>
      <c r="K12" s="122"/>
      <c r="L12" s="111"/>
    </row>
    <row r="13" spans="2:12" ht="41.65" customHeight="1" x14ac:dyDescent="0.25">
      <c r="B13" s="83"/>
      <c r="C13" s="88"/>
      <c r="D13" s="108"/>
      <c r="E13" s="88"/>
      <c r="F13" s="80"/>
      <c r="G13" s="80"/>
      <c r="H13" s="75"/>
      <c r="I13" s="75"/>
      <c r="J13" s="111"/>
      <c r="K13" s="122"/>
      <c r="L13" s="111"/>
    </row>
    <row r="14" spans="2:12" ht="41.65" customHeight="1" x14ac:dyDescent="0.25">
      <c r="B14" s="83"/>
      <c r="C14" s="88"/>
      <c r="D14" s="108"/>
      <c r="E14" s="88"/>
      <c r="F14" s="80"/>
      <c r="G14" s="80"/>
      <c r="H14" s="75"/>
      <c r="I14" s="75"/>
      <c r="J14" s="111"/>
      <c r="K14" s="122"/>
      <c r="L14" s="111"/>
    </row>
    <row r="15" spans="2:12" ht="41.65" customHeight="1" x14ac:dyDescent="0.25">
      <c r="B15" s="83"/>
      <c r="C15" s="88"/>
      <c r="D15" s="80"/>
      <c r="E15" s="88"/>
      <c r="F15" s="80"/>
      <c r="G15" s="80"/>
      <c r="H15" s="75"/>
      <c r="I15" s="75"/>
      <c r="J15" s="111"/>
      <c r="K15" s="122"/>
      <c r="L15" s="111"/>
    </row>
    <row r="16" spans="2:12" ht="41.65" customHeight="1" x14ac:dyDescent="0.25">
      <c r="B16" s="83"/>
      <c r="C16" s="88"/>
      <c r="D16" s="108"/>
      <c r="E16" s="88"/>
      <c r="F16" s="80"/>
      <c r="G16" s="108"/>
      <c r="H16" s="75"/>
      <c r="I16" s="75"/>
      <c r="J16" s="111"/>
      <c r="K16" s="122"/>
      <c r="L16" s="111"/>
    </row>
    <row r="17" spans="2:12" ht="41.65" customHeight="1" x14ac:dyDescent="0.25">
      <c r="B17" s="83"/>
      <c r="C17" s="88"/>
      <c r="D17" s="108"/>
      <c r="E17" s="120"/>
      <c r="F17" s="80"/>
      <c r="G17" s="80"/>
      <c r="H17" s="75"/>
      <c r="I17" s="75"/>
      <c r="J17" s="111"/>
      <c r="K17" s="122"/>
      <c r="L17" s="111"/>
    </row>
    <row r="18" spans="2:12" ht="41.65" customHeight="1" x14ac:dyDescent="0.25">
      <c r="B18" s="83"/>
      <c r="C18" s="88"/>
      <c r="D18" s="108"/>
      <c r="E18" s="120"/>
      <c r="F18" s="80"/>
      <c r="G18" s="80"/>
      <c r="H18" s="75"/>
      <c r="I18" s="75"/>
      <c r="J18" s="111"/>
      <c r="K18" s="122"/>
      <c r="L18" s="111"/>
    </row>
    <row r="19" spans="2:12" ht="41.65" customHeight="1" x14ac:dyDescent="0.25">
      <c r="B19" s="83"/>
      <c r="C19" s="80"/>
      <c r="D19" s="108"/>
      <c r="E19" s="88"/>
      <c r="F19" s="80"/>
      <c r="G19" s="80"/>
      <c r="H19" s="75"/>
      <c r="I19" s="75"/>
      <c r="J19" s="75"/>
      <c r="K19" s="122"/>
      <c r="L19" s="111"/>
    </row>
    <row r="20" spans="2:12" ht="41.65" customHeight="1" x14ac:dyDescent="0.25">
      <c r="B20" s="83"/>
      <c r="C20" s="80"/>
      <c r="D20" s="108"/>
      <c r="E20" s="88"/>
      <c r="F20" s="80"/>
      <c r="G20" s="80"/>
      <c r="H20" s="75"/>
      <c r="I20" s="75"/>
      <c r="J20" s="75"/>
      <c r="K20" s="122"/>
      <c r="L20" s="111"/>
    </row>
    <row r="21" spans="2:12" ht="41.65" customHeight="1" x14ac:dyDescent="0.25">
      <c r="B21" s="83"/>
      <c r="C21" s="80"/>
      <c r="D21" s="108"/>
      <c r="E21" s="88"/>
      <c r="F21" s="80"/>
      <c r="G21" s="80"/>
      <c r="H21" s="75"/>
      <c r="I21" s="75"/>
      <c r="J21" s="75"/>
      <c r="K21" s="122"/>
      <c r="L21" s="111"/>
    </row>
    <row r="22" spans="2:12" ht="41.65" customHeight="1" x14ac:dyDescent="0.25">
      <c r="B22" s="83"/>
      <c r="C22" s="80"/>
      <c r="D22" s="108"/>
      <c r="E22" s="88"/>
      <c r="F22" s="80"/>
      <c r="G22" s="80"/>
      <c r="H22" s="75"/>
      <c r="I22" s="75"/>
      <c r="J22" s="75"/>
      <c r="K22" s="122"/>
      <c r="L22" s="111"/>
    </row>
    <row r="23" spans="2:12" ht="41.65" customHeight="1" x14ac:dyDescent="0.25">
      <c r="B23" s="83"/>
      <c r="C23" s="80"/>
      <c r="D23" s="108"/>
      <c r="E23" s="88"/>
      <c r="F23" s="80"/>
      <c r="G23" s="80"/>
      <c r="H23" s="75"/>
      <c r="I23" s="75"/>
      <c r="J23" s="75"/>
      <c r="K23" s="122"/>
      <c r="L23" s="111"/>
    </row>
    <row r="24" spans="2:12" ht="41.65" customHeight="1" x14ac:dyDescent="0.25">
      <c r="B24" s="83"/>
      <c r="C24" s="80"/>
      <c r="D24" s="108"/>
      <c r="E24" s="88"/>
      <c r="F24" s="80"/>
      <c r="G24" s="80"/>
      <c r="H24" s="75"/>
      <c r="I24" s="75"/>
      <c r="J24" s="75"/>
      <c r="K24" s="122"/>
      <c r="L24" s="111"/>
    </row>
    <row r="25" spans="2:12" ht="41.65" customHeight="1" x14ac:dyDescent="0.25">
      <c r="B25" s="83"/>
      <c r="C25" s="80"/>
      <c r="D25" s="108"/>
      <c r="E25" s="88"/>
      <c r="F25" s="80"/>
      <c r="G25" s="80"/>
      <c r="H25" s="75"/>
      <c r="I25" s="75"/>
      <c r="J25" s="75"/>
      <c r="K25" s="122"/>
      <c r="L25" s="111"/>
    </row>
    <row r="26" spans="2:12" ht="41.65" customHeight="1" x14ac:dyDescent="0.25">
      <c r="B26" s="83"/>
      <c r="C26" s="80"/>
      <c r="D26" s="108"/>
      <c r="E26" s="88"/>
      <c r="F26" s="80"/>
      <c r="G26" s="80"/>
      <c r="H26" s="75"/>
      <c r="I26" s="75"/>
      <c r="J26" s="75"/>
      <c r="K26" s="122"/>
      <c r="L26" s="111"/>
    </row>
    <row r="27" spans="2:12" ht="41.65" customHeight="1" x14ac:dyDescent="0.25">
      <c r="B27" s="83"/>
      <c r="C27" s="80"/>
      <c r="D27" s="108"/>
      <c r="E27" s="88"/>
      <c r="F27" s="80"/>
      <c r="G27" s="80"/>
      <c r="H27" s="75"/>
      <c r="I27" s="75"/>
      <c r="J27" s="75"/>
      <c r="K27" s="122"/>
      <c r="L27" s="111"/>
    </row>
    <row r="28" spans="2:12" ht="41.65" customHeight="1" x14ac:dyDescent="0.25">
      <c r="B28" s="83"/>
      <c r="C28" s="80"/>
      <c r="D28" s="108"/>
      <c r="E28" s="88"/>
      <c r="F28" s="80"/>
      <c r="G28" s="80"/>
      <c r="H28" s="75"/>
      <c r="I28" s="75"/>
      <c r="J28" s="75"/>
      <c r="K28" s="122"/>
      <c r="L28" s="111"/>
    </row>
    <row r="29" spans="2:12" ht="41.65" customHeight="1" x14ac:dyDescent="0.25">
      <c r="B29" s="83"/>
      <c r="C29" s="80"/>
      <c r="D29" s="108"/>
      <c r="E29" s="88"/>
      <c r="F29" s="80"/>
      <c r="G29" s="80"/>
      <c r="H29" s="75"/>
      <c r="I29" s="75"/>
      <c r="J29" s="75"/>
      <c r="K29" s="122"/>
      <c r="L29" s="111"/>
    </row>
    <row r="30" spans="2:12" ht="41.65" customHeight="1" x14ac:dyDescent="0.25">
      <c r="B30" s="83"/>
      <c r="C30" s="80"/>
      <c r="D30" s="108"/>
      <c r="E30" s="88"/>
      <c r="F30" s="80"/>
      <c r="G30" s="80"/>
      <c r="H30" s="75"/>
      <c r="I30" s="75"/>
      <c r="J30" s="75"/>
      <c r="K30" s="122"/>
      <c r="L30" s="111"/>
    </row>
    <row r="31" spans="2:12" ht="41.65" customHeight="1" x14ac:dyDescent="0.25">
      <c r="B31" s="83"/>
      <c r="C31" s="80"/>
      <c r="D31" s="108"/>
      <c r="E31" s="88"/>
      <c r="F31" s="80"/>
      <c r="G31" s="80"/>
      <c r="H31" s="75"/>
      <c r="I31" s="75"/>
      <c r="J31" s="75"/>
      <c r="K31" s="122"/>
      <c r="L31" s="111"/>
    </row>
    <row r="32" spans="2:12" ht="41.65" customHeight="1" x14ac:dyDescent="0.25">
      <c r="B32" s="83"/>
      <c r="C32" s="80"/>
      <c r="D32" s="108"/>
      <c r="E32" s="88"/>
      <c r="F32" s="80"/>
      <c r="G32" s="80"/>
      <c r="H32" s="75"/>
      <c r="I32" s="75"/>
      <c r="J32" s="75"/>
      <c r="K32" s="122"/>
      <c r="L32" s="111"/>
    </row>
    <row r="33" spans="2:12" ht="41.65" customHeight="1" x14ac:dyDescent="0.25">
      <c r="B33" s="83"/>
      <c r="C33" s="80"/>
      <c r="D33" s="108"/>
      <c r="E33" s="88"/>
      <c r="F33" s="80"/>
      <c r="G33" s="80"/>
      <c r="H33" s="75"/>
      <c r="I33" s="75"/>
      <c r="J33" s="75"/>
      <c r="K33" s="122"/>
      <c r="L33" s="111"/>
    </row>
    <row r="34" spans="2:12" ht="41.65" customHeight="1" x14ac:dyDescent="0.25">
      <c r="B34" s="83"/>
      <c r="C34" s="80"/>
      <c r="D34" s="108"/>
      <c r="E34" s="88"/>
      <c r="F34" s="80"/>
      <c r="G34" s="80"/>
      <c r="H34" s="75"/>
      <c r="I34" s="75"/>
      <c r="J34" s="75"/>
      <c r="K34" s="122"/>
      <c r="L34" s="111"/>
    </row>
    <row r="35" spans="2:12" ht="41.65" customHeight="1" x14ac:dyDescent="0.25">
      <c r="B35" s="83"/>
      <c r="C35" s="80"/>
      <c r="D35" s="108"/>
      <c r="E35" s="88"/>
      <c r="F35" s="80"/>
      <c r="G35" s="80"/>
      <c r="H35" s="75"/>
      <c r="I35" s="75"/>
      <c r="J35" s="75"/>
      <c r="K35" s="122"/>
      <c r="L35" s="111"/>
    </row>
    <row r="36" spans="2:12" ht="41.65" customHeight="1" x14ac:dyDescent="0.25">
      <c r="B36" s="83"/>
      <c r="C36" s="80"/>
      <c r="D36" s="108"/>
      <c r="E36" s="88"/>
      <c r="F36" s="80"/>
      <c r="G36" s="80"/>
      <c r="H36" s="75"/>
      <c r="I36" s="75"/>
      <c r="J36" s="75"/>
      <c r="K36" s="122"/>
      <c r="L36" s="111"/>
    </row>
    <row r="37" spans="2:12" ht="41.65" customHeight="1" x14ac:dyDescent="0.25">
      <c r="B37" s="83"/>
      <c r="C37" s="80"/>
      <c r="D37" s="108"/>
      <c r="E37" s="88"/>
      <c r="F37" s="80"/>
      <c r="G37" s="80"/>
      <c r="H37" s="75"/>
      <c r="I37" s="75"/>
      <c r="J37" s="75"/>
      <c r="K37" s="122"/>
      <c r="L37" s="111"/>
    </row>
    <row r="38" spans="2:12" ht="41.65" customHeight="1" x14ac:dyDescent="0.25">
      <c r="B38" s="83"/>
      <c r="C38" s="80"/>
      <c r="D38" s="108"/>
      <c r="E38" s="88"/>
      <c r="F38" s="80"/>
      <c r="G38" s="80"/>
      <c r="H38" s="75"/>
      <c r="I38" s="75"/>
      <c r="J38" s="75"/>
      <c r="K38" s="122"/>
      <c r="L38" s="111"/>
    </row>
    <row r="39" spans="2:12" s="7" customFormat="1" ht="41.65" customHeight="1" x14ac:dyDescent="0.25">
      <c r="B39" s="119"/>
      <c r="C39" s="108"/>
      <c r="D39" s="108"/>
      <c r="E39" s="120"/>
      <c r="F39" s="108"/>
      <c r="G39" s="108"/>
      <c r="H39" s="121"/>
      <c r="I39" s="121"/>
      <c r="J39" s="121"/>
      <c r="K39" s="122"/>
      <c r="L39" s="111"/>
    </row>
    <row r="40" spans="2:12" s="7" customFormat="1" ht="41.65" customHeight="1" x14ac:dyDescent="0.25">
      <c r="B40" s="119"/>
      <c r="C40" s="108"/>
      <c r="D40" s="108"/>
      <c r="E40" s="120"/>
      <c r="F40" s="108"/>
      <c r="G40" s="108"/>
      <c r="H40" s="121"/>
      <c r="I40" s="121"/>
      <c r="J40" s="121"/>
      <c r="K40" s="122"/>
      <c r="L40" s="111"/>
    </row>
    <row r="41" spans="2:12" ht="41.65" customHeight="1" x14ac:dyDescent="0.25">
      <c r="B41" s="83"/>
      <c r="C41" s="80"/>
      <c r="D41" s="80"/>
      <c r="E41" s="88"/>
      <c r="F41" s="80"/>
      <c r="G41" s="108"/>
      <c r="H41" s="75"/>
      <c r="I41" s="75"/>
      <c r="J41" s="75"/>
      <c r="K41" s="122"/>
      <c r="L41" s="111"/>
    </row>
    <row r="42" spans="2:12" s="7" customFormat="1" ht="41.65" customHeight="1" x14ac:dyDescent="0.25">
      <c r="B42" s="83"/>
      <c r="C42" s="80"/>
      <c r="D42" s="80"/>
      <c r="E42" s="88"/>
      <c r="F42" s="80"/>
      <c r="G42" s="80"/>
      <c r="H42" s="75"/>
      <c r="I42" s="75"/>
      <c r="J42" s="75"/>
      <c r="K42" s="121"/>
      <c r="L42" s="75"/>
    </row>
    <row r="43" spans="2:12" s="7" customFormat="1" ht="41.65" customHeight="1" x14ac:dyDescent="0.25">
      <c r="B43" s="119"/>
      <c r="C43" s="108"/>
      <c r="D43" s="108"/>
      <c r="E43" s="120"/>
      <c r="F43" s="108"/>
      <c r="G43" s="108"/>
      <c r="H43" s="121"/>
      <c r="I43" s="121"/>
      <c r="J43" s="121"/>
      <c r="K43" s="122"/>
      <c r="L43" s="111"/>
    </row>
    <row r="44" spans="2:12" ht="41.65" customHeight="1" x14ac:dyDescent="0.25">
      <c r="B44" s="119"/>
      <c r="C44" s="108"/>
      <c r="D44" s="108"/>
      <c r="E44" s="120"/>
      <c r="F44" s="108"/>
      <c r="G44" s="108"/>
      <c r="H44" s="121"/>
      <c r="I44" s="121"/>
      <c r="J44" s="121"/>
      <c r="K44" s="122"/>
      <c r="L44" s="111"/>
    </row>
    <row r="45" spans="2:12" ht="41.65" customHeight="1" x14ac:dyDescent="0.25">
      <c r="B45" s="83"/>
      <c r="C45" s="80"/>
      <c r="D45" s="80"/>
      <c r="E45" s="88"/>
      <c r="F45" s="80"/>
      <c r="G45" s="80"/>
      <c r="H45" s="75"/>
      <c r="I45" s="75"/>
      <c r="J45" s="75"/>
      <c r="K45" s="121"/>
      <c r="L45" s="75"/>
    </row>
    <row r="46" spans="2:12" ht="41.65" customHeight="1" x14ac:dyDescent="0.25">
      <c r="B46" s="83"/>
      <c r="C46" s="80"/>
      <c r="D46" s="80"/>
      <c r="E46" s="88"/>
      <c r="F46" s="80"/>
      <c r="G46" s="80"/>
      <c r="H46" s="75"/>
      <c r="I46" s="75"/>
      <c r="J46" s="75"/>
      <c r="K46" s="121"/>
      <c r="L46" s="75"/>
    </row>
    <row r="47" spans="2:12" s="7" customFormat="1" ht="41.65" customHeight="1" x14ac:dyDescent="0.25">
      <c r="B47" s="119"/>
      <c r="C47" s="80"/>
      <c r="D47" s="80"/>
      <c r="E47" s="120"/>
      <c r="F47" s="108"/>
      <c r="G47" s="108"/>
      <c r="H47" s="121"/>
      <c r="I47" s="122"/>
      <c r="J47" s="122"/>
      <c r="K47" s="122"/>
      <c r="L47" s="111"/>
    </row>
    <row r="48" spans="2:12" s="7" customFormat="1" ht="41.65" customHeight="1" x14ac:dyDescent="0.25">
      <c r="B48" s="119"/>
      <c r="C48" s="80"/>
      <c r="D48" s="80"/>
      <c r="E48" s="120"/>
      <c r="F48" s="108"/>
      <c r="G48" s="108"/>
      <c r="H48" s="121"/>
      <c r="I48" s="121"/>
      <c r="J48" s="121"/>
      <c r="K48" s="122"/>
      <c r="L48" s="111"/>
    </row>
    <row r="49" spans="2:12" s="7" customFormat="1" ht="41.65" customHeight="1" x14ac:dyDescent="0.25">
      <c r="B49" s="119"/>
      <c r="C49" s="108"/>
      <c r="D49" s="108"/>
      <c r="E49" s="120"/>
      <c r="F49" s="108"/>
      <c r="G49" s="108"/>
      <c r="H49" s="121"/>
      <c r="I49" s="121"/>
      <c r="J49" s="121"/>
      <c r="K49" s="122"/>
      <c r="L49" s="111"/>
    </row>
    <row r="50" spans="2:12" s="7" customFormat="1" ht="41.65" customHeight="1" x14ac:dyDescent="0.25">
      <c r="B50" s="119"/>
      <c r="C50" s="108"/>
      <c r="D50" s="108"/>
      <c r="E50" s="120"/>
      <c r="F50" s="108"/>
      <c r="G50" s="108"/>
      <c r="H50" s="121"/>
      <c r="I50" s="121"/>
      <c r="J50" s="121"/>
      <c r="K50" s="122"/>
      <c r="L50" s="111"/>
    </row>
    <row r="51" spans="2:12" s="7" customFormat="1" ht="41.65" customHeight="1" x14ac:dyDescent="0.25">
      <c r="B51" s="119"/>
      <c r="C51" s="108"/>
      <c r="D51" s="108"/>
      <c r="E51" s="108"/>
      <c r="F51" s="108"/>
      <c r="G51" s="108"/>
      <c r="H51" s="121"/>
      <c r="I51" s="121"/>
      <c r="J51" s="121"/>
      <c r="K51" s="121"/>
      <c r="L51" s="75"/>
    </row>
    <row r="52" spans="2:12" ht="41.65" customHeight="1" x14ac:dyDescent="0.25">
      <c r="B52" s="83"/>
      <c r="C52" s="80"/>
      <c r="D52" s="80"/>
      <c r="E52" s="80"/>
      <c r="F52" s="80"/>
      <c r="G52" s="80"/>
      <c r="H52" s="75"/>
      <c r="I52" s="75"/>
      <c r="J52" s="75"/>
      <c r="K52" s="121"/>
      <c r="L52" s="75"/>
    </row>
    <row r="53" spans="2:12" ht="41.65" customHeight="1" x14ac:dyDescent="0.25">
      <c r="B53" s="85"/>
      <c r="C53" s="86"/>
      <c r="D53" s="86"/>
      <c r="E53" s="86"/>
      <c r="F53" s="86"/>
      <c r="G53" s="86"/>
      <c r="H53" s="87"/>
      <c r="I53" s="87"/>
      <c r="J53" s="87"/>
      <c r="K53" s="261"/>
      <c r="L53" s="87"/>
    </row>
  </sheetData>
  <mergeCells count="1">
    <mergeCell ref="B1:L1"/>
  </mergeCell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EC94F5D-C756-422B-981C-EB0DF6DF45CF}">
          <x14:formula1>
            <xm:f>'Liste déroulante '!$Z$3:$Z$4</xm:f>
          </x14:formula1>
          <xm:sqref>I3:I53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D026A-D7DD-405A-BAC8-311280F29001}">
  <sheetPr>
    <tabColor rgb="FFFF3399"/>
  </sheetPr>
  <dimension ref="B1:J54"/>
  <sheetViews>
    <sheetView zoomScale="85" zoomScaleNormal="85" workbookViewId="0">
      <selection activeCell="F3" sqref="F3"/>
    </sheetView>
  </sheetViews>
  <sheetFormatPr baseColWidth="10" defaultColWidth="11.42578125" defaultRowHeight="15" x14ac:dyDescent="0.25"/>
  <cols>
    <col min="1" max="1" width="1.5703125" style="6" customWidth="1"/>
    <col min="2" max="2" width="12.5703125" style="6" customWidth="1"/>
    <col min="3" max="3" width="16.28515625" style="6" customWidth="1"/>
    <col min="4" max="4" width="18.7109375" style="6" customWidth="1"/>
    <col min="5" max="5" width="41" style="6" customWidth="1"/>
    <col min="6" max="7" width="22" style="6" customWidth="1"/>
    <col min="8" max="8" width="17.5703125" style="6" customWidth="1"/>
    <col min="9" max="10" width="33.5703125" style="6" customWidth="1"/>
    <col min="11" max="16384" width="11.42578125" style="6"/>
  </cols>
  <sheetData>
    <row r="1" spans="2:10" s="79" customFormat="1" ht="28.5" customHeight="1" x14ac:dyDescent="0.25">
      <c r="B1" s="573" t="s">
        <v>1570</v>
      </c>
      <c r="C1" s="574"/>
      <c r="D1" s="574"/>
      <c r="E1" s="574"/>
      <c r="F1" s="574"/>
      <c r="G1" s="574"/>
      <c r="H1" s="574"/>
      <c r="I1" s="574"/>
      <c r="J1" s="574"/>
    </row>
    <row r="2" spans="2:10" ht="15.75" x14ac:dyDescent="0.25">
      <c r="B2" s="82" t="s">
        <v>7</v>
      </c>
      <c r="C2" s="81" t="s">
        <v>2</v>
      </c>
      <c r="D2" s="81" t="s">
        <v>6</v>
      </c>
      <c r="E2" s="81" t="s">
        <v>1571</v>
      </c>
      <c r="F2" s="84" t="s">
        <v>1505</v>
      </c>
      <c r="G2" s="84" t="s">
        <v>1506</v>
      </c>
      <c r="H2" s="84" t="s">
        <v>1507</v>
      </c>
      <c r="I2" s="84" t="s">
        <v>1558</v>
      </c>
      <c r="J2" s="81" t="s">
        <v>1503</v>
      </c>
    </row>
    <row r="3" spans="2:10" x14ac:dyDescent="0.25">
      <c r="B3" s="83" t="s">
        <v>112</v>
      </c>
      <c r="C3" s="88">
        <v>46007</v>
      </c>
      <c r="D3" s="80" t="s">
        <v>1662</v>
      </c>
      <c r="E3" s="80"/>
      <c r="F3" s="75"/>
      <c r="G3" s="75"/>
      <c r="H3" s="111"/>
      <c r="I3" s="111"/>
      <c r="J3" s="201"/>
    </row>
    <row r="4" spans="2:10" x14ac:dyDescent="0.25">
      <c r="B4" s="83"/>
      <c r="C4" s="88"/>
      <c r="D4" s="80"/>
      <c r="E4" s="80"/>
      <c r="F4" s="75"/>
      <c r="G4" s="75"/>
      <c r="H4" s="111"/>
      <c r="I4" s="111"/>
      <c r="J4" s="111"/>
    </row>
    <row r="5" spans="2:10" x14ac:dyDescent="0.25">
      <c r="B5" s="83"/>
      <c r="C5" s="88"/>
      <c r="D5" s="80"/>
      <c r="E5" s="80"/>
      <c r="F5" s="75"/>
      <c r="G5" s="75"/>
      <c r="H5" s="111"/>
      <c r="I5" s="111"/>
      <c r="J5" s="111"/>
    </row>
    <row r="6" spans="2:10" x14ac:dyDescent="0.25">
      <c r="B6" s="83"/>
      <c r="C6" s="88"/>
      <c r="D6" s="80"/>
      <c r="E6" s="80"/>
      <c r="F6" s="75"/>
      <c r="G6" s="75"/>
      <c r="H6" s="111"/>
      <c r="I6" s="111"/>
      <c r="J6" s="111"/>
    </row>
    <row r="7" spans="2:10" x14ac:dyDescent="0.25">
      <c r="B7" s="83"/>
      <c r="C7" s="88"/>
      <c r="D7" s="80"/>
      <c r="E7" s="80"/>
      <c r="F7" s="75"/>
      <c r="G7" s="75"/>
      <c r="H7" s="111"/>
      <c r="I7" s="111"/>
      <c r="J7" s="111"/>
    </row>
    <row r="8" spans="2:10" x14ac:dyDescent="0.25">
      <c r="B8" s="83"/>
      <c r="C8" s="88"/>
      <c r="D8" s="80"/>
      <c r="E8" s="80"/>
      <c r="F8" s="75"/>
      <c r="G8" s="75"/>
      <c r="H8" s="111"/>
      <c r="I8" s="111"/>
      <c r="J8" s="111"/>
    </row>
    <row r="9" spans="2:10" x14ac:dyDescent="0.25">
      <c r="B9" s="83"/>
      <c r="C9" s="88"/>
      <c r="D9" s="80"/>
      <c r="E9" s="80"/>
      <c r="F9" s="75"/>
      <c r="G9" s="75"/>
      <c r="H9" s="111"/>
      <c r="I9" s="111"/>
      <c r="J9" s="111"/>
    </row>
    <row r="10" spans="2:10" x14ac:dyDescent="0.25">
      <c r="B10" s="83"/>
      <c r="C10" s="88"/>
      <c r="D10" s="80"/>
      <c r="E10" s="108"/>
      <c r="F10" s="75"/>
      <c r="G10" s="75"/>
      <c r="H10" s="111"/>
      <c r="I10" s="111"/>
      <c r="J10" s="111"/>
    </row>
    <row r="11" spans="2:10" x14ac:dyDescent="0.25">
      <c r="B11" s="83"/>
      <c r="C11" s="88"/>
      <c r="D11" s="80"/>
      <c r="E11" s="80"/>
      <c r="F11" s="75"/>
      <c r="G11" s="75"/>
      <c r="H11" s="75"/>
      <c r="I11" s="111"/>
      <c r="J11" s="111"/>
    </row>
    <row r="12" spans="2:10" x14ac:dyDescent="0.25">
      <c r="B12" s="83"/>
      <c r="C12" s="80"/>
      <c r="D12" s="80"/>
      <c r="E12" s="80"/>
      <c r="F12" s="75"/>
      <c r="G12" s="75"/>
      <c r="H12" s="75"/>
      <c r="I12" s="111"/>
      <c r="J12" s="111"/>
    </row>
    <row r="13" spans="2:10" x14ac:dyDescent="0.25">
      <c r="B13" s="83"/>
      <c r="C13" s="80"/>
      <c r="D13" s="80"/>
      <c r="E13" s="80"/>
      <c r="F13" s="75"/>
      <c r="G13" s="75"/>
      <c r="H13" s="75"/>
      <c r="I13" s="111"/>
      <c r="J13" s="111"/>
    </row>
    <row r="14" spans="2:10" x14ac:dyDescent="0.25">
      <c r="B14" s="83"/>
      <c r="C14" s="80"/>
      <c r="D14" s="80"/>
      <c r="E14" s="80"/>
      <c r="F14" s="75"/>
      <c r="G14" s="75"/>
      <c r="H14" s="75"/>
      <c r="I14" s="111"/>
      <c r="J14" s="111"/>
    </row>
    <row r="15" spans="2:10" x14ac:dyDescent="0.25">
      <c r="B15" s="83"/>
      <c r="C15" s="80"/>
      <c r="D15" s="80"/>
      <c r="E15" s="80"/>
      <c r="F15" s="75"/>
      <c r="G15" s="75"/>
      <c r="H15" s="75"/>
      <c r="I15" s="111"/>
      <c r="J15" s="111"/>
    </row>
    <row r="16" spans="2:10" x14ac:dyDescent="0.25">
      <c r="B16" s="83"/>
      <c r="C16" s="80"/>
      <c r="D16" s="80"/>
      <c r="E16" s="80"/>
      <c r="F16" s="75"/>
      <c r="G16" s="75"/>
      <c r="H16" s="75"/>
      <c r="I16" s="111"/>
      <c r="J16" s="111"/>
    </row>
    <row r="17" spans="2:10" x14ac:dyDescent="0.25">
      <c r="B17" s="83"/>
      <c r="C17" s="80"/>
      <c r="D17" s="80"/>
      <c r="E17" s="80"/>
      <c r="F17" s="75"/>
      <c r="G17" s="75"/>
      <c r="H17" s="75"/>
      <c r="I17" s="111"/>
      <c r="J17" s="111"/>
    </row>
    <row r="18" spans="2:10" x14ac:dyDescent="0.25">
      <c r="B18" s="83"/>
      <c r="C18" s="80"/>
      <c r="D18" s="80"/>
      <c r="E18" s="80"/>
      <c r="F18" s="75"/>
      <c r="G18" s="75"/>
      <c r="H18" s="75"/>
      <c r="I18" s="111"/>
      <c r="J18" s="111"/>
    </row>
    <row r="19" spans="2:10" x14ac:dyDescent="0.25">
      <c r="B19" s="83"/>
      <c r="C19" s="80"/>
      <c r="D19" s="80"/>
      <c r="E19" s="80"/>
      <c r="F19" s="75"/>
      <c r="G19" s="75"/>
      <c r="H19" s="75"/>
      <c r="I19" s="111"/>
      <c r="J19" s="111"/>
    </row>
    <row r="20" spans="2:10" x14ac:dyDescent="0.25">
      <c r="B20" s="83"/>
      <c r="C20" s="80"/>
      <c r="D20" s="80"/>
      <c r="E20" s="80"/>
      <c r="F20" s="75"/>
      <c r="G20" s="75"/>
      <c r="H20" s="75"/>
      <c r="I20" s="111"/>
      <c r="J20" s="111"/>
    </row>
    <row r="21" spans="2:10" x14ac:dyDescent="0.25">
      <c r="B21" s="83"/>
      <c r="C21" s="80"/>
      <c r="D21" s="80"/>
      <c r="E21" s="80"/>
      <c r="F21" s="75"/>
      <c r="G21" s="75"/>
      <c r="H21" s="75"/>
      <c r="I21" s="111"/>
      <c r="J21" s="111"/>
    </row>
    <row r="22" spans="2:10" x14ac:dyDescent="0.25">
      <c r="B22" s="83"/>
      <c r="C22" s="80"/>
      <c r="D22" s="80"/>
      <c r="E22" s="80"/>
      <c r="F22" s="75"/>
      <c r="G22" s="75"/>
      <c r="H22" s="75"/>
      <c r="I22" s="111"/>
      <c r="J22" s="111"/>
    </row>
    <row r="23" spans="2:10" x14ac:dyDescent="0.25">
      <c r="B23" s="83"/>
      <c r="C23" s="80"/>
      <c r="D23" s="80"/>
      <c r="E23" s="80"/>
      <c r="F23" s="75"/>
      <c r="G23" s="75"/>
      <c r="H23" s="75"/>
      <c r="I23" s="111"/>
      <c r="J23" s="111"/>
    </row>
    <row r="24" spans="2:10" x14ac:dyDescent="0.25">
      <c r="B24" s="83"/>
      <c r="C24" s="80"/>
      <c r="D24" s="80"/>
      <c r="E24" s="80"/>
      <c r="F24" s="75"/>
      <c r="G24" s="75"/>
      <c r="H24" s="75"/>
      <c r="I24" s="111"/>
      <c r="J24" s="111"/>
    </row>
    <row r="25" spans="2:10" x14ac:dyDescent="0.25">
      <c r="B25" s="83"/>
      <c r="C25" s="80"/>
      <c r="D25" s="80"/>
      <c r="E25" s="80"/>
      <c r="F25" s="75"/>
      <c r="G25" s="75"/>
      <c r="H25" s="75"/>
      <c r="I25" s="111"/>
      <c r="J25" s="111"/>
    </row>
    <row r="26" spans="2:10" x14ac:dyDescent="0.25">
      <c r="B26" s="83"/>
      <c r="C26" s="80"/>
      <c r="D26" s="80"/>
      <c r="E26" s="80"/>
      <c r="F26" s="75"/>
      <c r="G26" s="75"/>
      <c r="H26" s="75"/>
      <c r="I26" s="111"/>
      <c r="J26" s="111"/>
    </row>
    <row r="27" spans="2:10" x14ac:dyDescent="0.25">
      <c r="B27" s="83"/>
      <c r="C27" s="80"/>
      <c r="D27" s="80"/>
      <c r="E27" s="80"/>
      <c r="F27" s="75"/>
      <c r="G27" s="75"/>
      <c r="H27" s="75"/>
      <c r="I27" s="111"/>
      <c r="J27" s="111"/>
    </row>
    <row r="28" spans="2:10" x14ac:dyDescent="0.25">
      <c r="B28" s="83"/>
      <c r="C28" s="80"/>
      <c r="D28" s="80"/>
      <c r="E28" s="80"/>
      <c r="F28" s="75"/>
      <c r="G28" s="75"/>
      <c r="H28" s="75"/>
      <c r="I28" s="111"/>
      <c r="J28" s="111"/>
    </row>
    <row r="29" spans="2:10" x14ac:dyDescent="0.25">
      <c r="B29" s="83"/>
      <c r="C29" s="80"/>
      <c r="D29" s="80"/>
      <c r="E29" s="80"/>
      <c r="F29" s="75"/>
      <c r="G29" s="75"/>
      <c r="H29" s="75"/>
      <c r="I29" s="111"/>
      <c r="J29" s="111"/>
    </row>
    <row r="30" spans="2:10" x14ac:dyDescent="0.25">
      <c r="B30" s="83"/>
      <c r="C30" s="80"/>
      <c r="D30" s="80"/>
      <c r="E30" s="80"/>
      <c r="F30" s="75"/>
      <c r="G30" s="75"/>
      <c r="H30" s="75"/>
      <c r="I30" s="111"/>
      <c r="J30" s="111"/>
    </row>
    <row r="31" spans="2:10" x14ac:dyDescent="0.25">
      <c r="B31" s="83"/>
      <c r="C31" s="80"/>
      <c r="D31" s="80"/>
      <c r="E31" s="80"/>
      <c r="F31" s="75"/>
      <c r="G31" s="75"/>
      <c r="H31" s="75"/>
      <c r="I31" s="111"/>
      <c r="J31" s="111"/>
    </row>
    <row r="32" spans="2:10" x14ac:dyDescent="0.25">
      <c r="B32" s="83"/>
      <c r="C32" s="80"/>
      <c r="D32" s="80"/>
      <c r="E32" s="80"/>
      <c r="F32" s="75"/>
      <c r="G32" s="75"/>
      <c r="H32" s="75"/>
      <c r="I32" s="111"/>
      <c r="J32" s="111"/>
    </row>
    <row r="33" spans="2:10" x14ac:dyDescent="0.25">
      <c r="B33" s="83"/>
      <c r="C33" s="80"/>
      <c r="D33" s="80"/>
      <c r="E33" s="80"/>
      <c r="F33" s="75"/>
      <c r="G33" s="75"/>
      <c r="H33" s="75"/>
      <c r="I33" s="111"/>
      <c r="J33" s="111"/>
    </row>
    <row r="34" spans="2:10" x14ac:dyDescent="0.25">
      <c r="B34" s="83"/>
      <c r="C34" s="80"/>
      <c r="D34" s="80"/>
      <c r="E34" s="80"/>
      <c r="F34" s="75"/>
      <c r="G34" s="75"/>
      <c r="H34" s="75"/>
      <c r="I34" s="111"/>
      <c r="J34" s="111"/>
    </row>
    <row r="35" spans="2:10" x14ac:dyDescent="0.25">
      <c r="B35" s="83"/>
      <c r="C35" s="80"/>
      <c r="D35" s="80"/>
      <c r="E35" s="80"/>
      <c r="F35" s="75"/>
      <c r="G35" s="75"/>
      <c r="H35" s="75"/>
      <c r="I35" s="111"/>
      <c r="J35" s="111"/>
    </row>
    <row r="36" spans="2:10" x14ac:dyDescent="0.25">
      <c r="B36" s="83"/>
      <c r="C36" s="80"/>
      <c r="D36" s="80"/>
      <c r="E36" s="80"/>
      <c r="F36" s="75"/>
      <c r="G36" s="75"/>
      <c r="H36" s="75"/>
      <c r="I36" s="111"/>
      <c r="J36" s="111"/>
    </row>
    <row r="37" spans="2:10" x14ac:dyDescent="0.25">
      <c r="B37" s="83"/>
      <c r="C37" s="80"/>
      <c r="D37" s="80"/>
      <c r="E37" s="80"/>
      <c r="F37" s="75"/>
      <c r="G37" s="75"/>
      <c r="H37" s="75"/>
      <c r="I37" s="111"/>
      <c r="J37" s="111"/>
    </row>
    <row r="38" spans="2:10" x14ac:dyDescent="0.25">
      <c r="B38" s="83"/>
      <c r="C38" s="80"/>
      <c r="D38" s="80"/>
      <c r="E38" s="80"/>
      <c r="F38" s="75"/>
      <c r="G38" s="75"/>
      <c r="H38" s="75"/>
      <c r="I38" s="111"/>
      <c r="J38" s="111"/>
    </row>
    <row r="39" spans="2:10" x14ac:dyDescent="0.25">
      <c r="B39" s="83"/>
      <c r="C39" s="80"/>
      <c r="D39" s="80"/>
      <c r="E39" s="80"/>
      <c r="F39" s="75"/>
      <c r="G39" s="75"/>
      <c r="H39" s="75"/>
      <c r="I39" s="111"/>
      <c r="J39" s="111"/>
    </row>
    <row r="40" spans="2:10" s="7" customFormat="1" x14ac:dyDescent="0.25">
      <c r="B40" s="119"/>
      <c r="C40" s="108"/>
      <c r="D40" s="108"/>
      <c r="E40" s="108"/>
      <c r="F40" s="121"/>
      <c r="G40" s="121"/>
      <c r="H40" s="121"/>
      <c r="I40" s="122"/>
      <c r="J40" s="111"/>
    </row>
    <row r="41" spans="2:10" s="7" customFormat="1" x14ac:dyDescent="0.25">
      <c r="B41" s="119"/>
      <c r="C41" s="108"/>
      <c r="D41" s="108"/>
      <c r="E41" s="108"/>
      <c r="F41" s="121"/>
      <c r="G41" s="121"/>
      <c r="H41" s="121"/>
      <c r="I41" s="122"/>
      <c r="J41" s="111"/>
    </row>
    <row r="42" spans="2:10" x14ac:dyDescent="0.25">
      <c r="B42" s="83"/>
      <c r="C42" s="80"/>
      <c r="D42" s="80"/>
      <c r="E42" s="108"/>
      <c r="F42" s="75"/>
      <c r="G42" s="75"/>
      <c r="H42" s="75"/>
      <c r="I42" s="111"/>
      <c r="J42" s="111"/>
    </row>
    <row r="43" spans="2:10" s="7" customFormat="1" x14ac:dyDescent="0.25">
      <c r="B43" s="83"/>
      <c r="C43" s="80"/>
      <c r="D43" s="80"/>
      <c r="E43" s="80"/>
      <c r="F43" s="75"/>
      <c r="G43" s="75"/>
      <c r="H43" s="75"/>
      <c r="I43" s="75"/>
      <c r="J43" s="75"/>
    </row>
    <row r="44" spans="2:10" s="7" customFormat="1" x14ac:dyDescent="0.25">
      <c r="B44" s="119"/>
      <c r="C44" s="108"/>
      <c r="D44" s="108"/>
      <c r="E44" s="108"/>
      <c r="F44" s="121"/>
      <c r="G44" s="121"/>
      <c r="H44" s="121"/>
      <c r="I44" s="122"/>
      <c r="J44" s="111"/>
    </row>
    <row r="45" spans="2:10" x14ac:dyDescent="0.25">
      <c r="B45" s="119"/>
      <c r="C45" s="108"/>
      <c r="D45" s="108"/>
      <c r="E45" s="108"/>
      <c r="F45" s="121"/>
      <c r="G45" s="121"/>
      <c r="H45" s="121"/>
      <c r="I45" s="122"/>
      <c r="J45" s="111"/>
    </row>
    <row r="46" spans="2:10" x14ac:dyDescent="0.25">
      <c r="B46" s="83"/>
      <c r="C46" s="80"/>
      <c r="D46" s="80"/>
      <c r="E46" s="80"/>
      <c r="F46" s="75"/>
      <c r="G46" s="75"/>
      <c r="H46" s="75"/>
      <c r="I46" s="75"/>
      <c r="J46" s="75"/>
    </row>
    <row r="47" spans="2:10" x14ac:dyDescent="0.25">
      <c r="B47" s="83"/>
      <c r="C47" s="80"/>
      <c r="D47" s="80"/>
      <c r="E47" s="80"/>
      <c r="F47" s="75"/>
      <c r="G47" s="75"/>
      <c r="H47" s="75"/>
      <c r="I47" s="75"/>
      <c r="J47" s="75"/>
    </row>
    <row r="48" spans="2:10" s="7" customFormat="1" x14ac:dyDescent="0.25">
      <c r="B48" s="119"/>
      <c r="C48" s="80"/>
      <c r="D48" s="108"/>
      <c r="E48" s="108"/>
      <c r="F48" s="121"/>
      <c r="G48" s="122"/>
      <c r="H48" s="122"/>
      <c r="I48" s="122"/>
      <c r="J48" s="111"/>
    </row>
    <row r="49" spans="2:10" s="7" customFormat="1" x14ac:dyDescent="0.25">
      <c r="B49" s="119"/>
      <c r="C49" s="80"/>
      <c r="D49" s="108"/>
      <c r="E49" s="108"/>
      <c r="F49" s="121"/>
      <c r="G49" s="121"/>
      <c r="H49" s="121"/>
      <c r="I49" s="122"/>
      <c r="J49" s="111"/>
    </row>
    <row r="50" spans="2:10" s="7" customFormat="1" x14ac:dyDescent="0.25">
      <c r="B50" s="119"/>
      <c r="C50" s="108"/>
      <c r="D50" s="108"/>
      <c r="E50" s="108"/>
      <c r="F50" s="121"/>
      <c r="G50" s="121"/>
      <c r="H50" s="121"/>
      <c r="I50" s="122"/>
      <c r="J50" s="111"/>
    </row>
    <row r="51" spans="2:10" s="7" customFormat="1" x14ac:dyDescent="0.25">
      <c r="B51" s="119"/>
      <c r="C51" s="108"/>
      <c r="D51" s="108"/>
      <c r="E51" s="108"/>
      <c r="F51" s="121"/>
      <c r="G51" s="121"/>
      <c r="H51" s="121"/>
      <c r="I51" s="122"/>
      <c r="J51" s="111"/>
    </row>
    <row r="52" spans="2:10" s="7" customFormat="1" x14ac:dyDescent="0.25">
      <c r="B52" s="119"/>
      <c r="C52" s="108"/>
      <c r="D52" s="108"/>
      <c r="E52" s="108"/>
      <c r="F52" s="121"/>
      <c r="G52" s="121"/>
      <c r="H52" s="121"/>
      <c r="I52" s="121"/>
      <c r="J52" s="75"/>
    </row>
    <row r="53" spans="2:10" x14ac:dyDescent="0.25">
      <c r="B53" s="83"/>
      <c r="C53" s="80"/>
      <c r="D53" s="80"/>
      <c r="E53" s="80"/>
      <c r="F53" s="75"/>
      <c r="G53" s="75"/>
      <c r="H53" s="75"/>
      <c r="I53" s="75"/>
      <c r="J53" s="75"/>
    </row>
    <row r="54" spans="2:10" x14ac:dyDescent="0.25">
      <c r="B54" s="85"/>
      <c r="C54" s="86"/>
      <c r="D54" s="86"/>
      <c r="E54" s="86"/>
      <c r="F54" s="87"/>
      <c r="G54" s="87"/>
      <c r="H54" s="87"/>
      <c r="I54" s="87"/>
      <c r="J54" s="87"/>
    </row>
  </sheetData>
  <mergeCells count="1">
    <mergeCell ref="B1:J1"/>
  </mergeCell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39D993A-5C35-4931-A7FE-59D75C609BB4}">
          <x14:formula1>
            <xm:f>'Liste déroulante '!$Z$3:$Z$4</xm:f>
          </x14:formula1>
          <xm:sqref>G3:G54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DD2A-0E7A-4A44-BD0A-70E1626619E9}">
  <sheetPr>
    <tabColor rgb="FFFF3399"/>
  </sheetPr>
  <dimension ref="B1:AB14"/>
  <sheetViews>
    <sheetView topLeftCell="E1" workbookViewId="0">
      <selection activeCell="O12" sqref="O12"/>
    </sheetView>
  </sheetViews>
  <sheetFormatPr baseColWidth="10" defaultColWidth="11.42578125" defaultRowHeight="15" x14ac:dyDescent="0.25"/>
  <cols>
    <col min="6" max="6" width="11.42578125" customWidth="1"/>
    <col min="8" max="8" width="31" customWidth="1"/>
    <col min="20" max="20" width="20.7109375" customWidth="1"/>
    <col min="24" max="24" width="14.42578125" customWidth="1"/>
    <col min="26" max="26" width="18.5703125" customWidth="1"/>
    <col min="28" max="28" width="18.5703125" customWidth="1"/>
  </cols>
  <sheetData>
    <row r="1" spans="2:28" x14ac:dyDescent="0.25">
      <c r="B1" s="575" t="s">
        <v>1635</v>
      </c>
      <c r="C1" s="575"/>
      <c r="D1" s="575"/>
      <c r="E1" s="575"/>
      <c r="F1" s="575"/>
      <c r="H1" s="575" t="s">
        <v>1636</v>
      </c>
      <c r="I1" s="575"/>
      <c r="K1" s="575" t="s">
        <v>1637</v>
      </c>
      <c r="L1" s="575"/>
      <c r="M1" s="575"/>
      <c r="N1" s="575"/>
      <c r="O1" s="575"/>
      <c r="P1" s="575"/>
      <c r="Q1" s="575"/>
      <c r="R1" s="575"/>
      <c r="T1" s="575" t="s">
        <v>277</v>
      </c>
      <c r="U1" s="575"/>
      <c r="V1" s="575"/>
      <c r="X1" s="347" t="s">
        <v>1638</v>
      </c>
      <c r="Z1" s="347" t="s">
        <v>1639</v>
      </c>
      <c r="AB1" s="347" t="s">
        <v>1640</v>
      </c>
    </row>
    <row r="2" spans="2:28" ht="75" x14ac:dyDescent="0.25">
      <c r="B2" s="298" t="s">
        <v>1641</v>
      </c>
      <c r="C2" s="298" t="s">
        <v>1642</v>
      </c>
      <c r="D2" s="298" t="s">
        <v>1641</v>
      </c>
      <c r="E2" s="298" t="s">
        <v>1643</v>
      </c>
      <c r="F2" s="298" t="s">
        <v>1644</v>
      </c>
      <c r="H2" s="298" t="s">
        <v>1645</v>
      </c>
      <c r="I2" s="298" t="s">
        <v>1646</v>
      </c>
      <c r="K2" s="298" t="s">
        <v>1647</v>
      </c>
      <c r="L2" s="298" t="s">
        <v>1648</v>
      </c>
      <c r="M2" s="298" t="s">
        <v>1649</v>
      </c>
      <c r="N2" s="298" t="s">
        <v>1650</v>
      </c>
      <c r="O2" s="298" t="s">
        <v>1651</v>
      </c>
      <c r="P2" s="298" t="s">
        <v>1652</v>
      </c>
      <c r="Q2" s="298" t="s">
        <v>1643</v>
      </c>
      <c r="R2" s="298" t="s">
        <v>1653</v>
      </c>
      <c r="T2" s="298" t="s">
        <v>1654</v>
      </c>
      <c r="U2" s="298" t="s">
        <v>1642</v>
      </c>
      <c r="V2" s="298" t="s">
        <v>1643</v>
      </c>
      <c r="X2" s="298" t="s">
        <v>1655</v>
      </c>
      <c r="Z2" s="298" t="s">
        <v>1646</v>
      </c>
      <c r="AB2" s="298" t="s">
        <v>1646</v>
      </c>
    </row>
    <row r="3" spans="2:28" ht="45" x14ac:dyDescent="0.25">
      <c r="B3" t="s">
        <v>1121</v>
      </c>
      <c r="C3" t="s">
        <v>663</v>
      </c>
      <c r="D3" s="6" t="str">
        <f>"À jour"</f>
        <v>À jour</v>
      </c>
      <c r="E3" t="s">
        <v>39</v>
      </c>
      <c r="F3" t="s">
        <v>583</v>
      </c>
      <c r="H3" s="199" t="s">
        <v>1514</v>
      </c>
      <c r="I3" t="s">
        <v>39</v>
      </c>
      <c r="K3" t="s">
        <v>61</v>
      </c>
      <c r="L3" t="s">
        <v>39</v>
      </c>
      <c r="M3" t="s">
        <v>39</v>
      </c>
      <c r="N3" t="s">
        <v>39</v>
      </c>
      <c r="O3" t="s">
        <v>39</v>
      </c>
      <c r="P3" t="s">
        <v>39</v>
      </c>
      <c r="Q3" t="s">
        <v>39</v>
      </c>
      <c r="R3" t="s">
        <v>39</v>
      </c>
      <c r="T3" t="s">
        <v>658</v>
      </c>
      <c r="U3" t="s">
        <v>663</v>
      </c>
      <c r="V3" t="s">
        <v>39</v>
      </c>
      <c r="X3" t="s">
        <v>1466</v>
      </c>
      <c r="Z3" t="s">
        <v>39</v>
      </c>
      <c r="AB3" t="s">
        <v>39</v>
      </c>
    </row>
    <row r="4" spans="2:28" ht="30" x14ac:dyDescent="0.25">
      <c r="B4" t="s">
        <v>1194</v>
      </c>
      <c r="C4" s="40"/>
      <c r="D4" s="6" t="str">
        <f>"En cours"</f>
        <v>En cours</v>
      </c>
      <c r="E4" t="s">
        <v>48</v>
      </c>
      <c r="F4" t="s">
        <v>1183</v>
      </c>
      <c r="H4" s="199" t="s">
        <v>1508</v>
      </c>
      <c r="I4" t="s">
        <v>48</v>
      </c>
      <c r="K4" t="s">
        <v>44</v>
      </c>
      <c r="L4" t="s">
        <v>48</v>
      </c>
      <c r="M4" t="s">
        <v>48</v>
      </c>
      <c r="N4" t="s">
        <v>48</v>
      </c>
      <c r="O4" t="s">
        <v>48</v>
      </c>
      <c r="P4" t="s">
        <v>48</v>
      </c>
      <c r="Q4" t="s">
        <v>48</v>
      </c>
      <c r="R4" t="s">
        <v>48</v>
      </c>
      <c r="T4" t="s">
        <v>673</v>
      </c>
      <c r="V4" t="s">
        <v>48</v>
      </c>
      <c r="X4" t="s">
        <v>1485</v>
      </c>
      <c r="Z4" t="s">
        <v>48</v>
      </c>
      <c r="AB4" t="s">
        <v>48</v>
      </c>
    </row>
    <row r="5" spans="2:28" ht="30" x14ac:dyDescent="0.25">
      <c r="B5" t="s">
        <v>1182</v>
      </c>
      <c r="D5" s="6" t="str">
        <f>"En retard"</f>
        <v>En retard</v>
      </c>
      <c r="F5" t="s">
        <v>1129</v>
      </c>
      <c r="H5" s="199" t="s">
        <v>1519</v>
      </c>
      <c r="K5" t="s">
        <v>52</v>
      </c>
      <c r="M5" t="s">
        <v>65</v>
      </c>
      <c r="R5" t="s">
        <v>1656</v>
      </c>
      <c r="X5" t="s">
        <v>1471</v>
      </c>
    </row>
    <row r="6" spans="2:28" ht="30" x14ac:dyDescent="0.25">
      <c r="B6" t="s">
        <v>1657</v>
      </c>
      <c r="D6" s="6"/>
      <c r="F6" t="s">
        <v>1218</v>
      </c>
      <c r="H6" s="199" t="s">
        <v>1536</v>
      </c>
      <c r="K6" t="s">
        <v>36</v>
      </c>
      <c r="M6" t="s">
        <v>203</v>
      </c>
    </row>
    <row r="7" spans="2:28" ht="45" x14ac:dyDescent="0.25">
      <c r="B7" t="s">
        <v>1376</v>
      </c>
      <c r="D7" s="6"/>
      <c r="F7" t="s">
        <v>1223</v>
      </c>
      <c r="H7" s="199" t="s">
        <v>1548</v>
      </c>
      <c r="K7" t="s">
        <v>1661</v>
      </c>
    </row>
    <row r="8" spans="2:28" ht="45" x14ac:dyDescent="0.25">
      <c r="F8" t="s">
        <v>1180</v>
      </c>
      <c r="H8" s="199" t="s">
        <v>1658</v>
      </c>
      <c r="K8" t="s">
        <v>1690</v>
      </c>
    </row>
    <row r="9" spans="2:28" ht="45" x14ac:dyDescent="0.25">
      <c r="F9" t="s">
        <v>1249</v>
      </c>
      <c r="H9" s="199" t="s">
        <v>1659</v>
      </c>
    </row>
    <row r="10" spans="2:28" x14ac:dyDescent="0.25">
      <c r="F10" t="s">
        <v>1660</v>
      </c>
    </row>
    <row r="11" spans="2:28" x14ac:dyDescent="0.25">
      <c r="F11" t="s">
        <v>1118</v>
      </c>
    </row>
    <row r="12" spans="2:28" x14ac:dyDescent="0.25">
      <c r="F12" t="s">
        <v>1249</v>
      </c>
    </row>
    <row r="13" spans="2:28" x14ac:dyDescent="0.25">
      <c r="F13" t="s">
        <v>1357</v>
      </c>
    </row>
    <row r="14" spans="2:28" x14ac:dyDescent="0.25">
      <c r="F14" t="s">
        <v>1129</v>
      </c>
    </row>
  </sheetData>
  <mergeCells count="4">
    <mergeCell ref="B1:F1"/>
    <mergeCell ref="H1:I1"/>
    <mergeCell ref="T1:V1"/>
    <mergeCell ref="K1:R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tabColor rgb="FFFFCC99"/>
  </sheetPr>
  <dimension ref="B1:G23"/>
  <sheetViews>
    <sheetView zoomScale="70" zoomScaleNormal="70" workbookViewId="0">
      <selection activeCell="K7" sqref="K7"/>
    </sheetView>
  </sheetViews>
  <sheetFormatPr baseColWidth="10" defaultColWidth="11.42578125" defaultRowHeight="15" x14ac:dyDescent="0.25"/>
  <cols>
    <col min="1" max="1" width="11.42578125" style="6"/>
    <col min="2" max="2" width="24" style="6" customWidth="1"/>
    <col min="3" max="3" width="33" style="6" customWidth="1"/>
    <col min="4" max="4" width="42" style="6" customWidth="1"/>
    <col min="5" max="5" width="56" style="6" customWidth="1"/>
    <col min="6" max="6" width="34.42578125" style="7" customWidth="1"/>
    <col min="7" max="7" width="21.42578125" style="6" customWidth="1"/>
    <col min="8" max="16384" width="11.42578125" style="6"/>
  </cols>
  <sheetData>
    <row r="1" spans="2:7" ht="33" x14ac:dyDescent="0.25">
      <c r="B1" s="570" t="s">
        <v>1572</v>
      </c>
      <c r="C1" s="571"/>
      <c r="D1" s="571"/>
      <c r="E1" s="571"/>
      <c r="F1" s="571"/>
      <c r="G1" s="572"/>
    </row>
    <row r="2" spans="2:7" s="38" customFormat="1" ht="22.5" customHeight="1" x14ac:dyDescent="0.25">
      <c r="B2" s="97" t="s">
        <v>1573</v>
      </c>
      <c r="C2" s="98" t="s">
        <v>1574</v>
      </c>
      <c r="D2" s="98" t="s">
        <v>1575</v>
      </c>
      <c r="E2" s="98" t="s">
        <v>1576</v>
      </c>
      <c r="F2" s="100" t="s">
        <v>1503</v>
      </c>
      <c r="G2" s="99" t="s">
        <v>1577</v>
      </c>
    </row>
    <row r="3" spans="2:7" ht="121.5" customHeight="1" x14ac:dyDescent="0.25">
      <c r="B3" s="89" t="s">
        <v>645</v>
      </c>
      <c r="C3" s="7" t="s">
        <v>1578</v>
      </c>
      <c r="D3" s="90" t="s">
        <v>1579</v>
      </c>
      <c r="E3" s="7" t="s">
        <v>1580</v>
      </c>
      <c r="G3" s="91" t="s">
        <v>1581</v>
      </c>
    </row>
    <row r="4" spans="2:7" ht="45" x14ac:dyDescent="0.25">
      <c r="B4" s="92" t="s">
        <v>1582</v>
      </c>
      <c r="C4" s="6" t="s">
        <v>1583</v>
      </c>
      <c r="D4" s="6" t="s">
        <v>1584</v>
      </c>
      <c r="E4" s="90" t="s">
        <v>1585</v>
      </c>
      <c r="F4" s="7" t="s">
        <v>1586</v>
      </c>
      <c r="G4" s="93" t="s">
        <v>1581</v>
      </c>
    </row>
    <row r="5" spans="2:7" ht="45" x14ac:dyDescent="0.25">
      <c r="B5" s="92" t="s">
        <v>1587</v>
      </c>
      <c r="C5" s="6" t="s">
        <v>1588</v>
      </c>
      <c r="D5" s="6" t="s">
        <v>1589</v>
      </c>
      <c r="E5" s="7" t="s">
        <v>1590</v>
      </c>
      <c r="F5" s="7" t="s">
        <v>1591</v>
      </c>
      <c r="G5" s="93" t="s">
        <v>1581</v>
      </c>
    </row>
    <row r="6" spans="2:7" ht="60" x14ac:dyDescent="0.25">
      <c r="B6" s="92" t="s">
        <v>1587</v>
      </c>
      <c r="C6" s="6" t="s">
        <v>1592</v>
      </c>
      <c r="D6" s="6" t="s">
        <v>1593</v>
      </c>
      <c r="E6" s="7" t="s">
        <v>1594</v>
      </c>
      <c r="F6" s="7" t="s">
        <v>1595</v>
      </c>
      <c r="G6" s="93" t="s">
        <v>1581</v>
      </c>
    </row>
    <row r="7" spans="2:7" ht="60" x14ac:dyDescent="0.25">
      <c r="B7" s="92" t="s">
        <v>1596</v>
      </c>
      <c r="C7" s="7" t="s">
        <v>1597</v>
      </c>
      <c r="D7" s="6" t="s">
        <v>1598</v>
      </c>
      <c r="E7" s="7" t="s">
        <v>1599</v>
      </c>
      <c r="G7" s="93" t="s">
        <v>1581</v>
      </c>
    </row>
    <row r="8" spans="2:7" ht="57" customHeight="1" x14ac:dyDescent="0.25">
      <c r="B8" s="92" t="s">
        <v>1600</v>
      </c>
      <c r="C8" s="6" t="s">
        <v>1601</v>
      </c>
      <c r="D8" s="6" t="s">
        <v>1602</v>
      </c>
      <c r="E8" s="7" t="s">
        <v>1603</v>
      </c>
      <c r="F8" s="7" t="s">
        <v>1604</v>
      </c>
      <c r="G8" s="93" t="s">
        <v>1581</v>
      </c>
    </row>
    <row r="9" spans="2:7" ht="45" x14ac:dyDescent="0.25">
      <c r="B9" s="92" t="s">
        <v>1605</v>
      </c>
      <c r="C9" s="6" t="s">
        <v>1606</v>
      </c>
      <c r="D9" s="6" t="s">
        <v>1607</v>
      </c>
      <c r="E9" s="7" t="s">
        <v>1608</v>
      </c>
      <c r="F9" s="7" t="s">
        <v>1609</v>
      </c>
      <c r="G9" s="93" t="s">
        <v>1581</v>
      </c>
    </row>
    <row r="10" spans="2:7" ht="56.1" customHeight="1" x14ac:dyDescent="0.25">
      <c r="B10" s="89" t="s">
        <v>1610</v>
      </c>
      <c r="C10" s="7" t="s">
        <v>1611</v>
      </c>
      <c r="D10" s="6" t="s">
        <v>1612</v>
      </c>
      <c r="E10" s="118" t="s">
        <v>1613</v>
      </c>
      <c r="G10" s="93" t="s">
        <v>801</v>
      </c>
    </row>
    <row r="11" spans="2:7" ht="45" x14ac:dyDescent="0.25">
      <c r="B11" s="89" t="s">
        <v>645</v>
      </c>
      <c r="C11" s="7" t="s">
        <v>1614</v>
      </c>
      <c r="D11" s="6" t="s">
        <v>1615</v>
      </c>
      <c r="E11" s="118" t="s">
        <v>1616</v>
      </c>
      <c r="G11" s="93" t="s">
        <v>801</v>
      </c>
    </row>
    <row r="12" spans="2:7" ht="30" x14ac:dyDescent="0.25">
      <c r="B12" s="92" t="s">
        <v>1596</v>
      </c>
      <c r="C12" s="7" t="s">
        <v>1617</v>
      </c>
      <c r="D12" s="6" t="s">
        <v>1618</v>
      </c>
      <c r="G12" s="93"/>
    </row>
    <row r="13" spans="2:7" x14ac:dyDescent="0.25">
      <c r="B13" s="92" t="s">
        <v>1596</v>
      </c>
      <c r="C13" s="7" t="s">
        <v>1619</v>
      </c>
      <c r="D13" s="6" t="s">
        <v>1620</v>
      </c>
      <c r="E13" s="118" t="s">
        <v>1621</v>
      </c>
      <c r="F13" s="7" t="s">
        <v>1622</v>
      </c>
      <c r="G13" s="93" t="s">
        <v>1581</v>
      </c>
    </row>
    <row r="14" spans="2:7" ht="45" x14ac:dyDescent="0.25">
      <c r="B14" s="89" t="s">
        <v>1610</v>
      </c>
      <c r="C14" s="7" t="s">
        <v>1623</v>
      </c>
      <c r="D14" s="6" t="s">
        <v>1624</v>
      </c>
      <c r="E14" s="118" t="s">
        <v>1625</v>
      </c>
      <c r="F14" s="7" t="s">
        <v>1626</v>
      </c>
      <c r="G14" s="93" t="s">
        <v>1627</v>
      </c>
    </row>
    <row r="15" spans="2:7" ht="45" x14ac:dyDescent="0.25">
      <c r="B15" s="89" t="s">
        <v>645</v>
      </c>
      <c r="C15" s="6" t="s">
        <v>1628</v>
      </c>
      <c r="D15" s="6" t="s">
        <v>1629</v>
      </c>
      <c r="E15" s="7" t="s">
        <v>1630</v>
      </c>
      <c r="F15" s="7" t="s">
        <v>1631</v>
      </c>
      <c r="G15" s="93" t="s">
        <v>1581</v>
      </c>
    </row>
    <row r="16" spans="2:7" ht="45" x14ac:dyDescent="0.25">
      <c r="B16" s="92" t="s">
        <v>1596</v>
      </c>
      <c r="C16" s="6" t="s">
        <v>1632</v>
      </c>
      <c r="D16" s="6" t="s">
        <v>1633</v>
      </c>
      <c r="E16" s="7" t="s">
        <v>1634</v>
      </c>
      <c r="G16" s="93" t="s">
        <v>1581</v>
      </c>
    </row>
    <row r="17" spans="2:7" x14ac:dyDescent="0.25">
      <c r="B17" s="92"/>
      <c r="G17" s="93"/>
    </row>
    <row r="18" spans="2:7" x14ac:dyDescent="0.25">
      <c r="B18" s="92"/>
      <c r="G18" s="93"/>
    </row>
    <row r="19" spans="2:7" x14ac:dyDescent="0.25">
      <c r="B19" s="92"/>
      <c r="G19" s="93"/>
    </row>
    <row r="20" spans="2:7" x14ac:dyDescent="0.25">
      <c r="B20" s="92"/>
      <c r="G20" s="93"/>
    </row>
    <row r="21" spans="2:7" x14ac:dyDescent="0.25">
      <c r="B21" s="92"/>
      <c r="G21" s="93"/>
    </row>
    <row r="22" spans="2:7" x14ac:dyDescent="0.25">
      <c r="B22" s="92"/>
      <c r="G22" s="93"/>
    </row>
    <row r="23" spans="2:7" ht="15.75" thickBot="1" x14ac:dyDescent="0.3">
      <c r="B23" s="94"/>
      <c r="C23" s="95"/>
      <c r="D23" s="95"/>
      <c r="E23" s="95"/>
      <c r="F23" s="101"/>
      <c r="G23" s="96"/>
    </row>
  </sheetData>
  <mergeCells count="1">
    <mergeCell ref="B1:G1"/>
  </mergeCells>
  <hyperlinks>
    <hyperlink ref="D3" r:id="rId1" xr:uid="{00000000-0004-0000-0900-000000000000}"/>
    <hyperlink ref="E4" r:id="rId2" xr:uid="{00000000-0004-0000-0900-000001000000}"/>
    <hyperlink ref="E10" r:id="rId3" xr:uid="{00000000-0004-0000-0900-000002000000}"/>
    <hyperlink ref="E11" r:id="rId4" xr:uid="{F798E94A-CF16-43EE-9388-34DE5141CE8D}"/>
    <hyperlink ref="E13" r:id="rId5" xr:uid="{BECA7101-D6B7-41AB-8D32-BFBD699BD45F}"/>
    <hyperlink ref="E14" r:id="rId6" xr:uid="{EE0E4FD3-B398-4F23-8738-17BE66451F51}"/>
  </hyperlinks>
  <pageMargins left="0.7" right="0.7" top="0.75" bottom="0.75" header="0.3" footer="0.3"/>
  <pageSetup paperSize="9" orientation="portrait" r:id="rId7"/>
  <tableParts count="1">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4d956348-a4a5-4cca-8970-e9b577b34757">
      <UserInfo>
        <DisplayName>LOMBARTEIX Lucie</DisplayName>
        <AccountId>829</AccountId>
        <AccountType/>
      </UserInfo>
      <UserInfo>
        <DisplayName>BARTOLL Virginie</DisplayName>
        <AccountId>923</AccountId>
        <AccountType/>
      </UserInfo>
      <UserInfo>
        <DisplayName>CHASSAGNOL Florian</DisplayName>
        <AccountId>187</AccountId>
        <AccountType/>
      </UserInfo>
    </SharedWithUsers>
    <lcf76f155ced4ddcb4097134ff3c332f xmlns="2b08119c-4ffc-43a2-b134-d88dabf82b80">
      <Terms xmlns="http://schemas.microsoft.com/office/infopath/2007/PartnerControls"/>
    </lcf76f155ced4ddcb4097134ff3c332f>
    <TaxCatchAll xmlns="4d956348-a4a5-4cca-8970-e9b577b34757" xsi:nil="true"/>
    <_Flow_SignoffStatus xmlns="2b08119c-4ffc-43a2-b134-d88dabf82b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73EB7A558BA74F96061ECE72BABEFA" ma:contentTypeVersion="21" ma:contentTypeDescription="Crée un document." ma:contentTypeScope="" ma:versionID="ad69cc8b806fb8e8bbc0beab28ac5d23">
  <xsd:schema xmlns:xsd="http://www.w3.org/2001/XMLSchema" xmlns:xs="http://www.w3.org/2001/XMLSchema" xmlns:p="http://schemas.microsoft.com/office/2006/metadata/properties" xmlns:ns2="2b08119c-4ffc-43a2-b134-d88dabf82b80" xmlns:ns3="4d956348-a4a5-4cca-8970-e9b577b34757" targetNamespace="http://schemas.microsoft.com/office/2006/metadata/properties" ma:root="true" ma:fieldsID="7efeb437a4fae6c8406c6f0dd5efeae5" ns2:_="" ns3:_="">
    <xsd:import namespace="2b08119c-4ffc-43a2-b134-d88dabf82b80"/>
    <xsd:import namespace="4d956348-a4a5-4cca-8970-e9b577b347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08119c-4ffc-43a2-b134-d88dabf82b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État de validation" ma:internalName="_x00c9_tat_x0020_de_x0020_validation">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2de30655-58d6-405c-b76f-318c55c6c9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956348-a4a5-4cca-8970-e9b577b3475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eae9e6bc-d0b2-4bb0-baa1-8d6a177df494}" ma:internalName="TaxCatchAll" ma:showField="CatchAllData" ma:web="4d956348-a4a5-4cca-8970-e9b577b347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7E1042-4948-4F6E-92D6-1234021AA82E}">
  <ds:schemaRefs>
    <ds:schemaRef ds:uri="http://schemas.microsoft.com/office/2006/metadata/properties"/>
    <ds:schemaRef ds:uri="http://schemas.microsoft.com/office/infopath/2007/PartnerControls"/>
    <ds:schemaRef ds:uri="938a24c4-9139-440b-8ca5-dfbd373fdac0"/>
    <ds:schemaRef ds:uri="49837bdc-7686-42ce-b483-4e6ae335de46"/>
    <ds:schemaRef ds:uri="4d956348-a4a5-4cca-8970-e9b577b34757"/>
    <ds:schemaRef ds:uri="2b08119c-4ffc-43a2-b134-d88dabf82b80"/>
  </ds:schemaRefs>
</ds:datastoreItem>
</file>

<file path=customXml/itemProps2.xml><?xml version="1.0" encoding="utf-8"?>
<ds:datastoreItem xmlns:ds="http://schemas.openxmlformats.org/officeDocument/2006/customXml" ds:itemID="{29F87F8F-CF1C-4DE8-8469-772E6BAC1A09}">
  <ds:schemaRefs>
    <ds:schemaRef ds:uri="http://schemas.microsoft.com/sharepoint/v3/contenttype/forms"/>
  </ds:schemaRefs>
</ds:datastoreItem>
</file>

<file path=customXml/itemProps3.xml><?xml version="1.0" encoding="utf-8"?>
<ds:datastoreItem xmlns:ds="http://schemas.openxmlformats.org/officeDocument/2006/customXml" ds:itemID="{5D2DB6A6-74AD-4B3F-BAED-620611D860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08119c-4ffc-43a2-b134-d88dabf82b80"/>
    <ds:schemaRef ds:uri="4d956348-a4a5-4cca-8970-e9b577b347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d7ef55b-d006-4101-afe3-f2bbfa26e84b}" enabled="0" method="" siteId="{7d7ef55b-d006-4101-afe3-f2bbfa26e84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10</vt:i4>
      </vt:variant>
      <vt:variant>
        <vt:lpstr>Plages nommées</vt:lpstr>
      </vt:variant>
      <vt:variant>
        <vt:i4>4</vt:i4>
      </vt:variant>
    </vt:vector>
  </HeadingPairs>
  <TitlesOfParts>
    <vt:vector size="14" baseType="lpstr">
      <vt:lpstr>Registre des AT</vt:lpstr>
      <vt:lpstr> Suivi Obj PASD 1-4 d'h FNC FAE</vt:lpstr>
      <vt:lpstr> PASD Détails</vt:lpstr>
      <vt:lpstr>Plan d'action </vt:lpstr>
      <vt:lpstr>Test Alcool + stup</vt:lpstr>
      <vt:lpstr>non-respect Règles vitales  </vt:lpstr>
      <vt:lpstr>Non respect EPI</vt:lpstr>
      <vt:lpstr>ARRET CHANTIER</vt:lpstr>
      <vt:lpstr>Liste déroulante </vt:lpstr>
      <vt:lpstr>Fournisseurs</vt:lpstr>
      <vt:lpstr>'Plan d''action '!Impression_des_titres</vt:lpstr>
      <vt:lpstr>'Plan d''action '!Titre1</vt:lpstr>
      <vt:lpstr>'Plan d''action '!Zone_d_impression</vt:lpstr>
      <vt:lpstr>'Registre des AT'!Zone_d_impression</vt:lpstr>
    </vt:vector>
  </TitlesOfParts>
  <Manager/>
  <Company>NGE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DIOP Adja Rose</dc:creator>
  <cp:keywords/>
  <dc:description/>
  <cp:lastModifiedBy>COSTA PEREIRA Marco paulo</cp:lastModifiedBy>
  <cp:revision/>
  <dcterms:created xsi:type="dcterms:W3CDTF">2020-07-20T09:06:31Z</dcterms:created>
  <dcterms:modified xsi:type="dcterms:W3CDTF">2026-05-13T12:35:44Z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0x0101006273EB7A558BA74F96061ECE72BABEFA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