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e1-my.sharepoint.com/personal/jmahiques_groupe-nge_fr/Documents/LABORATOIRE PACA/FORMATION/DST GT6/"/>
    </mc:Choice>
  </mc:AlternateContent>
  <xr:revisionPtr revIDLastSave="1" documentId="8_{883F9E99-C65A-46CC-958C-AB8CB00CCA4D}" xr6:coauthVersionLast="47" xr6:coauthVersionMax="47" xr10:uidLastSave="{75F5C3BE-A021-44B5-84C2-9A3A5CDEF4C6}"/>
  <bookViews>
    <workbookView xWindow="28680" yWindow="-120" windowWidth="29040" windowHeight="15720" firstSheet="1" xr2:uid="{02C97820-84B7-45E1-81D7-0F99FAF028FD}"/>
  </bookViews>
  <sheets>
    <sheet name="GTR" sheetId="2" r:id="rId1"/>
    <sheet name="Fragmentabilité - Dégradabilité" sheetId="4" r:id="rId2"/>
  </sheets>
  <definedNames>
    <definedName name="_xlnm.Print_Area" localSheetId="1">'Fragmentabilité - Dégradabilité'!$A$1:$U$73</definedName>
    <definedName name="_xlnm.Print_Area" localSheetId="0">GTR!$A$1:$W$75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2" l="1"/>
  <c r="N61" i="2"/>
  <c r="E63" i="2"/>
  <c r="E61" i="2"/>
  <c r="N53" i="2"/>
  <c r="N52" i="2"/>
  <c r="E53" i="2"/>
  <c r="E28" i="2"/>
  <c r="E27" i="2"/>
  <c r="E25" i="2"/>
  <c r="E46" i="2"/>
  <c r="E45" i="2"/>
  <c r="E43" i="2"/>
  <c r="E37" i="2"/>
  <c r="E36" i="2"/>
  <c r="E34" i="2"/>
</calcChain>
</file>

<file path=xl/sharedStrings.xml><?xml version="1.0" encoding="utf-8"?>
<sst xmlns="http://schemas.openxmlformats.org/spreadsheetml/2006/main" count="154" uniqueCount="71">
  <si>
    <t xml:space="preserve">Essais d'identifications des sols
(NF EN13286-2 / NF EN13286-47)
</t>
  </si>
  <si>
    <t>N° de fiche</t>
  </si>
  <si>
    <t>N° d'affaire</t>
  </si>
  <si>
    <t>Date d' émission</t>
  </si>
  <si>
    <t>OPN -01</t>
  </si>
  <si>
    <t xml:space="preserve">Laboratoire PACA : </t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</si>
  <si>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</si>
  <si>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</si>
  <si>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>Nature du matériau :</t>
  </si>
  <si>
    <t xml:space="preserve">Date de réception : </t>
  </si>
  <si>
    <t>Provenance :</t>
  </si>
  <si>
    <t>Date de(s) essai(s) :</t>
  </si>
  <si>
    <t>Destination :</t>
  </si>
  <si>
    <t>Chantier :</t>
  </si>
  <si>
    <t xml:space="preserve">Code chantier : </t>
  </si>
  <si>
    <r>
      <t xml:space="preserve">2 / </t>
    </r>
    <r>
      <rPr>
        <b/>
        <u/>
        <sz val="11"/>
        <color rgb="FF002060"/>
        <rFont val="Century Gothic"/>
        <family val="2"/>
      </rPr>
      <t>Teneurs en eau (NF EN 17892-1) et analyse granulométrique (NF EN 17892-4)</t>
    </r>
  </si>
  <si>
    <t>Tamis (mm)</t>
  </si>
  <si>
    <t>Refus cumulé (g)</t>
  </si>
  <si>
    <t>Tamisat cumulé (%)</t>
  </si>
  <si>
    <t>Teneur en eau sur 0/D</t>
  </si>
  <si>
    <t>N° Récipient</t>
  </si>
  <si>
    <t>Tare T</t>
  </si>
  <si>
    <t>g</t>
  </si>
  <si>
    <t>Masse humide + T (Mh + T)</t>
  </si>
  <si>
    <t>Masse humide (Mh)</t>
  </si>
  <si>
    <t>Masse sèche + T (Ms + T)</t>
  </si>
  <si>
    <t>Masse sèche (Ms)</t>
  </si>
  <si>
    <t>w% ((Mh - Ms)*100/Ms)</t>
  </si>
  <si>
    <t>%</t>
  </si>
  <si>
    <t>Teneur en eau sur 0/20</t>
  </si>
  <si>
    <t>Teneur en eau sur 0/5</t>
  </si>
  <si>
    <t>Valeur au bleu d'un sol (NF EN 17542-3)</t>
  </si>
  <si>
    <t>Masse humide (mh4) :</t>
  </si>
  <si>
    <t>VBS(0/5) :</t>
  </si>
  <si>
    <t>Masse sèche (Ms4) :</t>
  </si>
  <si>
    <t>C(0/5 dans 0/50) :</t>
  </si>
  <si>
    <t>Volume de bleu :</t>
  </si>
  <si>
    <t>VBS (0/D) :</t>
  </si>
  <si>
    <t>IPI (NF P94-078)</t>
  </si>
  <si>
    <t>Masse du moule :</t>
  </si>
  <si>
    <t>N° Barquette :</t>
  </si>
  <si>
    <t>Volume du moule :</t>
  </si>
  <si>
    <t>Tare</t>
  </si>
  <si>
    <t>Masse humide + moule :</t>
  </si>
  <si>
    <t>Masse humide + T :</t>
  </si>
  <si>
    <t>Masse humide :</t>
  </si>
  <si>
    <t>Masse sèche + T :</t>
  </si>
  <si>
    <t>Masse sèche + T (Ms + T) :</t>
  </si>
  <si>
    <t>Masse sèche :</t>
  </si>
  <si>
    <t>Masse sèche (Ms) :</t>
  </si>
  <si>
    <t>Teneur en eau :</t>
  </si>
  <si>
    <r>
      <t xml:space="preserve">4 / </t>
    </r>
    <r>
      <rPr>
        <b/>
        <u/>
        <sz val="11"/>
        <color rgb="FF002060"/>
        <rFont val="Century Gothic"/>
        <family val="2"/>
      </rPr>
      <t>CONCLUSIONS</t>
    </r>
  </si>
  <si>
    <t>Nom</t>
  </si>
  <si>
    <t>Fonction</t>
  </si>
  <si>
    <r>
      <t xml:space="preserve">5 / </t>
    </r>
    <r>
      <rPr>
        <b/>
        <u/>
        <sz val="11"/>
        <color rgb="FF002060"/>
        <rFont val="Century Gothic"/>
        <family val="2"/>
      </rPr>
      <t>COMMENTAIRES</t>
    </r>
  </si>
  <si>
    <t>Visa</t>
  </si>
  <si>
    <r>
      <t xml:space="preserve">2 / </t>
    </r>
    <r>
      <rPr>
        <b/>
        <u/>
        <sz val="11"/>
        <color rgb="FF002060"/>
        <rFont val="Century Gothic"/>
        <family val="2"/>
      </rPr>
      <t xml:space="preserve">
2/ RENSEIGNEMENTS SUR L'ECHANTILLON</t>
    </r>
  </si>
  <si>
    <t xml:space="preserve">Fraction soumise à essai : </t>
  </si>
  <si>
    <t>10/20</t>
  </si>
  <si>
    <t xml:space="preserve">
pour roches argileuses tendres ( marnes , argilites, pelites …)</t>
  </si>
  <si>
    <t>40/80</t>
  </si>
  <si>
    <t>pour roches argileuses type schistes sédimentaires et roches magmatiques ou métamorphiques altérées)</t>
  </si>
  <si>
    <r>
      <t xml:space="preserve">3 / </t>
    </r>
    <r>
      <rPr>
        <b/>
        <u/>
        <sz val="11"/>
        <color rgb="FF002060"/>
        <rFont val="Century Gothic"/>
        <family val="2"/>
      </rPr>
      <t>Granulométrie coefficient de fragmentabilité (NF P 94-066)</t>
    </r>
  </si>
  <si>
    <t>Echantillon fraction 10/20 (2Kg)</t>
  </si>
  <si>
    <t>Echantillon fraction 40/80 (2Kg)</t>
  </si>
  <si>
    <t>Avant pilonnage</t>
  </si>
  <si>
    <t>Aprés pilonnage</t>
  </si>
  <si>
    <t>Après pilonnage</t>
  </si>
  <si>
    <r>
      <t xml:space="preserve">4 / </t>
    </r>
    <r>
      <rPr>
        <b/>
        <u/>
        <sz val="11"/>
        <color rgb="FF002060"/>
        <rFont val="Century Gothic"/>
        <family val="2"/>
      </rPr>
      <t>Granulométrie coefficient de dégradabilité (NF P 94-067)</t>
    </r>
  </si>
  <si>
    <t>Avant immersion</t>
  </si>
  <si>
    <t>Après 4 cycles d'immersion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</si>
</sst>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Century Gothic"/>
      <family val="2"/>
    </font>
    <font>
      <b/>
      <sz val="1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i/>
      <sz val="14"/>
      <name val="Century Gothic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b/>
      <sz val="11"/>
      <name val="Century Gothic"/>
      <family val="2"/>
    </font>
    <font>
      <b/>
      <sz val="16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sz val="10"/>
      <color rgb="FF002060"/>
      <name val="Century Gothic"/>
      <family val="2"/>
    </font>
    <font>
      <sz val="16"/>
      <color theme="1"/>
      <name val="Brush Script MT"/>
      <family val="4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Century Gothic"/>
      <family val="2"/>
    </font>
    <font>
      <sz val="8"/>
      <name val="Aptos Narrow"/>
      <family val="2"/>
      <scheme val="minor"/>
    </font>
    <font>
      <sz val="10"/>
      <color rgb="FF24242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C77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 style="double">
        <color rgb="FF002060"/>
      </left>
      <right style="medium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rgb="FF002060"/>
      </left>
      <right style="medium">
        <color indexed="64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 style="medium">
        <color indexed="64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 style="double">
        <color rgb="FF002060"/>
      </left>
      <right style="medium">
        <color rgb="FF002060"/>
      </right>
      <top/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double">
        <color rgb="FF002060"/>
      </bottom>
      <diagonal/>
    </border>
    <border>
      <left style="medium">
        <color rgb="FF002060"/>
      </left>
      <right style="medium">
        <color indexed="64"/>
      </right>
      <top/>
      <bottom style="double">
        <color rgb="FF002060"/>
      </bottom>
      <diagonal/>
    </border>
    <border>
      <left style="medium">
        <color indexed="64"/>
      </left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00">
    <xf numFmtId="0" fontId="0" fillId="0" borderId="0" xfId="0"/>
    <xf numFmtId="0" fontId="2" fillId="0" borderId="1" xfId="1" applyBorder="1"/>
    <xf numFmtId="0" fontId="2" fillId="0" borderId="2" xfId="1" applyBorder="1"/>
    <xf numFmtId="0" fontId="2" fillId="0" borderId="0" xfId="1" applyAlignment="1">
      <alignment vertical="center"/>
    </xf>
    <xf numFmtId="0" fontId="2" fillId="0" borderId="8" xfId="1" applyBorder="1"/>
    <xf numFmtId="0" fontId="2" fillId="0" borderId="0" xfId="1"/>
    <xf numFmtId="0" fontId="4" fillId="0" borderId="0" xfId="1" applyFont="1" applyAlignment="1">
      <alignment horizontal="center" vertical="center" wrapText="1"/>
    </xf>
    <xf numFmtId="0" fontId="2" fillId="0" borderId="14" xfId="1" applyBorder="1"/>
    <xf numFmtId="0" fontId="2" fillId="0" borderId="15" xfId="1" applyBorder="1"/>
    <xf numFmtId="0" fontId="7" fillId="0" borderId="0" xfId="3" applyFont="1" applyAlignment="1">
      <alignment horizontal="center" vertical="center"/>
    </xf>
    <xf numFmtId="0" fontId="7" fillId="0" borderId="0" xfId="2" applyFont="1" applyAlignment="1">
      <alignment horizontal="center" vertical="top"/>
    </xf>
    <xf numFmtId="14" fontId="7" fillId="0" borderId="0" xfId="2" applyNumberFormat="1" applyFont="1" applyAlignment="1">
      <alignment horizontal="center" vertical="top"/>
    </xf>
    <xf numFmtId="0" fontId="8" fillId="0" borderId="21" xfId="1" applyFont="1" applyBorder="1" applyAlignment="1">
      <alignment vertical="center"/>
    </xf>
    <xf numFmtId="0" fontId="9" fillId="0" borderId="22" xfId="1" applyFont="1" applyBorder="1" applyAlignment="1">
      <alignment vertical="center"/>
    </xf>
    <xf numFmtId="0" fontId="10" fillId="0" borderId="22" xfId="1" applyFont="1" applyBorder="1" applyAlignment="1" applyProtection="1">
      <alignment vertical="center"/>
      <protection locked="0"/>
    </xf>
    <xf numFmtId="0" fontId="10" fillId="0" borderId="23" xfId="1" applyFont="1" applyBorder="1" applyAlignment="1" applyProtection="1">
      <alignment vertical="center"/>
      <protection locked="0"/>
    </xf>
    <xf numFmtId="0" fontId="8" fillId="0" borderId="22" xfId="1" applyFont="1" applyBorder="1" applyAlignment="1">
      <alignment vertical="center"/>
    </xf>
    <xf numFmtId="0" fontId="11" fillId="0" borderId="1" xfId="1" applyFont="1" applyBorder="1"/>
    <xf numFmtId="0" fontId="11" fillId="0" borderId="2" xfId="1" applyFont="1" applyBorder="1"/>
    <xf numFmtId="0" fontId="2" fillId="0" borderId="2" xfId="1" applyBorder="1" applyAlignment="1">
      <alignment vertical="center"/>
    </xf>
    <xf numFmtId="0" fontId="2" fillId="0" borderId="2" xfId="1" applyBorder="1" applyAlignment="1">
      <alignment horizontal="center" vertical="center"/>
    </xf>
    <xf numFmtId="0" fontId="2" fillId="0" borderId="7" xfId="1" applyBorder="1" applyAlignment="1">
      <alignment vertical="center"/>
    </xf>
    <xf numFmtId="0" fontId="2" fillId="0" borderId="8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0" xfId="1" applyBorder="1" applyAlignment="1">
      <alignment vertical="center"/>
    </xf>
    <xf numFmtId="0" fontId="13" fillId="0" borderId="0" xfId="1" applyFont="1" applyAlignment="1">
      <alignment vertical="center"/>
    </xf>
    <xf numFmtId="0" fontId="10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>
      <alignment horizontal="left" vertical="center"/>
    </xf>
    <xf numFmtId="0" fontId="13" fillId="0" borderId="0" xfId="1" applyFont="1" applyAlignment="1" applyProtection="1">
      <alignment vertical="center"/>
      <protection locked="0"/>
    </xf>
    <xf numFmtId="0" fontId="10" fillId="0" borderId="10" xfId="1" applyFont="1" applyBorder="1" applyAlignment="1">
      <alignment horizontal="left" vertical="center"/>
    </xf>
    <xf numFmtId="0" fontId="2" fillId="0" borderId="14" xfId="1" applyBorder="1" applyAlignment="1">
      <alignment horizontal="center" vertical="center"/>
    </xf>
    <xf numFmtId="0" fontId="2" fillId="0" borderId="15" xfId="1" applyBorder="1" applyAlignment="1">
      <alignment vertical="center"/>
    </xf>
    <xf numFmtId="0" fontId="2" fillId="0" borderId="15" xfId="1" applyBorder="1" applyAlignment="1">
      <alignment horizontal="center" vertical="center"/>
    </xf>
    <xf numFmtId="0" fontId="2" fillId="0" borderId="15" xfId="1" applyBorder="1" applyAlignment="1">
      <alignment horizontal="left" vertical="center"/>
    </xf>
    <xf numFmtId="0" fontId="2" fillId="0" borderId="20" xfId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2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7" fillId="0" borderId="20" xfId="1" applyFont="1" applyBorder="1" applyAlignment="1">
      <alignment vertical="center"/>
    </xf>
    <xf numFmtId="0" fontId="2" fillId="0" borderId="22" xfId="1" applyBorder="1" applyAlignment="1">
      <alignment horizontal="center" vertical="center"/>
    </xf>
    <xf numFmtId="0" fontId="2" fillId="0" borderId="22" xfId="1" applyBorder="1" applyAlignment="1">
      <alignment vertical="center"/>
    </xf>
    <xf numFmtId="0" fontId="2" fillId="0" borderId="22" xfId="1" applyBorder="1" applyAlignment="1" applyProtection="1">
      <alignment vertical="center"/>
      <protection locked="0"/>
    </xf>
    <xf numFmtId="0" fontId="17" fillId="0" borderId="22" xfId="1" applyFont="1" applyBorder="1" applyAlignment="1">
      <alignment vertical="center"/>
    </xf>
    <xf numFmtId="0" fontId="17" fillId="0" borderId="7" xfId="1" applyFont="1" applyBorder="1" applyAlignment="1">
      <alignment vertical="center"/>
    </xf>
    <xf numFmtId="0" fontId="10" fillId="0" borderId="8" xfId="1" applyFont="1" applyBorder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vertical="center"/>
      <protection locked="0"/>
    </xf>
    <xf numFmtId="0" fontId="10" fillId="0" borderId="14" xfId="1" applyFont="1" applyBorder="1" applyAlignment="1" applyProtection="1">
      <alignment horizontal="center" vertical="center"/>
      <protection locked="0"/>
    </xf>
    <xf numFmtId="0" fontId="10" fillId="0" borderId="15" xfId="1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23" xfId="1" applyBorder="1" applyAlignment="1">
      <alignment vertical="center"/>
    </xf>
    <xf numFmtId="0" fontId="13" fillId="0" borderId="48" xfId="1" applyFont="1" applyBorder="1" applyAlignment="1" applyProtection="1">
      <alignment vertical="center"/>
      <protection locked="0"/>
    </xf>
    <xf numFmtId="14" fontId="13" fillId="0" borderId="36" xfId="1" applyNumberFormat="1" applyFont="1" applyBorder="1" applyAlignment="1" applyProtection="1">
      <alignment vertical="center"/>
      <protection locked="0"/>
    </xf>
    <xf numFmtId="0" fontId="13" fillId="0" borderId="36" xfId="1" quotePrefix="1" applyFont="1" applyBorder="1" applyAlignment="1" applyProtection="1">
      <alignment vertical="center"/>
      <protection locked="0"/>
    </xf>
    <xf numFmtId="0" fontId="13" fillId="0" borderId="36" xfId="1" applyFont="1" applyBorder="1" applyAlignment="1" applyProtection="1">
      <alignment vertical="center"/>
      <protection locked="0"/>
    </xf>
    <xf numFmtId="0" fontId="13" fillId="0" borderId="48" xfId="1" applyFont="1" applyBorder="1" applyAlignment="1" applyProtection="1">
      <alignment horizontal="left" vertical="center"/>
      <protection locked="0"/>
    </xf>
    <xf numFmtId="0" fontId="13" fillId="0" borderId="48" xfId="1" applyFont="1" applyBorder="1" applyAlignment="1">
      <alignment vertical="center"/>
    </xf>
    <xf numFmtId="0" fontId="13" fillId="0" borderId="36" xfId="1" quotePrefix="1" applyFont="1" applyBorder="1" applyAlignment="1" applyProtection="1">
      <alignment horizontal="center" vertical="center"/>
      <protection locked="0"/>
    </xf>
    <xf numFmtId="0" fontId="13" fillId="0" borderId="36" xfId="1" applyFont="1" applyBorder="1" applyAlignment="1" applyProtection="1">
      <alignment horizontal="left" vertical="center"/>
      <protection locked="0"/>
    </xf>
    <xf numFmtId="0" fontId="13" fillId="0" borderId="36" xfId="1" applyFont="1" applyBorder="1" applyAlignment="1">
      <alignment vertical="center"/>
    </xf>
    <xf numFmtId="0" fontId="23" fillId="4" borderId="30" xfId="0" applyFont="1" applyFill="1" applyBorder="1" applyAlignment="1">
      <alignment vertical="center"/>
    </xf>
    <xf numFmtId="0" fontId="23" fillId="4" borderId="25" xfId="0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/>
    </xf>
    <xf numFmtId="0" fontId="2" fillId="2" borderId="0" xfId="1" applyFill="1" applyAlignment="1">
      <alignment vertical="center"/>
    </xf>
    <xf numFmtId="0" fontId="2" fillId="2" borderId="10" xfId="1" applyFill="1" applyBorder="1" applyAlignment="1">
      <alignment vertical="center"/>
    </xf>
    <xf numFmtId="0" fontId="15" fillId="0" borderId="0" xfId="1" applyFont="1" applyAlignment="1">
      <alignment vertical="center"/>
    </xf>
    <xf numFmtId="0" fontId="2" fillId="0" borderId="0" xfId="1" applyAlignment="1">
      <alignment horizontal="left" vertical="center"/>
    </xf>
    <xf numFmtId="0" fontId="24" fillId="0" borderId="0" xfId="1" applyFont="1" applyAlignment="1">
      <alignment vertical="center"/>
    </xf>
    <xf numFmtId="0" fontId="24" fillId="0" borderId="0" xfId="1" applyFont="1" applyAlignment="1" applyProtection="1">
      <alignment horizontal="left" vertical="center"/>
      <protection locked="0"/>
    </xf>
    <xf numFmtId="0" fontId="24" fillId="0" borderId="0" xfId="1" applyFont="1" applyAlignment="1">
      <alignment horizontal="left" vertical="center"/>
    </xf>
    <xf numFmtId="0" fontId="24" fillId="0" borderId="0" xfId="1" applyFont="1" applyAlignment="1" applyProtection="1">
      <alignment vertical="center"/>
      <protection locked="0"/>
    </xf>
    <xf numFmtId="0" fontId="24" fillId="0" borderId="0" xfId="1" quotePrefix="1" applyFont="1" applyAlignment="1" applyProtection="1">
      <alignment vertical="center"/>
      <protection locked="0"/>
    </xf>
    <xf numFmtId="14" fontId="24" fillId="0" borderId="49" xfId="1" applyNumberFormat="1" applyFont="1" applyBorder="1" applyAlignment="1" applyProtection="1">
      <alignment vertical="center"/>
      <protection locked="0"/>
    </xf>
    <xf numFmtId="0" fontId="24" fillId="0" borderId="0" xfId="1" quotePrefix="1" applyFont="1" applyAlignment="1" applyProtection="1">
      <alignment horizontal="center" vertical="center"/>
      <protection locked="0"/>
    </xf>
    <xf numFmtId="0" fontId="26" fillId="0" borderId="0" xfId="0" applyFont="1"/>
    <xf numFmtId="0" fontId="21" fillId="0" borderId="0" xfId="0" applyFont="1"/>
    <xf numFmtId="0" fontId="18" fillId="0" borderId="1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20" fillId="0" borderId="26" xfId="0" applyFont="1" applyBorder="1" applyAlignment="1">
      <alignment horizontal="right" vertical="center"/>
    </xf>
    <xf numFmtId="0" fontId="20" fillId="0" borderId="27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0" fillId="3" borderId="44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11" fillId="0" borderId="1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9" fillId="0" borderId="8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0" fillId="0" borderId="40" xfId="0" applyFont="1" applyBorder="1" applyAlignment="1">
      <alignment horizontal="right" vertical="center"/>
    </xf>
    <xf numFmtId="0" fontId="20" fillId="0" borderId="41" xfId="0" applyFont="1" applyBorder="1" applyAlignment="1">
      <alignment horizontal="right" vertical="center"/>
    </xf>
    <xf numFmtId="0" fontId="20" fillId="0" borderId="42" xfId="0" applyFont="1" applyBorder="1" applyAlignment="1">
      <alignment horizontal="right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0" fillId="0" borderId="35" xfId="0" applyFont="1" applyBorder="1" applyAlignment="1">
      <alignment horizontal="right" vertical="center"/>
    </xf>
    <xf numFmtId="0" fontId="20" fillId="0" borderId="36" xfId="0" applyFont="1" applyBorder="1" applyAlignment="1">
      <alignment horizontal="right" vertical="center"/>
    </xf>
    <xf numFmtId="0" fontId="20" fillId="0" borderId="37" xfId="0" applyFont="1" applyBorder="1" applyAlignment="1">
      <alignment horizontal="right" vertical="center"/>
    </xf>
    <xf numFmtId="0" fontId="20" fillId="0" borderId="31" xfId="0" applyFont="1" applyBorder="1" applyAlignment="1">
      <alignment horizontal="right" vertical="center"/>
    </xf>
    <xf numFmtId="0" fontId="20" fillId="0" borderId="32" xfId="0" applyFont="1" applyBorder="1" applyAlignment="1">
      <alignment horizontal="right" vertical="center"/>
    </xf>
    <xf numFmtId="0" fontId="20" fillId="0" borderId="33" xfId="0" applyFont="1" applyBorder="1" applyAlignment="1">
      <alignment horizontal="right" vertical="center"/>
    </xf>
    <xf numFmtId="0" fontId="0" fillId="5" borderId="3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164" fontId="0" fillId="3" borderId="44" xfId="0" applyNumberFormat="1" applyFill="1" applyBorder="1" applyAlignment="1">
      <alignment horizontal="center" vertical="center"/>
    </xf>
    <xf numFmtId="164" fontId="0" fillId="3" borderId="4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5" borderId="38" xfId="1" applyFill="1" applyBorder="1" applyAlignment="1">
      <alignment horizontal="center" vertical="center"/>
    </xf>
    <xf numFmtId="0" fontId="2" fillId="5" borderId="36" xfId="1" applyFill="1" applyBorder="1" applyAlignment="1">
      <alignment horizontal="center" vertical="center"/>
    </xf>
    <xf numFmtId="0" fontId="2" fillId="5" borderId="39" xfId="1" applyFill="1" applyBorder="1" applyAlignment="1">
      <alignment horizontal="center" vertical="center"/>
    </xf>
    <xf numFmtId="0" fontId="23" fillId="4" borderId="47" xfId="0" applyFont="1" applyFill="1" applyBorder="1" applyAlignment="1" applyProtection="1">
      <alignment horizontal="center" vertical="center"/>
      <protection locked="0"/>
    </xf>
    <xf numFmtId="0" fontId="23" fillId="4" borderId="30" xfId="0" applyFont="1" applyFill="1" applyBorder="1" applyAlignment="1" applyProtection="1">
      <alignment horizontal="center" vertical="center"/>
      <protection locked="0"/>
    </xf>
    <xf numFmtId="0" fontId="23" fillId="4" borderId="25" xfId="0" applyFont="1" applyFill="1" applyBorder="1" applyAlignment="1" applyProtection="1">
      <alignment horizontal="center" vertical="center"/>
      <protection locked="0"/>
    </xf>
    <xf numFmtId="0" fontId="2" fillId="5" borderId="45" xfId="1" applyFill="1" applyBorder="1" applyAlignment="1">
      <alignment horizontal="center" vertical="center"/>
    </xf>
    <xf numFmtId="0" fontId="2" fillId="5" borderId="32" xfId="1" applyFill="1" applyBorder="1" applyAlignment="1">
      <alignment horizontal="center" vertical="center"/>
    </xf>
    <xf numFmtId="0" fontId="2" fillId="5" borderId="34" xfId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2" fillId="5" borderId="44" xfId="1" applyFill="1" applyBorder="1" applyAlignment="1">
      <alignment horizontal="center" vertical="center"/>
    </xf>
    <xf numFmtId="0" fontId="2" fillId="5" borderId="41" xfId="1" applyFill="1" applyBorder="1" applyAlignment="1">
      <alignment horizontal="center" vertical="center"/>
    </xf>
    <xf numFmtId="0" fontId="2" fillId="5" borderId="43" xfId="1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6" fillId="0" borderId="16" xfId="3" quotePrefix="1" applyFont="1" applyBorder="1" applyAlignment="1">
      <alignment horizontal="center"/>
    </xf>
    <xf numFmtId="0" fontId="6" fillId="0" borderId="17" xfId="3" applyFont="1" applyBorder="1" applyAlignment="1">
      <alignment horizontal="center"/>
    </xf>
    <xf numFmtId="0" fontId="6" fillId="0" borderId="17" xfId="2" applyFont="1" applyBorder="1" applyAlignment="1">
      <alignment horizontal="center"/>
    </xf>
    <xf numFmtId="14" fontId="6" fillId="0" borderId="17" xfId="2" applyNumberFormat="1" applyFont="1" applyBorder="1" applyAlignment="1">
      <alignment horizontal="center"/>
    </xf>
    <xf numFmtId="14" fontId="6" fillId="0" borderId="18" xfId="2" applyNumberFormat="1" applyFont="1" applyBorder="1" applyAlignment="1">
      <alignment horizontal="center"/>
    </xf>
    <xf numFmtId="0" fontId="23" fillId="4" borderId="46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0" fontId="22" fillId="3" borderId="30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left" wrapText="1"/>
    </xf>
    <xf numFmtId="0" fontId="11" fillId="0" borderId="2" xfId="1" applyFont="1" applyBorder="1" applyAlignment="1">
      <alignment horizontal="left" wrapText="1"/>
    </xf>
    <xf numFmtId="2" fontId="24" fillId="0" borderId="0" xfId="1" quotePrefix="1" applyNumberFormat="1" applyFont="1" applyAlignment="1" applyProtection="1">
      <alignment horizontal="center" vertical="center"/>
      <protection locked="0"/>
    </xf>
    <xf numFmtId="2" fontId="24" fillId="0" borderId="0" xfId="1" applyNumberFormat="1" applyFont="1" applyAlignment="1" applyProtection="1">
      <alignment horizontal="center" vertical="center"/>
      <protection locked="0"/>
    </xf>
  </cellXfs>
  <cellStyles count="4">
    <cellStyle name="Normal" xfId="0" builtinId="0"/>
    <cellStyle name="Normal 3" xfId="2" xr:uid="{7F632A16-DB41-4EF5-A031-828CEEDC43F6}"/>
    <cellStyle name="Normal 3 2" xfId="1" xr:uid="{4135BBDE-F803-470A-A26D-E8FEA2DA6032}"/>
    <cellStyle name="Normal 4" xfId="3" xr:uid="{305A32E3-FB15-46BD-A1C3-7231164345A7}"/>
  </cellStyles>
  <dxfs count="0"/>
  <tableStyles count="0" defaultTableStyle="TableStyleMedium2" defaultPivotStyle="PivotStyleLight16"/>
  <colors>
    <mruColors>
      <color rgb="FF002C77"/>
      <color rgb="FF002C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0</xdr:rowOff>
    </xdr:from>
    <xdr:to>
      <xdr:col>3</xdr:col>
      <xdr:colOff>466725</xdr:colOff>
      <xdr:row>0</xdr:row>
      <xdr:rowOff>0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31697CFE-5E15-487E-836E-683BB849C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0"/>
          <a:ext cx="14820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495300</xdr:colOff>
      <xdr:row>0</xdr:row>
      <xdr:rowOff>0</xdr:rowOff>
    </xdr:from>
    <xdr:to>
      <xdr:col>6</xdr:col>
      <xdr:colOff>228600</xdr:colOff>
      <xdr:row>0</xdr:row>
      <xdr:rowOff>0</xdr:rowOff>
    </xdr:to>
    <xdr:sp macro="" textlink="" fLocksText="0">
      <xdr:nvSpPr>
        <xdr:cNvPr id="3" name="Text Box 36">
          <a:extLst>
            <a:ext uri="{FF2B5EF4-FFF2-40B4-BE49-F238E27FC236}">
              <a16:creationId xmlns:a16="http://schemas.microsoft.com/office/drawing/2014/main" id="{1DC72AF5-F273-47B6-A70D-97A45527BA13}"/>
            </a:ext>
          </a:extLst>
        </xdr:cNvPr>
        <xdr:cNvSpPr txBox="1">
          <a:spLocks noChangeArrowheads="1"/>
        </xdr:cNvSpPr>
      </xdr:nvSpPr>
      <xdr:spPr bwMode="auto">
        <a:xfrm>
          <a:off x="3209925" y="0"/>
          <a:ext cx="352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fr-FR" sz="1200" b="1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0</xdr:col>
      <xdr:colOff>114300</xdr:colOff>
      <xdr:row>0</xdr:row>
      <xdr:rowOff>0</xdr:rowOff>
    </xdr:from>
    <xdr:to>
      <xdr:col>3</xdr:col>
      <xdr:colOff>447675</xdr:colOff>
      <xdr:row>0</xdr:row>
      <xdr:rowOff>0</xdr:rowOff>
    </xdr:to>
    <xdr:sp macro="" textlink="" fLocksText="0">
      <xdr:nvSpPr>
        <xdr:cNvPr id="4" name="Text Box 40">
          <a:extLst>
            <a:ext uri="{FF2B5EF4-FFF2-40B4-BE49-F238E27FC236}">
              <a16:creationId xmlns:a16="http://schemas.microsoft.com/office/drawing/2014/main" id="{DEC95EF7-BF3F-4510-9B2F-6AF3E121A002}"/>
            </a:ext>
          </a:extLst>
        </xdr:cNvPr>
        <xdr:cNvSpPr txBox="1">
          <a:spLocks noChangeArrowheads="1"/>
        </xdr:cNvSpPr>
      </xdr:nvSpPr>
      <xdr:spPr bwMode="auto">
        <a:xfrm flipV="1">
          <a:off x="114300" y="0"/>
          <a:ext cx="18649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1" i="0" strike="noStrike">
              <a:solidFill>
                <a:srgbClr val="000000"/>
              </a:solidFill>
              <a:latin typeface="Arial"/>
              <a:cs typeface="Arial"/>
            </a:rPr>
            <a:t>LABORATOIRE ILE DE FRANCE</a:t>
          </a:r>
        </a:p>
      </xdr:txBody>
    </xdr:sp>
    <xdr:clientData/>
  </xdr:twoCellAnchor>
  <xdr:twoCellAnchor>
    <xdr:from>
      <xdr:col>6</xdr:col>
      <xdr:colOff>190500</xdr:colOff>
      <xdr:row>0</xdr:row>
      <xdr:rowOff>0</xdr:rowOff>
    </xdr:from>
    <xdr:to>
      <xdr:col>6</xdr:col>
      <xdr:colOff>304800</xdr:colOff>
      <xdr:row>0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F63579A5-4E15-4575-8BA6-445BBADA774D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11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|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3</xdr:col>
      <xdr:colOff>476250</xdr:colOff>
      <xdr:row>0</xdr:row>
      <xdr:rowOff>0</xdr:rowOff>
    </xdr:to>
    <xdr:pic>
      <xdr:nvPicPr>
        <xdr:cNvPr id="6" name="Picture 44">
          <a:extLst>
            <a:ext uri="{FF2B5EF4-FFF2-40B4-BE49-F238E27FC236}">
              <a16:creationId xmlns:a16="http://schemas.microsoft.com/office/drawing/2014/main" id="{FD3BDD37-5AD1-4A14-BB66-80FD0937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0"/>
          <a:ext cx="1914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476250</xdr:colOff>
      <xdr:row>0</xdr:row>
      <xdr:rowOff>0</xdr:rowOff>
    </xdr:from>
    <xdr:to>
      <xdr:col>6</xdr:col>
      <xdr:colOff>228600</xdr:colOff>
      <xdr:row>0</xdr:row>
      <xdr:rowOff>0</xdr:rowOff>
    </xdr:to>
    <xdr:sp macro="" textlink="">
      <xdr:nvSpPr>
        <xdr:cNvPr id="7" name="Text Box 45">
          <a:extLst>
            <a:ext uri="{FF2B5EF4-FFF2-40B4-BE49-F238E27FC236}">
              <a16:creationId xmlns:a16="http://schemas.microsoft.com/office/drawing/2014/main" id="{FE448724-CF5C-45D4-9B3A-B283DF9B16F5}"/>
            </a:ext>
          </a:extLst>
        </xdr:cNvPr>
        <xdr:cNvSpPr txBox="1">
          <a:spLocks noChangeArrowheads="1"/>
        </xdr:cNvSpPr>
      </xdr:nvSpPr>
      <xdr:spPr bwMode="auto">
        <a:xfrm>
          <a:off x="3187065" y="0"/>
          <a:ext cx="37528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Arial"/>
              <a:cs typeface="Arial"/>
            </a:rPr>
            <a:t>Chrono</a:t>
          </a:r>
        </a:p>
      </xdr:txBody>
    </xdr:sp>
    <xdr:clientData/>
  </xdr:twoCellAnchor>
  <xdr:twoCellAnchor>
    <xdr:from>
      <xdr:col>21</xdr:col>
      <xdr:colOff>76200</xdr:colOff>
      <xdr:row>7</xdr:row>
      <xdr:rowOff>17145</xdr:rowOff>
    </xdr:from>
    <xdr:to>
      <xdr:col>22</xdr:col>
      <xdr:colOff>211455</xdr:colOff>
      <xdr:row>7</xdr:row>
      <xdr:rowOff>365284</xdr:rowOff>
    </xdr:to>
    <xdr:pic>
      <xdr:nvPicPr>
        <xdr:cNvPr id="9" name="Picture 6" descr="Afaq_qse_inter_vf">
          <a:extLst>
            <a:ext uri="{FF2B5EF4-FFF2-40B4-BE49-F238E27FC236}">
              <a16:creationId xmlns:a16="http://schemas.microsoft.com/office/drawing/2014/main" id="{057CD693-46DA-44B5-ABFF-90D05B4FC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554480"/>
          <a:ext cx="455295" cy="340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72390</xdr:colOff>
      <xdr:row>0</xdr:row>
      <xdr:rowOff>142874</xdr:rowOff>
    </xdr:from>
    <xdr:to>
      <xdr:col>3</xdr:col>
      <xdr:colOff>510618</xdr:colOff>
      <xdr:row>5</xdr:row>
      <xdr:rowOff>59390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F31C9D7-52D3-4BA4-9010-E7A17157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140969"/>
          <a:ext cx="2009853" cy="1013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0</xdr:rowOff>
    </xdr:from>
    <xdr:to>
      <xdr:col>3</xdr:col>
      <xdr:colOff>466725</xdr:colOff>
      <xdr:row>0</xdr:row>
      <xdr:rowOff>0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15B3277C-87CA-48B6-A659-3C9082BF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" y="0"/>
          <a:ext cx="14820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495300</xdr:colOff>
      <xdr:row>0</xdr:row>
      <xdr:rowOff>0</xdr:rowOff>
    </xdr:from>
    <xdr:to>
      <xdr:col>6</xdr:col>
      <xdr:colOff>228600</xdr:colOff>
      <xdr:row>0</xdr:row>
      <xdr:rowOff>0</xdr:rowOff>
    </xdr:to>
    <xdr:sp macro="" textlink="" fLocksText="0">
      <xdr:nvSpPr>
        <xdr:cNvPr id="3" name="Text Box 36">
          <a:extLst>
            <a:ext uri="{FF2B5EF4-FFF2-40B4-BE49-F238E27FC236}">
              <a16:creationId xmlns:a16="http://schemas.microsoft.com/office/drawing/2014/main" id="{F348FD19-EB67-48DE-A437-7AFF5ADA4DA7}"/>
            </a:ext>
          </a:extLst>
        </xdr:cNvPr>
        <xdr:cNvSpPr txBox="1">
          <a:spLocks noChangeArrowheads="1"/>
        </xdr:cNvSpPr>
      </xdr:nvSpPr>
      <xdr:spPr bwMode="auto">
        <a:xfrm>
          <a:off x="3248025" y="0"/>
          <a:ext cx="352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fr-FR" sz="1200" b="1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0</xdr:col>
      <xdr:colOff>114300</xdr:colOff>
      <xdr:row>0</xdr:row>
      <xdr:rowOff>0</xdr:rowOff>
    </xdr:from>
    <xdr:to>
      <xdr:col>3</xdr:col>
      <xdr:colOff>447675</xdr:colOff>
      <xdr:row>0</xdr:row>
      <xdr:rowOff>0</xdr:rowOff>
    </xdr:to>
    <xdr:sp macro="" textlink="" fLocksText="0">
      <xdr:nvSpPr>
        <xdr:cNvPr id="4" name="Text Box 40">
          <a:extLst>
            <a:ext uri="{FF2B5EF4-FFF2-40B4-BE49-F238E27FC236}">
              <a16:creationId xmlns:a16="http://schemas.microsoft.com/office/drawing/2014/main" id="{C5361375-0CBB-45B6-A1C0-4CFFF62C0E2E}"/>
            </a:ext>
          </a:extLst>
        </xdr:cNvPr>
        <xdr:cNvSpPr txBox="1">
          <a:spLocks noChangeArrowheads="1"/>
        </xdr:cNvSpPr>
      </xdr:nvSpPr>
      <xdr:spPr bwMode="auto">
        <a:xfrm flipV="1">
          <a:off x="114300" y="0"/>
          <a:ext cx="19030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1" i="0" strike="noStrike">
              <a:solidFill>
                <a:srgbClr val="000000"/>
              </a:solidFill>
              <a:latin typeface="Arial"/>
              <a:cs typeface="Arial"/>
            </a:rPr>
            <a:t>LABORATOIRE ILE DE FRANCE</a:t>
          </a:r>
        </a:p>
      </xdr:txBody>
    </xdr:sp>
    <xdr:clientData/>
  </xdr:twoCellAnchor>
  <xdr:twoCellAnchor>
    <xdr:from>
      <xdr:col>6</xdr:col>
      <xdr:colOff>190500</xdr:colOff>
      <xdr:row>0</xdr:row>
      <xdr:rowOff>0</xdr:rowOff>
    </xdr:from>
    <xdr:to>
      <xdr:col>6</xdr:col>
      <xdr:colOff>304800</xdr:colOff>
      <xdr:row>0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A9BE41EB-E3D5-43F3-B436-484A08B295F9}"/>
            </a:ext>
          </a:extLst>
        </xdr:cNvPr>
        <xdr:cNvSpPr txBox="1">
          <a:spLocks noChangeArrowheads="1"/>
        </xdr:cNvSpPr>
      </xdr:nvSpPr>
      <xdr:spPr bwMode="auto">
        <a:xfrm>
          <a:off x="3562350" y="0"/>
          <a:ext cx="11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|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3</xdr:col>
      <xdr:colOff>476250</xdr:colOff>
      <xdr:row>0</xdr:row>
      <xdr:rowOff>0</xdr:rowOff>
    </xdr:to>
    <xdr:pic>
      <xdr:nvPicPr>
        <xdr:cNvPr id="6" name="Picture 44">
          <a:extLst>
            <a:ext uri="{FF2B5EF4-FFF2-40B4-BE49-F238E27FC236}">
              <a16:creationId xmlns:a16="http://schemas.microsoft.com/office/drawing/2014/main" id="{5BD2F1B4-5E7B-4183-A153-DE7EB392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0"/>
          <a:ext cx="1952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476250</xdr:colOff>
      <xdr:row>0</xdr:row>
      <xdr:rowOff>0</xdr:rowOff>
    </xdr:from>
    <xdr:to>
      <xdr:col>6</xdr:col>
      <xdr:colOff>228600</xdr:colOff>
      <xdr:row>0</xdr:row>
      <xdr:rowOff>0</xdr:rowOff>
    </xdr:to>
    <xdr:sp macro="" textlink="">
      <xdr:nvSpPr>
        <xdr:cNvPr id="7" name="Text Box 45">
          <a:extLst>
            <a:ext uri="{FF2B5EF4-FFF2-40B4-BE49-F238E27FC236}">
              <a16:creationId xmlns:a16="http://schemas.microsoft.com/office/drawing/2014/main" id="{79721147-2744-422C-B419-B1987A4EF24C}"/>
            </a:ext>
          </a:extLst>
        </xdr:cNvPr>
        <xdr:cNvSpPr txBox="1">
          <a:spLocks noChangeArrowheads="1"/>
        </xdr:cNvSpPr>
      </xdr:nvSpPr>
      <xdr:spPr bwMode="auto">
        <a:xfrm>
          <a:off x="3225165" y="0"/>
          <a:ext cx="37528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Arial"/>
              <a:cs typeface="Arial"/>
            </a:rPr>
            <a:t>Chrono</a:t>
          </a:r>
        </a:p>
      </xdr:txBody>
    </xdr:sp>
    <xdr:clientData/>
  </xdr:twoCellAnchor>
  <xdr:twoCellAnchor>
    <xdr:from>
      <xdr:col>20</xdr:col>
      <xdr:colOff>0</xdr:colOff>
      <xdr:row>7</xdr:row>
      <xdr:rowOff>17145</xdr:rowOff>
    </xdr:from>
    <xdr:to>
      <xdr:col>20</xdr:col>
      <xdr:colOff>211455</xdr:colOff>
      <xdr:row>7</xdr:row>
      <xdr:rowOff>365284</xdr:rowOff>
    </xdr:to>
    <xdr:pic>
      <xdr:nvPicPr>
        <xdr:cNvPr id="8" name="Picture 6" descr="Afaq_qse_inter_vf">
          <a:extLst>
            <a:ext uri="{FF2B5EF4-FFF2-40B4-BE49-F238E27FC236}">
              <a16:creationId xmlns:a16="http://schemas.microsoft.com/office/drawing/2014/main" id="{2D0F51C1-6FB2-49D2-92EB-6D4B19C0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00" y="1554480"/>
          <a:ext cx="455295" cy="235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142875</xdr:rowOff>
    </xdr:from>
    <xdr:to>
      <xdr:col>3</xdr:col>
      <xdr:colOff>466725</xdr:colOff>
      <xdr:row>5</xdr:row>
      <xdr:rowOff>57150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BE7F86F6-C5A1-4342-AB1C-E8D5F5285A63}"/>
            </a:ext>
            <a:ext uri="{147F2762-F138-4A5C-976F-8EAC2B608ADB}">
              <a16:predDERef xmlns:a16="http://schemas.microsoft.com/office/drawing/2014/main" pred="{2D0F51C1-6FB2-49D2-92EB-6D4B19C0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2875"/>
          <a:ext cx="182880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B44C-EB5C-4C66-AFA2-F1C7650BF720}">
  <sheetPr codeName="Feuil2">
    <pageSetUpPr fitToPage="1"/>
  </sheetPr>
  <dimension ref="A1:Z74"/>
  <sheetViews>
    <sheetView showZeros="0" tabSelected="1" zoomScaleNormal="100" workbookViewId="0">
      <selection activeCell="AB54" sqref="AB54"/>
    </sheetView>
  </sheetViews>
  <sheetFormatPr defaultColWidth="11.42578125" defaultRowHeight="12.75" customHeight="1"/>
  <cols>
    <col min="1" max="1" width="6.28515625" style="23" customWidth="1"/>
    <col min="2" max="2" width="6.42578125" style="3" customWidth="1"/>
    <col min="3" max="3" width="10.28515625" style="3" customWidth="1"/>
    <col min="4" max="5" width="8.7109375" style="3" customWidth="1"/>
    <col min="6" max="6" width="9" style="3" customWidth="1"/>
    <col min="7" max="7" width="9.7109375" style="3" customWidth="1"/>
    <col min="8" max="8" width="5.85546875" style="3" customWidth="1"/>
    <col min="9" max="26" width="4.7109375" style="3" customWidth="1"/>
    <col min="27" max="16384" width="11.42578125" style="3"/>
  </cols>
  <sheetData>
    <row r="1" spans="1:23" ht="17.45" customHeight="1" thickTop="1" thickBot="1">
      <c r="A1" s="1"/>
      <c r="B1" s="2"/>
      <c r="C1" s="2"/>
      <c r="D1" s="2"/>
      <c r="E1" s="166" t="s">
        <v>0</v>
      </c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8"/>
      <c r="Q1" s="169"/>
      <c r="R1" s="170"/>
      <c r="S1" s="170"/>
      <c r="T1" s="170"/>
      <c r="U1" s="170"/>
      <c r="V1" s="170"/>
      <c r="W1" s="171"/>
    </row>
    <row r="2" spans="1:23" ht="17.45" customHeight="1" thickTop="1" thickBot="1">
      <c r="A2" s="4"/>
      <c r="B2" s="5"/>
      <c r="C2" s="5"/>
      <c r="D2" s="5"/>
      <c r="E2" s="166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8"/>
      <c r="Q2" s="172"/>
      <c r="R2" s="173"/>
      <c r="S2" s="173"/>
      <c r="T2" s="173"/>
      <c r="U2" s="173"/>
      <c r="V2" s="173"/>
      <c r="W2" s="174"/>
    </row>
    <row r="3" spans="1:23" ht="17.45" customHeight="1" thickTop="1" thickBot="1">
      <c r="A3" s="4"/>
      <c r="B3" s="5"/>
      <c r="C3" s="5"/>
      <c r="D3" s="5"/>
      <c r="E3" s="166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/>
      <c r="Q3" s="172"/>
      <c r="R3" s="173"/>
      <c r="S3" s="173"/>
      <c r="T3" s="173"/>
      <c r="U3" s="173"/>
      <c r="V3" s="173"/>
      <c r="W3" s="174"/>
    </row>
    <row r="4" spans="1:23" ht="17.45" customHeight="1" thickTop="1" thickBot="1">
      <c r="A4" s="4"/>
      <c r="B4" s="5"/>
      <c r="C4" s="5"/>
      <c r="D4" s="5"/>
      <c r="E4" s="166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8"/>
      <c r="Q4" s="172"/>
      <c r="R4" s="173"/>
      <c r="S4" s="173"/>
      <c r="T4" s="173"/>
      <c r="U4" s="173"/>
      <c r="V4" s="173"/>
      <c r="W4" s="174"/>
    </row>
    <row r="5" spans="1:23" ht="17.45" customHeight="1" thickTop="1">
      <c r="A5" s="4"/>
      <c r="B5" s="5"/>
      <c r="C5" s="5"/>
      <c r="D5" s="5"/>
      <c r="E5" s="178" t="s">
        <v>1</v>
      </c>
      <c r="F5" s="179"/>
      <c r="G5" s="179"/>
      <c r="H5" s="179" t="s">
        <v>2</v>
      </c>
      <c r="I5" s="179"/>
      <c r="J5" s="179"/>
      <c r="K5" s="179"/>
      <c r="L5" s="179"/>
      <c r="M5" s="179" t="s">
        <v>3</v>
      </c>
      <c r="N5" s="179"/>
      <c r="O5" s="179"/>
      <c r="P5" s="180"/>
      <c r="Q5" s="172"/>
      <c r="R5" s="173"/>
      <c r="S5" s="173"/>
      <c r="T5" s="173"/>
      <c r="U5" s="173"/>
      <c r="V5" s="173"/>
      <c r="W5" s="174"/>
    </row>
    <row r="6" spans="1:23" ht="17.45" customHeight="1" thickBot="1">
      <c r="A6" s="7"/>
      <c r="B6" s="8"/>
      <c r="C6" s="8"/>
      <c r="D6" s="8"/>
      <c r="E6" s="181" t="s">
        <v>4</v>
      </c>
      <c r="F6" s="182"/>
      <c r="G6" s="182"/>
      <c r="H6" s="183"/>
      <c r="I6" s="183"/>
      <c r="J6" s="183"/>
      <c r="K6" s="183"/>
      <c r="L6" s="183"/>
      <c r="M6" s="184"/>
      <c r="N6" s="184"/>
      <c r="O6" s="184"/>
      <c r="P6" s="185"/>
      <c r="Q6" s="175"/>
      <c r="R6" s="176"/>
      <c r="S6" s="176"/>
      <c r="T6" s="176"/>
      <c r="U6" s="176"/>
      <c r="V6" s="176"/>
      <c r="W6" s="177"/>
    </row>
    <row r="7" spans="1:23" ht="17.45" customHeight="1" thickTop="1" thickBot="1">
      <c r="A7" s="5"/>
      <c r="B7" s="5"/>
      <c r="C7" s="5"/>
      <c r="D7" s="5"/>
      <c r="E7" s="9"/>
      <c r="F7" s="9"/>
      <c r="G7" s="9"/>
      <c r="H7" s="10"/>
      <c r="I7" s="10"/>
      <c r="J7" s="10"/>
      <c r="K7" s="10"/>
      <c r="L7" s="10"/>
      <c r="M7" s="11"/>
      <c r="N7" s="11"/>
      <c r="O7" s="11"/>
      <c r="P7" s="11"/>
      <c r="Q7" s="6"/>
      <c r="R7" s="6"/>
      <c r="S7" s="6"/>
      <c r="T7" s="6"/>
      <c r="U7" s="6"/>
      <c r="V7" s="6"/>
      <c r="W7" s="6"/>
    </row>
    <row r="8" spans="1:23" ht="20.45" customHeight="1" thickTop="1" thickBot="1">
      <c r="A8" s="12" t="s">
        <v>5</v>
      </c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</row>
    <row r="9" spans="1:23" ht="15.6" customHeight="1" thickTop="1" thickBot="1">
      <c r="A9" s="16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5" customHeight="1" thickTop="1">
      <c r="A10" s="17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9"/>
      <c r="P10" s="19"/>
      <c r="Q10" s="19"/>
      <c r="R10" s="20"/>
      <c r="S10" s="19"/>
      <c r="T10" s="19"/>
      <c r="U10" s="19"/>
      <c r="V10" s="19"/>
      <c r="W10" s="21"/>
    </row>
    <row r="11" spans="1:23" ht="7.15" customHeight="1">
      <c r="A11" s="22"/>
      <c r="D11" s="23"/>
      <c r="E11" s="23"/>
      <c r="F11" s="23"/>
      <c r="G11" s="23"/>
      <c r="W11" s="24"/>
    </row>
    <row r="12" spans="1:23" ht="15" customHeight="1">
      <c r="A12" s="22"/>
      <c r="B12" s="25" t="s">
        <v>7</v>
      </c>
      <c r="D12" s="26"/>
      <c r="E12" s="61"/>
      <c r="F12" s="61"/>
      <c r="G12" s="61"/>
      <c r="H12" s="27"/>
      <c r="I12" s="25"/>
      <c r="J12" s="28" t="s">
        <v>8</v>
      </c>
      <c r="K12" s="25"/>
      <c r="L12" s="25"/>
      <c r="M12" s="25"/>
      <c r="N12" s="28"/>
      <c r="O12" s="65"/>
      <c r="P12" s="66"/>
      <c r="Q12" s="66"/>
      <c r="R12" s="66"/>
      <c r="S12" s="66"/>
      <c r="T12" s="66"/>
      <c r="U12" s="65"/>
      <c r="V12" s="27"/>
      <c r="W12" s="24"/>
    </row>
    <row r="13" spans="1:23" ht="15" customHeight="1">
      <c r="A13" s="22"/>
      <c r="B13" s="25" t="s">
        <v>9</v>
      </c>
      <c r="D13" s="23"/>
      <c r="E13" s="62"/>
      <c r="F13" s="62"/>
      <c r="G13" s="62"/>
      <c r="H13" s="27"/>
      <c r="I13" s="25"/>
      <c r="J13" s="28" t="s">
        <v>10</v>
      </c>
      <c r="K13" s="25"/>
      <c r="L13" s="25"/>
      <c r="N13" s="29"/>
      <c r="O13" s="64"/>
      <c r="P13" s="64"/>
      <c r="Q13" s="64"/>
      <c r="R13" s="64"/>
      <c r="S13" s="64"/>
      <c r="T13" s="64"/>
      <c r="U13" s="64"/>
      <c r="V13" s="29"/>
      <c r="W13" s="24"/>
    </row>
    <row r="14" spans="1:23" ht="15" customHeight="1">
      <c r="A14" s="22"/>
      <c r="B14" s="25" t="s">
        <v>11</v>
      </c>
      <c r="D14" s="23"/>
      <c r="E14" s="62"/>
      <c r="F14" s="62"/>
      <c r="G14" s="62"/>
      <c r="H14" s="27"/>
      <c r="I14" s="25"/>
      <c r="J14" s="28" t="s">
        <v>12</v>
      </c>
      <c r="K14" s="25"/>
      <c r="L14" s="25"/>
      <c r="N14" s="27"/>
      <c r="O14" s="67"/>
      <c r="P14" s="68"/>
      <c r="Q14" s="68"/>
      <c r="R14" s="68"/>
      <c r="S14" s="68"/>
      <c r="T14" s="68"/>
      <c r="U14" s="68"/>
      <c r="V14" s="27"/>
      <c r="W14" s="30"/>
    </row>
    <row r="15" spans="1:23" ht="15" customHeight="1">
      <c r="A15" s="22"/>
      <c r="B15" s="25" t="s">
        <v>13</v>
      </c>
      <c r="E15" s="63"/>
      <c r="F15" s="64"/>
      <c r="G15" s="64"/>
      <c r="H15" s="27"/>
      <c r="I15" s="25"/>
      <c r="J15" s="25" t="s">
        <v>14</v>
      </c>
      <c r="K15" s="25"/>
      <c r="L15" s="25"/>
      <c r="M15" s="25"/>
      <c r="N15" s="25"/>
      <c r="O15" s="69"/>
      <c r="P15" s="69"/>
      <c r="Q15" s="69"/>
      <c r="R15" s="69"/>
      <c r="S15" s="69"/>
      <c r="T15" s="69"/>
      <c r="U15" s="69"/>
      <c r="V15" s="27"/>
      <c r="W15" s="30"/>
    </row>
    <row r="16" spans="1:23" ht="8.4499999999999993" customHeight="1" thickBot="1">
      <c r="A16" s="31"/>
      <c r="B16" s="32"/>
      <c r="C16" s="32"/>
      <c r="D16" s="33"/>
      <c r="E16" s="33"/>
      <c r="F16" s="33"/>
      <c r="G16" s="33"/>
      <c r="H16" s="32"/>
      <c r="I16" s="32"/>
      <c r="J16" s="32"/>
      <c r="K16" s="32"/>
      <c r="L16" s="32"/>
      <c r="M16" s="32"/>
      <c r="N16" s="34"/>
      <c r="O16" s="32"/>
      <c r="P16" s="32"/>
      <c r="Q16" s="32"/>
      <c r="R16" s="32"/>
      <c r="S16" s="32"/>
      <c r="T16" s="32"/>
      <c r="U16" s="32"/>
      <c r="V16" s="32"/>
      <c r="W16" s="35"/>
    </row>
    <row r="17" spans="1:23" ht="7.15" customHeight="1" thickTop="1" thickBot="1">
      <c r="A17" s="36"/>
      <c r="B17" s="37"/>
      <c r="C17" s="37"/>
      <c r="D17" s="38"/>
      <c r="E17" s="38"/>
      <c r="F17" s="38"/>
      <c r="G17" s="38"/>
      <c r="H17" s="38"/>
      <c r="I17" s="39"/>
      <c r="J17" s="37"/>
      <c r="K17" s="37"/>
      <c r="L17" s="37"/>
      <c r="M17" s="37"/>
    </row>
    <row r="18" spans="1:23" ht="15" customHeight="1" thickTop="1">
      <c r="A18" s="17" t="s">
        <v>15</v>
      </c>
      <c r="B18" s="40"/>
      <c r="C18" s="19"/>
      <c r="D18" s="20"/>
      <c r="E18" s="20"/>
      <c r="F18" s="20"/>
      <c r="G18" s="20"/>
      <c r="H18" s="19"/>
      <c r="I18" s="19"/>
      <c r="J18" s="41"/>
      <c r="K18" s="41"/>
      <c r="L18" s="4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1"/>
    </row>
    <row r="19" spans="1:23" ht="7.15" customHeight="1" thickBot="1">
      <c r="A19" s="22"/>
      <c r="W19" s="24"/>
    </row>
    <row r="20" spans="1:23" ht="19.899999999999999" customHeight="1" thickBot="1">
      <c r="A20" s="22"/>
      <c r="J20" s="130" t="s">
        <v>16</v>
      </c>
      <c r="K20" s="131"/>
      <c r="L20" s="131"/>
      <c r="M20" s="132"/>
      <c r="N20" s="131" t="s">
        <v>17</v>
      </c>
      <c r="O20" s="131"/>
      <c r="P20" s="131"/>
      <c r="Q20" s="186"/>
      <c r="R20" s="146" t="s">
        <v>18</v>
      </c>
      <c r="S20" s="147"/>
      <c r="T20" s="147"/>
      <c r="U20" s="148"/>
      <c r="W20" s="24"/>
    </row>
    <row r="21" spans="1:23" ht="19.899999999999999" customHeight="1" thickBot="1">
      <c r="A21" s="22"/>
      <c r="B21" s="130" t="s">
        <v>19</v>
      </c>
      <c r="C21" s="131"/>
      <c r="D21" s="131"/>
      <c r="E21" s="131"/>
      <c r="F21" s="131"/>
      <c r="G21" s="131"/>
      <c r="H21" s="132"/>
      <c r="J21" s="188">
        <v>125</v>
      </c>
      <c r="K21" s="96"/>
      <c r="L21" s="96"/>
      <c r="M21" s="189"/>
      <c r="N21" s="96"/>
      <c r="O21" s="96"/>
      <c r="P21" s="96"/>
      <c r="Q21" s="187"/>
      <c r="R21" s="149"/>
      <c r="S21" s="150"/>
      <c r="T21" s="150"/>
      <c r="U21" s="151"/>
      <c r="W21" s="24"/>
    </row>
    <row r="22" spans="1:23" ht="19.899999999999999" customHeight="1">
      <c r="A22" s="22"/>
      <c r="B22" s="121" t="s">
        <v>20</v>
      </c>
      <c r="C22" s="122"/>
      <c r="D22" s="123"/>
      <c r="E22" s="95"/>
      <c r="F22" s="96"/>
      <c r="G22" s="96"/>
      <c r="H22" s="56"/>
      <c r="J22" s="141">
        <v>100</v>
      </c>
      <c r="K22" s="135"/>
      <c r="L22" s="135"/>
      <c r="M22" s="142"/>
      <c r="N22" s="135"/>
      <c r="O22" s="135"/>
      <c r="P22" s="135"/>
      <c r="Q22" s="136"/>
      <c r="R22" s="143"/>
      <c r="S22" s="144"/>
      <c r="T22" s="144"/>
      <c r="U22" s="145"/>
      <c r="W22" s="24"/>
    </row>
    <row r="23" spans="1:23" ht="19.899999999999999" customHeight="1">
      <c r="A23" s="22"/>
      <c r="B23" s="118" t="s">
        <v>21</v>
      </c>
      <c r="C23" s="119"/>
      <c r="D23" s="120"/>
      <c r="E23" s="97"/>
      <c r="F23" s="98"/>
      <c r="G23" s="98"/>
      <c r="H23" s="57" t="s">
        <v>22</v>
      </c>
      <c r="J23" s="141">
        <v>80</v>
      </c>
      <c r="K23" s="135"/>
      <c r="L23" s="135"/>
      <c r="M23" s="142"/>
      <c r="N23" s="135"/>
      <c r="O23" s="135"/>
      <c r="P23" s="135"/>
      <c r="Q23" s="136"/>
      <c r="R23" s="143"/>
      <c r="S23" s="144"/>
      <c r="T23" s="144"/>
      <c r="U23" s="145"/>
      <c r="W23" s="24"/>
    </row>
    <row r="24" spans="1:23" ht="19.899999999999999" customHeight="1">
      <c r="A24" s="22"/>
      <c r="B24" s="118" t="s">
        <v>23</v>
      </c>
      <c r="C24" s="119"/>
      <c r="D24" s="120"/>
      <c r="E24" s="97"/>
      <c r="F24" s="98"/>
      <c r="G24" s="98"/>
      <c r="H24" s="57" t="s">
        <v>22</v>
      </c>
      <c r="J24" s="141">
        <v>63</v>
      </c>
      <c r="K24" s="135"/>
      <c r="L24" s="135"/>
      <c r="M24" s="142"/>
      <c r="N24" s="135"/>
      <c r="O24" s="135"/>
      <c r="P24" s="135"/>
      <c r="Q24" s="136"/>
      <c r="R24" s="143"/>
      <c r="S24" s="144"/>
      <c r="T24" s="144"/>
      <c r="U24" s="145"/>
      <c r="W24" s="24"/>
    </row>
    <row r="25" spans="1:23" ht="19.899999999999999" customHeight="1">
      <c r="A25" s="22"/>
      <c r="B25" s="118" t="s">
        <v>24</v>
      </c>
      <c r="C25" s="119"/>
      <c r="D25" s="120"/>
      <c r="E25" s="99" t="str">
        <f>IF(E24&lt;&gt;0,E24-E23,"")</f>
        <v/>
      </c>
      <c r="F25" s="100"/>
      <c r="G25" s="100"/>
      <c r="H25" s="57" t="s">
        <v>22</v>
      </c>
      <c r="J25" s="141">
        <v>50</v>
      </c>
      <c r="K25" s="135"/>
      <c r="L25" s="135"/>
      <c r="M25" s="142"/>
      <c r="N25" s="135"/>
      <c r="O25" s="135"/>
      <c r="P25" s="135"/>
      <c r="Q25" s="136"/>
      <c r="R25" s="143"/>
      <c r="S25" s="144"/>
      <c r="T25" s="144"/>
      <c r="U25" s="145"/>
      <c r="W25" s="24"/>
    </row>
    <row r="26" spans="1:23" ht="19.899999999999999" customHeight="1">
      <c r="A26" s="22"/>
      <c r="B26" s="118" t="s">
        <v>25</v>
      </c>
      <c r="C26" s="119"/>
      <c r="D26" s="120"/>
      <c r="E26" s="97"/>
      <c r="F26" s="98"/>
      <c r="G26" s="98"/>
      <c r="H26" s="57" t="s">
        <v>22</v>
      </c>
      <c r="J26" s="141">
        <v>40</v>
      </c>
      <c r="K26" s="135"/>
      <c r="L26" s="135"/>
      <c r="M26" s="142"/>
      <c r="N26" s="135"/>
      <c r="O26" s="135"/>
      <c r="P26" s="135"/>
      <c r="Q26" s="136"/>
      <c r="R26" s="143"/>
      <c r="S26" s="144"/>
      <c r="T26" s="144"/>
      <c r="U26" s="145"/>
      <c r="W26" s="24"/>
    </row>
    <row r="27" spans="1:23" ht="19.899999999999999" customHeight="1">
      <c r="A27" s="22"/>
      <c r="B27" s="118" t="s">
        <v>26</v>
      </c>
      <c r="C27" s="119"/>
      <c r="D27" s="120"/>
      <c r="E27" s="99" t="str">
        <f>IF(E26&lt;&gt;0,E26-E23,"")</f>
        <v/>
      </c>
      <c r="F27" s="100"/>
      <c r="G27" s="100"/>
      <c r="H27" s="57" t="s">
        <v>22</v>
      </c>
      <c r="J27" s="141">
        <v>31.5</v>
      </c>
      <c r="K27" s="135"/>
      <c r="L27" s="135"/>
      <c r="M27" s="142"/>
      <c r="N27" s="135"/>
      <c r="O27" s="135"/>
      <c r="P27" s="135"/>
      <c r="Q27" s="136"/>
      <c r="R27" s="143"/>
      <c r="S27" s="144"/>
      <c r="T27" s="144"/>
      <c r="U27" s="145"/>
      <c r="W27" s="24"/>
    </row>
    <row r="28" spans="1:23" ht="19.899999999999999" customHeight="1" thickBot="1">
      <c r="A28" s="22"/>
      <c r="B28" s="113" t="s">
        <v>27</v>
      </c>
      <c r="C28" s="114"/>
      <c r="D28" s="115"/>
      <c r="E28" s="133" t="str">
        <f>IF(E26&lt;&gt;0,(E25-E27)/E27,"")</f>
        <v/>
      </c>
      <c r="F28" s="134"/>
      <c r="G28" s="134"/>
      <c r="H28" s="58" t="s">
        <v>28</v>
      </c>
      <c r="J28" s="141">
        <v>25</v>
      </c>
      <c r="K28" s="135"/>
      <c r="L28" s="135"/>
      <c r="M28" s="142"/>
      <c r="N28" s="135"/>
      <c r="O28" s="135"/>
      <c r="P28" s="135"/>
      <c r="Q28" s="136"/>
      <c r="R28" s="143"/>
      <c r="S28" s="144"/>
      <c r="T28" s="144"/>
      <c r="U28" s="145"/>
      <c r="W28" s="24"/>
    </row>
    <row r="29" spans="1:23" ht="19.899999999999999" customHeight="1" thickBot="1">
      <c r="A29" s="22"/>
      <c r="J29" s="141">
        <v>20</v>
      </c>
      <c r="K29" s="135"/>
      <c r="L29" s="135"/>
      <c r="M29" s="142"/>
      <c r="N29" s="135"/>
      <c r="O29" s="135"/>
      <c r="P29" s="135"/>
      <c r="Q29" s="136"/>
      <c r="R29" s="143"/>
      <c r="S29" s="144"/>
      <c r="T29" s="144"/>
      <c r="U29" s="145"/>
      <c r="W29" s="24"/>
    </row>
    <row r="30" spans="1:23" ht="19.899999999999999" customHeight="1" thickBot="1">
      <c r="A30" s="22"/>
      <c r="B30" s="130" t="s">
        <v>29</v>
      </c>
      <c r="C30" s="131"/>
      <c r="D30" s="131"/>
      <c r="E30" s="131"/>
      <c r="F30" s="131"/>
      <c r="G30" s="131"/>
      <c r="H30" s="132"/>
      <c r="J30" s="141">
        <v>16</v>
      </c>
      <c r="K30" s="135"/>
      <c r="L30" s="135"/>
      <c r="M30" s="142"/>
      <c r="N30" s="135"/>
      <c r="O30" s="135"/>
      <c r="P30" s="135"/>
      <c r="Q30" s="136"/>
      <c r="R30" s="143"/>
      <c r="S30" s="144"/>
      <c r="T30" s="144"/>
      <c r="U30" s="145"/>
      <c r="W30" s="24"/>
    </row>
    <row r="31" spans="1:23" ht="19.899999999999999" customHeight="1">
      <c r="A31" s="22"/>
      <c r="B31" s="121" t="s">
        <v>20</v>
      </c>
      <c r="C31" s="122"/>
      <c r="D31" s="123"/>
      <c r="E31" s="95"/>
      <c r="F31" s="96"/>
      <c r="G31" s="96"/>
      <c r="H31" s="56"/>
      <c r="J31" s="141">
        <v>14</v>
      </c>
      <c r="K31" s="135"/>
      <c r="L31" s="135"/>
      <c r="M31" s="142"/>
      <c r="N31" s="135"/>
      <c r="O31" s="135"/>
      <c r="P31" s="135"/>
      <c r="Q31" s="136"/>
      <c r="R31" s="143"/>
      <c r="S31" s="144"/>
      <c r="T31" s="144"/>
      <c r="U31" s="145"/>
      <c r="W31" s="24"/>
    </row>
    <row r="32" spans="1:23" ht="19.899999999999999" customHeight="1">
      <c r="A32" s="22"/>
      <c r="B32" s="118" t="s">
        <v>21</v>
      </c>
      <c r="C32" s="119"/>
      <c r="D32" s="120"/>
      <c r="E32" s="97"/>
      <c r="F32" s="98"/>
      <c r="G32" s="98"/>
      <c r="H32" s="57" t="s">
        <v>22</v>
      </c>
      <c r="J32" s="141">
        <v>12.5</v>
      </c>
      <c r="K32" s="135"/>
      <c r="L32" s="135"/>
      <c r="M32" s="142"/>
      <c r="N32" s="135"/>
      <c r="O32" s="135"/>
      <c r="P32" s="135"/>
      <c r="Q32" s="136"/>
      <c r="R32" s="143"/>
      <c r="S32" s="144"/>
      <c r="T32" s="144"/>
      <c r="U32" s="145"/>
      <c r="W32" s="24"/>
    </row>
    <row r="33" spans="1:26" ht="19.899999999999999" customHeight="1">
      <c r="A33" s="22"/>
      <c r="B33" s="118" t="s">
        <v>23</v>
      </c>
      <c r="C33" s="119"/>
      <c r="D33" s="120"/>
      <c r="E33" s="97"/>
      <c r="F33" s="98"/>
      <c r="G33" s="98"/>
      <c r="H33" s="57" t="s">
        <v>22</v>
      </c>
      <c r="J33" s="141">
        <v>10</v>
      </c>
      <c r="K33" s="135"/>
      <c r="L33" s="135"/>
      <c r="M33" s="142"/>
      <c r="N33" s="135"/>
      <c r="O33" s="135"/>
      <c r="P33" s="135"/>
      <c r="Q33" s="136"/>
      <c r="R33" s="143"/>
      <c r="S33" s="144"/>
      <c r="T33" s="144"/>
      <c r="U33" s="145"/>
      <c r="W33" s="24"/>
    </row>
    <row r="34" spans="1:26" ht="19.899999999999999" customHeight="1">
      <c r="A34" s="22"/>
      <c r="B34" s="118" t="s">
        <v>24</v>
      </c>
      <c r="C34" s="119"/>
      <c r="D34" s="120"/>
      <c r="E34" s="99" t="str">
        <f>IF(E33&lt;&gt;0,E33-E32,"")</f>
        <v/>
      </c>
      <c r="F34" s="100"/>
      <c r="G34" s="100"/>
      <c r="H34" s="57" t="s">
        <v>22</v>
      </c>
      <c r="J34" s="141">
        <v>8</v>
      </c>
      <c r="K34" s="135"/>
      <c r="L34" s="135"/>
      <c r="M34" s="142"/>
      <c r="N34" s="135"/>
      <c r="O34" s="135"/>
      <c r="P34" s="135"/>
      <c r="Q34" s="136"/>
      <c r="R34" s="143"/>
      <c r="S34" s="144"/>
      <c r="T34" s="144"/>
      <c r="U34" s="145"/>
      <c r="W34" s="24"/>
    </row>
    <row r="35" spans="1:26" ht="19.899999999999999" customHeight="1">
      <c r="A35" s="22"/>
      <c r="B35" s="118" t="s">
        <v>25</v>
      </c>
      <c r="C35" s="119"/>
      <c r="D35" s="120"/>
      <c r="E35" s="97"/>
      <c r="F35" s="98"/>
      <c r="G35" s="98"/>
      <c r="H35" s="57" t="s">
        <v>22</v>
      </c>
      <c r="J35" s="141">
        <v>6.3</v>
      </c>
      <c r="K35" s="135"/>
      <c r="L35" s="135"/>
      <c r="M35" s="142"/>
      <c r="N35" s="135"/>
      <c r="O35" s="135"/>
      <c r="P35" s="135"/>
      <c r="Q35" s="136"/>
      <c r="R35" s="143"/>
      <c r="S35" s="144"/>
      <c r="T35" s="144"/>
      <c r="U35" s="145"/>
      <c r="W35" s="24"/>
    </row>
    <row r="36" spans="1:26" ht="19.899999999999999" customHeight="1">
      <c r="A36" s="22"/>
      <c r="B36" s="118" t="s">
        <v>26</v>
      </c>
      <c r="C36" s="119"/>
      <c r="D36" s="120"/>
      <c r="E36" s="99" t="str">
        <f>IF(E35&lt;&gt;0,E35-E32,"")</f>
        <v/>
      </c>
      <c r="F36" s="100"/>
      <c r="G36" s="100"/>
      <c r="H36" s="57" t="s">
        <v>22</v>
      </c>
      <c r="J36" s="141">
        <v>5</v>
      </c>
      <c r="K36" s="135"/>
      <c r="L36" s="135"/>
      <c r="M36" s="142"/>
      <c r="N36" s="135"/>
      <c r="O36" s="135"/>
      <c r="P36" s="135"/>
      <c r="Q36" s="136"/>
      <c r="R36" s="143"/>
      <c r="S36" s="144"/>
      <c r="T36" s="144"/>
      <c r="U36" s="145"/>
      <c r="W36" s="24"/>
    </row>
    <row r="37" spans="1:26" ht="19.899999999999999" customHeight="1" thickBot="1">
      <c r="A37" s="22"/>
      <c r="B37" s="113" t="s">
        <v>27</v>
      </c>
      <c r="C37" s="114"/>
      <c r="D37" s="115"/>
      <c r="E37" s="133" t="str">
        <f>IF(E35&lt;&gt;0,(E34-E36)/E36,"")</f>
        <v/>
      </c>
      <c r="F37" s="134"/>
      <c r="G37" s="134"/>
      <c r="H37" s="58" t="s">
        <v>28</v>
      </c>
      <c r="J37" s="141">
        <v>4</v>
      </c>
      <c r="K37" s="135"/>
      <c r="L37" s="135"/>
      <c r="M37" s="142"/>
      <c r="N37" s="135"/>
      <c r="O37" s="135"/>
      <c r="P37" s="135"/>
      <c r="Q37" s="136"/>
      <c r="R37" s="143"/>
      <c r="S37" s="144"/>
      <c r="T37" s="144"/>
      <c r="U37" s="145"/>
      <c r="W37" s="24"/>
    </row>
    <row r="38" spans="1:26" ht="19.899999999999999" customHeight="1" thickBot="1">
      <c r="A38" s="22"/>
      <c r="J38" s="141">
        <v>3.15</v>
      </c>
      <c r="K38" s="135"/>
      <c r="L38" s="135"/>
      <c r="M38" s="142"/>
      <c r="N38" s="135"/>
      <c r="O38" s="135"/>
      <c r="P38" s="135"/>
      <c r="Q38" s="136"/>
      <c r="R38" s="143"/>
      <c r="S38" s="144"/>
      <c r="T38" s="144"/>
      <c r="U38" s="145"/>
      <c r="W38" s="24"/>
    </row>
    <row r="39" spans="1:26" ht="19.899999999999999" customHeight="1" thickBot="1">
      <c r="A39" s="22"/>
      <c r="B39" s="130" t="s">
        <v>30</v>
      </c>
      <c r="C39" s="131"/>
      <c r="D39" s="131"/>
      <c r="E39" s="131"/>
      <c r="F39" s="131"/>
      <c r="G39" s="131"/>
      <c r="H39" s="132"/>
      <c r="J39" s="141">
        <v>2</v>
      </c>
      <c r="K39" s="135"/>
      <c r="L39" s="135"/>
      <c r="M39" s="142"/>
      <c r="N39" s="135"/>
      <c r="O39" s="135"/>
      <c r="P39" s="135"/>
      <c r="Q39" s="136"/>
      <c r="R39" s="143"/>
      <c r="S39" s="144"/>
      <c r="T39" s="144"/>
      <c r="U39" s="145"/>
      <c r="W39" s="24"/>
    </row>
    <row r="40" spans="1:26" ht="19.899999999999999" customHeight="1">
      <c r="A40" s="22"/>
      <c r="B40" s="121" t="s">
        <v>20</v>
      </c>
      <c r="C40" s="122"/>
      <c r="D40" s="123"/>
      <c r="E40" s="95"/>
      <c r="F40" s="96"/>
      <c r="G40" s="96"/>
      <c r="H40" s="56"/>
      <c r="J40" s="141">
        <v>1</v>
      </c>
      <c r="K40" s="135"/>
      <c r="L40" s="135"/>
      <c r="M40" s="142"/>
      <c r="N40" s="135"/>
      <c r="O40" s="135"/>
      <c r="P40" s="135"/>
      <c r="Q40" s="136"/>
      <c r="R40" s="143"/>
      <c r="S40" s="144"/>
      <c r="T40" s="144"/>
      <c r="U40" s="145"/>
      <c r="W40" s="24"/>
    </row>
    <row r="41" spans="1:26" ht="19.899999999999999" customHeight="1">
      <c r="A41" s="22"/>
      <c r="B41" s="118" t="s">
        <v>21</v>
      </c>
      <c r="C41" s="119"/>
      <c r="D41" s="120"/>
      <c r="E41" s="97"/>
      <c r="F41" s="98"/>
      <c r="G41" s="98"/>
      <c r="H41" s="57" t="s">
        <v>22</v>
      </c>
      <c r="J41" s="141">
        <v>0.5</v>
      </c>
      <c r="K41" s="135"/>
      <c r="L41" s="135"/>
      <c r="M41" s="142"/>
      <c r="N41" s="135"/>
      <c r="O41" s="135"/>
      <c r="P41" s="135"/>
      <c r="Q41" s="136"/>
      <c r="R41" s="143"/>
      <c r="S41" s="144"/>
      <c r="T41" s="144"/>
      <c r="U41" s="145"/>
      <c r="W41" s="24"/>
    </row>
    <row r="42" spans="1:26" ht="19.899999999999999" customHeight="1">
      <c r="A42" s="22"/>
      <c r="B42" s="118" t="s">
        <v>23</v>
      </c>
      <c r="C42" s="119"/>
      <c r="D42" s="120"/>
      <c r="E42" s="97"/>
      <c r="F42" s="98"/>
      <c r="G42" s="98"/>
      <c r="H42" s="57" t="s">
        <v>22</v>
      </c>
      <c r="J42" s="141">
        <v>0.4</v>
      </c>
      <c r="K42" s="135"/>
      <c r="L42" s="135"/>
      <c r="M42" s="142"/>
      <c r="N42" s="135"/>
      <c r="O42" s="135"/>
      <c r="P42" s="135"/>
      <c r="Q42" s="136"/>
      <c r="R42" s="143"/>
      <c r="S42" s="144"/>
      <c r="T42" s="144"/>
      <c r="U42" s="145"/>
      <c r="W42" s="24"/>
    </row>
    <row r="43" spans="1:26" ht="19.899999999999999" customHeight="1">
      <c r="A43" s="22"/>
      <c r="B43" s="118" t="s">
        <v>24</v>
      </c>
      <c r="C43" s="119"/>
      <c r="D43" s="120"/>
      <c r="E43" s="99" t="str">
        <f>IF(E42&lt;&gt;0,E42-E41,"")</f>
        <v/>
      </c>
      <c r="F43" s="100"/>
      <c r="G43" s="100"/>
      <c r="H43" s="57" t="s">
        <v>22</v>
      </c>
      <c r="J43" s="141">
        <v>0.315</v>
      </c>
      <c r="K43" s="135"/>
      <c r="L43" s="135"/>
      <c r="M43" s="142"/>
      <c r="N43" s="135"/>
      <c r="O43" s="135"/>
      <c r="P43" s="135"/>
      <c r="Q43" s="136"/>
      <c r="R43" s="143"/>
      <c r="S43" s="144"/>
      <c r="T43" s="144"/>
      <c r="U43" s="145"/>
      <c r="V43" s="23"/>
      <c r="W43" s="24"/>
      <c r="X43" s="23"/>
      <c r="Y43" s="23"/>
      <c r="Z43" s="23"/>
    </row>
    <row r="44" spans="1:26" ht="19.899999999999999" customHeight="1">
      <c r="A44" s="22"/>
      <c r="B44" s="118" t="s">
        <v>25</v>
      </c>
      <c r="C44" s="119"/>
      <c r="D44" s="120"/>
      <c r="E44" s="97"/>
      <c r="F44" s="98"/>
      <c r="G44" s="98"/>
      <c r="H44" s="57" t="s">
        <v>22</v>
      </c>
      <c r="J44" s="141">
        <v>0.25</v>
      </c>
      <c r="K44" s="135"/>
      <c r="L44" s="135"/>
      <c r="M44" s="142"/>
      <c r="N44" s="135"/>
      <c r="O44" s="135"/>
      <c r="P44" s="135"/>
      <c r="Q44" s="136"/>
      <c r="R44" s="143"/>
      <c r="S44" s="144"/>
      <c r="T44" s="144"/>
      <c r="U44" s="145"/>
      <c r="W44" s="24"/>
    </row>
    <row r="45" spans="1:26" ht="19.899999999999999" customHeight="1">
      <c r="A45" s="22"/>
      <c r="B45" s="118" t="s">
        <v>26</v>
      </c>
      <c r="C45" s="119"/>
      <c r="D45" s="120"/>
      <c r="E45" s="99" t="str">
        <f>IF(E44&lt;&gt;0,E44-E41,"")</f>
        <v/>
      </c>
      <c r="F45" s="100"/>
      <c r="G45" s="100"/>
      <c r="H45" s="57" t="s">
        <v>22</v>
      </c>
      <c r="J45" s="141">
        <v>0.08</v>
      </c>
      <c r="K45" s="135"/>
      <c r="L45" s="135"/>
      <c r="M45" s="142"/>
      <c r="N45" s="135"/>
      <c r="O45" s="135"/>
      <c r="P45" s="135"/>
      <c r="Q45" s="136"/>
      <c r="R45" s="143"/>
      <c r="S45" s="144"/>
      <c r="T45" s="144"/>
      <c r="U45" s="145"/>
      <c r="W45" s="24"/>
    </row>
    <row r="46" spans="1:26" ht="19.899999999999999" customHeight="1" thickBot="1">
      <c r="A46" s="22"/>
      <c r="B46" s="113" t="s">
        <v>27</v>
      </c>
      <c r="C46" s="114"/>
      <c r="D46" s="115"/>
      <c r="E46" s="133" t="str">
        <f>IF(E44&lt;&gt;0,(E43-E45)/E45,"")</f>
        <v/>
      </c>
      <c r="F46" s="134"/>
      <c r="G46" s="134"/>
      <c r="H46" s="58" t="s">
        <v>28</v>
      </c>
      <c r="J46" s="139">
        <v>6.3E-2</v>
      </c>
      <c r="K46" s="137"/>
      <c r="L46" s="137"/>
      <c r="M46" s="140"/>
      <c r="N46" s="137"/>
      <c r="O46" s="137"/>
      <c r="P46" s="137"/>
      <c r="Q46" s="138"/>
      <c r="R46" s="161"/>
      <c r="S46" s="162"/>
      <c r="T46" s="162"/>
      <c r="U46" s="163"/>
      <c r="W46" s="24"/>
    </row>
    <row r="47" spans="1:26" ht="9" customHeight="1" thickBot="1">
      <c r="A47" s="22"/>
      <c r="W47" s="24"/>
    </row>
    <row r="48" spans="1:26" ht="3" customHeight="1" thickTop="1" thickBot="1">
      <c r="A48" s="59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60"/>
    </row>
    <row r="49" spans="1:23" ht="9" customHeight="1" thickTop="1" thickBot="1">
      <c r="A49" s="22"/>
      <c r="W49" s="24"/>
    </row>
    <row r="50" spans="1:23" ht="19.899999999999999" customHeight="1" thickBot="1">
      <c r="A50" s="22"/>
      <c r="B50" s="130" t="s">
        <v>31</v>
      </c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2"/>
      <c r="V50" s="42"/>
      <c r="W50" s="24"/>
    </row>
    <row r="51" spans="1:23" ht="19.899999999999999" customHeight="1">
      <c r="A51" s="22"/>
      <c r="B51" s="118" t="s">
        <v>32</v>
      </c>
      <c r="C51" s="119"/>
      <c r="D51" s="120"/>
      <c r="E51" s="97"/>
      <c r="F51" s="98"/>
      <c r="G51" s="98"/>
      <c r="H51" s="57" t="s">
        <v>22</v>
      </c>
      <c r="I51" s="101" t="s">
        <v>33</v>
      </c>
      <c r="J51" s="102"/>
      <c r="K51" s="102"/>
      <c r="L51" s="102"/>
      <c r="M51" s="102"/>
      <c r="N51" s="128"/>
      <c r="O51" s="129"/>
      <c r="P51" s="129"/>
      <c r="Q51" s="129"/>
      <c r="R51" s="129"/>
      <c r="S51" s="129"/>
      <c r="T51" s="129"/>
      <c r="U51" s="57" t="s">
        <v>22</v>
      </c>
      <c r="W51" s="24"/>
    </row>
    <row r="52" spans="1:23" ht="19.899999999999999" customHeight="1">
      <c r="A52" s="22"/>
      <c r="B52" s="118" t="s">
        <v>34</v>
      </c>
      <c r="C52" s="119"/>
      <c r="D52" s="120"/>
      <c r="E52" s="124"/>
      <c r="F52" s="125"/>
      <c r="G52" s="125"/>
      <c r="H52" s="57" t="s">
        <v>22</v>
      </c>
      <c r="I52" s="103" t="s">
        <v>35</v>
      </c>
      <c r="J52" s="104"/>
      <c r="K52" s="104"/>
      <c r="L52" s="104"/>
      <c r="M52" s="104"/>
      <c r="N52" s="124" t="str">
        <f>IF(N51&lt;&gt;0,N51-N49,"")</f>
        <v/>
      </c>
      <c r="O52" s="125"/>
      <c r="P52" s="125"/>
      <c r="Q52" s="125"/>
      <c r="R52" s="125"/>
      <c r="S52" s="125"/>
      <c r="T52" s="125"/>
      <c r="U52" s="57" t="s">
        <v>22</v>
      </c>
      <c r="W52" s="24"/>
    </row>
    <row r="53" spans="1:23" ht="19.899999999999999" customHeight="1" thickBot="1">
      <c r="A53" s="22"/>
      <c r="B53" s="113" t="s">
        <v>36</v>
      </c>
      <c r="C53" s="114"/>
      <c r="D53" s="115"/>
      <c r="E53" s="126" t="str">
        <f>IF(E52&lt;&gt;0,E52-E51,"")</f>
        <v/>
      </c>
      <c r="F53" s="127"/>
      <c r="G53" s="127"/>
      <c r="H53" s="58" t="s">
        <v>22</v>
      </c>
      <c r="I53" s="105" t="s">
        <v>37</v>
      </c>
      <c r="J53" s="106"/>
      <c r="K53" s="106"/>
      <c r="L53" s="106"/>
      <c r="M53" s="106"/>
      <c r="N53" s="164" t="str">
        <f>IF(N51&lt;&gt;0,(#REF!-N52)/N52,"")</f>
        <v/>
      </c>
      <c r="O53" s="165"/>
      <c r="P53" s="165"/>
      <c r="Q53" s="165"/>
      <c r="R53" s="165"/>
      <c r="S53" s="165"/>
      <c r="T53" s="165"/>
      <c r="U53" s="58" t="s">
        <v>22</v>
      </c>
      <c r="W53" s="24"/>
    </row>
    <row r="54" spans="1:23" ht="9" customHeight="1" thickBot="1">
      <c r="A54" s="22"/>
      <c r="U54" s="37"/>
      <c r="W54" s="24"/>
    </row>
    <row r="55" spans="1:23" ht="3" customHeight="1" thickTop="1" thickBot="1">
      <c r="A55" s="59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60"/>
    </row>
    <row r="56" spans="1:23" ht="9" customHeight="1" thickTop="1">
      <c r="A56" s="22"/>
      <c r="W56" s="24"/>
    </row>
    <row r="57" spans="1:23" ht="19.899999999999999" customHeight="1" thickBot="1">
      <c r="A57" s="22"/>
      <c r="B57" s="116" t="s">
        <v>38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W57" s="24"/>
    </row>
    <row r="58" spans="1:23" ht="19.899999999999999" customHeight="1">
      <c r="A58" s="22"/>
      <c r="B58" s="121" t="s">
        <v>39</v>
      </c>
      <c r="C58" s="122"/>
      <c r="D58" s="123"/>
      <c r="E58" s="95"/>
      <c r="F58" s="96"/>
      <c r="G58" s="96"/>
      <c r="H58" s="56"/>
      <c r="I58" s="101" t="s">
        <v>40</v>
      </c>
      <c r="J58" s="102"/>
      <c r="K58" s="102"/>
      <c r="L58" s="102"/>
      <c r="M58" s="102"/>
      <c r="N58" s="95"/>
      <c r="O58" s="96"/>
      <c r="P58" s="96"/>
      <c r="Q58" s="96"/>
      <c r="R58" s="96"/>
      <c r="S58" s="96"/>
      <c r="T58" s="96"/>
      <c r="U58" s="56"/>
      <c r="W58" s="24"/>
    </row>
    <row r="59" spans="1:23" ht="19.899999999999999" customHeight="1">
      <c r="A59" s="22"/>
      <c r="B59" s="118" t="s">
        <v>41</v>
      </c>
      <c r="C59" s="119"/>
      <c r="D59" s="120"/>
      <c r="E59" s="97"/>
      <c r="F59" s="98"/>
      <c r="G59" s="98"/>
      <c r="H59" s="57" t="s">
        <v>22</v>
      </c>
      <c r="I59" s="103" t="s">
        <v>42</v>
      </c>
      <c r="J59" s="104"/>
      <c r="K59" s="104"/>
      <c r="L59" s="104"/>
      <c r="M59" s="104"/>
      <c r="N59" s="97"/>
      <c r="O59" s="98"/>
      <c r="P59" s="98"/>
      <c r="Q59" s="98"/>
      <c r="R59" s="98"/>
      <c r="S59" s="98"/>
      <c r="T59" s="98"/>
      <c r="U59" s="57" t="s">
        <v>22</v>
      </c>
      <c r="W59" s="24"/>
    </row>
    <row r="60" spans="1:23" ht="19.899999999999999" customHeight="1">
      <c r="A60" s="22"/>
      <c r="B60" s="118" t="s">
        <v>43</v>
      </c>
      <c r="C60" s="119"/>
      <c r="D60" s="120"/>
      <c r="E60" s="97"/>
      <c r="F60" s="98"/>
      <c r="G60" s="98"/>
      <c r="H60" s="57" t="s">
        <v>22</v>
      </c>
      <c r="I60" s="103" t="s">
        <v>44</v>
      </c>
      <c r="J60" s="104"/>
      <c r="K60" s="104"/>
      <c r="L60" s="104"/>
      <c r="M60" s="104"/>
      <c r="N60" s="97"/>
      <c r="O60" s="98"/>
      <c r="P60" s="98"/>
      <c r="Q60" s="98"/>
      <c r="R60" s="98"/>
      <c r="S60" s="98"/>
      <c r="T60" s="98"/>
      <c r="U60" s="57" t="s">
        <v>22</v>
      </c>
      <c r="W60" s="24"/>
    </row>
    <row r="61" spans="1:23" ht="19.899999999999999" customHeight="1">
      <c r="A61" s="22"/>
      <c r="B61" s="118" t="s">
        <v>45</v>
      </c>
      <c r="C61" s="119"/>
      <c r="D61" s="120"/>
      <c r="E61" s="99" t="str">
        <f>IF(E60&lt;&gt;0,E60-E59,"")</f>
        <v/>
      </c>
      <c r="F61" s="100"/>
      <c r="G61" s="100"/>
      <c r="H61" s="57" t="s">
        <v>22</v>
      </c>
      <c r="I61" s="103" t="s">
        <v>46</v>
      </c>
      <c r="J61" s="104"/>
      <c r="K61" s="104"/>
      <c r="L61" s="104"/>
      <c r="M61" s="104"/>
      <c r="N61" s="99" t="str">
        <f>IF(N60&lt;&gt;0,N60-N59,"")</f>
        <v/>
      </c>
      <c r="O61" s="100"/>
      <c r="P61" s="100"/>
      <c r="Q61" s="100"/>
      <c r="R61" s="100"/>
      <c r="S61" s="100"/>
      <c r="T61" s="100"/>
      <c r="U61" s="57" t="s">
        <v>22</v>
      </c>
      <c r="W61" s="24"/>
    </row>
    <row r="62" spans="1:23" ht="19.899999999999999" customHeight="1">
      <c r="A62" s="22"/>
      <c r="B62" s="118" t="s">
        <v>47</v>
      </c>
      <c r="C62" s="119"/>
      <c r="D62" s="120"/>
      <c r="E62" s="97"/>
      <c r="F62" s="98"/>
      <c r="G62" s="98"/>
      <c r="H62" s="57" t="s">
        <v>22</v>
      </c>
      <c r="I62" s="103" t="s">
        <v>48</v>
      </c>
      <c r="J62" s="104"/>
      <c r="K62" s="104"/>
      <c r="L62" s="104"/>
      <c r="M62" s="104"/>
      <c r="N62" s="97"/>
      <c r="O62" s="98"/>
      <c r="P62" s="98"/>
      <c r="Q62" s="98"/>
      <c r="R62" s="98"/>
      <c r="S62" s="98"/>
      <c r="T62" s="98"/>
      <c r="U62" s="57" t="s">
        <v>22</v>
      </c>
      <c r="W62" s="24"/>
    </row>
    <row r="63" spans="1:23" ht="19.899999999999999" customHeight="1" thickBot="1">
      <c r="A63" s="22"/>
      <c r="B63" s="113" t="s">
        <v>49</v>
      </c>
      <c r="C63" s="114"/>
      <c r="D63" s="115"/>
      <c r="E63" s="107" t="str">
        <f>IF(E62&lt;&gt;0,E62-E59,"")</f>
        <v/>
      </c>
      <c r="F63" s="108"/>
      <c r="G63" s="108"/>
      <c r="H63" s="58" t="s">
        <v>22</v>
      </c>
      <c r="I63" s="105" t="s">
        <v>50</v>
      </c>
      <c r="J63" s="106"/>
      <c r="K63" s="106"/>
      <c r="L63" s="106"/>
      <c r="M63" s="106"/>
      <c r="N63" s="107" t="str">
        <f>IF(N62&lt;&gt;0,N62-N59,"")</f>
        <v/>
      </c>
      <c r="O63" s="108"/>
      <c r="P63" s="108"/>
      <c r="Q63" s="108"/>
      <c r="R63" s="108"/>
      <c r="S63" s="108"/>
      <c r="T63" s="108"/>
      <c r="U63" s="58" t="s">
        <v>22</v>
      </c>
      <c r="W63" s="24"/>
    </row>
    <row r="64" spans="1:23" ht="9.6" customHeight="1" thickBot="1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5"/>
    </row>
    <row r="65" spans="1:23" ht="15" hidden="1" customHeight="1" thickTop="1" thickBot="1"/>
    <row r="66" spans="1:23" ht="15" hidden="1" customHeight="1" thickTop="1">
      <c r="A66" s="109" t="s">
        <v>51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43"/>
      <c r="O66" s="92" t="s">
        <v>52</v>
      </c>
      <c r="P66" s="93"/>
      <c r="Q66" s="94"/>
      <c r="R66" s="86"/>
      <c r="S66" s="87"/>
      <c r="T66" s="87"/>
      <c r="U66" s="87"/>
      <c r="V66" s="87"/>
      <c r="W66" s="88"/>
    </row>
    <row r="67" spans="1:23" ht="15" hidden="1" customHeight="1" thickBot="1">
      <c r="A67" s="111"/>
      <c r="B67" s="112"/>
      <c r="C67" s="112"/>
      <c r="D67" s="112"/>
      <c r="E67" s="112"/>
      <c r="F67" s="112"/>
      <c r="G67" s="112"/>
      <c r="H67" s="112"/>
      <c r="N67" s="44"/>
      <c r="O67" s="92"/>
      <c r="P67" s="93"/>
      <c r="Q67" s="94"/>
      <c r="R67" s="89"/>
      <c r="S67" s="90"/>
      <c r="T67" s="90"/>
      <c r="U67" s="90"/>
      <c r="V67" s="90"/>
      <c r="W67" s="91"/>
    </row>
    <row r="68" spans="1:23" ht="15" hidden="1" customHeight="1" thickTop="1" thickBot="1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45"/>
      <c r="O68" s="93" t="s">
        <v>53</v>
      </c>
      <c r="P68" s="93"/>
      <c r="Q68" s="94"/>
      <c r="R68" s="86"/>
      <c r="S68" s="87"/>
      <c r="T68" s="87"/>
      <c r="U68" s="87"/>
      <c r="V68" s="87"/>
      <c r="W68" s="88"/>
    </row>
    <row r="69" spans="1:23" ht="6.6" hidden="1" customHeight="1" thickTop="1" thickBot="1">
      <c r="A69" s="46"/>
      <c r="B69" s="47"/>
      <c r="C69" s="47"/>
      <c r="D69" s="47"/>
      <c r="E69" s="48"/>
      <c r="F69" s="47"/>
      <c r="G69" s="47"/>
      <c r="H69" s="47"/>
      <c r="I69" s="48"/>
      <c r="J69" s="47"/>
      <c r="K69" s="47"/>
      <c r="L69" s="47"/>
      <c r="M69" s="47"/>
      <c r="N69" s="49"/>
      <c r="O69" s="93"/>
      <c r="P69" s="93"/>
      <c r="Q69" s="94"/>
      <c r="R69" s="89"/>
      <c r="S69" s="90"/>
      <c r="T69" s="90"/>
      <c r="U69" s="90"/>
      <c r="V69" s="90"/>
      <c r="W69" s="91"/>
    </row>
    <row r="70" spans="1:23" ht="15" hidden="1" customHeight="1" thickTop="1" thickBot="1">
      <c r="A70" s="109" t="s">
        <v>54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50"/>
      <c r="O70" s="93"/>
      <c r="P70" s="93"/>
      <c r="Q70" s="94"/>
      <c r="R70" s="158"/>
      <c r="S70" s="159"/>
      <c r="T70" s="159"/>
      <c r="U70" s="159"/>
      <c r="V70" s="159"/>
      <c r="W70" s="160"/>
    </row>
    <row r="71" spans="1:23" ht="15" hidden="1" customHeight="1" thickTop="1">
      <c r="A71" s="5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44"/>
      <c r="O71" s="92" t="s">
        <v>55</v>
      </c>
      <c r="P71" s="93"/>
      <c r="Q71" s="93"/>
      <c r="R71" s="152"/>
      <c r="S71" s="153"/>
      <c r="T71" s="153"/>
      <c r="U71" s="153"/>
      <c r="V71" s="153"/>
      <c r="W71" s="154"/>
    </row>
    <row r="72" spans="1:23" ht="15" hidden="1" customHeight="1" thickBot="1">
      <c r="A72" s="53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45"/>
      <c r="O72" s="92"/>
      <c r="P72" s="93"/>
      <c r="Q72" s="93"/>
      <c r="R72" s="155"/>
      <c r="S72" s="156"/>
      <c r="T72" s="156"/>
      <c r="U72" s="156"/>
      <c r="V72" s="156"/>
      <c r="W72" s="157"/>
    </row>
    <row r="73" spans="1:23" ht="12.75" hidden="1" customHeight="1" thickTop="1"/>
    <row r="74" spans="1:23" ht="12.75" customHeight="1" thickTop="1"/>
  </sheetData>
  <sheetProtection selectLockedCells="1"/>
  <mergeCells count="181">
    <mergeCell ref="J21:M21"/>
    <mergeCell ref="J22:M22"/>
    <mergeCell ref="N25:Q25"/>
    <mergeCell ref="N26:Q26"/>
    <mergeCell ref="N27:Q27"/>
    <mergeCell ref="N28:Q28"/>
    <mergeCell ref="N30:Q30"/>
    <mergeCell ref="N31:Q31"/>
    <mergeCell ref="N22:Q22"/>
    <mergeCell ref="N23:Q23"/>
    <mergeCell ref="N24:Q24"/>
    <mergeCell ref="N29:Q29"/>
    <mergeCell ref="J34:M34"/>
    <mergeCell ref="E1:P4"/>
    <mergeCell ref="Q1:W6"/>
    <mergeCell ref="E5:G5"/>
    <mergeCell ref="H5:L5"/>
    <mergeCell ref="M5:P5"/>
    <mergeCell ref="E6:G6"/>
    <mergeCell ref="H6:L6"/>
    <mergeCell ref="M6:P6"/>
    <mergeCell ref="N33:Q33"/>
    <mergeCell ref="E32:G3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N20:Q20"/>
    <mergeCell ref="N21:Q21"/>
    <mergeCell ref="J20:M20"/>
    <mergeCell ref="A70:M70"/>
    <mergeCell ref="J35:M35"/>
    <mergeCell ref="J36:M36"/>
    <mergeCell ref="J37:M37"/>
    <mergeCell ref="J38:M38"/>
    <mergeCell ref="N42:Q42"/>
    <mergeCell ref="N43:Q43"/>
    <mergeCell ref="B43:D43"/>
    <mergeCell ref="E43:G43"/>
    <mergeCell ref="B44:D44"/>
    <mergeCell ref="E44:G44"/>
    <mergeCell ref="B45:D45"/>
    <mergeCell ref="E45:G45"/>
    <mergeCell ref="J39:M39"/>
    <mergeCell ref="J40:M40"/>
    <mergeCell ref="J41:M41"/>
    <mergeCell ref="J42:M42"/>
    <mergeCell ref="J43:M43"/>
    <mergeCell ref="J44:M44"/>
    <mergeCell ref="J45:M45"/>
    <mergeCell ref="B50:U50"/>
    <mergeCell ref="N52:T52"/>
    <mergeCell ref="N53:T53"/>
    <mergeCell ref="I51:M51"/>
    <mergeCell ref="R29:U29"/>
    <mergeCell ref="R30:U30"/>
    <mergeCell ref="N39:Q39"/>
    <mergeCell ref="N40:Q40"/>
    <mergeCell ref="N41:Q41"/>
    <mergeCell ref="R39:U39"/>
    <mergeCell ref="R40:U40"/>
    <mergeCell ref="R41:U41"/>
    <mergeCell ref="O71:Q72"/>
    <mergeCell ref="R71:W72"/>
    <mergeCell ref="O68:Q70"/>
    <mergeCell ref="R68:W70"/>
    <mergeCell ref="R46:U46"/>
    <mergeCell ref="R42:U42"/>
    <mergeCell ref="R43:U43"/>
    <mergeCell ref="R44:U44"/>
    <mergeCell ref="R45:U45"/>
    <mergeCell ref="N38:Q38"/>
    <mergeCell ref="R36:U36"/>
    <mergeCell ref="R37:U37"/>
    <mergeCell ref="R38:U38"/>
    <mergeCell ref="R31:U31"/>
    <mergeCell ref="R32:U32"/>
    <mergeCell ref="R33:U33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J32:M32"/>
    <mergeCell ref="J33:M33"/>
    <mergeCell ref="B46:D46"/>
    <mergeCell ref="E46:G46"/>
    <mergeCell ref="B33:D33"/>
    <mergeCell ref="E33:G33"/>
    <mergeCell ref="B34:D34"/>
    <mergeCell ref="R34:U34"/>
    <mergeCell ref="R35:U35"/>
    <mergeCell ref="N34:Q34"/>
    <mergeCell ref="N35:Q35"/>
    <mergeCell ref="N36:Q36"/>
    <mergeCell ref="N37:Q37"/>
    <mergeCell ref="E34:G34"/>
    <mergeCell ref="B35:D35"/>
    <mergeCell ref="E35:G35"/>
    <mergeCell ref="B36:D36"/>
    <mergeCell ref="E36:G36"/>
    <mergeCell ref="N32:Q32"/>
    <mergeCell ref="N44:Q44"/>
    <mergeCell ref="N45:Q45"/>
    <mergeCell ref="N46:Q46"/>
    <mergeCell ref="J46:M46"/>
    <mergeCell ref="B37:D37"/>
    <mergeCell ref="E37:G37"/>
    <mergeCell ref="B39:H39"/>
    <mergeCell ref="B40:D40"/>
    <mergeCell ref="E40:G40"/>
    <mergeCell ref="B41:D41"/>
    <mergeCell ref="E41:G41"/>
    <mergeCell ref="B42:D42"/>
    <mergeCell ref="E42:G42"/>
    <mergeCell ref="B21:H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B30:H30"/>
    <mergeCell ref="B31:D31"/>
    <mergeCell ref="E31:G31"/>
    <mergeCell ref="B32:D32"/>
    <mergeCell ref="E28:G28"/>
    <mergeCell ref="I52:M52"/>
    <mergeCell ref="I53:M53"/>
    <mergeCell ref="B52:D52"/>
    <mergeCell ref="E52:G52"/>
    <mergeCell ref="B53:D53"/>
    <mergeCell ref="E53:G53"/>
    <mergeCell ref="B51:D51"/>
    <mergeCell ref="E51:G51"/>
    <mergeCell ref="N51:T51"/>
    <mergeCell ref="B57:U57"/>
    <mergeCell ref="B60:D60"/>
    <mergeCell ref="E60:G60"/>
    <mergeCell ref="B61:D61"/>
    <mergeCell ref="E61:G61"/>
    <mergeCell ref="B62:D62"/>
    <mergeCell ref="E62:G62"/>
    <mergeCell ref="B58:D58"/>
    <mergeCell ref="E58:G58"/>
    <mergeCell ref="B59:D59"/>
    <mergeCell ref="E59:G59"/>
    <mergeCell ref="R66:W67"/>
    <mergeCell ref="O66:Q67"/>
    <mergeCell ref="N58:T58"/>
    <mergeCell ref="N59:T59"/>
    <mergeCell ref="N60:T60"/>
    <mergeCell ref="N62:T62"/>
    <mergeCell ref="N61:T61"/>
    <mergeCell ref="I58:M58"/>
    <mergeCell ref="I59:M59"/>
    <mergeCell ref="I60:M60"/>
    <mergeCell ref="I61:M61"/>
    <mergeCell ref="I62:M62"/>
    <mergeCell ref="I63:M63"/>
    <mergeCell ref="N63:T63"/>
    <mergeCell ref="A66:M66"/>
    <mergeCell ref="A67:H67"/>
    <mergeCell ref="B63:D63"/>
    <mergeCell ref="E63:G63"/>
  </mergeCells>
  <printOptions horizontalCentered="1" verticalCentered="1"/>
  <pageMargins left="0.39370078740157483" right="0.35433070866141736" top="0.23622047244094491" bottom="0.39370078740157483" header="0.35433070866141736" footer="0.15748031496062992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1294-4BA5-4A4D-B467-C5210610619F}">
  <sheetPr>
    <pageSetUpPr fitToPage="1"/>
  </sheetPr>
  <dimension ref="A1:AD72"/>
  <sheetViews>
    <sheetView showZeros="0" topLeftCell="A14" zoomScaleNormal="100" workbookViewId="0">
      <selection activeCell="Z38" sqref="Z38"/>
    </sheetView>
  </sheetViews>
  <sheetFormatPr defaultColWidth="11.42578125" defaultRowHeight="12.75" customHeight="1"/>
  <cols>
    <col min="1" max="1" width="5.140625" style="23" customWidth="1"/>
    <col min="2" max="2" width="5.7109375" style="3" customWidth="1"/>
    <col min="3" max="3" width="10.7109375" style="3" customWidth="1"/>
    <col min="4" max="7" width="8.7109375" style="3" customWidth="1"/>
    <col min="8" max="8" width="5.85546875" style="3" customWidth="1"/>
    <col min="9" max="17" width="4.7109375" style="3" customWidth="1"/>
    <col min="18" max="19" width="6.7109375" style="3" customWidth="1"/>
    <col min="20" max="24" width="4.7109375" style="3" customWidth="1"/>
    <col min="25" max="16384" width="11.42578125" style="3"/>
  </cols>
  <sheetData>
    <row r="1" spans="1:21" ht="17.45" customHeight="1" thickTop="1" thickBot="1">
      <c r="A1" s="1"/>
      <c r="B1" s="2"/>
      <c r="C1" s="2"/>
      <c r="D1" s="2"/>
      <c r="E1" s="166" t="s">
        <v>0</v>
      </c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8"/>
      <c r="Q1" s="169"/>
      <c r="R1" s="170"/>
      <c r="S1" s="170"/>
      <c r="T1" s="170"/>
      <c r="U1" s="171"/>
    </row>
    <row r="2" spans="1:21" ht="17.45" customHeight="1" thickTop="1" thickBot="1">
      <c r="A2" s="4"/>
      <c r="B2" s="5"/>
      <c r="C2" s="5"/>
      <c r="D2" s="5"/>
      <c r="E2" s="166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8"/>
      <c r="Q2" s="172"/>
      <c r="R2" s="173"/>
      <c r="S2" s="173"/>
      <c r="T2" s="173"/>
      <c r="U2" s="174"/>
    </row>
    <row r="3" spans="1:21" ht="17.45" customHeight="1" thickTop="1" thickBot="1">
      <c r="A3" s="4"/>
      <c r="B3" s="5"/>
      <c r="C3" s="5"/>
      <c r="D3" s="5"/>
      <c r="E3" s="166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/>
      <c r="Q3" s="172"/>
      <c r="R3" s="173"/>
      <c r="S3" s="173"/>
      <c r="T3" s="173"/>
      <c r="U3" s="174"/>
    </row>
    <row r="4" spans="1:21" ht="17.45" customHeight="1" thickTop="1" thickBot="1">
      <c r="A4" s="4"/>
      <c r="B4" s="5"/>
      <c r="C4" s="5"/>
      <c r="D4" s="5"/>
      <c r="E4" s="166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8"/>
      <c r="Q4" s="172"/>
      <c r="R4" s="173"/>
      <c r="S4" s="173"/>
      <c r="T4" s="173"/>
      <c r="U4" s="174"/>
    </row>
    <row r="5" spans="1:21" ht="17.45" customHeight="1" thickTop="1">
      <c r="A5" s="4"/>
      <c r="B5" s="5"/>
      <c r="C5" s="5"/>
      <c r="D5" s="5"/>
      <c r="E5" s="178" t="s">
        <v>1</v>
      </c>
      <c r="F5" s="179"/>
      <c r="G5" s="179"/>
      <c r="H5" s="179" t="s">
        <v>2</v>
      </c>
      <c r="I5" s="179"/>
      <c r="J5" s="179"/>
      <c r="K5" s="179"/>
      <c r="L5" s="179"/>
      <c r="M5" s="179" t="s">
        <v>3</v>
      </c>
      <c r="N5" s="179"/>
      <c r="O5" s="179"/>
      <c r="P5" s="180"/>
      <c r="Q5" s="172"/>
      <c r="R5" s="173"/>
      <c r="S5" s="173"/>
      <c r="T5" s="173"/>
      <c r="U5" s="174"/>
    </row>
    <row r="6" spans="1:21" ht="17.45" customHeight="1" thickBot="1">
      <c r="A6" s="7"/>
      <c r="B6" s="8"/>
      <c r="C6" s="8"/>
      <c r="D6" s="8"/>
      <c r="E6" s="181" t="s">
        <v>4</v>
      </c>
      <c r="F6" s="182"/>
      <c r="G6" s="182"/>
      <c r="H6" s="183"/>
      <c r="I6" s="183"/>
      <c r="J6" s="183"/>
      <c r="K6" s="183"/>
      <c r="L6" s="183"/>
      <c r="M6" s="184"/>
      <c r="N6" s="184"/>
      <c r="O6" s="184"/>
      <c r="P6" s="185"/>
      <c r="Q6" s="175"/>
      <c r="R6" s="176"/>
      <c r="S6" s="176"/>
      <c r="T6" s="176"/>
      <c r="U6" s="177"/>
    </row>
    <row r="7" spans="1:21" ht="17.45" customHeight="1" thickTop="1" thickBot="1">
      <c r="A7" s="5"/>
      <c r="B7" s="5"/>
      <c r="C7" s="5"/>
      <c r="D7" s="5"/>
      <c r="E7" s="9"/>
      <c r="F7" s="9"/>
      <c r="G7" s="9"/>
      <c r="H7" s="10"/>
      <c r="I7" s="10"/>
      <c r="J7" s="10"/>
      <c r="K7" s="10"/>
      <c r="L7" s="10"/>
      <c r="M7" s="11"/>
      <c r="N7" s="11"/>
      <c r="O7" s="11"/>
      <c r="P7" s="11"/>
      <c r="Q7" s="6"/>
      <c r="R7" s="6"/>
      <c r="S7" s="6"/>
      <c r="T7" s="6"/>
      <c r="U7" s="6"/>
    </row>
    <row r="8" spans="1:21" ht="20.45" customHeight="1" thickTop="1" thickBot="1">
      <c r="A8" s="12" t="s">
        <v>5</v>
      </c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</row>
    <row r="9" spans="1:21" ht="15.6" customHeight="1" thickTop="1" thickBot="1">
      <c r="A9" s="16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15.6" customHeight="1" thickTop="1">
      <c r="A10" s="17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9"/>
      <c r="P10" s="19"/>
      <c r="Q10" s="19"/>
      <c r="R10" s="20"/>
      <c r="S10" s="19"/>
      <c r="T10" s="19"/>
      <c r="U10" s="21"/>
    </row>
    <row r="11" spans="1:21" ht="15.6" customHeight="1">
      <c r="A11" s="22"/>
      <c r="D11" s="23"/>
      <c r="E11" s="23"/>
      <c r="F11" s="23"/>
      <c r="G11" s="23"/>
      <c r="U11" s="24"/>
    </row>
    <row r="12" spans="1:21" ht="15.6" customHeight="1">
      <c r="A12" s="22"/>
      <c r="B12" s="25" t="s">
        <v>7</v>
      </c>
      <c r="D12" s="26"/>
      <c r="E12" s="61"/>
      <c r="F12" s="61"/>
      <c r="G12" s="61"/>
      <c r="H12" s="27"/>
      <c r="I12" s="25"/>
      <c r="J12" s="28" t="s">
        <v>8</v>
      </c>
      <c r="K12" s="25"/>
      <c r="L12" s="25"/>
      <c r="M12" s="25"/>
      <c r="N12" s="28"/>
      <c r="O12" s="65"/>
      <c r="P12" s="66"/>
      <c r="Q12" s="66"/>
      <c r="R12" s="66"/>
      <c r="S12" s="66"/>
      <c r="T12" s="66"/>
      <c r="U12" s="24"/>
    </row>
    <row r="13" spans="1:21" ht="15.6" customHeight="1">
      <c r="A13" s="22"/>
      <c r="B13" s="25" t="s">
        <v>9</v>
      </c>
      <c r="D13" s="23"/>
      <c r="E13" s="62"/>
      <c r="F13" s="62"/>
      <c r="G13" s="62"/>
      <c r="H13" s="27"/>
      <c r="I13" s="25"/>
      <c r="J13" s="28" t="s">
        <v>10</v>
      </c>
      <c r="K13" s="25"/>
      <c r="L13" s="25"/>
      <c r="N13" s="29"/>
      <c r="O13" s="64"/>
      <c r="P13" s="64"/>
      <c r="Q13" s="64"/>
      <c r="R13" s="64"/>
      <c r="S13" s="64"/>
      <c r="T13" s="64"/>
      <c r="U13" s="24"/>
    </row>
    <row r="14" spans="1:21" ht="15.6" customHeight="1">
      <c r="A14" s="22"/>
      <c r="B14" s="25" t="s">
        <v>11</v>
      </c>
      <c r="D14" s="23"/>
      <c r="E14" s="62"/>
      <c r="F14" s="62"/>
      <c r="G14" s="62"/>
      <c r="H14" s="27"/>
      <c r="I14" s="25"/>
      <c r="J14" s="28" t="s">
        <v>12</v>
      </c>
      <c r="K14" s="25"/>
      <c r="L14" s="25"/>
      <c r="N14" s="27"/>
      <c r="O14" s="67"/>
      <c r="P14" s="68"/>
      <c r="Q14" s="68"/>
      <c r="R14" s="68"/>
      <c r="S14" s="68"/>
      <c r="T14" s="68"/>
      <c r="U14" s="30"/>
    </row>
    <row r="15" spans="1:21" ht="15.6" customHeight="1">
      <c r="A15" s="22"/>
      <c r="B15" s="25" t="s">
        <v>13</v>
      </c>
      <c r="E15" s="63"/>
      <c r="F15" s="64"/>
      <c r="G15" s="64"/>
      <c r="H15" s="27"/>
      <c r="I15" s="25"/>
      <c r="J15" s="25" t="s">
        <v>14</v>
      </c>
      <c r="K15" s="25"/>
      <c r="L15" s="25"/>
      <c r="M15" s="25"/>
      <c r="N15" s="25"/>
      <c r="O15" s="69"/>
      <c r="P15" s="69"/>
      <c r="Q15" s="69"/>
      <c r="R15" s="69"/>
      <c r="S15" s="69"/>
      <c r="T15" s="69"/>
      <c r="U15" s="30"/>
    </row>
    <row r="16" spans="1:21" ht="15.6" customHeight="1" thickBot="1">
      <c r="A16" s="31"/>
      <c r="B16" s="32"/>
      <c r="C16" s="32"/>
      <c r="D16" s="33"/>
      <c r="E16" s="33"/>
      <c r="F16" s="33"/>
      <c r="G16" s="33"/>
      <c r="H16" s="32"/>
      <c r="I16" s="32"/>
      <c r="J16" s="32"/>
      <c r="K16" s="32"/>
      <c r="L16" s="32"/>
      <c r="M16" s="32"/>
      <c r="N16" s="34"/>
      <c r="O16" s="32"/>
      <c r="P16" s="32"/>
      <c r="Q16" s="32"/>
      <c r="R16" s="32"/>
      <c r="S16" s="32"/>
      <c r="T16" s="32"/>
      <c r="U16" s="35"/>
    </row>
    <row r="17" spans="1:21" ht="15.6" customHeight="1" thickTop="1" thickBot="1">
      <c r="A17" s="22"/>
      <c r="D17" s="23"/>
      <c r="E17" s="23"/>
      <c r="F17" s="23"/>
      <c r="G17" s="23"/>
      <c r="N17" s="76"/>
      <c r="U17" s="24"/>
    </row>
    <row r="18" spans="1:21" ht="15" customHeight="1" thickTop="1">
      <c r="A18" s="196" t="s">
        <v>56</v>
      </c>
      <c r="B18" s="197"/>
      <c r="C18" s="197"/>
      <c r="D18" s="197"/>
      <c r="E18" s="197"/>
      <c r="F18" s="197"/>
      <c r="G18" s="197"/>
      <c r="H18" s="18"/>
      <c r="I18" s="18"/>
      <c r="J18" s="18"/>
      <c r="K18" s="18"/>
      <c r="L18" s="18"/>
      <c r="M18" s="18"/>
      <c r="N18" s="19"/>
      <c r="O18" s="19"/>
      <c r="P18" s="19"/>
      <c r="Q18" s="19"/>
      <c r="R18" s="20"/>
      <c r="S18" s="19"/>
      <c r="T18" s="19"/>
      <c r="U18" s="21"/>
    </row>
    <row r="19" spans="1:21" ht="7.15" customHeight="1">
      <c r="A19" s="22"/>
      <c r="D19" s="23"/>
      <c r="E19" s="23"/>
      <c r="F19" s="23"/>
      <c r="G19" s="23"/>
      <c r="U19" s="24"/>
    </row>
    <row r="20" spans="1:21" ht="15" customHeight="1">
      <c r="A20" s="22"/>
      <c r="B20" s="77" t="s">
        <v>57</v>
      </c>
      <c r="D20" s="26"/>
      <c r="E20" s="29"/>
      <c r="F20" s="29"/>
      <c r="G20" s="29"/>
      <c r="H20" s="27"/>
      <c r="I20" s="25"/>
      <c r="J20" s="28"/>
      <c r="K20" s="25"/>
      <c r="L20" s="25"/>
      <c r="M20" s="25"/>
      <c r="N20" s="28"/>
      <c r="O20" s="27"/>
      <c r="P20" s="25"/>
      <c r="Q20" s="25"/>
      <c r="R20" s="25"/>
      <c r="S20" s="25"/>
      <c r="T20" s="25"/>
      <c r="U20" s="24"/>
    </row>
    <row r="21" spans="1:21" ht="15" customHeight="1" thickBot="1">
      <c r="A21" s="22"/>
      <c r="B21" s="25"/>
      <c r="D21" s="26"/>
      <c r="E21" s="29"/>
      <c r="F21" s="29"/>
      <c r="G21" s="29"/>
      <c r="H21" s="27"/>
      <c r="I21" s="25"/>
      <c r="J21" s="28"/>
      <c r="K21" s="25"/>
      <c r="L21" s="25"/>
      <c r="M21" s="25"/>
      <c r="N21" s="28"/>
      <c r="O21" s="27"/>
      <c r="P21" s="25"/>
      <c r="Q21" s="25"/>
      <c r="R21" s="25"/>
      <c r="S21" s="25"/>
      <c r="T21" s="25"/>
      <c r="U21" s="24"/>
    </row>
    <row r="22" spans="1:21" ht="15" customHeight="1" thickBot="1">
      <c r="A22" s="22"/>
      <c r="B22" s="198" t="s">
        <v>58</v>
      </c>
      <c r="C22" s="199"/>
      <c r="D22" s="82"/>
      <c r="E22" s="81"/>
      <c r="F22" s="85" t="s">
        <v>59</v>
      </c>
      <c r="G22" s="80"/>
      <c r="H22" s="80"/>
      <c r="I22" s="77"/>
      <c r="J22" s="79"/>
      <c r="K22" s="77"/>
      <c r="L22" s="77"/>
      <c r="N22" s="80"/>
      <c r="O22" s="80"/>
      <c r="P22" s="80"/>
      <c r="Q22" s="80"/>
      <c r="R22" s="29"/>
      <c r="S22" s="29"/>
      <c r="T22" s="29"/>
      <c r="U22" s="24"/>
    </row>
    <row r="23" spans="1:21" ht="15" customHeight="1" thickBot="1">
      <c r="A23" s="22"/>
      <c r="B23" s="77"/>
      <c r="C23" s="77"/>
      <c r="D23" s="77"/>
      <c r="E23" s="81"/>
      <c r="F23" s="80"/>
      <c r="G23" s="80"/>
      <c r="H23" s="77"/>
      <c r="I23" s="77"/>
      <c r="J23" s="79"/>
      <c r="K23" s="77"/>
      <c r="L23" s="77"/>
      <c r="N23" s="80"/>
      <c r="O23" s="80"/>
      <c r="P23" s="80"/>
      <c r="Q23" s="80"/>
      <c r="R23" s="29"/>
      <c r="S23" s="29"/>
      <c r="T23" s="29"/>
      <c r="U23" s="24"/>
    </row>
    <row r="24" spans="1:21" ht="15" customHeight="1" thickBot="1">
      <c r="A24" s="22"/>
      <c r="B24" s="198" t="s">
        <v>60</v>
      </c>
      <c r="C24" s="199"/>
      <c r="D24" s="82"/>
      <c r="E24" s="81"/>
      <c r="F24" s="84" t="s">
        <v>61</v>
      </c>
      <c r="G24" s="80"/>
      <c r="H24" s="80"/>
      <c r="I24" s="77"/>
      <c r="J24" s="79"/>
      <c r="K24" s="77"/>
      <c r="L24" s="77"/>
      <c r="O24" s="83"/>
      <c r="P24" s="78"/>
      <c r="Q24" s="78"/>
      <c r="R24" s="27"/>
      <c r="S24" s="27"/>
      <c r="T24" s="27"/>
      <c r="U24" s="30"/>
    </row>
    <row r="25" spans="1:21" ht="15" customHeight="1">
      <c r="A25" s="22"/>
      <c r="B25" s="77"/>
      <c r="E25" s="81"/>
      <c r="F25" s="80"/>
      <c r="G25" s="80"/>
      <c r="H25" s="80"/>
      <c r="I25" s="77"/>
      <c r="J25" s="77"/>
      <c r="K25" s="77"/>
      <c r="L25" s="77"/>
      <c r="M25" s="77"/>
      <c r="N25" s="78"/>
      <c r="O25" s="77"/>
      <c r="P25" s="77"/>
      <c r="Q25" s="77"/>
      <c r="R25" s="25"/>
      <c r="S25" s="25"/>
      <c r="T25" s="25"/>
      <c r="U25" s="30"/>
    </row>
    <row r="26" spans="1:21" ht="8.4499999999999993" customHeight="1" thickBot="1">
      <c r="A26" s="31"/>
      <c r="B26" s="32"/>
      <c r="C26" s="32"/>
      <c r="D26" s="33"/>
      <c r="E26" s="32"/>
      <c r="F26" s="32"/>
      <c r="G26" s="32"/>
      <c r="H26" s="32"/>
      <c r="I26" s="32"/>
      <c r="J26" s="32"/>
      <c r="K26" s="32"/>
      <c r="L26" s="32"/>
      <c r="M26" s="32"/>
      <c r="N26" s="34"/>
      <c r="O26" s="32"/>
      <c r="P26" s="32"/>
      <c r="Q26" s="32"/>
      <c r="R26" s="32"/>
      <c r="S26" s="32"/>
      <c r="T26" s="32"/>
      <c r="U26" s="35"/>
    </row>
    <row r="27" spans="1:21" ht="7.15" customHeight="1" thickTop="1" thickBot="1">
      <c r="A27" s="36"/>
      <c r="B27" s="37"/>
      <c r="C27" s="37"/>
      <c r="D27" s="38"/>
      <c r="E27" s="38"/>
      <c r="F27" s="38"/>
      <c r="G27" s="38"/>
      <c r="H27" s="38"/>
      <c r="I27" s="39"/>
      <c r="J27" s="37"/>
      <c r="K27" s="37"/>
      <c r="L27" s="37"/>
      <c r="M27" s="37"/>
    </row>
    <row r="28" spans="1:21" ht="15" customHeight="1" thickTop="1">
      <c r="A28" s="17" t="s">
        <v>62</v>
      </c>
      <c r="B28" s="40"/>
      <c r="C28" s="19"/>
      <c r="D28" s="20"/>
      <c r="E28" s="20"/>
      <c r="F28" s="20"/>
      <c r="G28" s="20"/>
      <c r="H28" s="19"/>
      <c r="I28" s="19"/>
      <c r="J28" s="41"/>
      <c r="K28" s="41"/>
      <c r="L28" s="41"/>
      <c r="M28" s="19"/>
      <c r="N28" s="19"/>
      <c r="O28" s="19"/>
      <c r="P28" s="19"/>
      <c r="Q28" s="19"/>
      <c r="R28" s="19"/>
      <c r="S28" s="19"/>
      <c r="T28" s="19"/>
      <c r="U28" s="21"/>
    </row>
    <row r="29" spans="1:21" ht="7.15" customHeight="1">
      <c r="A29" s="22"/>
      <c r="U29" s="24"/>
    </row>
    <row r="30" spans="1:21" ht="7.15" customHeight="1">
      <c r="A30" s="22"/>
      <c r="U30" s="24"/>
    </row>
    <row r="31" spans="1:21" ht="25.15" customHeight="1">
      <c r="A31" s="22"/>
      <c r="B31" s="195" t="s">
        <v>63</v>
      </c>
      <c r="C31" s="195"/>
      <c r="D31" s="195"/>
      <c r="E31" s="195"/>
      <c r="F31" s="195"/>
      <c r="G31" s="195"/>
      <c r="H31" s="75"/>
      <c r="I31" s="75"/>
      <c r="J31" s="195" t="s">
        <v>64</v>
      </c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24"/>
    </row>
    <row r="32" spans="1:21" ht="19.899999999999999" customHeight="1" thickBot="1">
      <c r="A32" s="22"/>
      <c r="U32" s="24"/>
    </row>
    <row r="33" spans="1:30" ht="19.899999999999999" customHeight="1" thickBot="1">
      <c r="A33" s="22"/>
      <c r="B33" s="130" t="s">
        <v>16</v>
      </c>
      <c r="C33" s="131"/>
      <c r="D33" s="131" t="s">
        <v>17</v>
      </c>
      <c r="E33" s="131"/>
      <c r="F33" s="131" t="s">
        <v>18</v>
      </c>
      <c r="G33" s="132"/>
      <c r="J33" s="130" t="s">
        <v>16</v>
      </c>
      <c r="K33" s="131"/>
      <c r="L33" s="131"/>
      <c r="M33" s="131"/>
      <c r="N33" s="131" t="s">
        <v>17</v>
      </c>
      <c r="O33" s="131"/>
      <c r="P33" s="131"/>
      <c r="Q33" s="131"/>
      <c r="R33" s="70" t="s">
        <v>18</v>
      </c>
      <c r="S33" s="70"/>
      <c r="T33" s="71"/>
      <c r="U33" s="24"/>
    </row>
    <row r="34" spans="1:30" s="73" customFormat="1" ht="14.45" customHeight="1" thickBot="1">
      <c r="A34" s="72"/>
      <c r="B34" s="192" t="s">
        <v>65</v>
      </c>
      <c r="C34" s="193"/>
      <c r="D34" s="193"/>
      <c r="E34" s="193"/>
      <c r="F34" s="193"/>
      <c r="G34" s="194"/>
      <c r="J34" s="192" t="s">
        <v>65</v>
      </c>
      <c r="K34" s="193"/>
      <c r="L34" s="193"/>
      <c r="M34" s="193"/>
      <c r="N34" s="193"/>
      <c r="O34" s="193"/>
      <c r="P34" s="193"/>
      <c r="Q34" s="193"/>
      <c r="R34" s="193"/>
      <c r="S34" s="193"/>
      <c r="T34" s="194"/>
      <c r="U34" s="74"/>
      <c r="AA34" s="3"/>
      <c r="AB34" s="3"/>
      <c r="AC34" s="3"/>
      <c r="AD34" s="3"/>
    </row>
    <row r="35" spans="1:30" ht="19.899999999999999" customHeight="1">
      <c r="A35" s="22"/>
      <c r="B35" s="188">
        <v>20</v>
      </c>
      <c r="C35" s="96"/>
      <c r="D35" s="95"/>
      <c r="E35" s="187"/>
      <c r="F35" s="95"/>
      <c r="G35" s="189"/>
      <c r="J35" s="188">
        <v>80</v>
      </c>
      <c r="K35" s="96"/>
      <c r="L35" s="96"/>
      <c r="M35" s="187"/>
      <c r="N35" s="95"/>
      <c r="O35" s="96"/>
      <c r="P35" s="96"/>
      <c r="Q35" s="187"/>
      <c r="R35" s="95"/>
      <c r="S35" s="96"/>
      <c r="T35" s="189"/>
      <c r="U35" s="24"/>
    </row>
    <row r="36" spans="1:30" ht="19.899999999999999" customHeight="1">
      <c r="A36" s="22"/>
      <c r="B36" s="141">
        <v>16</v>
      </c>
      <c r="C36" s="135"/>
      <c r="D36" s="190"/>
      <c r="E36" s="136"/>
      <c r="F36" s="190"/>
      <c r="G36" s="142"/>
      <c r="J36" s="141">
        <v>63</v>
      </c>
      <c r="K36" s="135"/>
      <c r="L36" s="135"/>
      <c r="M36" s="136"/>
      <c r="N36" s="190"/>
      <c r="O36" s="135"/>
      <c r="P36" s="135"/>
      <c r="Q36" s="136"/>
      <c r="R36" s="190"/>
      <c r="S36" s="135"/>
      <c r="T36" s="142"/>
      <c r="U36" s="24"/>
    </row>
    <row r="37" spans="1:30" ht="19.899999999999999" customHeight="1">
      <c r="A37" s="22"/>
      <c r="B37" s="141">
        <v>14</v>
      </c>
      <c r="C37" s="135"/>
      <c r="D37" s="190"/>
      <c r="E37" s="136"/>
      <c r="F37" s="190"/>
      <c r="G37" s="142"/>
      <c r="J37" s="141">
        <v>50</v>
      </c>
      <c r="K37" s="135"/>
      <c r="L37" s="135"/>
      <c r="M37" s="136"/>
      <c r="N37" s="190"/>
      <c r="O37" s="135"/>
      <c r="P37" s="135"/>
      <c r="Q37" s="136"/>
      <c r="R37" s="190"/>
      <c r="S37" s="135"/>
      <c r="T37" s="142"/>
      <c r="U37" s="24"/>
    </row>
    <row r="38" spans="1:30" ht="19.899999999999999" customHeight="1" thickBot="1">
      <c r="A38" s="22"/>
      <c r="B38" s="141">
        <v>10</v>
      </c>
      <c r="C38" s="135"/>
      <c r="D38" s="190"/>
      <c r="E38" s="136"/>
      <c r="F38" s="190"/>
      <c r="G38" s="142"/>
      <c r="J38" s="139">
        <v>40</v>
      </c>
      <c r="K38" s="137"/>
      <c r="L38" s="137"/>
      <c r="M38" s="138"/>
      <c r="N38" s="190"/>
      <c r="O38" s="135"/>
      <c r="P38" s="135"/>
      <c r="Q38" s="136"/>
      <c r="R38" s="191"/>
      <c r="S38" s="137"/>
      <c r="T38" s="140"/>
      <c r="U38" s="24"/>
    </row>
    <row r="39" spans="1:30" ht="15.6" customHeight="1" thickBot="1">
      <c r="A39" s="22"/>
      <c r="B39" s="192" t="s">
        <v>66</v>
      </c>
      <c r="C39" s="193"/>
      <c r="D39" s="193"/>
      <c r="E39" s="193"/>
      <c r="F39" s="193"/>
      <c r="G39" s="194"/>
      <c r="J39" s="192" t="s">
        <v>67</v>
      </c>
      <c r="K39" s="193"/>
      <c r="L39" s="193"/>
      <c r="M39" s="193"/>
      <c r="N39" s="193"/>
      <c r="O39" s="193"/>
      <c r="P39" s="193"/>
      <c r="Q39" s="193"/>
      <c r="R39" s="193"/>
      <c r="S39" s="193"/>
      <c r="T39" s="194"/>
      <c r="U39" s="24"/>
    </row>
    <row r="40" spans="1:30" ht="19.899999999999999" customHeight="1">
      <c r="A40" s="22"/>
      <c r="B40" s="141">
        <v>10</v>
      </c>
      <c r="C40" s="135"/>
      <c r="D40" s="190"/>
      <c r="E40" s="136"/>
      <c r="F40" s="190"/>
      <c r="G40" s="142"/>
      <c r="J40" s="188">
        <v>40</v>
      </c>
      <c r="K40" s="96"/>
      <c r="L40" s="96"/>
      <c r="M40" s="187"/>
      <c r="N40" s="95"/>
      <c r="O40" s="96"/>
      <c r="P40" s="96"/>
      <c r="Q40" s="187"/>
      <c r="R40" s="95"/>
      <c r="S40" s="96"/>
      <c r="T40" s="189"/>
      <c r="U40" s="24"/>
    </row>
    <row r="41" spans="1:30" ht="19.899999999999999" customHeight="1">
      <c r="A41" s="22"/>
      <c r="B41" s="141">
        <v>5</v>
      </c>
      <c r="C41" s="135"/>
      <c r="D41" s="190"/>
      <c r="E41" s="136"/>
      <c r="F41" s="190"/>
      <c r="G41" s="142"/>
      <c r="J41" s="141">
        <v>20</v>
      </c>
      <c r="K41" s="135"/>
      <c r="L41" s="135"/>
      <c r="M41" s="136"/>
      <c r="N41" s="190"/>
      <c r="O41" s="135"/>
      <c r="P41" s="135"/>
      <c r="Q41" s="136"/>
      <c r="R41" s="190"/>
      <c r="S41" s="135"/>
      <c r="T41" s="142"/>
      <c r="U41" s="24"/>
    </row>
    <row r="42" spans="1:30" ht="19.899999999999999" customHeight="1">
      <c r="A42" s="22"/>
      <c r="B42" s="141">
        <v>2</v>
      </c>
      <c r="C42" s="135"/>
      <c r="D42" s="190"/>
      <c r="E42" s="136"/>
      <c r="F42" s="190"/>
      <c r="G42" s="142"/>
      <c r="J42" s="141">
        <v>10</v>
      </c>
      <c r="K42" s="135"/>
      <c r="L42" s="135"/>
      <c r="M42" s="136"/>
      <c r="N42" s="190"/>
      <c r="O42" s="135"/>
      <c r="P42" s="135"/>
      <c r="Q42" s="136"/>
      <c r="R42" s="190"/>
      <c r="S42" s="135"/>
      <c r="T42" s="142"/>
      <c r="U42" s="24"/>
    </row>
    <row r="43" spans="1:30" ht="19.899999999999999" customHeight="1" thickBot="1">
      <c r="A43" s="22"/>
      <c r="B43" s="139">
        <v>1</v>
      </c>
      <c r="C43" s="137"/>
      <c r="D43" s="191"/>
      <c r="E43" s="138"/>
      <c r="F43" s="191"/>
      <c r="G43" s="140"/>
      <c r="J43" s="139">
        <v>5</v>
      </c>
      <c r="K43" s="137"/>
      <c r="L43" s="137"/>
      <c r="M43" s="138"/>
      <c r="N43" s="191"/>
      <c r="O43" s="137"/>
      <c r="P43" s="137"/>
      <c r="Q43" s="138"/>
      <c r="R43" s="191"/>
      <c r="S43" s="137"/>
      <c r="T43" s="140"/>
      <c r="U43" s="24"/>
    </row>
    <row r="44" spans="1:30" ht="19.899999999999999" customHeight="1" thickBot="1">
      <c r="A44" s="22"/>
      <c r="B44" s="55"/>
      <c r="C44" s="55"/>
      <c r="D44" s="55"/>
      <c r="E44" s="55"/>
      <c r="F44" s="55"/>
      <c r="G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24"/>
    </row>
    <row r="45" spans="1:30" ht="19.899999999999999" customHeight="1" thickTop="1">
      <c r="A45" s="17" t="s">
        <v>68</v>
      </c>
      <c r="B45" s="40"/>
      <c r="C45" s="19"/>
      <c r="D45" s="20"/>
      <c r="E45" s="20"/>
      <c r="F45" s="20"/>
      <c r="G45" s="20"/>
      <c r="H45" s="19"/>
      <c r="I45" s="19"/>
      <c r="J45" s="41"/>
      <c r="K45" s="41"/>
      <c r="L45" s="41"/>
      <c r="M45" s="19"/>
      <c r="N45" s="19"/>
      <c r="O45" s="19"/>
      <c r="P45" s="19"/>
      <c r="Q45" s="19"/>
      <c r="R45" s="19"/>
      <c r="S45" s="19"/>
      <c r="T45" s="19"/>
      <c r="U45" s="21"/>
    </row>
    <row r="46" spans="1:30" ht="19.899999999999999" customHeight="1">
      <c r="A46" s="22"/>
      <c r="U46" s="24"/>
    </row>
    <row r="47" spans="1:30" ht="19.899999999999999" customHeight="1">
      <c r="A47" s="22"/>
      <c r="U47" s="24"/>
    </row>
    <row r="48" spans="1:30" ht="19.899999999999999" customHeight="1">
      <c r="A48" s="22"/>
      <c r="B48" s="195" t="s">
        <v>63</v>
      </c>
      <c r="C48" s="195"/>
      <c r="D48" s="195"/>
      <c r="E48" s="195"/>
      <c r="F48" s="195"/>
      <c r="G48" s="195"/>
      <c r="H48" s="75"/>
      <c r="I48" s="75"/>
      <c r="J48" s="195" t="s">
        <v>64</v>
      </c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24"/>
    </row>
    <row r="49" spans="1:21" ht="19.899999999999999" customHeight="1" thickBot="1">
      <c r="A49" s="22"/>
      <c r="U49" s="24"/>
    </row>
    <row r="50" spans="1:21" ht="19.899999999999999" customHeight="1" thickBot="1">
      <c r="A50" s="22"/>
      <c r="B50" s="130" t="s">
        <v>16</v>
      </c>
      <c r="C50" s="131"/>
      <c r="D50" s="131" t="s">
        <v>17</v>
      </c>
      <c r="E50" s="131"/>
      <c r="F50" s="131" t="s">
        <v>18</v>
      </c>
      <c r="G50" s="132"/>
      <c r="J50" s="130" t="s">
        <v>16</v>
      </c>
      <c r="K50" s="131"/>
      <c r="L50" s="131"/>
      <c r="M50" s="131"/>
      <c r="N50" s="131" t="s">
        <v>17</v>
      </c>
      <c r="O50" s="131"/>
      <c r="P50" s="131"/>
      <c r="Q50" s="131"/>
      <c r="R50" s="70" t="s">
        <v>18</v>
      </c>
      <c r="S50" s="70"/>
      <c r="T50" s="71"/>
      <c r="U50" s="24"/>
    </row>
    <row r="51" spans="1:21" ht="16.149999999999999" customHeight="1" thickBot="1">
      <c r="A51" s="72"/>
      <c r="B51" s="192" t="s">
        <v>69</v>
      </c>
      <c r="C51" s="193"/>
      <c r="D51" s="193"/>
      <c r="E51" s="193"/>
      <c r="F51" s="193"/>
      <c r="G51" s="194"/>
      <c r="H51" s="73"/>
      <c r="I51" s="73"/>
      <c r="J51" s="192" t="s">
        <v>69</v>
      </c>
      <c r="K51" s="193"/>
      <c r="L51" s="193"/>
      <c r="M51" s="193"/>
      <c r="N51" s="193"/>
      <c r="O51" s="193"/>
      <c r="P51" s="193"/>
      <c r="Q51" s="193"/>
      <c r="R51" s="193"/>
      <c r="S51" s="193"/>
      <c r="T51" s="194"/>
      <c r="U51" s="74"/>
    </row>
    <row r="52" spans="1:21" ht="19.899999999999999" customHeight="1">
      <c r="A52" s="22"/>
      <c r="B52" s="188">
        <v>20</v>
      </c>
      <c r="C52" s="96"/>
      <c r="D52" s="95"/>
      <c r="E52" s="187"/>
      <c r="F52" s="95"/>
      <c r="G52" s="189"/>
      <c r="J52" s="188">
        <v>80</v>
      </c>
      <c r="K52" s="96"/>
      <c r="L52" s="96"/>
      <c r="M52" s="187"/>
      <c r="N52" s="95"/>
      <c r="O52" s="96"/>
      <c r="P52" s="96"/>
      <c r="Q52" s="187"/>
      <c r="R52" s="95"/>
      <c r="S52" s="96"/>
      <c r="T52" s="189"/>
      <c r="U52" s="24"/>
    </row>
    <row r="53" spans="1:21" ht="19.899999999999999" customHeight="1">
      <c r="A53" s="22"/>
      <c r="B53" s="141">
        <v>16</v>
      </c>
      <c r="C53" s="135"/>
      <c r="D53" s="190"/>
      <c r="E53" s="136"/>
      <c r="F53" s="190"/>
      <c r="G53" s="142"/>
      <c r="J53" s="141">
        <v>63</v>
      </c>
      <c r="K53" s="135"/>
      <c r="L53" s="135"/>
      <c r="M53" s="136"/>
      <c r="N53" s="190"/>
      <c r="O53" s="135"/>
      <c r="P53" s="135"/>
      <c r="Q53" s="136"/>
      <c r="R53" s="190"/>
      <c r="S53" s="135"/>
      <c r="T53" s="142"/>
      <c r="U53" s="24"/>
    </row>
    <row r="54" spans="1:21" ht="19.899999999999999" customHeight="1">
      <c r="A54" s="22"/>
      <c r="B54" s="141">
        <v>14</v>
      </c>
      <c r="C54" s="135"/>
      <c r="D54" s="190"/>
      <c r="E54" s="136"/>
      <c r="F54" s="190"/>
      <c r="G54" s="142"/>
      <c r="J54" s="141">
        <v>50</v>
      </c>
      <c r="K54" s="135"/>
      <c r="L54" s="135"/>
      <c r="M54" s="136"/>
      <c r="N54" s="190"/>
      <c r="O54" s="135"/>
      <c r="P54" s="135"/>
      <c r="Q54" s="136"/>
      <c r="R54" s="190"/>
      <c r="S54" s="135"/>
      <c r="T54" s="142"/>
      <c r="U54" s="24"/>
    </row>
    <row r="55" spans="1:21" ht="19.899999999999999" customHeight="1" thickBot="1">
      <c r="A55" s="22"/>
      <c r="B55" s="141">
        <v>10</v>
      </c>
      <c r="C55" s="135"/>
      <c r="D55" s="190"/>
      <c r="E55" s="136"/>
      <c r="F55" s="190"/>
      <c r="G55" s="142"/>
      <c r="J55" s="139">
        <v>40</v>
      </c>
      <c r="K55" s="137"/>
      <c r="L55" s="137"/>
      <c r="M55" s="138"/>
      <c r="N55" s="190"/>
      <c r="O55" s="135"/>
      <c r="P55" s="135"/>
      <c r="Q55" s="136"/>
      <c r="R55" s="191"/>
      <c r="S55" s="137"/>
      <c r="T55" s="140"/>
      <c r="U55" s="24"/>
    </row>
    <row r="56" spans="1:21" ht="16.149999999999999" customHeight="1" thickBot="1">
      <c r="A56" s="22"/>
      <c r="B56" s="192" t="s">
        <v>70</v>
      </c>
      <c r="C56" s="193"/>
      <c r="D56" s="193"/>
      <c r="E56" s="193"/>
      <c r="F56" s="193"/>
      <c r="G56" s="194"/>
      <c r="J56" s="192" t="s">
        <v>70</v>
      </c>
      <c r="K56" s="193"/>
      <c r="L56" s="193"/>
      <c r="M56" s="193"/>
      <c r="N56" s="193"/>
      <c r="O56" s="193"/>
      <c r="P56" s="193"/>
      <c r="Q56" s="193"/>
      <c r="R56" s="193"/>
      <c r="S56" s="193"/>
      <c r="T56" s="194"/>
      <c r="U56" s="24"/>
    </row>
    <row r="57" spans="1:21" ht="19.899999999999999" customHeight="1">
      <c r="A57" s="22"/>
      <c r="B57" s="141">
        <v>10</v>
      </c>
      <c r="C57" s="135"/>
      <c r="D57" s="190"/>
      <c r="E57" s="136"/>
      <c r="F57" s="190"/>
      <c r="G57" s="142"/>
      <c r="J57" s="188">
        <v>40</v>
      </c>
      <c r="K57" s="96"/>
      <c r="L57" s="96"/>
      <c r="M57" s="187"/>
      <c r="N57" s="95"/>
      <c r="O57" s="96"/>
      <c r="P57" s="96"/>
      <c r="Q57" s="187"/>
      <c r="R57" s="95"/>
      <c r="S57" s="96"/>
      <c r="T57" s="189"/>
      <c r="U57" s="24"/>
    </row>
    <row r="58" spans="1:21" ht="19.899999999999999" customHeight="1">
      <c r="A58" s="22"/>
      <c r="B58" s="141">
        <v>5</v>
      </c>
      <c r="C58" s="135"/>
      <c r="D58" s="190"/>
      <c r="E58" s="136"/>
      <c r="F58" s="190"/>
      <c r="G58" s="142"/>
      <c r="J58" s="141">
        <v>20</v>
      </c>
      <c r="K58" s="135"/>
      <c r="L58" s="135"/>
      <c r="M58" s="136"/>
      <c r="N58" s="190"/>
      <c r="O58" s="135"/>
      <c r="P58" s="135"/>
      <c r="Q58" s="136"/>
      <c r="R58" s="190"/>
      <c r="S58" s="135"/>
      <c r="T58" s="142"/>
      <c r="U58" s="24"/>
    </row>
    <row r="59" spans="1:21" ht="19.899999999999999" customHeight="1">
      <c r="A59" s="22"/>
      <c r="B59" s="141">
        <v>2</v>
      </c>
      <c r="C59" s="135"/>
      <c r="D59" s="190"/>
      <c r="E59" s="136"/>
      <c r="F59" s="190"/>
      <c r="G59" s="142"/>
      <c r="J59" s="141">
        <v>10</v>
      </c>
      <c r="K59" s="135"/>
      <c r="L59" s="135"/>
      <c r="M59" s="136"/>
      <c r="N59" s="190"/>
      <c r="O59" s="135"/>
      <c r="P59" s="135"/>
      <c r="Q59" s="136"/>
      <c r="R59" s="190"/>
      <c r="S59" s="135"/>
      <c r="T59" s="142"/>
      <c r="U59" s="24"/>
    </row>
    <row r="60" spans="1:21" ht="19.899999999999999" customHeight="1" thickBot="1">
      <c r="A60" s="22"/>
      <c r="B60" s="139">
        <v>1</v>
      </c>
      <c r="C60" s="137"/>
      <c r="D60" s="191"/>
      <c r="E60" s="138"/>
      <c r="F60" s="191"/>
      <c r="G60" s="140"/>
      <c r="J60" s="139">
        <v>5</v>
      </c>
      <c r="K60" s="137"/>
      <c r="L60" s="137"/>
      <c r="M60" s="138"/>
      <c r="N60" s="191"/>
      <c r="O60" s="137"/>
      <c r="P60" s="137"/>
      <c r="Q60" s="138"/>
      <c r="R60" s="191"/>
      <c r="S60" s="137"/>
      <c r="T60" s="140"/>
      <c r="U60" s="24"/>
    </row>
    <row r="61" spans="1:21" ht="9" customHeight="1">
      <c r="A61" s="22"/>
      <c r="B61" s="55"/>
      <c r="C61" s="55"/>
      <c r="D61" s="55"/>
      <c r="E61" s="55"/>
      <c r="F61" s="55"/>
      <c r="G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24"/>
    </row>
    <row r="62" spans="1:21" ht="9.6" customHeight="1" thickBot="1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5"/>
    </row>
    <row r="63" spans="1:21" ht="15" hidden="1" customHeight="1" thickBot="1"/>
    <row r="64" spans="1:21" ht="15" hidden="1" customHeight="1" thickTop="1">
      <c r="A64" s="109" t="s">
        <v>51</v>
      </c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43"/>
      <c r="O64" s="92" t="s">
        <v>52</v>
      </c>
      <c r="P64" s="93"/>
      <c r="Q64" s="94"/>
      <c r="R64" s="86"/>
      <c r="S64" s="87"/>
      <c r="T64" s="87"/>
      <c r="U64" s="88"/>
    </row>
    <row r="65" spans="1:21" ht="15" hidden="1" customHeight="1" thickTop="1">
      <c r="A65" s="111"/>
      <c r="B65" s="112"/>
      <c r="C65" s="112"/>
      <c r="D65" s="112"/>
      <c r="E65" s="112"/>
      <c r="F65" s="112"/>
      <c r="G65" s="112"/>
      <c r="H65" s="112"/>
      <c r="N65" s="44"/>
      <c r="O65" s="92"/>
      <c r="P65" s="93"/>
      <c r="Q65" s="94"/>
      <c r="R65" s="89"/>
      <c r="S65" s="90"/>
      <c r="T65" s="90"/>
      <c r="U65" s="91"/>
    </row>
    <row r="66" spans="1:21" ht="15" hidden="1" customHeight="1" thickTop="1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45"/>
      <c r="O66" s="93" t="s">
        <v>53</v>
      </c>
      <c r="P66" s="93"/>
      <c r="Q66" s="94"/>
      <c r="R66" s="86"/>
      <c r="S66" s="87"/>
      <c r="T66" s="87"/>
      <c r="U66" s="88"/>
    </row>
    <row r="67" spans="1:21" ht="6.6" hidden="1" customHeight="1" thickTop="1">
      <c r="A67" s="46"/>
      <c r="B67" s="47"/>
      <c r="C67" s="47"/>
      <c r="D67" s="47"/>
      <c r="E67" s="48"/>
      <c r="F67" s="47"/>
      <c r="G67" s="47"/>
      <c r="H67" s="47"/>
      <c r="I67" s="48"/>
      <c r="J67" s="47"/>
      <c r="K67" s="47"/>
      <c r="L67" s="47"/>
      <c r="M67" s="47"/>
      <c r="N67" s="49"/>
      <c r="O67" s="93"/>
      <c r="P67" s="93"/>
      <c r="Q67" s="94"/>
      <c r="R67" s="89"/>
      <c r="S67" s="90"/>
      <c r="T67" s="90"/>
      <c r="U67" s="91"/>
    </row>
    <row r="68" spans="1:21" ht="15" hidden="1" customHeight="1" thickTop="1">
      <c r="A68" s="109" t="s">
        <v>54</v>
      </c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50"/>
      <c r="O68" s="93"/>
      <c r="P68" s="93"/>
      <c r="Q68" s="94"/>
      <c r="R68" s="158"/>
      <c r="S68" s="159"/>
      <c r="T68" s="159"/>
      <c r="U68" s="160"/>
    </row>
    <row r="69" spans="1:21" ht="15" hidden="1" customHeight="1" thickTop="1">
      <c r="A69" s="5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44"/>
      <c r="O69" s="92" t="s">
        <v>55</v>
      </c>
      <c r="P69" s="93"/>
      <c r="Q69" s="93"/>
      <c r="R69" s="152"/>
      <c r="S69" s="153"/>
      <c r="T69" s="153"/>
      <c r="U69" s="154"/>
    </row>
    <row r="70" spans="1:21" ht="15" hidden="1" customHeight="1" thickTop="1">
      <c r="A70" s="53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45"/>
      <c r="O70" s="92"/>
      <c r="P70" s="93"/>
      <c r="Q70" s="93"/>
      <c r="R70" s="155"/>
      <c r="S70" s="156"/>
      <c r="T70" s="156"/>
      <c r="U70" s="157"/>
    </row>
    <row r="71" spans="1:21" ht="12.75" hidden="1" customHeight="1" thickTop="1"/>
    <row r="72" spans="1:21" ht="12.75" customHeight="1" thickTop="1"/>
  </sheetData>
  <sheetProtection selectLockedCells="1"/>
  <mergeCells count="138">
    <mergeCell ref="B33:C33"/>
    <mergeCell ref="D33:E33"/>
    <mergeCell ref="F33:G33"/>
    <mergeCell ref="J33:M33"/>
    <mergeCell ref="N33:Q33"/>
    <mergeCell ref="E1:P4"/>
    <mergeCell ref="Q1:U6"/>
    <mergeCell ref="E5:G5"/>
    <mergeCell ref="H5:L5"/>
    <mergeCell ref="M5:P5"/>
    <mergeCell ref="E6:G6"/>
    <mergeCell ref="H6:L6"/>
    <mergeCell ref="M6:P6"/>
    <mergeCell ref="B31:G31"/>
    <mergeCell ref="J31:T31"/>
    <mergeCell ref="A18:G18"/>
    <mergeCell ref="B22:C22"/>
    <mergeCell ref="B24:C24"/>
    <mergeCell ref="J41:M41"/>
    <mergeCell ref="N41:Q41"/>
    <mergeCell ref="J42:M42"/>
    <mergeCell ref="N42:Q42"/>
    <mergeCell ref="J40:M40"/>
    <mergeCell ref="N40:Q40"/>
    <mergeCell ref="J37:M37"/>
    <mergeCell ref="N37:Q37"/>
    <mergeCell ref="J38:M38"/>
    <mergeCell ref="N38:Q38"/>
    <mergeCell ref="J39:T39"/>
    <mergeCell ref="R37:T37"/>
    <mergeCell ref="R38:T38"/>
    <mergeCell ref="R40:T40"/>
    <mergeCell ref="R41:T41"/>
    <mergeCell ref="R42:T42"/>
    <mergeCell ref="O69:Q70"/>
    <mergeCell ref="R69:U70"/>
    <mergeCell ref="A64:M64"/>
    <mergeCell ref="O64:Q65"/>
    <mergeCell ref="R64:U65"/>
    <mergeCell ref="A65:H65"/>
    <mergeCell ref="R52:T52"/>
    <mergeCell ref="R53:T53"/>
    <mergeCell ref="J55:M55"/>
    <mergeCell ref="N55:Q55"/>
    <mergeCell ref="J53:M53"/>
    <mergeCell ref="N53:Q53"/>
    <mergeCell ref="J54:M54"/>
    <mergeCell ref="N54:Q54"/>
    <mergeCell ref="J52:M52"/>
    <mergeCell ref="N52:Q52"/>
    <mergeCell ref="J57:M57"/>
    <mergeCell ref="N57:Q57"/>
    <mergeCell ref="R57:T57"/>
    <mergeCell ref="B60:C60"/>
    <mergeCell ref="D60:E60"/>
    <mergeCell ref="F60:G60"/>
    <mergeCell ref="J60:M60"/>
    <mergeCell ref="N60:Q60"/>
    <mergeCell ref="B52:C52"/>
    <mergeCell ref="B53:C53"/>
    <mergeCell ref="B54:C54"/>
    <mergeCell ref="B55:C55"/>
    <mergeCell ref="D50:E50"/>
    <mergeCell ref="O66:Q68"/>
    <mergeCell ref="R66:U68"/>
    <mergeCell ref="A68:M68"/>
    <mergeCell ref="J50:M50"/>
    <mergeCell ref="N50:Q50"/>
    <mergeCell ref="F53:G53"/>
    <mergeCell ref="F54:G54"/>
    <mergeCell ref="F55:G55"/>
    <mergeCell ref="D52:E52"/>
    <mergeCell ref="D53:E53"/>
    <mergeCell ref="D54:E54"/>
    <mergeCell ref="D55:E55"/>
    <mergeCell ref="F50:G50"/>
    <mergeCell ref="F52:G52"/>
    <mergeCell ref="J56:T56"/>
    <mergeCell ref="B57:C57"/>
    <mergeCell ref="D57:E57"/>
    <mergeCell ref="F57:G57"/>
    <mergeCell ref="B41:C41"/>
    <mergeCell ref="D41:E41"/>
    <mergeCell ref="F41:G41"/>
    <mergeCell ref="B37:C37"/>
    <mergeCell ref="D37:E37"/>
    <mergeCell ref="F37:G37"/>
    <mergeCell ref="B38:C38"/>
    <mergeCell ref="D38:E38"/>
    <mergeCell ref="F38:G38"/>
    <mergeCell ref="B40:C40"/>
    <mergeCell ref="D40:E40"/>
    <mergeCell ref="F40:G40"/>
    <mergeCell ref="J34:T34"/>
    <mergeCell ref="R35:T35"/>
    <mergeCell ref="R36:T36"/>
    <mergeCell ref="B39:G39"/>
    <mergeCell ref="B34:G34"/>
    <mergeCell ref="B35:C35"/>
    <mergeCell ref="D35:E35"/>
    <mergeCell ref="F35:G35"/>
    <mergeCell ref="B36:C36"/>
    <mergeCell ref="D36:E36"/>
    <mergeCell ref="F36:G36"/>
    <mergeCell ref="J35:M35"/>
    <mergeCell ref="N35:Q35"/>
    <mergeCell ref="J36:M36"/>
    <mergeCell ref="N36:Q36"/>
    <mergeCell ref="B48:G48"/>
    <mergeCell ref="J48:T48"/>
    <mergeCell ref="B51:G51"/>
    <mergeCell ref="J51:T51"/>
    <mergeCell ref="B42:C42"/>
    <mergeCell ref="D42:E42"/>
    <mergeCell ref="F42:G42"/>
    <mergeCell ref="B43:C43"/>
    <mergeCell ref="D43:E43"/>
    <mergeCell ref="F43:G43"/>
    <mergeCell ref="B50:C50"/>
    <mergeCell ref="J43:M43"/>
    <mergeCell ref="N43:Q43"/>
    <mergeCell ref="R43:T43"/>
    <mergeCell ref="R54:T54"/>
    <mergeCell ref="R55:T55"/>
    <mergeCell ref="B56:G56"/>
    <mergeCell ref="R60:T60"/>
    <mergeCell ref="B59:C59"/>
    <mergeCell ref="D59:E59"/>
    <mergeCell ref="F59:G59"/>
    <mergeCell ref="J59:M59"/>
    <mergeCell ref="N59:Q59"/>
    <mergeCell ref="R59:T59"/>
    <mergeCell ref="B58:C58"/>
    <mergeCell ref="D58:E58"/>
    <mergeCell ref="F58:G58"/>
    <mergeCell ref="J58:M58"/>
    <mergeCell ref="N58:Q58"/>
    <mergeCell ref="R58:T58"/>
  </mergeCells>
  <phoneticPr fontId="25" type="noConversion"/>
  <printOptions horizontalCentered="1" verticalCentered="1"/>
  <pageMargins left="0.39370078740157483" right="0.35433070866141736" top="0.23622047244094491" bottom="0.39370078740157483" header="0.35433070866141736" footer="0.15748031496062992"/>
  <pageSetup paperSize="9" scale="7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3E8056-B5E9-4E8A-A18C-89FD357D09AA}"/>
</file>

<file path=customXml/itemProps2.xml><?xml version="1.0" encoding="utf-8"?>
<ds:datastoreItem xmlns:ds="http://schemas.openxmlformats.org/officeDocument/2006/customXml" ds:itemID="{CFE0F82F-BFE6-40D7-8162-EA79339094D1}"/>
</file>

<file path=customXml/itemProps3.xml><?xml version="1.0" encoding="utf-8"?>
<ds:datastoreItem xmlns:ds="http://schemas.openxmlformats.org/officeDocument/2006/customXml" ds:itemID="{3837E3C3-8535-4689-BCB2-31FB6CA7499D}"/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PONTAILLER Sébastien</dc:creator>
  <cp:keywords/>
  <dc:description/>
  <cp:lastModifiedBy>PONTAILLER Sébastien</cp:lastModifiedBy>
  <cp:revision/>
  <dcterms:created xsi:type="dcterms:W3CDTF">2025-05-05T07:10:50Z</dcterms:created>
  <dcterms:modified xsi:type="dcterms:W3CDTF">2026-02-09T14:03:17Z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</Properties>
</file>