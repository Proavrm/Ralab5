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ge1-my.sharepoint.com/personal/jmahiques_groupe-nge_fr/Documents/LABORATOIRE PACA/FORMATION/DST GT6/"/>
    </mc:Choice>
  </mc:AlternateContent>
  <xr:revisionPtr revIDLastSave="0" documentId="106_{0F711444-EEF1-4271-ABB9-104DFBF1FC49}" xr6:coauthVersionLast="47" xr6:coauthVersionMax="47" xr10:uidLastSave="{00000000-0000-0000-0000-000000000000}"/>
  <bookViews>
    <workbookView xWindow="-108" yWindow="-108" windowWidth="23256" windowHeight="12456" xr2:uid="{02C97820-84B7-45E1-81D7-0F99FAF028FD}"/>
  </bookViews>
  <sheets>
    <sheet name="GTR" sheetId="2" r:id="rId1"/>
  </sheets>
  <definedNames>
    <definedName name="_xlnm.Print_Area" localSheetId="0">GTR!$A$1:$W$79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2" l="1"/>
  <c r="E65" i="2"/>
  <c r="N57" i="2"/>
  <c r="N56" i="2"/>
  <c r="E57" i="2"/>
  <c r="E32" i="2"/>
  <c r="E31" i="2"/>
  <c r="E29" i="2"/>
  <c r="E50" i="2"/>
  <c r="E49" i="2"/>
  <c r="E47" i="2"/>
  <c r="E41" i="2"/>
  <c r="E40" i="2"/>
  <c r="E38" i="2"/>
</calcChain>
</file>

<file path=xl/sharedStrings.xml><?xml version="1.0" encoding="utf-8"?>
<sst xmlns="http://schemas.openxmlformats.org/spreadsheetml/2006/main" count="96" uniqueCount="54">
  <si>
    <t xml:space="preserve">Essais d'identifications des sols
(NF P 11-300)
</t>
  </si>
  <si>
    <t>N° de fiche</t>
  </si>
  <si>
    <t>N° d'affaire</t>
  </si>
  <si>
    <t>Date d' émission</t>
  </si>
  <si>
    <t>GTR -01</t>
  </si>
  <si>
    <r>
      <t xml:space="preserve">1 / </t>
    </r>
    <r>
      <rPr>
        <b/>
        <u/>
        <sz val="11"/>
        <color rgb="FF002060"/>
        <rFont val="Century Gothic"/>
        <family val="2"/>
      </rPr>
      <t>RENSEIGNEMENTS GENERAUX</t>
    </r>
  </si>
  <si>
    <t>Opérateur :</t>
  </si>
  <si>
    <t>Nature du matériau :</t>
  </si>
  <si>
    <t xml:space="preserve">Date de réception : </t>
  </si>
  <si>
    <t>Provenance :</t>
  </si>
  <si>
    <t>Date de(s) essai(s) :</t>
  </si>
  <si>
    <t>Destination :</t>
  </si>
  <si>
    <t>Chantier :</t>
  </si>
  <si>
    <t xml:space="preserve">Code chantier : </t>
  </si>
  <si>
    <r>
      <t xml:space="preserve">2 / </t>
    </r>
    <r>
      <rPr>
        <b/>
        <u/>
        <sz val="11"/>
        <color rgb="FF002060"/>
        <rFont val="Century Gothic"/>
        <family val="2"/>
      </rPr>
      <t>Teneurs en eau (NF EN 17892-1) et analyse granulométrique (NF EN 17892-4)</t>
    </r>
  </si>
  <si>
    <t>N° Récipient :</t>
  </si>
  <si>
    <t>Masse humide (Mh) :</t>
  </si>
  <si>
    <t>Masse sèche (Ms) :</t>
  </si>
  <si>
    <t>Tamis (mm)</t>
  </si>
  <si>
    <t>Refus cumulé (g)</t>
  </si>
  <si>
    <t>Tamisat cumulé (%)</t>
  </si>
  <si>
    <t>Teneur en eau sur 0/D</t>
  </si>
  <si>
    <t>N° Récipient</t>
  </si>
  <si>
    <t>Tare T</t>
  </si>
  <si>
    <t>g</t>
  </si>
  <si>
    <t>Masse humide + T (Mh + T)</t>
  </si>
  <si>
    <t>Masse humide (Mh)</t>
  </si>
  <si>
    <t>Masse sèche + T (Ms + T)</t>
  </si>
  <si>
    <t>Masse sèche (Ms)</t>
  </si>
  <si>
    <t>w% ((Mh - Ms)*100/Ms)</t>
  </si>
  <si>
    <t>%</t>
  </si>
  <si>
    <t>Teneur en eau sur 0/20</t>
  </si>
  <si>
    <t>Teneur en eau sur 0/5</t>
  </si>
  <si>
    <t>Valeur au bleu d'un sol (NF EN 17542-3)</t>
  </si>
  <si>
    <t>Masse humide (mh4) :</t>
  </si>
  <si>
    <t>VBS(0/5) :</t>
  </si>
  <si>
    <t>Masse sèche (Ms4) :</t>
  </si>
  <si>
    <t>C(0/5 dans 0/50) :</t>
  </si>
  <si>
    <t>Volume de bleu :</t>
  </si>
  <si>
    <t>VBS (0/D) :</t>
  </si>
  <si>
    <t>IPI (NF P94-078)</t>
  </si>
  <si>
    <t>Masse du moule :</t>
  </si>
  <si>
    <t>IPI ( 2,5mm )</t>
  </si>
  <si>
    <t>Volume du moule :</t>
  </si>
  <si>
    <t>Masse humide + moule :</t>
  </si>
  <si>
    <t>IPI ( 5mm )</t>
  </si>
  <si>
    <t>Masse humide :</t>
  </si>
  <si>
    <t>Masse sèche + T (Ms + T) :</t>
  </si>
  <si>
    <t>IPI retenu</t>
  </si>
  <si>
    <r>
      <t xml:space="preserve">4 / </t>
    </r>
    <r>
      <rPr>
        <b/>
        <u/>
        <sz val="11"/>
        <color rgb="FF002060"/>
        <rFont val="Century Gothic"/>
        <family val="2"/>
      </rPr>
      <t>CONCLUSIONS</t>
    </r>
  </si>
  <si>
    <t>Nom</t>
  </si>
  <si>
    <t>Fonction</t>
  </si>
  <si>
    <r>
      <t xml:space="preserve">5 / </t>
    </r>
    <r>
      <rPr>
        <b/>
        <u/>
        <sz val="11"/>
        <color rgb="FF002060"/>
        <rFont val="Century Gothic"/>
        <family val="2"/>
      </rPr>
      <t>COMMENTAIRES</t>
    </r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</si>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</sst>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Century Gothic"/>
      <family val="2"/>
    </font>
    <font>
      <b/>
      <sz val="18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i/>
      <sz val="14"/>
      <name val="Century Gothic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color rgb="FF002060"/>
      <name val="Century Gothic"/>
      <family val="2"/>
    </font>
    <font>
      <b/>
      <u/>
      <sz val="11"/>
      <color rgb="FF002060"/>
      <name val="Century Gothic"/>
      <family val="2"/>
    </font>
    <font>
      <b/>
      <sz val="11"/>
      <name val="Century Gothic"/>
      <family val="2"/>
    </font>
    <font>
      <b/>
      <sz val="16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b/>
      <u/>
      <sz val="11"/>
      <name val="Arial"/>
      <family val="2"/>
    </font>
    <font>
      <sz val="10"/>
      <color rgb="FF002060"/>
      <name val="Century Gothic"/>
      <family val="2"/>
    </font>
    <font>
      <sz val="16"/>
      <color theme="1"/>
      <name val="Brush Script MT"/>
      <family val="4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1"/>
      <name val="Century Gothic"/>
      <family val="2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C77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/>
      <top style="double">
        <color rgb="FF002060"/>
      </top>
      <bottom/>
      <diagonal/>
    </border>
    <border>
      <left style="double">
        <color rgb="FF002060"/>
      </left>
      <right style="medium">
        <color rgb="FF002060"/>
      </right>
      <top style="double">
        <color rgb="FF002060"/>
      </top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double">
        <color rgb="FF002060"/>
      </bottom>
      <diagonal/>
    </border>
    <border>
      <left style="medium">
        <color rgb="FF002060"/>
      </left>
      <right style="medium">
        <color indexed="64"/>
      </right>
      <top style="double">
        <color rgb="FF002060"/>
      </top>
      <bottom style="double">
        <color rgb="FF002060"/>
      </bottom>
      <diagonal/>
    </border>
    <border>
      <left style="medium">
        <color indexed="64"/>
      </left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rgb="FF002060"/>
      </right>
      <top/>
      <bottom/>
      <diagonal/>
    </border>
    <border>
      <left style="double">
        <color rgb="FF002060"/>
      </left>
      <right style="medium">
        <color rgb="FF002060"/>
      </right>
      <top style="double">
        <color rgb="FF002060"/>
      </top>
      <bottom style="dotted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dotted">
        <color rgb="FF002060"/>
      </bottom>
      <diagonal/>
    </border>
    <border>
      <left style="medium">
        <color rgb="FF002060"/>
      </left>
      <right style="medium">
        <color indexed="64"/>
      </right>
      <top style="double">
        <color rgb="FF002060"/>
      </top>
      <bottom style="dotted">
        <color rgb="FF002060"/>
      </bottom>
      <diagonal/>
    </border>
    <border>
      <left style="double">
        <color rgb="FF002060"/>
      </left>
      <right/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 style="double">
        <color rgb="FF002060"/>
      </left>
      <right style="medium">
        <color rgb="FF002060"/>
      </right>
      <top/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/>
      <bottom style="double">
        <color rgb="FF002060"/>
      </bottom>
      <diagonal/>
    </border>
    <border>
      <left style="medium">
        <color rgb="FF002060"/>
      </left>
      <right style="medium">
        <color indexed="64"/>
      </right>
      <top/>
      <bottom style="double">
        <color rgb="FF002060"/>
      </bottom>
      <diagonal/>
    </border>
    <border>
      <left style="medium">
        <color indexed="64"/>
      </left>
      <right/>
      <top/>
      <bottom style="double">
        <color rgb="FF002060"/>
      </bottom>
      <diagonal/>
    </border>
    <border>
      <left/>
      <right style="double">
        <color rgb="FF002060"/>
      </right>
      <top/>
      <bottom style="double">
        <color rgb="FF002060"/>
      </bottom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rgb="FF002C77"/>
      </bottom>
      <diagonal/>
    </border>
    <border>
      <left/>
      <right/>
      <top style="medium">
        <color indexed="64"/>
      </top>
      <bottom style="double">
        <color rgb="FF002C77"/>
      </bottom>
      <diagonal/>
    </border>
    <border>
      <left/>
      <right style="medium">
        <color indexed="64"/>
      </right>
      <top style="medium">
        <color indexed="64"/>
      </top>
      <bottom style="double">
        <color rgb="FF002C77"/>
      </bottom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double">
        <color rgb="FF00206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rgb="FF002C77"/>
      </top>
      <bottom style="thin">
        <color indexed="64"/>
      </bottom>
      <diagonal/>
    </border>
    <border>
      <left/>
      <right/>
      <top style="double">
        <color rgb="FF002C77"/>
      </top>
      <bottom style="thin">
        <color indexed="64"/>
      </bottom>
      <diagonal/>
    </border>
    <border>
      <left/>
      <right style="medium">
        <color indexed="64"/>
      </right>
      <top style="double">
        <color rgb="FF002C77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76">
    <xf numFmtId="0" fontId="0" fillId="0" borderId="0" xfId="0"/>
    <xf numFmtId="0" fontId="2" fillId="0" borderId="1" xfId="1" applyBorder="1"/>
    <xf numFmtId="0" fontId="2" fillId="0" borderId="2" xfId="1" applyBorder="1"/>
    <xf numFmtId="0" fontId="2" fillId="0" borderId="0" xfId="1" applyAlignment="1">
      <alignment vertical="center"/>
    </xf>
    <xf numFmtId="0" fontId="2" fillId="0" borderId="8" xfId="1" applyBorder="1"/>
    <xf numFmtId="0" fontId="2" fillId="0" borderId="0" xfId="1"/>
    <xf numFmtId="0" fontId="4" fillId="0" borderId="0" xfId="1" applyFont="1" applyAlignment="1">
      <alignment horizontal="center" vertical="center" wrapText="1"/>
    </xf>
    <xf numFmtId="0" fontId="2" fillId="0" borderId="14" xfId="1" applyBorder="1"/>
    <xf numFmtId="0" fontId="2" fillId="0" borderId="15" xfId="1" applyBorder="1"/>
    <xf numFmtId="0" fontId="7" fillId="0" borderId="0" xfId="3" applyFont="1" applyAlignment="1">
      <alignment horizontal="center" vertical="center"/>
    </xf>
    <xf numFmtId="0" fontId="7" fillId="0" borderId="0" xfId="2" applyFont="1" applyAlignment="1">
      <alignment horizontal="center" vertical="top"/>
    </xf>
    <xf numFmtId="14" fontId="7" fillId="0" borderId="0" xfId="2" applyNumberFormat="1" applyFont="1" applyAlignment="1">
      <alignment horizontal="center" vertical="top"/>
    </xf>
    <xf numFmtId="0" fontId="8" fillId="0" borderId="21" xfId="1" applyFont="1" applyBorder="1" applyAlignment="1">
      <alignment vertical="center"/>
    </xf>
    <xf numFmtId="0" fontId="9" fillId="0" borderId="22" xfId="1" applyFont="1" applyBorder="1" applyAlignment="1">
      <alignment vertical="center"/>
    </xf>
    <xf numFmtId="0" fontId="10" fillId="0" borderId="22" xfId="1" applyFont="1" applyBorder="1" applyAlignment="1" applyProtection="1">
      <alignment vertical="center"/>
      <protection locked="0"/>
    </xf>
    <xf numFmtId="0" fontId="10" fillId="0" borderId="23" xfId="1" applyFont="1" applyBorder="1" applyAlignment="1" applyProtection="1">
      <alignment vertical="center"/>
      <protection locked="0"/>
    </xf>
    <xf numFmtId="0" fontId="8" fillId="0" borderId="22" xfId="1" applyFont="1" applyBorder="1" applyAlignment="1">
      <alignment vertical="center"/>
    </xf>
    <xf numFmtId="0" fontId="11" fillId="0" borderId="1" xfId="1" applyFont="1" applyBorder="1"/>
    <xf numFmtId="0" fontId="11" fillId="0" borderId="2" xfId="1" applyFont="1" applyBorder="1"/>
    <xf numFmtId="0" fontId="2" fillId="0" borderId="2" xfId="1" applyBorder="1" applyAlignment="1">
      <alignment vertical="center"/>
    </xf>
    <xf numFmtId="0" fontId="2" fillId="0" borderId="2" xfId="1" applyBorder="1" applyAlignment="1">
      <alignment horizontal="center" vertical="center"/>
    </xf>
    <xf numFmtId="0" fontId="2" fillId="0" borderId="7" xfId="1" applyBorder="1" applyAlignment="1">
      <alignment vertical="center"/>
    </xf>
    <xf numFmtId="0" fontId="2" fillId="0" borderId="8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10" xfId="1" applyBorder="1" applyAlignment="1">
      <alignment vertical="center"/>
    </xf>
    <xf numFmtId="0" fontId="13" fillId="0" borderId="0" xfId="1" applyFont="1" applyAlignment="1">
      <alignment vertical="center"/>
    </xf>
    <xf numFmtId="0" fontId="10" fillId="0" borderId="0" xfId="1" applyFont="1" applyAlignment="1" applyProtection="1">
      <alignment horizontal="left" vertical="center"/>
      <protection locked="0"/>
    </xf>
    <xf numFmtId="0" fontId="13" fillId="0" borderId="0" xfId="1" applyFont="1" applyAlignment="1" applyProtection="1">
      <alignment horizontal="left" vertical="center"/>
      <protection locked="0"/>
    </xf>
    <xf numFmtId="0" fontId="13" fillId="0" borderId="0" xfId="1" applyFont="1" applyAlignment="1">
      <alignment horizontal="left" vertical="center"/>
    </xf>
    <xf numFmtId="0" fontId="13" fillId="0" borderId="0" xfId="1" applyFont="1" applyAlignment="1" applyProtection="1">
      <alignment vertical="center"/>
      <protection locked="0"/>
    </xf>
    <xf numFmtId="0" fontId="10" fillId="0" borderId="10" xfId="1" applyFont="1" applyBorder="1" applyAlignment="1">
      <alignment horizontal="left" vertical="center"/>
    </xf>
    <xf numFmtId="0" fontId="2" fillId="0" borderId="14" xfId="1" applyBorder="1" applyAlignment="1">
      <alignment horizontal="center" vertical="center"/>
    </xf>
    <xf numFmtId="0" fontId="2" fillId="0" borderId="15" xfId="1" applyBorder="1" applyAlignment="1">
      <alignment vertical="center"/>
    </xf>
    <xf numFmtId="0" fontId="2" fillId="0" borderId="15" xfId="1" applyBorder="1" applyAlignment="1">
      <alignment horizontal="center" vertical="center"/>
    </xf>
    <xf numFmtId="0" fontId="2" fillId="0" borderId="15" xfId="1" applyBorder="1" applyAlignment="1">
      <alignment horizontal="left" vertical="center"/>
    </xf>
    <xf numFmtId="0" fontId="2" fillId="0" borderId="20" xfId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6" fillId="0" borderId="2" xfId="1" applyFont="1" applyBorder="1" applyAlignment="1">
      <alignment vertical="center"/>
    </xf>
    <xf numFmtId="0" fontId="10" fillId="0" borderId="2" xfId="1" applyFont="1" applyBorder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7" xfId="1" applyFont="1" applyBorder="1" applyAlignment="1">
      <alignment vertical="center"/>
    </xf>
    <xf numFmtId="0" fontId="17" fillId="0" borderId="10" xfId="1" applyFont="1" applyBorder="1" applyAlignment="1">
      <alignment vertical="center"/>
    </xf>
    <xf numFmtId="0" fontId="17" fillId="0" borderId="20" xfId="1" applyFont="1" applyBorder="1" applyAlignment="1">
      <alignment vertical="center"/>
    </xf>
    <xf numFmtId="0" fontId="2" fillId="0" borderId="22" xfId="1" applyBorder="1" applyAlignment="1">
      <alignment horizontal="center" vertical="center"/>
    </xf>
    <xf numFmtId="0" fontId="2" fillId="0" borderId="22" xfId="1" applyBorder="1" applyAlignment="1">
      <alignment vertical="center"/>
    </xf>
    <xf numFmtId="0" fontId="2" fillId="0" borderId="22" xfId="1" applyBorder="1" applyAlignment="1" applyProtection="1">
      <alignment vertical="center"/>
      <protection locked="0"/>
    </xf>
    <xf numFmtId="0" fontId="17" fillId="0" borderId="22" xfId="1" applyFont="1" applyBorder="1" applyAlignment="1">
      <alignment vertical="center"/>
    </xf>
    <xf numFmtId="0" fontId="17" fillId="0" borderId="7" xfId="1" applyFont="1" applyBorder="1" applyAlignment="1">
      <alignment vertical="center"/>
    </xf>
    <xf numFmtId="0" fontId="10" fillId="0" borderId="8" xfId="1" applyFont="1" applyBorder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vertical="center"/>
      <protection locked="0"/>
    </xf>
    <xf numFmtId="0" fontId="10" fillId="0" borderId="14" xfId="1" applyFont="1" applyBorder="1" applyAlignment="1" applyProtection="1">
      <alignment horizontal="center" vertical="center"/>
      <protection locked="0"/>
    </xf>
    <xf numFmtId="0" fontId="10" fillId="0" borderId="15" xfId="1" applyFont="1" applyBorder="1" applyAlignment="1" applyProtection="1">
      <alignment vertical="center"/>
      <protection locked="0"/>
    </xf>
    <xf numFmtId="0" fontId="11" fillId="0" borderId="8" xfId="1" applyFont="1" applyBorder="1"/>
    <xf numFmtId="0" fontId="16" fillId="0" borderId="0" xfId="1" applyFont="1" applyAlignment="1">
      <alignment vertical="center"/>
    </xf>
    <xf numFmtId="0" fontId="25" fillId="2" borderId="29" xfId="0" applyFont="1" applyFill="1" applyBorder="1" applyAlignment="1">
      <alignment vertical="center"/>
    </xf>
    <xf numFmtId="0" fontId="25" fillId="2" borderId="30" xfId="0" applyFont="1" applyFill="1" applyBorder="1" applyAlignment="1">
      <alignment vertical="center"/>
    </xf>
    <xf numFmtId="0" fontId="22" fillId="2" borderId="30" xfId="0" applyFont="1" applyFill="1" applyBorder="1" applyAlignment="1">
      <alignment vertical="center"/>
    </xf>
    <xf numFmtId="0" fontId="2" fillId="0" borderId="30" xfId="1" applyBorder="1" applyAlignment="1">
      <alignment vertical="center"/>
    </xf>
    <xf numFmtId="0" fontId="2" fillId="0" borderId="31" xfId="1" applyBorder="1" applyAlignment="1">
      <alignment vertical="center"/>
    </xf>
    <xf numFmtId="0" fontId="13" fillId="0" borderId="32" xfId="1" applyFont="1" applyBorder="1" applyAlignment="1" applyProtection="1">
      <alignment vertical="center"/>
      <protection locked="0"/>
    </xf>
    <xf numFmtId="14" fontId="13" fillId="0" borderId="33" xfId="1" applyNumberFormat="1" applyFont="1" applyBorder="1" applyAlignment="1" applyProtection="1">
      <alignment vertical="center"/>
      <protection locked="0"/>
    </xf>
    <xf numFmtId="0" fontId="13" fillId="0" borderId="33" xfId="1" quotePrefix="1" applyFont="1" applyBorder="1" applyAlignment="1" applyProtection="1">
      <alignment vertical="center"/>
      <protection locked="0"/>
    </xf>
    <xf numFmtId="0" fontId="13" fillId="0" borderId="33" xfId="1" applyFont="1" applyBorder="1" applyAlignment="1" applyProtection="1">
      <alignment vertical="center"/>
      <protection locked="0"/>
    </xf>
    <xf numFmtId="0" fontId="2" fillId="0" borderId="34" xfId="1" applyBorder="1" applyAlignment="1">
      <alignment horizontal="center" vertical="center"/>
    </xf>
    <xf numFmtId="0" fontId="13" fillId="0" borderId="35" xfId="1" applyFont="1" applyBorder="1" applyAlignment="1" applyProtection="1">
      <alignment horizontal="left" vertical="center"/>
      <protection locked="0"/>
    </xf>
    <xf numFmtId="0" fontId="13" fillId="0" borderId="35" xfId="1" applyFont="1" applyBorder="1" applyAlignment="1">
      <alignment vertical="center"/>
    </xf>
    <xf numFmtId="0" fontId="13" fillId="0" borderId="36" xfId="1" applyFont="1" applyBorder="1" applyAlignment="1" applyProtection="1">
      <alignment vertical="center"/>
      <protection locked="0"/>
    </xf>
    <xf numFmtId="0" fontId="13" fillId="0" borderId="36" xfId="1" quotePrefix="1" applyFont="1" applyBorder="1" applyAlignment="1" applyProtection="1">
      <alignment horizontal="center" vertical="center"/>
      <protection locked="0"/>
    </xf>
    <xf numFmtId="0" fontId="13" fillId="0" borderId="36" xfId="1" applyFont="1" applyBorder="1" applyAlignment="1" applyProtection="1">
      <alignment horizontal="left" vertical="center"/>
      <protection locked="0"/>
    </xf>
    <xf numFmtId="0" fontId="13" fillId="0" borderId="36" xfId="1" applyFont="1" applyBorder="1" applyAlignment="1">
      <alignment vertical="center"/>
    </xf>
    <xf numFmtId="0" fontId="21" fillId="0" borderId="39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0" fillId="0" borderId="40" xfId="0" applyFont="1" applyBorder="1" applyAlignment="1">
      <alignment horizontal="right" vertical="center"/>
    </xf>
    <xf numFmtId="0" fontId="20" fillId="0" borderId="36" xfId="0" applyFont="1" applyBorder="1" applyAlignment="1">
      <alignment horizontal="right" vertical="center"/>
    </xf>
    <xf numFmtId="0" fontId="0" fillId="2" borderId="40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20" fillId="0" borderId="37" xfId="0" applyFont="1" applyBorder="1" applyAlignment="1">
      <alignment horizontal="right" vertical="center"/>
    </xf>
    <xf numFmtId="0" fontId="20" fillId="0" borderId="38" xfId="0" applyFont="1" applyBorder="1" applyAlignment="1">
      <alignment horizontal="righ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11" fillId="0" borderId="1" xfId="1" applyFont="1" applyBorder="1" applyAlignment="1">
      <alignment horizontal="left"/>
    </xf>
    <xf numFmtId="0" fontId="11" fillId="0" borderId="2" xfId="1" applyFont="1" applyBorder="1" applyAlignment="1">
      <alignment horizontal="left"/>
    </xf>
    <xf numFmtId="0" fontId="9" fillId="0" borderId="8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0" fillId="0" borderId="42" xfId="0" applyFont="1" applyBorder="1" applyAlignment="1">
      <alignment horizontal="right" vertical="center"/>
    </xf>
    <xf numFmtId="0" fontId="20" fillId="0" borderId="43" xfId="0" applyFont="1" applyBorder="1" applyAlignment="1">
      <alignment horizontal="right" vertical="center"/>
    </xf>
    <xf numFmtId="0" fontId="22" fillId="4" borderId="24" xfId="0" applyFont="1" applyFill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164" fontId="0" fillId="3" borderId="42" xfId="0" applyNumberFormat="1" applyFill="1" applyBorder="1" applyAlignment="1">
      <alignment horizontal="center" vertical="center"/>
    </xf>
    <xf numFmtId="164" fontId="0" fillId="3" borderId="43" xfId="0" applyNumberFormat="1" applyFill="1" applyBorder="1" applyAlignment="1">
      <alignment horizontal="center" vertical="center"/>
    </xf>
    <xf numFmtId="0" fontId="2" fillId="5" borderId="40" xfId="1" applyFill="1" applyBorder="1" applyAlignment="1">
      <alignment horizontal="center" vertical="center"/>
    </xf>
    <xf numFmtId="0" fontId="2" fillId="5" borderId="36" xfId="1" applyFill="1" applyBorder="1" applyAlignment="1">
      <alignment horizontal="center" vertical="center"/>
    </xf>
    <xf numFmtId="0" fontId="2" fillId="5" borderId="41" xfId="1" applyFill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9" fillId="0" borderId="20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18" fillId="0" borderId="7" xfId="1" applyFont="1" applyBorder="1" applyAlignment="1">
      <alignment horizontal="center" vertical="center" wrapText="1"/>
    </xf>
    <xf numFmtId="0" fontId="18" fillId="0" borderId="8" xfId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8" fillId="0" borderId="10" xfId="1" applyFont="1" applyBorder="1" applyAlignment="1">
      <alignment horizontal="center" vertical="center" wrapText="1"/>
    </xf>
    <xf numFmtId="0" fontId="18" fillId="0" borderId="14" xfId="1" applyFont="1" applyBorder="1" applyAlignment="1">
      <alignment horizontal="center" vertical="center" wrapText="1"/>
    </xf>
    <xf numFmtId="0" fontId="18" fillId="0" borderId="15" xfId="1" applyFont="1" applyBorder="1" applyAlignment="1">
      <alignment horizontal="center" vertical="center" wrapText="1"/>
    </xf>
    <xf numFmtId="0" fontId="18" fillId="0" borderId="20" xfId="1" applyFont="1" applyBorder="1" applyAlignment="1">
      <alignment horizontal="center" vertical="center" wrapText="1"/>
    </xf>
    <xf numFmtId="0" fontId="2" fillId="5" borderId="42" xfId="1" applyFill="1" applyBorder="1" applyAlignment="1">
      <alignment horizontal="center" vertical="center"/>
    </xf>
    <xf numFmtId="0" fontId="2" fillId="5" borderId="43" xfId="1" applyFill="1" applyBorder="1" applyAlignment="1">
      <alignment horizontal="center" vertical="center"/>
    </xf>
    <xf numFmtId="0" fontId="2" fillId="5" borderId="44" xfId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0" fillId="0" borderId="41" xfId="0" applyFont="1" applyBorder="1" applyAlignment="1">
      <alignment horizontal="right" vertical="center"/>
    </xf>
    <xf numFmtId="0" fontId="20" fillId="0" borderId="44" xfId="0" applyFont="1" applyBorder="1" applyAlignment="1">
      <alignment horizontal="right" vertical="center"/>
    </xf>
    <xf numFmtId="0" fontId="0" fillId="5" borderId="36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20" fillId="0" borderId="39" xfId="0" applyFont="1" applyBorder="1" applyAlignment="1">
      <alignment horizontal="right" vertical="center"/>
    </xf>
    <xf numFmtId="0" fontId="22" fillId="4" borderId="27" xfId="0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5" fillId="0" borderId="13" xfId="2" applyFont="1" applyBorder="1" applyAlignment="1">
      <alignment horizontal="center"/>
    </xf>
    <xf numFmtId="0" fontId="6" fillId="0" borderId="16" xfId="3" quotePrefix="1" applyFont="1" applyBorder="1" applyAlignment="1">
      <alignment horizontal="center"/>
    </xf>
    <xf numFmtId="0" fontId="6" fillId="0" borderId="17" xfId="3" applyFont="1" applyBorder="1" applyAlignment="1">
      <alignment horizontal="center"/>
    </xf>
    <xf numFmtId="0" fontId="6" fillId="0" borderId="17" xfId="2" applyFont="1" applyBorder="1" applyAlignment="1">
      <alignment horizontal="center"/>
    </xf>
    <xf numFmtId="14" fontId="23" fillId="0" borderId="17" xfId="2" applyNumberFormat="1" applyFont="1" applyBorder="1" applyAlignment="1">
      <alignment horizontal="center"/>
    </xf>
    <xf numFmtId="14" fontId="23" fillId="0" borderId="18" xfId="2" applyNumberFormat="1" applyFont="1" applyBorder="1" applyAlignment="1">
      <alignment horizontal="center"/>
    </xf>
    <xf numFmtId="0" fontId="24" fillId="2" borderId="42" xfId="1" applyFont="1" applyFill="1" applyBorder="1" applyAlignment="1">
      <alignment horizontal="left" vertical="center"/>
    </xf>
    <xf numFmtId="0" fontId="24" fillId="2" borderId="43" xfId="1" applyFont="1" applyFill="1" applyBorder="1" applyAlignment="1">
      <alignment horizontal="left" vertical="center"/>
    </xf>
    <xf numFmtId="0" fontId="24" fillId="2" borderId="44" xfId="1" applyFont="1" applyFill="1" applyBorder="1" applyAlignment="1">
      <alignment horizontal="left" vertical="center"/>
    </xf>
    <xf numFmtId="0" fontId="24" fillId="2" borderId="45" xfId="1" applyFont="1" applyFill="1" applyBorder="1" applyAlignment="1">
      <alignment horizontal="left" vertical="center"/>
    </xf>
    <xf numFmtId="0" fontId="24" fillId="2" borderId="46" xfId="1" applyFont="1" applyFill="1" applyBorder="1" applyAlignment="1">
      <alignment horizontal="left" vertical="center"/>
    </xf>
    <xf numFmtId="0" fontId="22" fillId="2" borderId="46" xfId="1" applyFont="1" applyFill="1" applyBorder="1" applyAlignment="1">
      <alignment horizontal="center" vertical="center"/>
    </xf>
    <xf numFmtId="0" fontId="22" fillId="2" borderId="47" xfId="1" applyFont="1" applyFill="1" applyBorder="1" applyAlignment="1">
      <alignment horizontal="center" vertical="center"/>
    </xf>
    <xf numFmtId="0" fontId="22" fillId="4" borderId="28" xfId="0" applyFont="1" applyFill="1" applyBorder="1" applyAlignment="1" applyProtection="1">
      <alignment horizontal="center" vertical="center"/>
      <protection locked="0"/>
    </xf>
    <xf numFmtId="0" fontId="22" fillId="4" borderId="26" xfId="0" applyFont="1" applyFill="1" applyBorder="1" applyAlignment="1" applyProtection="1">
      <alignment horizontal="center" vertical="center"/>
      <protection locked="0"/>
    </xf>
    <xf numFmtId="0" fontId="22" fillId="4" borderId="25" xfId="0" applyFont="1" applyFill="1" applyBorder="1" applyAlignment="1" applyProtection="1">
      <alignment horizontal="center" vertical="center"/>
      <protection locked="0"/>
    </xf>
    <xf numFmtId="0" fontId="2" fillId="5" borderId="37" xfId="1" applyFill="1" applyBorder="1" applyAlignment="1">
      <alignment horizontal="center" vertical="center"/>
    </xf>
    <xf numFmtId="0" fontId="2" fillId="5" borderId="38" xfId="1" applyFill="1" applyBorder="1" applyAlignment="1">
      <alignment horizontal="center" vertical="center"/>
    </xf>
    <xf numFmtId="0" fontId="2" fillId="5" borderId="39" xfId="1" applyFill="1" applyBorder="1" applyAlignment="1">
      <alignment horizontal="center" vertical="center"/>
    </xf>
  </cellXfs>
  <cellStyles count="4">
    <cellStyle name="Normal" xfId="0" builtinId="0"/>
    <cellStyle name="Normal 3" xfId="2" xr:uid="{7F632A16-DB41-4EF5-A031-828CEEDC43F6}"/>
    <cellStyle name="Normal 3 2" xfId="1" xr:uid="{4135BBDE-F803-470A-A26D-E8FEA2DA6032}"/>
    <cellStyle name="Normal 4" xfId="3" xr:uid="{305A32E3-FB15-46BD-A1C3-7231164345A7}"/>
  </cellStyles>
  <dxfs count="0"/>
  <tableStyles count="0" defaultTableStyle="TableStyleMedium2" defaultPivotStyle="PivotStyleLight16"/>
  <colors>
    <mruColors>
      <color rgb="FF002C77"/>
      <color rgb="FF002C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0</xdr:row>
      <xdr:rowOff>0</xdr:rowOff>
    </xdr:from>
    <xdr:to>
      <xdr:col>3</xdr:col>
      <xdr:colOff>466725</xdr:colOff>
      <xdr:row>0</xdr:row>
      <xdr:rowOff>0</xdr:rowOff>
    </xdr:to>
    <xdr:pic>
      <xdr:nvPicPr>
        <xdr:cNvPr id="2" name="Picture 31">
          <a:extLst>
            <a:ext uri="{FF2B5EF4-FFF2-40B4-BE49-F238E27FC236}">
              <a16:creationId xmlns:a16="http://schemas.microsoft.com/office/drawing/2014/main" id="{31697CFE-5E15-487E-836E-683BB849C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0"/>
          <a:ext cx="148209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495300</xdr:colOff>
      <xdr:row>0</xdr:row>
      <xdr:rowOff>0</xdr:rowOff>
    </xdr:from>
    <xdr:to>
      <xdr:col>6</xdr:col>
      <xdr:colOff>228600</xdr:colOff>
      <xdr:row>0</xdr:row>
      <xdr:rowOff>0</xdr:rowOff>
    </xdr:to>
    <xdr:sp macro="" textlink="" fLocksText="0">
      <xdr:nvSpPr>
        <xdr:cNvPr id="3" name="Text Box 36">
          <a:extLst>
            <a:ext uri="{FF2B5EF4-FFF2-40B4-BE49-F238E27FC236}">
              <a16:creationId xmlns:a16="http://schemas.microsoft.com/office/drawing/2014/main" id="{1DC72AF5-F273-47B6-A70D-97A45527BA13}"/>
            </a:ext>
          </a:extLst>
        </xdr:cNvPr>
        <xdr:cNvSpPr txBox="1">
          <a:spLocks noChangeArrowheads="1"/>
        </xdr:cNvSpPr>
      </xdr:nvSpPr>
      <xdr:spPr bwMode="auto">
        <a:xfrm>
          <a:off x="3209925" y="0"/>
          <a:ext cx="352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fr-FR" sz="1200" b="1" i="0" strike="noStrike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0</xdr:col>
      <xdr:colOff>114300</xdr:colOff>
      <xdr:row>0</xdr:row>
      <xdr:rowOff>0</xdr:rowOff>
    </xdr:from>
    <xdr:to>
      <xdr:col>3</xdr:col>
      <xdr:colOff>447675</xdr:colOff>
      <xdr:row>0</xdr:row>
      <xdr:rowOff>0</xdr:rowOff>
    </xdr:to>
    <xdr:sp macro="" textlink="" fLocksText="0">
      <xdr:nvSpPr>
        <xdr:cNvPr id="4" name="Text Box 40">
          <a:extLst>
            <a:ext uri="{FF2B5EF4-FFF2-40B4-BE49-F238E27FC236}">
              <a16:creationId xmlns:a16="http://schemas.microsoft.com/office/drawing/2014/main" id="{DEC95EF7-BF3F-4510-9B2F-6AF3E121A002}"/>
            </a:ext>
          </a:extLst>
        </xdr:cNvPr>
        <xdr:cNvSpPr txBox="1">
          <a:spLocks noChangeArrowheads="1"/>
        </xdr:cNvSpPr>
      </xdr:nvSpPr>
      <xdr:spPr bwMode="auto">
        <a:xfrm flipV="1">
          <a:off x="114300" y="0"/>
          <a:ext cx="186499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900" b="1" i="0" strike="noStrike">
              <a:solidFill>
                <a:srgbClr val="000000"/>
              </a:solidFill>
              <a:latin typeface="Arial"/>
              <a:cs typeface="Arial"/>
            </a:rPr>
            <a:t>LABORATOIRE ILE DE FRANCE</a:t>
          </a:r>
        </a:p>
      </xdr:txBody>
    </xdr:sp>
    <xdr:clientData/>
  </xdr:twoCellAnchor>
  <xdr:twoCellAnchor>
    <xdr:from>
      <xdr:col>6</xdr:col>
      <xdr:colOff>190500</xdr:colOff>
      <xdr:row>0</xdr:row>
      <xdr:rowOff>0</xdr:rowOff>
    </xdr:from>
    <xdr:to>
      <xdr:col>6</xdr:col>
      <xdr:colOff>304800</xdr:colOff>
      <xdr:row>0</xdr:row>
      <xdr:rowOff>0</xdr:rowOff>
    </xdr:to>
    <xdr:sp macro="" textlink="">
      <xdr:nvSpPr>
        <xdr:cNvPr id="5" name="Text Box 41">
          <a:extLst>
            <a:ext uri="{FF2B5EF4-FFF2-40B4-BE49-F238E27FC236}">
              <a16:creationId xmlns:a16="http://schemas.microsoft.com/office/drawing/2014/main" id="{F63579A5-4E15-4575-8BA6-445BBADA774D}"/>
            </a:ext>
          </a:extLst>
        </xdr:cNvPr>
        <xdr:cNvSpPr txBox="1">
          <a:spLocks noChangeArrowheads="1"/>
        </xdr:cNvSpPr>
      </xdr:nvSpPr>
      <xdr:spPr bwMode="auto">
        <a:xfrm>
          <a:off x="3524250" y="0"/>
          <a:ext cx="114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|</a:t>
          </a:r>
        </a:p>
      </xdr:txBody>
    </xdr:sp>
    <xdr:clientData/>
  </xdr:twoCellAnchor>
  <xdr:twoCellAnchor>
    <xdr:from>
      <xdr:col>0</xdr:col>
      <xdr:colOff>95250</xdr:colOff>
      <xdr:row>0</xdr:row>
      <xdr:rowOff>0</xdr:rowOff>
    </xdr:from>
    <xdr:to>
      <xdr:col>3</xdr:col>
      <xdr:colOff>476250</xdr:colOff>
      <xdr:row>0</xdr:row>
      <xdr:rowOff>0</xdr:rowOff>
    </xdr:to>
    <xdr:pic>
      <xdr:nvPicPr>
        <xdr:cNvPr id="6" name="Picture 44">
          <a:extLst>
            <a:ext uri="{FF2B5EF4-FFF2-40B4-BE49-F238E27FC236}">
              <a16:creationId xmlns:a16="http://schemas.microsoft.com/office/drawing/2014/main" id="{FD3BDD37-5AD1-4A14-BB66-80FD09379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0"/>
          <a:ext cx="1914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476250</xdr:colOff>
      <xdr:row>0</xdr:row>
      <xdr:rowOff>0</xdr:rowOff>
    </xdr:from>
    <xdr:to>
      <xdr:col>6</xdr:col>
      <xdr:colOff>228600</xdr:colOff>
      <xdr:row>0</xdr:row>
      <xdr:rowOff>0</xdr:rowOff>
    </xdr:to>
    <xdr:sp macro="" textlink="">
      <xdr:nvSpPr>
        <xdr:cNvPr id="7" name="Text Box 45">
          <a:extLst>
            <a:ext uri="{FF2B5EF4-FFF2-40B4-BE49-F238E27FC236}">
              <a16:creationId xmlns:a16="http://schemas.microsoft.com/office/drawing/2014/main" id="{FE448724-CF5C-45D4-9B3A-B283DF9B16F5}"/>
            </a:ext>
          </a:extLst>
        </xdr:cNvPr>
        <xdr:cNvSpPr txBox="1">
          <a:spLocks noChangeArrowheads="1"/>
        </xdr:cNvSpPr>
      </xdr:nvSpPr>
      <xdr:spPr bwMode="auto">
        <a:xfrm>
          <a:off x="3187065" y="0"/>
          <a:ext cx="37528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800" b="0" i="0" strike="noStrike">
              <a:solidFill>
                <a:srgbClr val="000000"/>
              </a:solidFill>
              <a:latin typeface="Arial"/>
              <a:cs typeface="Arial"/>
            </a:rPr>
            <a:t>Chrono</a:t>
          </a:r>
        </a:p>
      </xdr:txBody>
    </xdr:sp>
    <xdr:clientData/>
  </xdr:twoCellAnchor>
  <xdr:twoCellAnchor>
    <xdr:from>
      <xdr:col>21</xdr:col>
      <xdr:colOff>76200</xdr:colOff>
      <xdr:row>7</xdr:row>
      <xdr:rowOff>17145</xdr:rowOff>
    </xdr:from>
    <xdr:to>
      <xdr:col>22</xdr:col>
      <xdr:colOff>211455</xdr:colOff>
      <xdr:row>7</xdr:row>
      <xdr:rowOff>365284</xdr:rowOff>
    </xdr:to>
    <xdr:pic>
      <xdr:nvPicPr>
        <xdr:cNvPr id="9" name="Picture 6" descr="Afaq_qse_inter_vf">
          <a:extLst>
            <a:ext uri="{FF2B5EF4-FFF2-40B4-BE49-F238E27FC236}">
              <a16:creationId xmlns:a16="http://schemas.microsoft.com/office/drawing/2014/main" id="{057CD693-46DA-44B5-ABFF-90D05B4FC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1554480"/>
          <a:ext cx="455295" cy="3405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72390</xdr:colOff>
      <xdr:row>0</xdr:row>
      <xdr:rowOff>142874</xdr:rowOff>
    </xdr:from>
    <xdr:to>
      <xdr:col>3</xdr:col>
      <xdr:colOff>514428</xdr:colOff>
      <xdr:row>5</xdr:row>
      <xdr:rowOff>55580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4F31C9D7-52D3-4BA4-9010-E7A171574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" y="140969"/>
          <a:ext cx="2009853" cy="1013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B44C-EB5C-4C66-AFA2-F1C7650BF720}">
  <sheetPr codeName="Feuil2">
    <pageSetUpPr fitToPage="1"/>
  </sheetPr>
  <dimension ref="A1:Z78"/>
  <sheetViews>
    <sheetView showZeros="0" tabSelected="1" topLeftCell="A2" zoomScaleNormal="100" workbookViewId="0">
      <selection activeCell="AA16" sqref="AA16"/>
    </sheetView>
  </sheetViews>
  <sheetFormatPr defaultColWidth="11.42578125" defaultRowHeight="12.75" customHeight="1"/>
  <cols>
    <col min="1" max="1" width="6.28515625" style="23" customWidth="1"/>
    <col min="2" max="2" width="6.42578125" style="3" customWidth="1"/>
    <col min="3" max="3" width="10.28515625" style="3" customWidth="1"/>
    <col min="4" max="5" width="8.7109375" style="3" customWidth="1"/>
    <col min="6" max="6" width="9" style="3" customWidth="1"/>
    <col min="7" max="7" width="9.7109375" style="3" customWidth="1"/>
    <col min="8" max="8" width="5.85546875" style="3" customWidth="1"/>
    <col min="9" max="26" width="4.7109375" style="3" customWidth="1"/>
    <col min="27" max="16384" width="11.42578125" style="3"/>
  </cols>
  <sheetData>
    <row r="1" spans="1:23" ht="17.45" customHeight="1" thickTop="1" thickBot="1">
      <c r="A1" s="1"/>
      <c r="B1" s="2"/>
      <c r="C1" s="2"/>
      <c r="D1" s="2"/>
      <c r="E1" s="143" t="s">
        <v>0</v>
      </c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146"/>
      <c r="R1" s="147"/>
      <c r="S1" s="147"/>
      <c r="T1" s="147"/>
      <c r="U1" s="147"/>
      <c r="V1" s="147"/>
      <c r="W1" s="148"/>
    </row>
    <row r="2" spans="1:23" ht="17.45" customHeight="1" thickTop="1" thickBot="1">
      <c r="A2" s="4"/>
      <c r="B2" s="5"/>
      <c r="C2" s="5"/>
      <c r="D2" s="5"/>
      <c r="E2" s="143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5"/>
      <c r="Q2" s="149"/>
      <c r="R2" s="150"/>
      <c r="S2" s="150"/>
      <c r="T2" s="150"/>
      <c r="U2" s="150"/>
      <c r="V2" s="150"/>
      <c r="W2" s="151"/>
    </row>
    <row r="3" spans="1:23" ht="17.45" customHeight="1" thickTop="1" thickBot="1">
      <c r="A3" s="4"/>
      <c r="B3" s="5"/>
      <c r="C3" s="5"/>
      <c r="D3" s="5"/>
      <c r="E3" s="143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5"/>
      <c r="Q3" s="149"/>
      <c r="R3" s="150"/>
      <c r="S3" s="150"/>
      <c r="T3" s="150"/>
      <c r="U3" s="150"/>
      <c r="V3" s="150"/>
      <c r="W3" s="151"/>
    </row>
    <row r="4" spans="1:23" ht="17.45" customHeight="1" thickTop="1" thickBot="1">
      <c r="A4" s="4"/>
      <c r="B4" s="5"/>
      <c r="C4" s="5"/>
      <c r="D4" s="5"/>
      <c r="E4" s="143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  <c r="Q4" s="149"/>
      <c r="R4" s="150"/>
      <c r="S4" s="150"/>
      <c r="T4" s="150"/>
      <c r="U4" s="150"/>
      <c r="V4" s="150"/>
      <c r="W4" s="151"/>
    </row>
    <row r="5" spans="1:23" ht="17.45" customHeight="1" thickTop="1">
      <c r="A5" s="4"/>
      <c r="B5" s="5"/>
      <c r="C5" s="5"/>
      <c r="D5" s="5"/>
      <c r="E5" s="155" t="s">
        <v>1</v>
      </c>
      <c r="F5" s="156"/>
      <c r="G5" s="156"/>
      <c r="H5" s="156" t="s">
        <v>2</v>
      </c>
      <c r="I5" s="156"/>
      <c r="J5" s="156"/>
      <c r="K5" s="156"/>
      <c r="L5" s="156"/>
      <c r="M5" s="156" t="s">
        <v>3</v>
      </c>
      <c r="N5" s="156"/>
      <c r="O5" s="156"/>
      <c r="P5" s="157"/>
      <c r="Q5" s="149"/>
      <c r="R5" s="150"/>
      <c r="S5" s="150"/>
      <c r="T5" s="150"/>
      <c r="U5" s="150"/>
      <c r="V5" s="150"/>
      <c r="W5" s="151"/>
    </row>
    <row r="6" spans="1:23" ht="17.45" customHeight="1" thickBot="1">
      <c r="A6" s="7"/>
      <c r="B6" s="8"/>
      <c r="C6" s="8"/>
      <c r="D6" s="8"/>
      <c r="E6" s="158" t="s">
        <v>4</v>
      </c>
      <c r="F6" s="159"/>
      <c r="G6" s="159"/>
      <c r="H6" s="160"/>
      <c r="I6" s="160"/>
      <c r="J6" s="160"/>
      <c r="K6" s="160"/>
      <c r="L6" s="160"/>
      <c r="M6" s="161">
        <v>46062</v>
      </c>
      <c r="N6" s="161"/>
      <c r="O6" s="161"/>
      <c r="P6" s="162"/>
      <c r="Q6" s="152"/>
      <c r="R6" s="153"/>
      <c r="S6" s="153"/>
      <c r="T6" s="153"/>
      <c r="U6" s="153"/>
      <c r="V6" s="153"/>
      <c r="W6" s="154"/>
    </row>
    <row r="7" spans="1:23" ht="17.45" customHeight="1" thickTop="1" thickBot="1">
      <c r="A7" s="5"/>
      <c r="B7" s="5"/>
      <c r="C7" s="5"/>
      <c r="D7" s="5"/>
      <c r="E7" s="9"/>
      <c r="F7" s="9"/>
      <c r="G7" s="9"/>
      <c r="H7" s="10"/>
      <c r="I7" s="10"/>
      <c r="J7" s="10"/>
      <c r="K7" s="10"/>
      <c r="L7" s="10"/>
      <c r="M7" s="11"/>
      <c r="N7" s="11"/>
      <c r="O7" s="11"/>
      <c r="P7" s="11"/>
      <c r="Q7" s="6"/>
      <c r="R7" s="6"/>
      <c r="S7" s="6"/>
      <c r="T7" s="6"/>
      <c r="U7" s="6"/>
      <c r="V7" s="6"/>
      <c r="W7" s="6"/>
    </row>
    <row r="8" spans="1:23" ht="20.45" customHeight="1" thickTop="1" thickBot="1">
      <c r="A8" s="12"/>
      <c r="B8" s="13"/>
      <c r="C8" s="13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/>
    </row>
    <row r="9" spans="1:23" ht="15.6" customHeight="1" thickTop="1" thickBot="1">
      <c r="A9" s="16"/>
      <c r="B9" s="13"/>
      <c r="C9" s="13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ht="15" customHeight="1" thickTop="1">
      <c r="A10" s="17" t="s">
        <v>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  <c r="O10" s="19"/>
      <c r="P10" s="19"/>
      <c r="Q10" s="19"/>
      <c r="R10" s="20"/>
      <c r="S10" s="19"/>
      <c r="T10" s="19"/>
      <c r="U10" s="19"/>
      <c r="V10" s="19"/>
      <c r="W10" s="21"/>
    </row>
    <row r="11" spans="1:23" ht="7.15" customHeight="1">
      <c r="A11" s="22"/>
      <c r="D11" s="23"/>
      <c r="E11" s="23"/>
      <c r="F11" s="23"/>
      <c r="G11" s="23"/>
      <c r="W11" s="24"/>
    </row>
    <row r="12" spans="1:23" ht="15" customHeight="1">
      <c r="A12" s="22"/>
      <c r="B12" s="25" t="s">
        <v>6</v>
      </c>
      <c r="D12" s="26"/>
      <c r="E12" s="62"/>
      <c r="F12" s="62"/>
      <c r="G12" s="62"/>
      <c r="H12" s="27"/>
      <c r="I12" s="25"/>
      <c r="J12" s="28" t="s">
        <v>7</v>
      </c>
      <c r="K12" s="25"/>
      <c r="L12" s="25"/>
      <c r="M12" s="25"/>
      <c r="N12" s="28"/>
      <c r="O12" s="67"/>
      <c r="P12" s="68"/>
      <c r="Q12" s="68"/>
      <c r="R12" s="68"/>
      <c r="S12" s="68"/>
      <c r="T12" s="68"/>
      <c r="U12" s="67"/>
      <c r="V12" s="27"/>
      <c r="W12" s="24"/>
    </row>
    <row r="13" spans="1:23" ht="15" customHeight="1">
      <c r="A13" s="22"/>
      <c r="B13" s="25" t="s">
        <v>8</v>
      </c>
      <c r="D13" s="23"/>
      <c r="E13" s="63"/>
      <c r="F13" s="63"/>
      <c r="G13" s="63"/>
      <c r="H13" s="27"/>
      <c r="I13" s="25"/>
      <c r="J13" s="28" t="s">
        <v>9</v>
      </c>
      <c r="K13" s="25"/>
      <c r="L13" s="25"/>
      <c r="N13" s="29"/>
      <c r="O13" s="69"/>
      <c r="P13" s="69"/>
      <c r="Q13" s="69"/>
      <c r="R13" s="69"/>
      <c r="S13" s="69"/>
      <c r="T13" s="69"/>
      <c r="U13" s="69"/>
      <c r="V13" s="29"/>
      <c r="W13" s="24"/>
    </row>
    <row r="14" spans="1:23" ht="15" customHeight="1">
      <c r="A14" s="22"/>
      <c r="B14" s="25" t="s">
        <v>10</v>
      </c>
      <c r="D14" s="23"/>
      <c r="E14" s="63"/>
      <c r="F14" s="63"/>
      <c r="G14" s="63"/>
      <c r="H14" s="27"/>
      <c r="I14" s="25"/>
      <c r="J14" s="28" t="s">
        <v>11</v>
      </c>
      <c r="K14" s="25"/>
      <c r="L14" s="25"/>
      <c r="N14" s="27"/>
      <c r="O14" s="70"/>
      <c r="P14" s="71"/>
      <c r="Q14" s="71"/>
      <c r="R14" s="71"/>
      <c r="S14" s="71"/>
      <c r="T14" s="71"/>
      <c r="U14" s="71"/>
      <c r="V14" s="27"/>
      <c r="W14" s="30"/>
    </row>
    <row r="15" spans="1:23" ht="15" customHeight="1">
      <c r="A15" s="22"/>
      <c r="B15" s="25" t="s">
        <v>12</v>
      </c>
      <c r="E15" s="64"/>
      <c r="F15" s="65"/>
      <c r="G15" s="65"/>
      <c r="H15" s="27"/>
      <c r="I15" s="25"/>
      <c r="J15" s="25" t="s">
        <v>13</v>
      </c>
      <c r="K15" s="25"/>
      <c r="L15" s="25"/>
      <c r="M15" s="25"/>
      <c r="N15" s="25"/>
      <c r="O15" s="72"/>
      <c r="P15" s="72"/>
      <c r="Q15" s="72"/>
      <c r="R15" s="72"/>
      <c r="S15" s="72"/>
      <c r="T15" s="72"/>
      <c r="U15" s="72"/>
      <c r="V15" s="27"/>
      <c r="W15" s="30"/>
    </row>
    <row r="16" spans="1:23" ht="8.4499999999999993" customHeight="1" thickBot="1">
      <c r="A16" s="31"/>
      <c r="B16" s="32"/>
      <c r="C16" s="32"/>
      <c r="D16" s="33"/>
      <c r="E16" s="66"/>
      <c r="F16" s="66"/>
      <c r="G16" s="66"/>
      <c r="H16" s="32"/>
      <c r="I16" s="32"/>
      <c r="J16" s="32"/>
      <c r="K16" s="32"/>
      <c r="L16" s="32"/>
      <c r="M16" s="32"/>
      <c r="N16" s="34"/>
      <c r="O16" s="32"/>
      <c r="P16" s="32"/>
      <c r="Q16" s="32"/>
      <c r="R16" s="32"/>
      <c r="S16" s="32"/>
      <c r="T16" s="32"/>
      <c r="U16" s="32"/>
      <c r="V16" s="32"/>
      <c r="W16" s="35"/>
    </row>
    <row r="17" spans="1:23" ht="7.15" customHeight="1" thickTop="1" thickBot="1">
      <c r="A17" s="36"/>
      <c r="B17" s="37"/>
      <c r="C17" s="37"/>
      <c r="D17" s="38"/>
      <c r="E17" s="38"/>
      <c r="F17" s="38"/>
      <c r="G17" s="38"/>
      <c r="H17" s="38"/>
      <c r="I17" s="39"/>
      <c r="J17" s="37"/>
      <c r="K17" s="37"/>
      <c r="L17" s="37"/>
      <c r="M17" s="37"/>
    </row>
    <row r="18" spans="1:23" ht="15" customHeight="1" thickTop="1">
      <c r="A18" s="17" t="s">
        <v>14</v>
      </c>
      <c r="B18" s="40"/>
      <c r="C18" s="19"/>
      <c r="D18" s="20"/>
      <c r="E18" s="20"/>
      <c r="F18" s="20"/>
      <c r="G18" s="20"/>
      <c r="H18" s="19"/>
      <c r="I18" s="19"/>
      <c r="J18" s="41"/>
      <c r="K18" s="41"/>
      <c r="L18" s="41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21"/>
    </row>
    <row r="19" spans="1:23" ht="15" customHeight="1" thickBot="1">
      <c r="A19" s="55"/>
      <c r="B19" s="56"/>
      <c r="D19" s="23"/>
      <c r="E19" s="23"/>
      <c r="F19" s="23"/>
      <c r="G19" s="23"/>
      <c r="J19" s="37"/>
      <c r="K19" s="37"/>
      <c r="L19" s="37"/>
      <c r="W19" s="24"/>
    </row>
    <row r="20" spans="1:23" ht="19.899999999999999" customHeight="1" thickBot="1">
      <c r="A20" s="55"/>
      <c r="B20" s="56"/>
      <c r="D20" s="23"/>
      <c r="E20" s="23"/>
      <c r="F20" s="23"/>
      <c r="G20" s="23"/>
      <c r="J20" s="57" t="s">
        <v>15</v>
      </c>
      <c r="K20" s="58"/>
      <c r="L20" s="58"/>
      <c r="M20" s="58"/>
      <c r="N20" s="58"/>
      <c r="O20" s="59"/>
      <c r="P20" s="60"/>
      <c r="Q20" s="60"/>
      <c r="R20" s="60"/>
      <c r="S20" s="60"/>
      <c r="T20" s="60"/>
      <c r="U20" s="61"/>
      <c r="W20" s="24"/>
    </row>
    <row r="21" spans="1:23" ht="19.899999999999999" customHeight="1" thickTop="1">
      <c r="A21" s="55"/>
      <c r="B21" s="56"/>
      <c r="D21" s="23"/>
      <c r="E21" s="23"/>
      <c r="F21" s="23"/>
      <c r="G21" s="23"/>
      <c r="J21" s="166" t="s">
        <v>16</v>
      </c>
      <c r="K21" s="167"/>
      <c r="L21" s="167"/>
      <c r="M21" s="167"/>
      <c r="N21" s="167"/>
      <c r="O21" s="167"/>
      <c r="P21" s="168"/>
      <c r="Q21" s="168"/>
      <c r="R21" s="168"/>
      <c r="S21" s="168"/>
      <c r="T21" s="168"/>
      <c r="U21" s="169"/>
      <c r="W21" s="24"/>
    </row>
    <row r="22" spans="1:23" ht="19.899999999999999" customHeight="1" thickBot="1">
      <c r="A22" s="22"/>
      <c r="J22" s="163" t="s">
        <v>17</v>
      </c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5"/>
      <c r="W22" s="24"/>
    </row>
    <row r="23" spans="1:23" ht="7.15" customHeight="1" thickBot="1">
      <c r="A23" s="22"/>
      <c r="W23" s="24"/>
    </row>
    <row r="24" spans="1:23" ht="19.899999999999999" customHeight="1" thickBot="1">
      <c r="A24" s="22"/>
      <c r="J24" s="106" t="s">
        <v>18</v>
      </c>
      <c r="K24" s="107"/>
      <c r="L24" s="107"/>
      <c r="M24" s="108"/>
      <c r="N24" s="107" t="s">
        <v>19</v>
      </c>
      <c r="O24" s="107"/>
      <c r="P24" s="107"/>
      <c r="Q24" s="142"/>
      <c r="R24" s="170" t="s">
        <v>20</v>
      </c>
      <c r="S24" s="171"/>
      <c r="T24" s="171"/>
      <c r="U24" s="172"/>
      <c r="W24" s="24"/>
    </row>
    <row r="25" spans="1:23" ht="19.899999999999999" customHeight="1" thickBot="1">
      <c r="A25" s="22"/>
      <c r="B25" s="106" t="s">
        <v>21</v>
      </c>
      <c r="C25" s="107"/>
      <c r="D25" s="107"/>
      <c r="E25" s="107"/>
      <c r="F25" s="107"/>
      <c r="G25" s="107"/>
      <c r="H25" s="108"/>
      <c r="J25" s="82">
        <v>125</v>
      </c>
      <c r="K25" s="83"/>
      <c r="L25" s="83"/>
      <c r="M25" s="95"/>
      <c r="N25" s="83"/>
      <c r="O25" s="83"/>
      <c r="P25" s="83"/>
      <c r="Q25" s="83"/>
      <c r="R25" s="173"/>
      <c r="S25" s="174"/>
      <c r="T25" s="174"/>
      <c r="U25" s="175"/>
      <c r="W25" s="24"/>
    </row>
    <row r="26" spans="1:23" ht="19.899999999999999" customHeight="1">
      <c r="A26" s="22"/>
      <c r="B26" s="80" t="s">
        <v>22</v>
      </c>
      <c r="C26" s="81"/>
      <c r="D26" s="81"/>
      <c r="E26" s="82"/>
      <c r="F26" s="83"/>
      <c r="G26" s="83"/>
      <c r="H26" s="73"/>
      <c r="J26" s="96">
        <v>100</v>
      </c>
      <c r="K26" s="97"/>
      <c r="L26" s="97"/>
      <c r="M26" s="98"/>
      <c r="N26" s="97"/>
      <c r="O26" s="97"/>
      <c r="P26" s="97"/>
      <c r="Q26" s="97"/>
      <c r="R26" s="111"/>
      <c r="S26" s="112"/>
      <c r="T26" s="112"/>
      <c r="U26" s="113"/>
      <c r="W26" s="24"/>
    </row>
    <row r="27" spans="1:23" ht="19.899999999999999" customHeight="1">
      <c r="A27" s="22"/>
      <c r="B27" s="76" t="s">
        <v>23</v>
      </c>
      <c r="C27" s="77"/>
      <c r="D27" s="77"/>
      <c r="E27" s="78"/>
      <c r="F27" s="79"/>
      <c r="G27" s="79"/>
      <c r="H27" s="74" t="s">
        <v>24</v>
      </c>
      <c r="J27" s="96">
        <v>80</v>
      </c>
      <c r="K27" s="97"/>
      <c r="L27" s="97"/>
      <c r="M27" s="98"/>
      <c r="N27" s="97"/>
      <c r="O27" s="97"/>
      <c r="P27" s="97"/>
      <c r="Q27" s="97"/>
      <c r="R27" s="111"/>
      <c r="S27" s="112"/>
      <c r="T27" s="112"/>
      <c r="U27" s="113"/>
      <c r="W27" s="24"/>
    </row>
    <row r="28" spans="1:23" ht="19.899999999999999" customHeight="1">
      <c r="A28" s="22"/>
      <c r="B28" s="76" t="s">
        <v>25</v>
      </c>
      <c r="C28" s="77"/>
      <c r="D28" s="77"/>
      <c r="E28" s="78"/>
      <c r="F28" s="79"/>
      <c r="G28" s="79"/>
      <c r="H28" s="74" t="s">
        <v>24</v>
      </c>
      <c r="J28" s="96">
        <v>63</v>
      </c>
      <c r="K28" s="97"/>
      <c r="L28" s="97"/>
      <c r="M28" s="98"/>
      <c r="N28" s="97"/>
      <c r="O28" s="97"/>
      <c r="P28" s="97"/>
      <c r="Q28" s="97"/>
      <c r="R28" s="111"/>
      <c r="S28" s="112"/>
      <c r="T28" s="112"/>
      <c r="U28" s="113"/>
      <c r="W28" s="24"/>
    </row>
    <row r="29" spans="1:23" ht="19.899999999999999" customHeight="1">
      <c r="A29" s="22"/>
      <c r="B29" s="76" t="s">
        <v>26</v>
      </c>
      <c r="C29" s="77"/>
      <c r="D29" s="77"/>
      <c r="E29" s="89" t="str">
        <f>IF(E28&lt;&gt;0,E28-E27,"")</f>
        <v/>
      </c>
      <c r="F29" s="90"/>
      <c r="G29" s="90"/>
      <c r="H29" s="74" t="s">
        <v>24</v>
      </c>
      <c r="J29" s="96">
        <v>50</v>
      </c>
      <c r="K29" s="97"/>
      <c r="L29" s="97"/>
      <c r="M29" s="98"/>
      <c r="N29" s="97"/>
      <c r="O29" s="97"/>
      <c r="P29" s="97"/>
      <c r="Q29" s="97"/>
      <c r="R29" s="111"/>
      <c r="S29" s="112"/>
      <c r="T29" s="112"/>
      <c r="U29" s="113"/>
      <c r="W29" s="24"/>
    </row>
    <row r="30" spans="1:23" ht="19.899999999999999" customHeight="1">
      <c r="A30" s="22"/>
      <c r="B30" s="76" t="s">
        <v>27</v>
      </c>
      <c r="C30" s="77"/>
      <c r="D30" s="77"/>
      <c r="E30" s="78"/>
      <c r="F30" s="79"/>
      <c r="G30" s="79"/>
      <c r="H30" s="74" t="s">
        <v>24</v>
      </c>
      <c r="J30" s="96">
        <v>40</v>
      </c>
      <c r="K30" s="97"/>
      <c r="L30" s="97"/>
      <c r="M30" s="98"/>
      <c r="N30" s="97"/>
      <c r="O30" s="97"/>
      <c r="P30" s="97"/>
      <c r="Q30" s="97"/>
      <c r="R30" s="111"/>
      <c r="S30" s="112"/>
      <c r="T30" s="112"/>
      <c r="U30" s="113"/>
      <c r="W30" s="24"/>
    </row>
    <row r="31" spans="1:23" ht="19.899999999999999" customHeight="1">
      <c r="A31" s="22"/>
      <c r="B31" s="76" t="s">
        <v>28</v>
      </c>
      <c r="C31" s="77"/>
      <c r="D31" s="77"/>
      <c r="E31" s="89" t="str">
        <f>IF(E30&lt;&gt;0,E30-E27,"")</f>
        <v/>
      </c>
      <c r="F31" s="90"/>
      <c r="G31" s="90"/>
      <c r="H31" s="74" t="s">
        <v>24</v>
      </c>
      <c r="J31" s="96">
        <v>31.5</v>
      </c>
      <c r="K31" s="97"/>
      <c r="L31" s="97"/>
      <c r="M31" s="98"/>
      <c r="N31" s="97"/>
      <c r="O31" s="97"/>
      <c r="P31" s="97"/>
      <c r="Q31" s="97"/>
      <c r="R31" s="111"/>
      <c r="S31" s="112"/>
      <c r="T31" s="112"/>
      <c r="U31" s="113"/>
      <c r="W31" s="24"/>
    </row>
    <row r="32" spans="1:23" ht="19.899999999999999" customHeight="1" thickBot="1">
      <c r="A32" s="22"/>
      <c r="B32" s="104" t="s">
        <v>29</v>
      </c>
      <c r="C32" s="105"/>
      <c r="D32" s="105"/>
      <c r="E32" s="109" t="str">
        <f>IF(E30&lt;&gt;0,(E29-E31)/E31,"")</f>
        <v/>
      </c>
      <c r="F32" s="110"/>
      <c r="G32" s="110"/>
      <c r="H32" s="75" t="s">
        <v>30</v>
      </c>
      <c r="J32" s="96">
        <v>25</v>
      </c>
      <c r="K32" s="97"/>
      <c r="L32" s="97"/>
      <c r="M32" s="98"/>
      <c r="N32" s="97"/>
      <c r="O32" s="97"/>
      <c r="P32" s="97"/>
      <c r="Q32" s="97"/>
      <c r="R32" s="111"/>
      <c r="S32" s="112"/>
      <c r="T32" s="112"/>
      <c r="U32" s="113"/>
      <c r="W32" s="24"/>
    </row>
    <row r="33" spans="1:26" ht="19.899999999999999" customHeight="1" thickBot="1">
      <c r="A33" s="22"/>
      <c r="J33" s="96">
        <v>20</v>
      </c>
      <c r="K33" s="97"/>
      <c r="L33" s="97"/>
      <c r="M33" s="98"/>
      <c r="N33" s="97"/>
      <c r="O33" s="97"/>
      <c r="P33" s="97"/>
      <c r="Q33" s="97"/>
      <c r="R33" s="111"/>
      <c r="S33" s="112"/>
      <c r="T33" s="112"/>
      <c r="U33" s="113"/>
      <c r="W33" s="24"/>
    </row>
    <row r="34" spans="1:26" ht="19.899999999999999" customHeight="1" thickBot="1">
      <c r="A34" s="22"/>
      <c r="B34" s="106" t="s">
        <v>31</v>
      </c>
      <c r="C34" s="107"/>
      <c r="D34" s="107"/>
      <c r="E34" s="107"/>
      <c r="F34" s="107"/>
      <c r="G34" s="107"/>
      <c r="H34" s="108"/>
      <c r="J34" s="96">
        <v>16</v>
      </c>
      <c r="K34" s="97"/>
      <c r="L34" s="97"/>
      <c r="M34" s="98"/>
      <c r="N34" s="97"/>
      <c r="O34" s="97"/>
      <c r="P34" s="97"/>
      <c r="Q34" s="97"/>
      <c r="R34" s="111"/>
      <c r="S34" s="112"/>
      <c r="T34" s="112"/>
      <c r="U34" s="113"/>
      <c r="W34" s="24"/>
    </row>
    <row r="35" spans="1:26" ht="19.899999999999999" customHeight="1">
      <c r="A35" s="22"/>
      <c r="B35" s="80" t="s">
        <v>22</v>
      </c>
      <c r="C35" s="81"/>
      <c r="D35" s="81"/>
      <c r="E35" s="82"/>
      <c r="F35" s="83"/>
      <c r="G35" s="83"/>
      <c r="H35" s="73"/>
      <c r="J35" s="96">
        <v>14</v>
      </c>
      <c r="K35" s="97"/>
      <c r="L35" s="97"/>
      <c r="M35" s="98"/>
      <c r="N35" s="97"/>
      <c r="O35" s="97"/>
      <c r="P35" s="97"/>
      <c r="Q35" s="97"/>
      <c r="R35" s="111"/>
      <c r="S35" s="112"/>
      <c r="T35" s="112"/>
      <c r="U35" s="113"/>
      <c r="W35" s="24"/>
    </row>
    <row r="36" spans="1:26" ht="19.899999999999999" customHeight="1">
      <c r="A36" s="22"/>
      <c r="B36" s="76" t="s">
        <v>23</v>
      </c>
      <c r="C36" s="77"/>
      <c r="D36" s="77"/>
      <c r="E36" s="78"/>
      <c r="F36" s="79"/>
      <c r="G36" s="79"/>
      <c r="H36" s="74" t="s">
        <v>24</v>
      </c>
      <c r="J36" s="96">
        <v>12.5</v>
      </c>
      <c r="K36" s="97"/>
      <c r="L36" s="97"/>
      <c r="M36" s="98"/>
      <c r="N36" s="97"/>
      <c r="O36" s="97"/>
      <c r="P36" s="97"/>
      <c r="Q36" s="97"/>
      <c r="R36" s="111"/>
      <c r="S36" s="112"/>
      <c r="T36" s="112"/>
      <c r="U36" s="113"/>
      <c r="W36" s="24"/>
    </row>
    <row r="37" spans="1:26" ht="19.899999999999999" customHeight="1">
      <c r="A37" s="22"/>
      <c r="B37" s="76" t="s">
        <v>25</v>
      </c>
      <c r="C37" s="77"/>
      <c r="D37" s="77"/>
      <c r="E37" s="78"/>
      <c r="F37" s="79"/>
      <c r="G37" s="79"/>
      <c r="H37" s="74" t="s">
        <v>24</v>
      </c>
      <c r="J37" s="96">
        <v>10</v>
      </c>
      <c r="K37" s="97"/>
      <c r="L37" s="97"/>
      <c r="M37" s="98"/>
      <c r="N37" s="97"/>
      <c r="O37" s="97"/>
      <c r="P37" s="97"/>
      <c r="Q37" s="97"/>
      <c r="R37" s="111"/>
      <c r="S37" s="112"/>
      <c r="T37" s="112"/>
      <c r="U37" s="113"/>
      <c r="W37" s="24"/>
    </row>
    <row r="38" spans="1:26" ht="19.899999999999999" customHeight="1">
      <c r="A38" s="22"/>
      <c r="B38" s="76" t="s">
        <v>26</v>
      </c>
      <c r="C38" s="77"/>
      <c r="D38" s="77"/>
      <c r="E38" s="89" t="str">
        <f>IF(E37&lt;&gt;0,E37-E36,"")</f>
        <v/>
      </c>
      <c r="F38" s="90"/>
      <c r="G38" s="90"/>
      <c r="H38" s="74" t="s">
        <v>24</v>
      </c>
      <c r="J38" s="96">
        <v>8</v>
      </c>
      <c r="K38" s="97"/>
      <c r="L38" s="97"/>
      <c r="M38" s="98"/>
      <c r="N38" s="97"/>
      <c r="O38" s="97"/>
      <c r="P38" s="97"/>
      <c r="Q38" s="97"/>
      <c r="R38" s="111"/>
      <c r="S38" s="112"/>
      <c r="T38" s="112"/>
      <c r="U38" s="113"/>
      <c r="W38" s="24"/>
    </row>
    <row r="39" spans="1:26" ht="19.899999999999999" customHeight="1">
      <c r="A39" s="22"/>
      <c r="B39" s="76" t="s">
        <v>27</v>
      </c>
      <c r="C39" s="77"/>
      <c r="D39" s="77"/>
      <c r="E39" s="78"/>
      <c r="F39" s="79"/>
      <c r="G39" s="79"/>
      <c r="H39" s="74" t="s">
        <v>24</v>
      </c>
      <c r="J39" s="96">
        <v>6.3</v>
      </c>
      <c r="K39" s="97"/>
      <c r="L39" s="97"/>
      <c r="M39" s="98"/>
      <c r="N39" s="97"/>
      <c r="O39" s="97"/>
      <c r="P39" s="97"/>
      <c r="Q39" s="97"/>
      <c r="R39" s="111"/>
      <c r="S39" s="112"/>
      <c r="T39" s="112"/>
      <c r="U39" s="113"/>
      <c r="W39" s="24"/>
    </row>
    <row r="40" spans="1:26" ht="19.899999999999999" customHeight="1">
      <c r="A40" s="22"/>
      <c r="B40" s="76" t="s">
        <v>28</v>
      </c>
      <c r="C40" s="77"/>
      <c r="D40" s="77"/>
      <c r="E40" s="89" t="str">
        <f>IF(E39&lt;&gt;0,E39-E36,"")</f>
        <v/>
      </c>
      <c r="F40" s="90"/>
      <c r="G40" s="90"/>
      <c r="H40" s="74" t="s">
        <v>24</v>
      </c>
      <c r="J40" s="96">
        <v>5</v>
      </c>
      <c r="K40" s="97"/>
      <c r="L40" s="97"/>
      <c r="M40" s="98"/>
      <c r="N40" s="97"/>
      <c r="O40" s="97"/>
      <c r="P40" s="97"/>
      <c r="Q40" s="97"/>
      <c r="R40" s="111"/>
      <c r="S40" s="112"/>
      <c r="T40" s="112"/>
      <c r="U40" s="113"/>
      <c r="W40" s="24"/>
    </row>
    <row r="41" spans="1:26" ht="19.899999999999999" customHeight="1" thickBot="1">
      <c r="A41" s="22"/>
      <c r="B41" s="104" t="s">
        <v>29</v>
      </c>
      <c r="C41" s="105"/>
      <c r="D41" s="105"/>
      <c r="E41" s="109" t="str">
        <f>IF(E39&lt;&gt;0,(E38-E40)/E40,"")</f>
        <v/>
      </c>
      <c r="F41" s="110"/>
      <c r="G41" s="110"/>
      <c r="H41" s="75" t="s">
        <v>30</v>
      </c>
      <c r="J41" s="96">
        <v>4</v>
      </c>
      <c r="K41" s="97"/>
      <c r="L41" s="97"/>
      <c r="M41" s="98"/>
      <c r="N41" s="97"/>
      <c r="O41" s="97"/>
      <c r="P41" s="97"/>
      <c r="Q41" s="97"/>
      <c r="R41" s="111"/>
      <c r="S41" s="112"/>
      <c r="T41" s="112"/>
      <c r="U41" s="113"/>
      <c r="W41" s="24"/>
    </row>
    <row r="42" spans="1:26" ht="19.899999999999999" customHeight="1" thickBot="1">
      <c r="A42" s="22"/>
      <c r="J42" s="96">
        <v>3.15</v>
      </c>
      <c r="K42" s="97"/>
      <c r="L42" s="97"/>
      <c r="M42" s="98"/>
      <c r="N42" s="97"/>
      <c r="O42" s="97"/>
      <c r="P42" s="97"/>
      <c r="Q42" s="97"/>
      <c r="R42" s="111"/>
      <c r="S42" s="112"/>
      <c r="T42" s="112"/>
      <c r="U42" s="113"/>
      <c r="W42" s="24"/>
    </row>
    <row r="43" spans="1:26" ht="19.899999999999999" customHeight="1" thickBot="1">
      <c r="A43" s="22"/>
      <c r="B43" s="106" t="s">
        <v>32</v>
      </c>
      <c r="C43" s="107"/>
      <c r="D43" s="107"/>
      <c r="E43" s="107"/>
      <c r="F43" s="107"/>
      <c r="G43" s="107"/>
      <c r="H43" s="108"/>
      <c r="J43" s="96">
        <v>2</v>
      </c>
      <c r="K43" s="97"/>
      <c r="L43" s="97"/>
      <c r="M43" s="98"/>
      <c r="N43" s="97"/>
      <c r="O43" s="97"/>
      <c r="P43" s="97"/>
      <c r="Q43" s="97"/>
      <c r="R43" s="111"/>
      <c r="S43" s="112"/>
      <c r="T43" s="112"/>
      <c r="U43" s="113"/>
      <c r="W43" s="24"/>
    </row>
    <row r="44" spans="1:26" ht="19.899999999999999" customHeight="1">
      <c r="A44" s="22"/>
      <c r="B44" s="80" t="s">
        <v>22</v>
      </c>
      <c r="C44" s="81"/>
      <c r="D44" s="81"/>
      <c r="E44" s="82"/>
      <c r="F44" s="83"/>
      <c r="G44" s="83"/>
      <c r="H44" s="73"/>
      <c r="J44" s="96">
        <v>1</v>
      </c>
      <c r="K44" s="97"/>
      <c r="L44" s="97"/>
      <c r="M44" s="98"/>
      <c r="N44" s="97"/>
      <c r="O44" s="97"/>
      <c r="P44" s="97"/>
      <c r="Q44" s="97"/>
      <c r="R44" s="111"/>
      <c r="S44" s="112"/>
      <c r="T44" s="112"/>
      <c r="U44" s="113"/>
      <c r="W44" s="24"/>
    </row>
    <row r="45" spans="1:26" ht="19.899999999999999" customHeight="1">
      <c r="A45" s="22"/>
      <c r="B45" s="76" t="s">
        <v>23</v>
      </c>
      <c r="C45" s="77"/>
      <c r="D45" s="77"/>
      <c r="E45" s="78"/>
      <c r="F45" s="79"/>
      <c r="G45" s="79"/>
      <c r="H45" s="74" t="s">
        <v>24</v>
      </c>
      <c r="J45" s="96">
        <v>0.5</v>
      </c>
      <c r="K45" s="97"/>
      <c r="L45" s="97"/>
      <c r="M45" s="98"/>
      <c r="N45" s="97"/>
      <c r="O45" s="97"/>
      <c r="P45" s="97"/>
      <c r="Q45" s="97"/>
      <c r="R45" s="111"/>
      <c r="S45" s="112"/>
      <c r="T45" s="112"/>
      <c r="U45" s="113"/>
      <c r="W45" s="24"/>
    </row>
    <row r="46" spans="1:26" ht="19.899999999999999" customHeight="1">
      <c r="A46" s="22"/>
      <c r="B46" s="76" t="s">
        <v>25</v>
      </c>
      <c r="C46" s="77"/>
      <c r="D46" s="77"/>
      <c r="E46" s="78"/>
      <c r="F46" s="79"/>
      <c r="G46" s="79"/>
      <c r="H46" s="74" t="s">
        <v>24</v>
      </c>
      <c r="J46" s="96">
        <v>0.4</v>
      </c>
      <c r="K46" s="97"/>
      <c r="L46" s="97"/>
      <c r="M46" s="98"/>
      <c r="N46" s="97"/>
      <c r="O46" s="97"/>
      <c r="P46" s="97"/>
      <c r="Q46" s="97"/>
      <c r="R46" s="111"/>
      <c r="S46" s="112"/>
      <c r="T46" s="112"/>
      <c r="U46" s="113"/>
      <c r="W46" s="24"/>
    </row>
    <row r="47" spans="1:26" ht="19.899999999999999" customHeight="1">
      <c r="A47" s="22"/>
      <c r="B47" s="76" t="s">
        <v>26</v>
      </c>
      <c r="C47" s="77"/>
      <c r="D47" s="77"/>
      <c r="E47" s="89" t="str">
        <f>IF(E46&lt;&gt;0,E46-E45,"")</f>
        <v/>
      </c>
      <c r="F47" s="90"/>
      <c r="G47" s="90"/>
      <c r="H47" s="74" t="s">
        <v>24</v>
      </c>
      <c r="J47" s="96">
        <v>0.315</v>
      </c>
      <c r="K47" s="97"/>
      <c r="L47" s="97"/>
      <c r="M47" s="98"/>
      <c r="N47" s="97"/>
      <c r="O47" s="97"/>
      <c r="P47" s="97"/>
      <c r="Q47" s="97"/>
      <c r="R47" s="111"/>
      <c r="S47" s="112"/>
      <c r="T47" s="112"/>
      <c r="U47" s="113"/>
      <c r="V47" s="23"/>
      <c r="W47" s="24"/>
      <c r="X47" s="23"/>
      <c r="Y47" s="23"/>
      <c r="Z47" s="23"/>
    </row>
    <row r="48" spans="1:26" ht="19.899999999999999" customHeight="1">
      <c r="A48" s="22"/>
      <c r="B48" s="76" t="s">
        <v>27</v>
      </c>
      <c r="C48" s="77"/>
      <c r="D48" s="77"/>
      <c r="E48" s="78"/>
      <c r="F48" s="79"/>
      <c r="G48" s="79"/>
      <c r="H48" s="74" t="s">
        <v>24</v>
      </c>
      <c r="J48" s="96">
        <v>0.25</v>
      </c>
      <c r="K48" s="97"/>
      <c r="L48" s="97"/>
      <c r="M48" s="98"/>
      <c r="N48" s="97"/>
      <c r="O48" s="97"/>
      <c r="P48" s="97"/>
      <c r="Q48" s="97"/>
      <c r="R48" s="111"/>
      <c r="S48" s="112"/>
      <c r="T48" s="112"/>
      <c r="U48" s="113"/>
      <c r="W48" s="24"/>
    </row>
    <row r="49" spans="1:23" ht="19.899999999999999" customHeight="1">
      <c r="A49" s="22"/>
      <c r="B49" s="76" t="s">
        <v>28</v>
      </c>
      <c r="C49" s="77"/>
      <c r="D49" s="77"/>
      <c r="E49" s="89" t="str">
        <f>IF(E48&lt;&gt;0,E48-E45,"")</f>
        <v/>
      </c>
      <c r="F49" s="90"/>
      <c r="G49" s="90"/>
      <c r="H49" s="74" t="s">
        <v>24</v>
      </c>
      <c r="J49" s="96">
        <v>0.08</v>
      </c>
      <c r="K49" s="97"/>
      <c r="L49" s="97"/>
      <c r="M49" s="98"/>
      <c r="N49" s="97"/>
      <c r="O49" s="97"/>
      <c r="P49" s="97"/>
      <c r="Q49" s="97"/>
      <c r="R49" s="111"/>
      <c r="S49" s="112"/>
      <c r="T49" s="112"/>
      <c r="U49" s="113"/>
      <c r="W49" s="24"/>
    </row>
    <row r="50" spans="1:23" ht="19.899999999999999" customHeight="1" thickBot="1">
      <c r="A50" s="22"/>
      <c r="B50" s="104" t="s">
        <v>29</v>
      </c>
      <c r="C50" s="105"/>
      <c r="D50" s="105"/>
      <c r="E50" s="109" t="str">
        <f>IF(E48&lt;&gt;0,(E47-E49)/E49,"")</f>
        <v/>
      </c>
      <c r="F50" s="110"/>
      <c r="G50" s="110"/>
      <c r="H50" s="75" t="s">
        <v>30</v>
      </c>
      <c r="J50" s="101">
        <v>6.3E-2</v>
      </c>
      <c r="K50" s="102"/>
      <c r="L50" s="102"/>
      <c r="M50" s="103"/>
      <c r="N50" s="102"/>
      <c r="O50" s="102"/>
      <c r="P50" s="102"/>
      <c r="Q50" s="102"/>
      <c r="R50" s="132"/>
      <c r="S50" s="133"/>
      <c r="T50" s="133"/>
      <c r="U50" s="134"/>
      <c r="W50" s="24"/>
    </row>
    <row r="51" spans="1:23" ht="9" customHeight="1" thickBot="1">
      <c r="A51" s="22"/>
      <c r="W51" s="24"/>
    </row>
    <row r="52" spans="1:23" ht="4.9000000000000004" customHeight="1" thickTop="1" thickBot="1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</row>
    <row r="53" spans="1:23" ht="9" customHeight="1" thickTop="1" thickBot="1">
      <c r="A53" s="22"/>
      <c r="W53" s="24"/>
    </row>
    <row r="54" spans="1:23" ht="19.899999999999999" customHeight="1" thickBot="1">
      <c r="A54" s="22"/>
      <c r="B54" s="106" t="s">
        <v>33</v>
      </c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8"/>
      <c r="V54" s="42"/>
      <c r="W54" s="24"/>
    </row>
    <row r="55" spans="1:23" ht="19.899999999999999" customHeight="1">
      <c r="A55" s="22"/>
      <c r="B55" s="80" t="s">
        <v>34</v>
      </c>
      <c r="C55" s="81"/>
      <c r="D55" s="81"/>
      <c r="E55" s="82"/>
      <c r="F55" s="83"/>
      <c r="G55" s="83"/>
      <c r="H55" s="73" t="s">
        <v>24</v>
      </c>
      <c r="I55" s="80" t="s">
        <v>35</v>
      </c>
      <c r="J55" s="81"/>
      <c r="K55" s="81"/>
      <c r="L55" s="81"/>
      <c r="M55" s="141"/>
      <c r="N55" s="84"/>
      <c r="O55" s="84"/>
      <c r="P55" s="84"/>
      <c r="Q55" s="84"/>
      <c r="R55" s="84"/>
      <c r="S55" s="84"/>
      <c r="T55" s="84"/>
      <c r="U55" s="73" t="s">
        <v>24</v>
      </c>
      <c r="W55" s="24"/>
    </row>
    <row r="56" spans="1:23" ht="19.899999999999999" customHeight="1">
      <c r="A56" s="22"/>
      <c r="B56" s="76" t="s">
        <v>36</v>
      </c>
      <c r="C56" s="77"/>
      <c r="D56" s="77"/>
      <c r="E56" s="78"/>
      <c r="F56" s="79"/>
      <c r="G56" s="79"/>
      <c r="H56" s="74" t="s">
        <v>24</v>
      </c>
      <c r="I56" s="76" t="s">
        <v>37</v>
      </c>
      <c r="J56" s="77"/>
      <c r="K56" s="77"/>
      <c r="L56" s="77"/>
      <c r="M56" s="137"/>
      <c r="N56" s="139" t="str">
        <f>IF(N55&lt;&gt;0,N55-N53,"")</f>
        <v/>
      </c>
      <c r="O56" s="139"/>
      <c r="P56" s="139"/>
      <c r="Q56" s="139"/>
      <c r="R56" s="139"/>
      <c r="S56" s="139"/>
      <c r="T56" s="139"/>
      <c r="U56" s="74" t="s">
        <v>24</v>
      </c>
      <c r="W56" s="24"/>
    </row>
    <row r="57" spans="1:23" ht="19.899999999999999" customHeight="1" thickBot="1">
      <c r="A57" s="22"/>
      <c r="B57" s="76" t="s">
        <v>38</v>
      </c>
      <c r="C57" s="77"/>
      <c r="D57" s="77"/>
      <c r="E57" s="78" t="str">
        <f>IF(E56&lt;&gt;0,E56-E55,"")</f>
        <v/>
      </c>
      <c r="F57" s="79"/>
      <c r="G57" s="79"/>
      <c r="H57" s="74" t="s">
        <v>24</v>
      </c>
      <c r="I57" s="104" t="s">
        <v>39</v>
      </c>
      <c r="J57" s="105"/>
      <c r="K57" s="105"/>
      <c r="L57" s="105"/>
      <c r="M57" s="138"/>
      <c r="N57" s="140" t="str">
        <f>IF(N55&lt;&gt;0,(#REF!-N56)/N56,"")</f>
        <v/>
      </c>
      <c r="O57" s="140"/>
      <c r="P57" s="140"/>
      <c r="Q57" s="140"/>
      <c r="R57" s="140"/>
      <c r="S57" s="140"/>
      <c r="T57" s="140"/>
      <c r="U57" s="75" t="s">
        <v>24</v>
      </c>
      <c r="W57" s="24"/>
    </row>
    <row r="58" spans="1:23" ht="9" customHeight="1" thickBot="1">
      <c r="A58" s="22"/>
      <c r="U58" s="37"/>
      <c r="W58" s="24"/>
    </row>
    <row r="59" spans="1:23" ht="4.9000000000000004" customHeight="1" thickTop="1" thickBot="1">
      <c r="A59" s="46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</row>
    <row r="60" spans="1:23" ht="9" customHeight="1" thickTop="1">
      <c r="A60" s="22"/>
      <c r="W60" s="24"/>
    </row>
    <row r="61" spans="1:23" ht="19.899999999999999" customHeight="1" thickBot="1">
      <c r="A61" s="22"/>
      <c r="B61" s="135" t="s">
        <v>40</v>
      </c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W61" s="24"/>
    </row>
    <row r="62" spans="1:23" ht="19.899999999999999" customHeight="1">
      <c r="A62" s="22"/>
      <c r="B62" s="80" t="s">
        <v>41</v>
      </c>
      <c r="C62" s="81"/>
      <c r="D62" s="81"/>
      <c r="E62" s="82"/>
      <c r="F62" s="83"/>
      <c r="G62" s="83"/>
      <c r="H62" s="73"/>
      <c r="I62" s="91" t="s">
        <v>42</v>
      </c>
      <c r="J62" s="92"/>
      <c r="K62" s="92"/>
      <c r="L62" s="92"/>
      <c r="M62" s="92"/>
      <c r="N62" s="82"/>
      <c r="O62" s="83"/>
      <c r="P62" s="83"/>
      <c r="Q62" s="83"/>
      <c r="R62" s="83"/>
      <c r="S62" s="83"/>
      <c r="T62" s="83"/>
      <c r="U62" s="95"/>
      <c r="W62" s="24"/>
    </row>
    <row r="63" spans="1:23" ht="19.899999999999999" customHeight="1">
      <c r="A63" s="22"/>
      <c r="B63" s="76" t="s">
        <v>43</v>
      </c>
      <c r="C63" s="77"/>
      <c r="D63" s="77"/>
      <c r="E63" s="78"/>
      <c r="F63" s="79"/>
      <c r="G63" s="79"/>
      <c r="H63" s="74" t="s">
        <v>24</v>
      </c>
      <c r="I63" s="93"/>
      <c r="J63" s="94"/>
      <c r="K63" s="94"/>
      <c r="L63" s="94"/>
      <c r="M63" s="94"/>
      <c r="N63" s="96"/>
      <c r="O63" s="97"/>
      <c r="P63" s="97"/>
      <c r="Q63" s="97"/>
      <c r="R63" s="97"/>
      <c r="S63" s="97"/>
      <c r="T63" s="97"/>
      <c r="U63" s="98"/>
      <c r="W63" s="24"/>
    </row>
    <row r="64" spans="1:23" ht="19.899999999999999" customHeight="1">
      <c r="A64" s="22"/>
      <c r="B64" s="76" t="s">
        <v>44</v>
      </c>
      <c r="C64" s="77"/>
      <c r="D64" s="77"/>
      <c r="E64" s="78"/>
      <c r="F64" s="79"/>
      <c r="G64" s="79"/>
      <c r="H64" s="74" t="s">
        <v>24</v>
      </c>
      <c r="I64" s="93" t="s">
        <v>45</v>
      </c>
      <c r="J64" s="94"/>
      <c r="K64" s="94"/>
      <c r="L64" s="94"/>
      <c r="M64" s="94"/>
      <c r="N64" s="96"/>
      <c r="O64" s="97"/>
      <c r="P64" s="97"/>
      <c r="Q64" s="97"/>
      <c r="R64" s="97"/>
      <c r="S64" s="97"/>
      <c r="T64" s="97"/>
      <c r="U64" s="98"/>
      <c r="W64" s="24"/>
    </row>
    <row r="65" spans="1:23" ht="19.899999999999999" customHeight="1">
      <c r="A65" s="22"/>
      <c r="B65" s="76" t="s">
        <v>46</v>
      </c>
      <c r="C65" s="77"/>
      <c r="D65" s="77"/>
      <c r="E65" s="89" t="str">
        <f>IF(E64&lt;&gt;0,E64-E63,"")</f>
        <v/>
      </c>
      <c r="F65" s="90"/>
      <c r="G65" s="90"/>
      <c r="H65" s="74" t="s">
        <v>24</v>
      </c>
      <c r="I65" s="93"/>
      <c r="J65" s="94"/>
      <c r="K65" s="94"/>
      <c r="L65" s="94"/>
      <c r="M65" s="94"/>
      <c r="N65" s="96"/>
      <c r="O65" s="97"/>
      <c r="P65" s="97"/>
      <c r="Q65" s="97"/>
      <c r="R65" s="97"/>
      <c r="S65" s="97"/>
      <c r="T65" s="97"/>
      <c r="U65" s="98"/>
      <c r="W65" s="24"/>
    </row>
    <row r="66" spans="1:23" ht="19.899999999999999" customHeight="1">
      <c r="A66" s="22"/>
      <c r="B66" s="76" t="s">
        <v>47</v>
      </c>
      <c r="C66" s="77"/>
      <c r="D66" s="77"/>
      <c r="E66" s="78"/>
      <c r="F66" s="79"/>
      <c r="G66" s="79"/>
      <c r="H66" s="74" t="s">
        <v>24</v>
      </c>
      <c r="I66" s="93" t="s">
        <v>48</v>
      </c>
      <c r="J66" s="94"/>
      <c r="K66" s="94"/>
      <c r="L66" s="94"/>
      <c r="M66" s="94"/>
      <c r="N66" s="96"/>
      <c r="O66" s="97"/>
      <c r="P66" s="97"/>
      <c r="Q66" s="97"/>
      <c r="R66" s="97"/>
      <c r="S66" s="97"/>
      <c r="T66" s="97"/>
      <c r="U66" s="98"/>
      <c r="W66" s="24"/>
    </row>
    <row r="67" spans="1:23" ht="19.899999999999999" customHeight="1" thickBot="1">
      <c r="A67" s="22"/>
      <c r="B67" s="76" t="s">
        <v>17</v>
      </c>
      <c r="C67" s="77"/>
      <c r="D67" s="77"/>
      <c r="E67" s="89" t="str">
        <f>IF(E66&lt;&gt;0,E66-E63,"")</f>
        <v/>
      </c>
      <c r="F67" s="90"/>
      <c r="G67" s="90"/>
      <c r="H67" s="74" t="s">
        <v>24</v>
      </c>
      <c r="I67" s="99"/>
      <c r="J67" s="100"/>
      <c r="K67" s="100"/>
      <c r="L67" s="100"/>
      <c r="M67" s="100"/>
      <c r="N67" s="101"/>
      <c r="O67" s="102"/>
      <c r="P67" s="102"/>
      <c r="Q67" s="102"/>
      <c r="R67" s="102"/>
      <c r="S67" s="102"/>
      <c r="T67" s="102"/>
      <c r="U67" s="103"/>
      <c r="W67" s="24"/>
    </row>
    <row r="68" spans="1:23" ht="9.6" customHeight="1" thickBot="1">
      <c r="A68" s="31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5"/>
    </row>
    <row r="69" spans="1:23" ht="15" hidden="1" customHeight="1" thickTop="1" thickBot="1"/>
    <row r="70" spans="1:23" ht="15" hidden="1" customHeight="1" thickTop="1">
      <c r="A70" s="85" t="s">
        <v>49</v>
      </c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43"/>
      <c r="O70" s="114" t="s">
        <v>50</v>
      </c>
      <c r="P70" s="115"/>
      <c r="Q70" s="122"/>
      <c r="R70" s="123"/>
      <c r="S70" s="124"/>
      <c r="T70" s="124"/>
      <c r="U70" s="124"/>
      <c r="V70" s="124"/>
      <c r="W70" s="125"/>
    </row>
    <row r="71" spans="1:23" ht="15" hidden="1" customHeight="1" thickBot="1">
      <c r="A71" s="87"/>
      <c r="B71" s="88"/>
      <c r="C71" s="88"/>
      <c r="D71" s="88"/>
      <c r="E71" s="88"/>
      <c r="F71" s="88"/>
      <c r="G71" s="88"/>
      <c r="H71" s="88"/>
      <c r="N71" s="44"/>
      <c r="O71" s="114"/>
      <c r="P71" s="115"/>
      <c r="Q71" s="122"/>
      <c r="R71" s="126"/>
      <c r="S71" s="127"/>
      <c r="T71" s="127"/>
      <c r="U71" s="127"/>
      <c r="V71" s="127"/>
      <c r="W71" s="128"/>
    </row>
    <row r="72" spans="1:23" ht="15" hidden="1" customHeight="1" thickTop="1" thickBot="1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45"/>
      <c r="O72" s="115" t="s">
        <v>51</v>
      </c>
      <c r="P72" s="115"/>
      <c r="Q72" s="122"/>
      <c r="R72" s="123"/>
      <c r="S72" s="124"/>
      <c r="T72" s="124"/>
      <c r="U72" s="124"/>
      <c r="V72" s="124"/>
      <c r="W72" s="125"/>
    </row>
    <row r="73" spans="1:23" ht="6.6" hidden="1" customHeight="1" thickTop="1" thickBot="1">
      <c r="A73" s="46"/>
      <c r="B73" s="47"/>
      <c r="C73" s="47"/>
      <c r="D73" s="47"/>
      <c r="E73" s="48"/>
      <c r="F73" s="47"/>
      <c r="G73" s="47"/>
      <c r="H73" s="47"/>
      <c r="I73" s="48"/>
      <c r="J73" s="47"/>
      <c r="K73" s="47"/>
      <c r="L73" s="47"/>
      <c r="M73" s="47"/>
      <c r="N73" s="49"/>
      <c r="O73" s="115"/>
      <c r="P73" s="115"/>
      <c r="Q73" s="122"/>
      <c r="R73" s="126"/>
      <c r="S73" s="127"/>
      <c r="T73" s="127"/>
      <c r="U73" s="127"/>
      <c r="V73" s="127"/>
      <c r="W73" s="128"/>
    </row>
    <row r="74" spans="1:23" ht="15" hidden="1" customHeight="1" thickTop="1" thickBot="1">
      <c r="A74" s="85" t="s">
        <v>52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50"/>
      <c r="O74" s="115"/>
      <c r="P74" s="115"/>
      <c r="Q74" s="122"/>
      <c r="R74" s="129"/>
      <c r="S74" s="130"/>
      <c r="T74" s="130"/>
      <c r="U74" s="130"/>
      <c r="V74" s="130"/>
      <c r="W74" s="131"/>
    </row>
    <row r="75" spans="1:23" ht="15" hidden="1" customHeight="1" thickTop="1">
      <c r="A75" s="5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44"/>
      <c r="O75" s="114" t="s">
        <v>53</v>
      </c>
      <c r="P75" s="115"/>
      <c r="Q75" s="115"/>
      <c r="R75" s="116"/>
      <c r="S75" s="117"/>
      <c r="T75" s="117"/>
      <c r="U75" s="117"/>
      <c r="V75" s="117"/>
      <c r="W75" s="118"/>
    </row>
    <row r="76" spans="1:23" ht="15" hidden="1" customHeight="1" thickBot="1">
      <c r="A76" s="53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45"/>
      <c r="O76" s="114"/>
      <c r="P76" s="115"/>
      <c r="Q76" s="115"/>
      <c r="R76" s="119"/>
      <c r="S76" s="120"/>
      <c r="T76" s="120"/>
      <c r="U76" s="120"/>
      <c r="V76" s="120"/>
      <c r="W76" s="121"/>
    </row>
    <row r="77" spans="1:23" ht="12.75" hidden="1" customHeight="1" thickTop="1"/>
    <row r="78" spans="1:23" ht="12.75" customHeight="1" thickTop="1"/>
  </sheetData>
  <sheetProtection selectLockedCells="1"/>
  <mergeCells count="178">
    <mergeCell ref="J21:O21"/>
    <mergeCell ref="P21:U21"/>
    <mergeCell ref="J25:M25"/>
    <mergeCell ref="J26:M26"/>
    <mergeCell ref="N29:Q29"/>
    <mergeCell ref="N30:Q30"/>
    <mergeCell ref="N31:Q31"/>
    <mergeCell ref="N32:Q32"/>
    <mergeCell ref="R24:U24"/>
    <mergeCell ref="R25:U25"/>
    <mergeCell ref="R26:U26"/>
    <mergeCell ref="R27:U27"/>
    <mergeCell ref="R28:U28"/>
    <mergeCell ref="R29:U29"/>
    <mergeCell ref="R30:U30"/>
    <mergeCell ref="R31:U31"/>
    <mergeCell ref="R32:U32"/>
    <mergeCell ref="N35:Q35"/>
    <mergeCell ref="N26:Q26"/>
    <mergeCell ref="N27:Q27"/>
    <mergeCell ref="N28:Q28"/>
    <mergeCell ref="N33:Q33"/>
    <mergeCell ref="J38:M38"/>
    <mergeCell ref="E1:P4"/>
    <mergeCell ref="Q1:W6"/>
    <mergeCell ref="E5:G5"/>
    <mergeCell ref="H5:L5"/>
    <mergeCell ref="M5:P5"/>
    <mergeCell ref="E6:G6"/>
    <mergeCell ref="H6:L6"/>
    <mergeCell ref="M6:P6"/>
    <mergeCell ref="N37:Q37"/>
    <mergeCell ref="E36:G36"/>
    <mergeCell ref="J27:M27"/>
    <mergeCell ref="J28:M28"/>
    <mergeCell ref="J29:M29"/>
    <mergeCell ref="J30:M30"/>
    <mergeCell ref="J31:M31"/>
    <mergeCell ref="J32:M32"/>
    <mergeCell ref="J33:M33"/>
    <mergeCell ref="J22:U22"/>
    <mergeCell ref="J35:M35"/>
    <mergeCell ref="N24:Q24"/>
    <mergeCell ref="N25:Q25"/>
    <mergeCell ref="J24:M24"/>
    <mergeCell ref="A74:M74"/>
    <mergeCell ref="J39:M39"/>
    <mergeCell ref="J40:M40"/>
    <mergeCell ref="J41:M41"/>
    <mergeCell ref="J42:M42"/>
    <mergeCell ref="N46:Q46"/>
    <mergeCell ref="N47:Q47"/>
    <mergeCell ref="B47:D47"/>
    <mergeCell ref="E47:G47"/>
    <mergeCell ref="B48:D48"/>
    <mergeCell ref="E48:G48"/>
    <mergeCell ref="B49:D49"/>
    <mergeCell ref="E49:G49"/>
    <mergeCell ref="J43:M43"/>
    <mergeCell ref="J44:M44"/>
    <mergeCell ref="J45:M45"/>
    <mergeCell ref="J46:M46"/>
    <mergeCell ref="J47:M47"/>
    <mergeCell ref="J48:M48"/>
    <mergeCell ref="N34:Q34"/>
    <mergeCell ref="B54:U54"/>
    <mergeCell ref="N56:T56"/>
    <mergeCell ref="N57:T57"/>
    <mergeCell ref="I55:M55"/>
    <mergeCell ref="R33:U33"/>
    <mergeCell ref="R34:U34"/>
    <mergeCell ref="N43:Q43"/>
    <mergeCell ref="N44:Q44"/>
    <mergeCell ref="N45:Q45"/>
    <mergeCell ref="R43:U43"/>
    <mergeCell ref="R44:U44"/>
    <mergeCell ref="R45:U45"/>
    <mergeCell ref="N42:Q42"/>
    <mergeCell ref="R40:U40"/>
    <mergeCell ref="R41:U41"/>
    <mergeCell ref="R42:U42"/>
    <mergeCell ref="R35:U35"/>
    <mergeCell ref="R36:U36"/>
    <mergeCell ref="R37:U37"/>
    <mergeCell ref="J36:M36"/>
    <mergeCell ref="J37:M37"/>
    <mergeCell ref="B50:D50"/>
    <mergeCell ref="E50:G50"/>
    <mergeCell ref="J34:M34"/>
    <mergeCell ref="O75:Q76"/>
    <mergeCell ref="R75:W76"/>
    <mergeCell ref="O72:Q74"/>
    <mergeCell ref="R72:W74"/>
    <mergeCell ref="R50:U50"/>
    <mergeCell ref="R46:U46"/>
    <mergeCell ref="R47:U47"/>
    <mergeCell ref="R48:U48"/>
    <mergeCell ref="R49:U49"/>
    <mergeCell ref="B61:U61"/>
    <mergeCell ref="B64:D64"/>
    <mergeCell ref="E64:G64"/>
    <mergeCell ref="B65:D65"/>
    <mergeCell ref="E65:G65"/>
    <mergeCell ref="B66:D66"/>
    <mergeCell ref="E66:G66"/>
    <mergeCell ref="B62:D62"/>
    <mergeCell ref="E62:G62"/>
    <mergeCell ref="B63:D63"/>
    <mergeCell ref="E63:G63"/>
    <mergeCell ref="R70:W71"/>
    <mergeCell ref="O70:Q71"/>
    <mergeCell ref="I56:M56"/>
    <mergeCell ref="I57:M57"/>
    <mergeCell ref="R38:U38"/>
    <mergeCell ref="R39:U39"/>
    <mergeCell ref="N38:Q38"/>
    <mergeCell ref="N39:Q39"/>
    <mergeCell ref="N40:Q40"/>
    <mergeCell ref="N41:Q41"/>
    <mergeCell ref="E38:G38"/>
    <mergeCell ref="B39:D39"/>
    <mergeCell ref="E39:G39"/>
    <mergeCell ref="B40:D40"/>
    <mergeCell ref="E40:G40"/>
    <mergeCell ref="N36:Q36"/>
    <mergeCell ref="N48:Q48"/>
    <mergeCell ref="N49:Q49"/>
    <mergeCell ref="N50:Q50"/>
    <mergeCell ref="J50:M50"/>
    <mergeCell ref="B41:D41"/>
    <mergeCell ref="E41:G41"/>
    <mergeCell ref="B43:H43"/>
    <mergeCell ref="B44:D44"/>
    <mergeCell ref="E44:G44"/>
    <mergeCell ref="B45:D45"/>
    <mergeCell ref="E45:G45"/>
    <mergeCell ref="B46:D46"/>
    <mergeCell ref="E46:G46"/>
    <mergeCell ref="B37:D37"/>
    <mergeCell ref="E37:G37"/>
    <mergeCell ref="B38:D38"/>
    <mergeCell ref="J49:M49"/>
    <mergeCell ref="B25:H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B34:H34"/>
    <mergeCell ref="B35:D35"/>
    <mergeCell ref="E35:G35"/>
    <mergeCell ref="B36:D36"/>
    <mergeCell ref="E32:G32"/>
    <mergeCell ref="B56:D56"/>
    <mergeCell ref="E56:G56"/>
    <mergeCell ref="B57:D57"/>
    <mergeCell ref="E57:G57"/>
    <mergeCell ref="B55:D55"/>
    <mergeCell ref="E55:G55"/>
    <mergeCell ref="N55:T55"/>
    <mergeCell ref="A70:M70"/>
    <mergeCell ref="A71:H71"/>
    <mergeCell ref="B67:D67"/>
    <mergeCell ref="E67:G67"/>
    <mergeCell ref="I62:M63"/>
    <mergeCell ref="N62:U63"/>
    <mergeCell ref="I64:M65"/>
    <mergeCell ref="N64:U65"/>
    <mergeCell ref="I66:M67"/>
    <mergeCell ref="N66:U67"/>
  </mergeCells>
  <printOptions horizontalCentered="1" verticalCentered="1"/>
  <pageMargins left="0" right="0" top="0.39370078740157483" bottom="0" header="0.31496062992125984" footer="0.31496062992125984"/>
  <pageSetup paperSize="9" scale="6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1375990C9F0409FA099CD45573B5C" ma:contentTypeVersion="3" ma:contentTypeDescription="Crée un document." ma:contentTypeScope="" ma:versionID="32332c34d15a0aed4b18991341bf1639">
  <xsd:schema xmlns:xsd="http://www.w3.org/2001/XMLSchema" xmlns:xs="http://www.w3.org/2001/XMLSchema" xmlns:p="http://schemas.microsoft.com/office/2006/metadata/properties" xmlns:ns2="3b05b531-79e4-4fb0-95ee-6634a5c7aac9" targetNamespace="http://schemas.microsoft.com/office/2006/metadata/properties" ma:root="true" ma:fieldsID="c4473c409782803ad7cb5e89338969f7" ns2:_="">
    <xsd:import namespace="3b05b531-79e4-4fb0-95ee-6634a5c7aa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5b531-79e4-4fb0-95ee-6634a5c7a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84640A-B79C-43ED-9DE9-ED6BD6038D10}"/>
</file>

<file path=customXml/itemProps2.xml><?xml version="1.0" encoding="utf-8"?>
<ds:datastoreItem xmlns:ds="http://schemas.openxmlformats.org/officeDocument/2006/customXml" ds:itemID="{1ED29958-32B5-47A3-A138-F4CA042BB73C}"/>
</file>

<file path=customXml/itemProps3.xml><?xml version="1.0" encoding="utf-8"?>
<ds:datastoreItem xmlns:ds="http://schemas.openxmlformats.org/officeDocument/2006/customXml" ds:itemID="{62114515-1F90-4742-B9A3-EB342780A525}"/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PONTAILLER Sébastien</dc:creator>
  <cp:keywords/>
  <dc:description/>
  <cp:lastModifiedBy>DESMURS Laurent</cp:lastModifiedBy>
  <cp:revision/>
  <dcterms:created xsi:type="dcterms:W3CDTF">2025-05-05T07:10:50Z</dcterms:created>
  <dcterms:modified xsi:type="dcterms:W3CDTF">2026-03-06T09:12:26Z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0x0101008CE1375990C9F0409FA099CD45573B5C</vt:lpwstr>
  </property>
</Properties>
</file>